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MyData\PycharmProjects\Algorithms\"/>
    </mc:Choice>
  </mc:AlternateContent>
  <xr:revisionPtr revIDLastSave="0" documentId="13_ncr:1_{C60F6755-7723-48E9-AF90-DEAD45A80A1E}" xr6:coauthVersionLast="47" xr6:coauthVersionMax="47" xr10:uidLastSave="{00000000-0000-0000-0000-000000000000}"/>
  <bookViews>
    <workbookView xWindow="5055" yWindow="2490" windowWidth="21600" windowHeight="12735" tabRatio="706" firstSheet="1" activeTab="1" xr2:uid="{00000000-000D-0000-FFFF-FFFF00000000}"/>
  </bookViews>
  <sheets>
    <sheet name="PatternsOld" sheetId="1" state="hidden" r:id="rId1"/>
    <sheet name="Tracker" sheetId="10" r:id="rId2"/>
    <sheet name="Daily" sheetId="14" r:id="rId3"/>
    <sheet name="Weekly" sheetId="16" r:id="rId4"/>
    <sheet name="Stats" sheetId="15" r:id="rId5"/>
    <sheet name="RandomPicker" sheetId="17" r:id="rId6"/>
    <sheet name="Patterns" sheetId="18" r:id="rId7"/>
    <sheet name="Plan" sheetId="19" r:id="rId8"/>
    <sheet name="Intuition" sheetId="20" r:id="rId9"/>
    <sheet name="ThingsToKnow" sheetId="21" r:id="rId10"/>
    <sheet name="All Questions" sheetId="6" state="hidden" r:id="rId11"/>
    <sheet name="NeetcodeGrindBlind" sheetId="9" state="hidden" r:id="rId12"/>
    <sheet name="NeetcodeAll" sheetId="13" state="hidden" r:id="rId13"/>
    <sheet name="TopInterviewQ" sheetId="11" state="hidden" r:id="rId14"/>
    <sheet name="TopLikedQ" sheetId="12" state="hidden" r:id="rId15"/>
  </sheets>
  <functionGroups builtInGroupCount="19"/>
  <definedNames>
    <definedName name="_xlnm._FilterDatabase" localSheetId="2" hidden="1">Daily!$A$3:$AO$440</definedName>
    <definedName name="_xlnm._FilterDatabase" localSheetId="12" hidden="1">NeetcodeAll!$A$1:$C$434</definedName>
    <definedName name="_xlnm._FilterDatabase" localSheetId="0" hidden="1">PatternsOld!$B$1:$M$171</definedName>
    <definedName name="_xlnm._FilterDatabase" localSheetId="7" hidden="1">Plan!$J$3:$Q$37</definedName>
    <definedName name="_xlnm._FilterDatabase" localSheetId="1" hidden="1">Tracker!$A$1:$T$453</definedName>
    <definedName name="_xlnm._FilterDatabase" localSheetId="3" hidden="1">Weekly!$A$17:$F$79</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17" l="1"/>
  <c r="C3" i="17"/>
  <c r="C66" i="16"/>
  <c r="C67" i="16"/>
  <c r="C68" i="16"/>
  <c r="C69" i="16"/>
  <c r="C70" i="16"/>
  <c r="C71" i="16"/>
  <c r="C72" i="16"/>
  <c r="C73" i="16"/>
  <c r="C74" i="16"/>
  <c r="C75" i="16"/>
  <c r="C76" i="16"/>
  <c r="C77" i="16"/>
  <c r="C78" i="16"/>
  <c r="C79"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D5" i="14"/>
  <c r="D6" i="14"/>
  <c r="D7" i="14"/>
  <c r="D8" i="14"/>
  <c r="D9" i="14"/>
  <c r="D10" i="14"/>
  <c r="D11" i="14"/>
  <c r="D12" i="14"/>
  <c r="D13" i="14"/>
  <c r="D4" i="14"/>
  <c r="J11" i="19"/>
  <c r="J12" i="19" s="1"/>
  <c r="J13" i="19" s="1"/>
  <c r="J14" i="19" s="1"/>
  <c r="J15" i="19" s="1"/>
  <c r="J16" i="19" s="1"/>
  <c r="J17" i="19" s="1"/>
  <c r="J18" i="19" s="1"/>
  <c r="J19" i="19" s="1"/>
  <c r="J20" i="19" s="1"/>
  <c r="J21" i="19" s="1"/>
  <c r="A133" i="14"/>
  <c r="A140" i="14" s="1"/>
  <c r="A147" i="14" s="1"/>
  <c r="A154" i="14" s="1"/>
  <c r="A161" i="14" s="1"/>
  <c r="A168" i="14" s="1"/>
  <c r="I231" i="10"/>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43" i="17"/>
  <c r="D44" i="17"/>
  <c r="D45" i="17"/>
  <c r="D46" i="17"/>
  <c r="D47" i="17"/>
  <c r="D48" i="17"/>
  <c r="D49" i="17"/>
  <c r="D50" i="17"/>
  <c r="D51" i="17"/>
  <c r="D52" i="17"/>
  <c r="D53" i="17"/>
  <c r="D54" i="17"/>
  <c r="D55" i="17"/>
  <c r="D56" i="17"/>
  <c r="D57" i="17"/>
  <c r="D58" i="17"/>
  <c r="D59" i="17"/>
  <c r="D3" i="17"/>
  <c r="D4"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2" i="17"/>
  <c r="E1" i="18"/>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2" i="17"/>
  <c r="I313" i="10"/>
  <c r="E5" i="15" s="1"/>
  <c r="AN5" i="14"/>
  <c r="AN6" i="14"/>
  <c r="AN7" i="14"/>
  <c r="AN8" i="14"/>
  <c r="AN9" i="14"/>
  <c r="AN10" i="14"/>
  <c r="AN11" i="14"/>
  <c r="AN12" i="14"/>
  <c r="AN13" i="14"/>
  <c r="AN4" i="14"/>
  <c r="AI4" i="14"/>
  <c r="A13" i="15"/>
  <c r="A12" i="15"/>
  <c r="AI5" i="14"/>
  <c r="AI6" i="14"/>
  <c r="AI7" i="14"/>
  <c r="AI8" i="14"/>
  <c r="AI9" i="14"/>
  <c r="AI10" i="14"/>
  <c r="AI11" i="14"/>
  <c r="AI12" i="14"/>
  <c r="AI13" i="14"/>
  <c r="AD4" i="14"/>
  <c r="AD6" i="14"/>
  <c r="AD7" i="14"/>
  <c r="AD8" i="14"/>
  <c r="AD9" i="14"/>
  <c r="AD10" i="14"/>
  <c r="AD11" i="14"/>
  <c r="AD12" i="14"/>
  <c r="AD13" i="14"/>
  <c r="AD5" i="14"/>
  <c r="Y4" i="14"/>
  <c r="C5" i="15"/>
  <c r="C4" i="15"/>
  <c r="C3" i="15"/>
  <c r="C2" i="15"/>
  <c r="Y5" i="14"/>
  <c r="Y6" i="14"/>
  <c r="Y7" i="14"/>
  <c r="Y8" i="14"/>
  <c r="Y9" i="14"/>
  <c r="Y10" i="14"/>
  <c r="Y11" i="14"/>
  <c r="Y12" i="14"/>
  <c r="Y13" i="14"/>
  <c r="E4" i="15"/>
  <c r="E2" i="15"/>
  <c r="B2" i="15"/>
  <c r="D2" i="15" s="1"/>
  <c r="B4" i="15"/>
  <c r="D4" i="15" s="1"/>
  <c r="C15" i="14"/>
  <c r="C22" i="14" s="1"/>
  <c r="Y22" i="14" s="1"/>
  <c r="C16" i="14"/>
  <c r="C23" i="14" s="1"/>
  <c r="Y23" i="14" s="1"/>
  <c r="C17" i="14"/>
  <c r="C24" i="14" s="1"/>
  <c r="Y24" i="14" s="1"/>
  <c r="C18" i="14"/>
  <c r="C25" i="14" s="1"/>
  <c r="Y25" i="14" s="1"/>
  <c r="C19" i="14"/>
  <c r="C26" i="14" s="1"/>
  <c r="D26" i="14" s="1"/>
  <c r="C20" i="14"/>
  <c r="Y20" i="14" s="1"/>
  <c r="C14" i="14"/>
  <c r="C21" i="14" s="1"/>
  <c r="Y21" i="14" s="1"/>
  <c r="F5" i="14"/>
  <c r="G5" i="14"/>
  <c r="H5" i="14"/>
  <c r="J5" i="14"/>
  <c r="K5" i="14"/>
  <c r="L5" i="14"/>
  <c r="N5" i="14"/>
  <c r="O5" i="14"/>
  <c r="P5" i="14"/>
  <c r="R5" i="14"/>
  <c r="S5" i="14"/>
  <c r="T5" i="14"/>
  <c r="F6" i="14"/>
  <c r="G6" i="14"/>
  <c r="H6" i="14"/>
  <c r="J6" i="14"/>
  <c r="K6" i="14"/>
  <c r="L6" i="14"/>
  <c r="N6" i="14"/>
  <c r="O6" i="14"/>
  <c r="P6" i="14"/>
  <c r="R6" i="14"/>
  <c r="S6" i="14"/>
  <c r="T6" i="14"/>
  <c r="B5" i="14"/>
  <c r="B6" i="14"/>
  <c r="B18" i="14"/>
  <c r="F18" i="14"/>
  <c r="G18" i="14"/>
  <c r="H18" i="14"/>
  <c r="J18" i="14"/>
  <c r="K18" i="14"/>
  <c r="L18" i="14"/>
  <c r="N18" i="14"/>
  <c r="O18" i="14"/>
  <c r="P18" i="14"/>
  <c r="R18" i="14"/>
  <c r="S18" i="14"/>
  <c r="T18" i="14"/>
  <c r="B12" i="14"/>
  <c r="F12" i="14"/>
  <c r="G12" i="14"/>
  <c r="H12" i="14"/>
  <c r="J12" i="14"/>
  <c r="K12" i="14"/>
  <c r="L12" i="14"/>
  <c r="N12" i="14"/>
  <c r="O12" i="14"/>
  <c r="P12" i="14"/>
  <c r="R12" i="14"/>
  <c r="S12" i="14"/>
  <c r="T12" i="14"/>
  <c r="B13" i="14"/>
  <c r="F13" i="14"/>
  <c r="G13" i="14"/>
  <c r="H13" i="14"/>
  <c r="J13" i="14"/>
  <c r="K13" i="14"/>
  <c r="L13" i="14"/>
  <c r="N13" i="14"/>
  <c r="O13" i="14"/>
  <c r="P13" i="14"/>
  <c r="R13" i="14"/>
  <c r="S13" i="14"/>
  <c r="T13" i="14"/>
  <c r="B15" i="14"/>
  <c r="F15" i="14"/>
  <c r="G15" i="14"/>
  <c r="H15" i="14"/>
  <c r="J15" i="14"/>
  <c r="K15" i="14"/>
  <c r="L15" i="14"/>
  <c r="N15" i="14"/>
  <c r="O15" i="14"/>
  <c r="P15" i="14"/>
  <c r="R15" i="14"/>
  <c r="S15" i="14"/>
  <c r="T15" i="14"/>
  <c r="B16" i="14"/>
  <c r="F16" i="14"/>
  <c r="H16" i="14"/>
  <c r="J16" i="14"/>
  <c r="K16" i="14"/>
  <c r="L16" i="14"/>
  <c r="N16" i="14"/>
  <c r="O16" i="14"/>
  <c r="P16" i="14"/>
  <c r="R16" i="14"/>
  <c r="S16" i="14"/>
  <c r="T16" i="14"/>
  <c r="B7" i="14"/>
  <c r="B8" i="14"/>
  <c r="B9" i="14"/>
  <c r="B10" i="14"/>
  <c r="B11" i="14"/>
  <c r="B4" i="14"/>
  <c r="R7" i="14"/>
  <c r="S7" i="14"/>
  <c r="T7" i="14"/>
  <c r="R8" i="14"/>
  <c r="S8" i="14"/>
  <c r="T8" i="14"/>
  <c r="R9" i="14"/>
  <c r="S9" i="14"/>
  <c r="T9" i="14"/>
  <c r="R10" i="14"/>
  <c r="S10" i="14"/>
  <c r="T10" i="14"/>
  <c r="R11" i="14"/>
  <c r="S11" i="14"/>
  <c r="T11" i="14"/>
  <c r="T4" i="14"/>
  <c r="P4" i="14"/>
  <c r="S4" i="14"/>
  <c r="O4" i="14"/>
  <c r="R4" i="14"/>
  <c r="AG4" i="14" s="1"/>
  <c r="N4" i="14"/>
  <c r="AB4" i="14" s="1"/>
  <c r="N7" i="14"/>
  <c r="O7" i="14"/>
  <c r="P7" i="14"/>
  <c r="N8" i="14"/>
  <c r="O8" i="14"/>
  <c r="P8" i="14"/>
  <c r="N9" i="14"/>
  <c r="O9" i="14"/>
  <c r="P9" i="14"/>
  <c r="N10" i="14"/>
  <c r="O10" i="14"/>
  <c r="P10" i="14"/>
  <c r="N11" i="14"/>
  <c r="O11" i="14"/>
  <c r="P11" i="14"/>
  <c r="L4" i="14"/>
  <c r="K4" i="14"/>
  <c r="J4" i="14"/>
  <c r="W4" i="14" s="1"/>
  <c r="J7" i="14"/>
  <c r="K7" i="14"/>
  <c r="L7" i="14"/>
  <c r="J8" i="14"/>
  <c r="K8" i="14"/>
  <c r="L8" i="14"/>
  <c r="J9" i="14"/>
  <c r="K9" i="14"/>
  <c r="L9" i="14"/>
  <c r="J10" i="14"/>
  <c r="K10" i="14"/>
  <c r="L10" i="14"/>
  <c r="J11" i="14"/>
  <c r="K11" i="14"/>
  <c r="L11" i="14"/>
  <c r="H4" i="14"/>
  <c r="G4" i="14"/>
  <c r="F4" i="14"/>
  <c r="G7" i="14"/>
  <c r="G8" i="14"/>
  <c r="G9" i="14"/>
  <c r="G10" i="14"/>
  <c r="G11" i="14"/>
  <c r="H7" i="14"/>
  <c r="H8" i="14"/>
  <c r="H9" i="14"/>
  <c r="H10" i="14"/>
  <c r="H11" i="14"/>
  <c r="F7" i="14"/>
  <c r="F8" i="14"/>
  <c r="F9" i="14"/>
  <c r="F10" i="14"/>
  <c r="F11" i="14"/>
  <c r="A63" i="1"/>
  <c r="A153" i="1"/>
  <c r="A2" i="11"/>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 i="11"/>
  <c r="B172" i="1"/>
  <c r="F174" i="1"/>
  <c r="F175" i="1"/>
  <c r="F176" i="1"/>
  <c r="F177" i="1"/>
  <c r="F178" i="1"/>
  <c r="F179" i="1"/>
  <c r="F180" i="1"/>
  <c r="F181" i="1"/>
  <c r="F182" i="1"/>
  <c r="F183" i="1"/>
  <c r="F173" i="1"/>
  <c r="B173" i="1"/>
  <c r="B174" i="1"/>
  <c r="B175" i="1"/>
  <c r="B176" i="1"/>
  <c r="B177" i="1"/>
  <c r="B178" i="1"/>
  <c r="B179" i="1"/>
  <c r="B180" i="1"/>
  <c r="B181" i="1"/>
  <c r="B182" i="1"/>
  <c r="B183" i="1"/>
  <c r="I28" i="1"/>
  <c r="J28" i="1" s="1"/>
  <c r="K28" i="1" s="1"/>
  <c r="L28" i="1" s="1"/>
  <c r="I91" i="1"/>
  <c r="J91" i="1" s="1"/>
  <c r="K91" i="1" s="1"/>
  <c r="L91" i="1" s="1"/>
  <c r="I74" i="1"/>
  <c r="J74" i="1" s="1"/>
  <c r="K74" i="1" s="1"/>
  <c r="L74" i="1" s="1"/>
  <c r="I77" i="1"/>
  <c r="J77" i="1" s="1"/>
  <c r="K77" i="1" s="1"/>
  <c r="L77" i="1" s="1"/>
  <c r="I97" i="1"/>
  <c r="J97" i="1" s="1"/>
  <c r="K97" i="1" s="1"/>
  <c r="L97" i="1" s="1"/>
  <c r="I86" i="1"/>
  <c r="J86" i="1" s="1"/>
  <c r="K86" i="1" s="1"/>
  <c r="L86" i="1" s="1"/>
  <c r="I131" i="1"/>
  <c r="J131" i="1" s="1"/>
  <c r="K131" i="1" s="1"/>
  <c r="L131" i="1" s="1"/>
  <c r="I67" i="1"/>
  <c r="J67" i="1" s="1"/>
  <c r="K67" i="1" s="1"/>
  <c r="L67" i="1" s="1"/>
  <c r="I17" i="1"/>
  <c r="J17" i="1" s="1"/>
  <c r="K17" i="1" s="1"/>
  <c r="L17" i="1" s="1"/>
  <c r="I55" i="1"/>
  <c r="J55" i="1" s="1"/>
  <c r="K55" i="1" s="1"/>
  <c r="L55" i="1" s="1"/>
  <c r="I80" i="1"/>
  <c r="J80" i="1" s="1"/>
  <c r="K80" i="1" s="1"/>
  <c r="L80" i="1" s="1"/>
  <c r="I99" i="1"/>
  <c r="J99" i="1" s="1"/>
  <c r="K99" i="1" s="1"/>
  <c r="L99" i="1" s="1"/>
  <c r="I11" i="1"/>
  <c r="J11" i="1" s="1"/>
  <c r="K11" i="1" s="1"/>
  <c r="L11" i="1" s="1"/>
  <c r="I169" i="1"/>
  <c r="J169" i="1" s="1"/>
  <c r="K169" i="1" s="1"/>
  <c r="L169" i="1" s="1"/>
  <c r="I6" i="1"/>
  <c r="I15" i="1"/>
  <c r="I121" i="1"/>
  <c r="I120" i="1"/>
  <c r="I16" i="1"/>
  <c r="I12" i="1"/>
  <c r="I13" i="1"/>
  <c r="I94" i="1"/>
  <c r="I33" i="1"/>
  <c r="I32" i="1"/>
  <c r="I102" i="1"/>
  <c r="I52" i="1"/>
  <c r="I103" i="1"/>
  <c r="I123" i="1"/>
  <c r="I106" i="1"/>
  <c r="I18" i="1"/>
  <c r="I93" i="1"/>
  <c r="I7" i="1"/>
  <c r="J7" i="1" s="1"/>
  <c r="K7" i="1" s="1"/>
  <c r="L7" i="1" s="1"/>
  <c r="D25" i="14" l="1"/>
  <c r="D24" i="14"/>
  <c r="D23" i="14"/>
  <c r="D22" i="14"/>
  <c r="D21" i="14"/>
  <c r="D20" i="14"/>
  <c r="D19" i="14"/>
  <c r="D18" i="14"/>
  <c r="D17" i="14"/>
  <c r="D16" i="14"/>
  <c r="D15" i="14"/>
  <c r="D14" i="14"/>
  <c r="P17" i="14"/>
  <c r="G16" i="14"/>
  <c r="A175" i="14"/>
  <c r="A3" i="19"/>
  <c r="B3" i="15"/>
  <c r="D3" i="15" s="1"/>
  <c r="E3" i="15"/>
  <c r="T17" i="14"/>
  <c r="S17" i="14"/>
  <c r="R17" i="14"/>
  <c r="O17" i="14"/>
  <c r="N17" i="14"/>
  <c r="L17" i="14"/>
  <c r="K17" i="14"/>
  <c r="J17" i="14"/>
  <c r="H17" i="14"/>
  <c r="G17" i="14"/>
  <c r="F17" i="14"/>
  <c r="B17" i="14"/>
  <c r="H14" i="14"/>
  <c r="G14" i="14"/>
  <c r="T14" i="14"/>
  <c r="S14" i="14"/>
  <c r="P14" i="14"/>
  <c r="O14" i="14"/>
  <c r="L14" i="14"/>
  <c r="K14" i="14"/>
  <c r="J14" i="14"/>
  <c r="W5" i="14"/>
  <c r="R14" i="14"/>
  <c r="AD23" i="14"/>
  <c r="T20" i="14"/>
  <c r="S20" i="14"/>
  <c r="R20" i="14"/>
  <c r="O20" i="14"/>
  <c r="L19" i="14"/>
  <c r="K19" i="14"/>
  <c r="J19" i="14"/>
  <c r="N20" i="14"/>
  <c r="L20" i="14"/>
  <c r="K20" i="14"/>
  <c r="J20" i="14"/>
  <c r="T19" i="14"/>
  <c r="S19" i="14"/>
  <c r="R19" i="14"/>
  <c r="H19" i="14"/>
  <c r="G19" i="14"/>
  <c r="P20" i="14"/>
  <c r="AD22" i="14"/>
  <c r="AD20" i="14"/>
  <c r="AD16" i="14"/>
  <c r="AD15" i="14"/>
  <c r="AN22" i="14"/>
  <c r="AI16" i="14"/>
  <c r="AI15" i="14"/>
  <c r="AN25" i="14"/>
  <c r="AI22" i="14"/>
  <c r="AN16" i="14"/>
  <c r="AI20" i="14"/>
  <c r="AI18" i="14"/>
  <c r="AD24" i="14"/>
  <c r="AD17" i="14"/>
  <c r="AG5" i="14"/>
  <c r="AB5" i="14"/>
  <c r="AI26" i="14"/>
  <c r="AN21" i="14"/>
  <c r="P19" i="14"/>
  <c r="AI25" i="14"/>
  <c r="AN15" i="14"/>
  <c r="O19" i="14"/>
  <c r="AD26" i="14"/>
  <c r="AI24" i="14"/>
  <c r="AN26" i="14"/>
  <c r="N19" i="14"/>
  <c r="AD25" i="14"/>
  <c r="AI23" i="14"/>
  <c r="AN20" i="14"/>
  <c r="AN14" i="14"/>
  <c r="AI21" i="14"/>
  <c r="AL4" i="14"/>
  <c r="AD21" i="14"/>
  <c r="AI19" i="14"/>
  <c r="AN19" i="14"/>
  <c r="F19" i="14"/>
  <c r="AD19" i="14"/>
  <c r="AI17" i="14"/>
  <c r="AN24" i="14"/>
  <c r="B19" i="14"/>
  <c r="AD18" i="14"/>
  <c r="AN18" i="14"/>
  <c r="AI14" i="14"/>
  <c r="AN23" i="14"/>
  <c r="AD14" i="14"/>
  <c r="AN17" i="14"/>
  <c r="K26" i="14"/>
  <c r="B26" i="14"/>
  <c r="F26" i="14"/>
  <c r="G26" i="14"/>
  <c r="H26" i="14"/>
  <c r="J26" i="14"/>
  <c r="R26" i="14"/>
  <c r="S26" i="14"/>
  <c r="T26" i="14"/>
  <c r="Y26" i="14"/>
  <c r="B20" i="14"/>
  <c r="Y19" i="14"/>
  <c r="Y15" i="14"/>
  <c r="F2" i="15"/>
  <c r="F4" i="15"/>
  <c r="C27" i="14"/>
  <c r="D27" i="14" s="1"/>
  <c r="F14" i="14"/>
  <c r="Y18" i="14"/>
  <c r="B14" i="14"/>
  <c r="Y17" i="14"/>
  <c r="Y16" i="14"/>
  <c r="Y14" i="14"/>
  <c r="N14" i="14"/>
  <c r="N22" i="14"/>
  <c r="O22" i="14"/>
  <c r="P22" i="14"/>
  <c r="R22" i="14"/>
  <c r="C29" i="14"/>
  <c r="S22" i="14"/>
  <c r="T22" i="14"/>
  <c r="B22" i="14"/>
  <c r="G22" i="14"/>
  <c r="H22" i="14"/>
  <c r="J22" i="14"/>
  <c r="K22" i="14"/>
  <c r="L22" i="14"/>
  <c r="B25" i="14"/>
  <c r="H25" i="14"/>
  <c r="J25" i="14"/>
  <c r="C32" i="14"/>
  <c r="K25" i="14"/>
  <c r="L25" i="14"/>
  <c r="N25" i="14"/>
  <c r="O25" i="14"/>
  <c r="P25" i="14"/>
  <c r="R25" i="14"/>
  <c r="S25" i="14"/>
  <c r="T25" i="14"/>
  <c r="L24" i="14"/>
  <c r="N24" i="14"/>
  <c r="O24" i="14"/>
  <c r="P24" i="14"/>
  <c r="R24" i="14"/>
  <c r="C31" i="14"/>
  <c r="S24" i="14"/>
  <c r="B24" i="14"/>
  <c r="F24" i="14"/>
  <c r="G24" i="14"/>
  <c r="H24" i="14"/>
  <c r="J24" i="14"/>
  <c r="K24" i="14"/>
  <c r="C30" i="14"/>
  <c r="D30" i="14" s="1"/>
  <c r="B23" i="14"/>
  <c r="F23" i="14"/>
  <c r="G23" i="14"/>
  <c r="H23" i="14"/>
  <c r="P23" i="14"/>
  <c r="R23" i="14"/>
  <c r="S23" i="14"/>
  <c r="J23" i="14"/>
  <c r="T23" i="14"/>
  <c r="C28" i="14"/>
  <c r="B21" i="14"/>
  <c r="F21" i="14"/>
  <c r="G21" i="14"/>
  <c r="H21" i="14"/>
  <c r="J21" i="14"/>
  <c r="K21" i="14"/>
  <c r="R21" i="14"/>
  <c r="L21" i="14"/>
  <c r="N21" i="14"/>
  <c r="O21" i="14"/>
  <c r="P21" i="14"/>
  <c r="G27" i="14"/>
  <c r="C33" i="14"/>
  <c r="J29" i="14"/>
  <c r="B27" i="14"/>
  <c r="O31" i="14"/>
  <c r="T27" i="14"/>
  <c r="S27" i="14"/>
  <c r="N32" i="14"/>
  <c r="J32" i="14"/>
  <c r="F32" i="14"/>
  <c r="H20" i="14"/>
  <c r="P26" i="14"/>
  <c r="G25" i="14"/>
  <c r="O23" i="14"/>
  <c r="F22" i="14"/>
  <c r="L27" i="14"/>
  <c r="G20" i="14"/>
  <c r="O26" i="14"/>
  <c r="F25" i="14"/>
  <c r="N23" i="14"/>
  <c r="K27" i="14"/>
  <c r="F20" i="14"/>
  <c r="N26" i="14"/>
  <c r="L23" i="14"/>
  <c r="T21" i="14"/>
  <c r="J27" i="14"/>
  <c r="R31" i="14"/>
  <c r="L26" i="14"/>
  <c r="T24" i="14"/>
  <c r="K23" i="14"/>
  <c r="S21" i="14"/>
  <c r="H27" i="14"/>
  <c r="I5" i="14"/>
  <c r="E6" i="14"/>
  <c r="E12" i="14"/>
  <c r="E5" i="14"/>
  <c r="Q13" i="14"/>
  <c r="E15" i="14"/>
  <c r="I6" i="14"/>
  <c r="I13" i="14"/>
  <c r="Q18" i="14"/>
  <c r="Q5" i="14"/>
  <c r="E13" i="14"/>
  <c r="M5" i="14"/>
  <c r="Q12" i="14"/>
  <c r="M12" i="14"/>
  <c r="Q6" i="14"/>
  <c r="I12" i="14"/>
  <c r="M6" i="14"/>
  <c r="M13" i="14"/>
  <c r="I15" i="14"/>
  <c r="Q16" i="14"/>
  <c r="M16" i="14"/>
  <c r="E16" i="14"/>
  <c r="M18" i="14"/>
  <c r="I18" i="14"/>
  <c r="Q15" i="14"/>
  <c r="E18" i="14"/>
  <c r="M15" i="14"/>
  <c r="I16" i="14"/>
  <c r="M4" i="14"/>
  <c r="AA4" i="14" s="1"/>
  <c r="I9" i="14"/>
  <c r="M8" i="14"/>
  <c r="Q4" i="14"/>
  <c r="AF4" i="14" s="1"/>
  <c r="I4" i="14"/>
  <c r="V4" i="14" s="1"/>
  <c r="M11" i="14"/>
  <c r="Q11" i="14"/>
  <c r="M10" i="14"/>
  <c r="Q9" i="14"/>
  <c r="I8" i="14"/>
  <c r="I11" i="14"/>
  <c r="Q10" i="14"/>
  <c r="I10" i="14"/>
  <c r="M9" i="14"/>
  <c r="Q8" i="14"/>
  <c r="M7" i="14"/>
  <c r="Q7" i="14"/>
  <c r="I7" i="14"/>
  <c r="E9" i="14"/>
  <c r="E8" i="14"/>
  <c r="E7" i="14"/>
  <c r="E11" i="14"/>
  <c r="E10" i="14"/>
  <c r="E4" i="14"/>
  <c r="A151" i="1"/>
  <c r="A110" i="1"/>
  <c r="A61" i="1"/>
  <c r="A170" i="1"/>
  <c r="A150" i="1"/>
  <c r="A130" i="1"/>
  <c r="A109" i="1"/>
  <c r="A85" i="1"/>
  <c r="A60" i="1"/>
  <c r="A169" i="1"/>
  <c r="A149" i="1"/>
  <c r="A129" i="1"/>
  <c r="A108" i="1"/>
  <c r="A84" i="1"/>
  <c r="A59" i="1"/>
  <c r="A171" i="1"/>
  <c r="A131" i="1"/>
  <c r="A86" i="1"/>
  <c r="A168" i="1"/>
  <c r="A148" i="1"/>
  <c r="A107" i="1"/>
  <c r="A83" i="1"/>
  <c r="A58" i="1"/>
  <c r="A167" i="1"/>
  <c r="A147" i="1"/>
  <c r="A127" i="1"/>
  <c r="A106" i="1"/>
  <c r="A82" i="1"/>
  <c r="A57" i="1"/>
  <c r="A128" i="1"/>
  <c r="A166" i="1"/>
  <c r="A146" i="1"/>
  <c r="A126" i="1"/>
  <c r="A105" i="1"/>
  <c r="A81" i="1"/>
  <c r="A56" i="1"/>
  <c r="A172" i="1"/>
  <c r="A62" i="1"/>
  <c r="A165" i="1"/>
  <c r="A145" i="1"/>
  <c r="A125" i="1"/>
  <c r="A104" i="1"/>
  <c r="A80" i="1"/>
  <c r="A39" i="1"/>
  <c r="A144" i="1"/>
  <c r="A103" i="1"/>
  <c r="A183" i="1"/>
  <c r="A143" i="1"/>
  <c r="A102" i="1"/>
  <c r="A37" i="1"/>
  <c r="A2" i="1"/>
  <c r="A164" i="1"/>
  <c r="A124" i="1"/>
  <c r="A79" i="1"/>
  <c r="A38" i="1"/>
  <c r="A163" i="1"/>
  <c r="A123" i="1"/>
  <c r="A78" i="1"/>
  <c r="A182" i="1"/>
  <c r="A162" i="1"/>
  <c r="A142" i="1"/>
  <c r="A122" i="1"/>
  <c r="A101" i="1"/>
  <c r="A77" i="1"/>
  <c r="A36" i="1"/>
  <c r="A100" i="1"/>
  <c r="A76" i="1"/>
  <c r="A35" i="1"/>
  <c r="A180" i="1"/>
  <c r="A160" i="1"/>
  <c r="A140" i="1"/>
  <c r="A120" i="1"/>
  <c r="A99" i="1"/>
  <c r="A75" i="1"/>
  <c r="A34" i="1"/>
  <c r="A89" i="1"/>
  <c r="A181" i="1"/>
  <c r="A119" i="1"/>
  <c r="A98" i="1"/>
  <c r="A74" i="1"/>
  <c r="A29" i="1"/>
  <c r="A132" i="1"/>
  <c r="A141" i="1"/>
  <c r="A178" i="1"/>
  <c r="A28" i="1"/>
  <c r="A152" i="1"/>
  <c r="A121" i="1"/>
  <c r="A158" i="1"/>
  <c r="A25" i="1"/>
  <c r="A112" i="1"/>
  <c r="A161" i="1"/>
  <c r="A97" i="1"/>
  <c r="A137" i="1"/>
  <c r="A176" i="1"/>
  <c r="A156" i="1"/>
  <c r="A136" i="1"/>
  <c r="A116" i="1"/>
  <c r="A95" i="1"/>
  <c r="A66" i="1"/>
  <c r="A24" i="1"/>
  <c r="A159" i="1"/>
  <c r="A138" i="1"/>
  <c r="A177" i="1"/>
  <c r="A69" i="1"/>
  <c r="A175" i="1"/>
  <c r="A155" i="1"/>
  <c r="A135" i="1"/>
  <c r="A115" i="1"/>
  <c r="A94" i="1"/>
  <c r="A65" i="1"/>
  <c r="A23" i="1"/>
  <c r="A139" i="1"/>
  <c r="A118" i="1"/>
  <c r="A157" i="1"/>
  <c r="A96" i="1"/>
  <c r="A174" i="1"/>
  <c r="A154" i="1"/>
  <c r="A134" i="1"/>
  <c r="A114" i="1"/>
  <c r="A93" i="1"/>
  <c r="A64" i="1"/>
  <c r="A18" i="1"/>
  <c r="A179" i="1"/>
  <c r="A70" i="1"/>
  <c r="A117" i="1"/>
  <c r="A173" i="1"/>
  <c r="A133" i="1"/>
  <c r="A113" i="1"/>
  <c r="A90" i="1"/>
  <c r="A19" i="1"/>
  <c r="A55" i="1"/>
  <c r="A17" i="1"/>
  <c r="A54" i="1"/>
  <c r="A16" i="1"/>
  <c r="A50" i="1"/>
  <c r="A15" i="1"/>
  <c r="A49" i="1"/>
  <c r="A14" i="1"/>
  <c r="A46" i="1"/>
  <c r="A13" i="1"/>
  <c r="A45" i="1"/>
  <c r="A9" i="1"/>
  <c r="A44" i="1"/>
  <c r="A8" i="1"/>
  <c r="A41" i="1"/>
  <c r="A73" i="1"/>
  <c r="A53" i="1"/>
  <c r="A33" i="1"/>
  <c r="A12" i="1"/>
  <c r="A92" i="1"/>
  <c r="A72" i="1"/>
  <c r="A52" i="1"/>
  <c r="A32" i="1"/>
  <c r="A11" i="1"/>
  <c r="A111" i="1"/>
  <c r="A91" i="1"/>
  <c r="A71" i="1"/>
  <c r="A51" i="1"/>
  <c r="A31" i="1"/>
  <c r="A10" i="1"/>
  <c r="A88" i="1"/>
  <c r="A68" i="1"/>
  <c r="A48" i="1"/>
  <c r="A27" i="1"/>
  <c r="A7" i="1"/>
  <c r="A87" i="1"/>
  <c r="A67" i="1"/>
  <c r="A47" i="1"/>
  <c r="A26" i="1"/>
  <c r="A6" i="1"/>
  <c r="A5" i="1"/>
  <c r="A4" i="1"/>
  <c r="A3" i="1"/>
  <c r="A43" i="1"/>
  <c r="A22" i="1"/>
  <c r="A42" i="1"/>
  <c r="A21" i="1"/>
  <c r="A20" i="1"/>
  <c r="A30" i="1"/>
  <c r="A40" i="1"/>
  <c r="G29" i="14" l="1"/>
  <c r="D29" i="14"/>
  <c r="H31" i="14"/>
  <c r="D31" i="14"/>
  <c r="R28" i="14"/>
  <c r="D28" i="14"/>
  <c r="G33" i="14"/>
  <c r="D33" i="14"/>
  <c r="R32" i="14"/>
  <c r="D32" i="14"/>
  <c r="T31" i="14"/>
  <c r="S31" i="14"/>
  <c r="A10" i="19"/>
  <c r="A182" i="14"/>
  <c r="F3" i="15"/>
  <c r="B5" i="15"/>
  <c r="B7" i="15" s="1"/>
  <c r="Q17" i="14"/>
  <c r="M17" i="14"/>
  <c r="Q20" i="14"/>
  <c r="Q14" i="14"/>
  <c r="I17" i="14"/>
  <c r="E14" i="14"/>
  <c r="I19" i="14"/>
  <c r="E17" i="14"/>
  <c r="I14" i="14"/>
  <c r="M14" i="14"/>
  <c r="I20" i="14"/>
  <c r="P31" i="14"/>
  <c r="I26" i="14"/>
  <c r="B32" i="14"/>
  <c r="G32" i="14"/>
  <c r="H32" i="14"/>
  <c r="J31" i="14"/>
  <c r="S32" i="14"/>
  <c r="E19" i="14"/>
  <c r="K32" i="14"/>
  <c r="P32" i="14"/>
  <c r="L32" i="14"/>
  <c r="O32" i="14"/>
  <c r="Q19" i="14"/>
  <c r="B29" i="14"/>
  <c r="F29" i="14"/>
  <c r="M20" i="14"/>
  <c r="F18" i="16"/>
  <c r="E18" i="16"/>
  <c r="D18" i="16"/>
  <c r="G18" i="16"/>
  <c r="M19" i="14"/>
  <c r="E22" i="14"/>
  <c r="E26" i="14"/>
  <c r="M22" i="14"/>
  <c r="I22" i="14"/>
  <c r="Q26" i="14"/>
  <c r="Q22" i="14"/>
  <c r="B31" i="14"/>
  <c r="F31" i="14"/>
  <c r="I25" i="14"/>
  <c r="G31" i="14"/>
  <c r="T29" i="14"/>
  <c r="S28" i="14"/>
  <c r="T28" i="14"/>
  <c r="P28" i="14"/>
  <c r="R33" i="14"/>
  <c r="M25" i="14"/>
  <c r="J33" i="14"/>
  <c r="Q24" i="14"/>
  <c r="M24" i="14"/>
  <c r="Y31" i="14"/>
  <c r="AI31" i="14"/>
  <c r="AN31" i="14"/>
  <c r="AD31" i="14"/>
  <c r="N31" i="14"/>
  <c r="Y28" i="14"/>
  <c r="AN28" i="14"/>
  <c r="AD28" i="14"/>
  <c r="AI28" i="14"/>
  <c r="AF5" i="14"/>
  <c r="AH5" i="14" s="1"/>
  <c r="AJ4" i="14"/>
  <c r="Y29" i="14"/>
  <c r="AN29" i="14"/>
  <c r="AD29" i="14"/>
  <c r="AI29" i="14"/>
  <c r="V5" i="14"/>
  <c r="V6" i="14" s="1"/>
  <c r="Z4" i="14"/>
  <c r="AK4" i="14"/>
  <c r="AO4" i="14" s="1"/>
  <c r="T33" i="14"/>
  <c r="AD33" i="14"/>
  <c r="AI33" i="14"/>
  <c r="AN33" i="14"/>
  <c r="AA5" i="14"/>
  <c r="AC5" i="14" s="1"/>
  <c r="AE4" i="14"/>
  <c r="AN30" i="14"/>
  <c r="AD30" i="14"/>
  <c r="AI30" i="14"/>
  <c r="AB6" i="14"/>
  <c r="C36" i="14"/>
  <c r="Y32" i="14"/>
  <c r="AI32" i="14"/>
  <c r="AN32" i="14"/>
  <c r="AD32" i="14"/>
  <c r="AC4" i="14"/>
  <c r="R29" i="14"/>
  <c r="AL5" i="14"/>
  <c r="AG6" i="14"/>
  <c r="S29" i="14"/>
  <c r="AD27" i="14"/>
  <c r="AN27" i="14"/>
  <c r="AI27" i="14"/>
  <c r="AH4" i="14"/>
  <c r="Q23" i="14"/>
  <c r="I24" i="14"/>
  <c r="Q25" i="14"/>
  <c r="E24" i="14"/>
  <c r="S33" i="14"/>
  <c r="C40" i="14"/>
  <c r="Y33" i="14"/>
  <c r="C37" i="14"/>
  <c r="D37" i="14" s="1"/>
  <c r="Y30" i="14"/>
  <c r="M21" i="14"/>
  <c r="N33" i="14"/>
  <c r="O33" i="14"/>
  <c r="P33" i="14"/>
  <c r="R27" i="14"/>
  <c r="Q27" i="14" s="1"/>
  <c r="Y27" i="14"/>
  <c r="F27" i="14"/>
  <c r="E27" i="14" s="1"/>
  <c r="N27" i="14"/>
  <c r="O27" i="14"/>
  <c r="P27" i="14"/>
  <c r="C34" i="14"/>
  <c r="D34" i="14" s="1"/>
  <c r="I21" i="14"/>
  <c r="E21" i="14"/>
  <c r="E23" i="14"/>
  <c r="X4" i="14"/>
  <c r="W6" i="14"/>
  <c r="C39" i="14"/>
  <c r="D39" i="14" s="1"/>
  <c r="T32" i="14"/>
  <c r="C38" i="14"/>
  <c r="K31" i="14"/>
  <c r="L31" i="14"/>
  <c r="K33" i="14"/>
  <c r="C35" i="14"/>
  <c r="D35" i="14" s="1"/>
  <c r="B28" i="14"/>
  <c r="F28" i="14"/>
  <c r="G28" i="14"/>
  <c r="H28" i="14"/>
  <c r="J28" i="14"/>
  <c r="K28" i="14"/>
  <c r="L28" i="14"/>
  <c r="N28" i="14"/>
  <c r="O28" i="14"/>
  <c r="H33" i="14"/>
  <c r="F33" i="14"/>
  <c r="L33" i="14"/>
  <c r="B33" i="14"/>
  <c r="P29" i="14"/>
  <c r="H29" i="14"/>
  <c r="K29" i="14"/>
  <c r="L29" i="14"/>
  <c r="N29" i="14"/>
  <c r="O29" i="14"/>
  <c r="E25" i="14"/>
  <c r="Q21" i="14"/>
  <c r="I23" i="14"/>
  <c r="I27" i="14"/>
  <c r="M23" i="14"/>
  <c r="M26" i="14"/>
  <c r="E20" i="14"/>
  <c r="H30" i="14"/>
  <c r="J30" i="14"/>
  <c r="K30" i="14"/>
  <c r="L30" i="14"/>
  <c r="N30" i="14"/>
  <c r="O30" i="14"/>
  <c r="P30" i="14"/>
  <c r="R30" i="14"/>
  <c r="S30" i="14"/>
  <c r="T30" i="14"/>
  <c r="B30" i="14"/>
  <c r="F30" i="14"/>
  <c r="G30" i="14"/>
  <c r="D5" i="15" l="1"/>
  <c r="F5" i="15"/>
  <c r="T38" i="14"/>
  <c r="D38" i="14"/>
  <c r="L40" i="14"/>
  <c r="D40" i="14"/>
  <c r="N36" i="14"/>
  <c r="D36" i="14"/>
  <c r="Q31" i="14"/>
  <c r="F40" i="14"/>
  <c r="A17" i="19"/>
  <c r="A189" i="14"/>
  <c r="G19" i="16"/>
  <c r="O40" i="14"/>
  <c r="G40" i="14"/>
  <c r="D19" i="16"/>
  <c r="Q32" i="14"/>
  <c r="E19" i="16"/>
  <c r="E29" i="14"/>
  <c r="E32" i="14"/>
  <c r="I32" i="14"/>
  <c r="N40" i="14"/>
  <c r="T40" i="14"/>
  <c r="M31" i="14"/>
  <c r="F19" i="16"/>
  <c r="M32" i="14"/>
  <c r="P40" i="14"/>
  <c r="S40" i="14"/>
  <c r="R40" i="14"/>
  <c r="C43" i="14"/>
  <c r="D43" i="14" s="1"/>
  <c r="G20" i="16"/>
  <c r="D20" i="16"/>
  <c r="E20" i="16"/>
  <c r="H18" i="16"/>
  <c r="Q28" i="14"/>
  <c r="E31" i="14"/>
  <c r="B40" i="14"/>
  <c r="P36" i="14"/>
  <c r="Q29" i="14"/>
  <c r="AL6" i="14"/>
  <c r="AM4" i="14"/>
  <c r="H40" i="14"/>
  <c r="J40" i="14"/>
  <c r="K40" i="14"/>
  <c r="R38" i="14"/>
  <c r="B38" i="14"/>
  <c r="X5" i="14"/>
  <c r="S38" i="14"/>
  <c r="Q33" i="14"/>
  <c r="AK5" i="14"/>
  <c r="AO5" i="14" s="1"/>
  <c r="Z5" i="14"/>
  <c r="P38" i="14"/>
  <c r="AD38" i="14"/>
  <c r="AI38" i="14"/>
  <c r="AN38" i="14"/>
  <c r="O36" i="14"/>
  <c r="AD39" i="14"/>
  <c r="AI39" i="14"/>
  <c r="AN39" i="14"/>
  <c r="L36" i="14"/>
  <c r="AD36" i="14"/>
  <c r="AI36" i="14"/>
  <c r="AN36" i="14"/>
  <c r="H36" i="14"/>
  <c r="K36" i="14"/>
  <c r="G36" i="14"/>
  <c r="F36" i="14"/>
  <c r="S36" i="14"/>
  <c r="B36" i="14"/>
  <c r="AD35" i="14"/>
  <c r="AN35" i="14"/>
  <c r="AI35" i="14"/>
  <c r="AB7" i="14"/>
  <c r="AJ5" i="14"/>
  <c r="AF6" i="14"/>
  <c r="AH6" i="14" s="1"/>
  <c r="V7" i="14"/>
  <c r="Z6" i="14"/>
  <c r="AD37" i="14"/>
  <c r="AI37" i="14"/>
  <c r="AN37" i="14"/>
  <c r="AN40" i="14"/>
  <c r="AD40" i="14"/>
  <c r="AI40" i="14"/>
  <c r="Y36" i="14"/>
  <c r="AN34" i="14"/>
  <c r="AD34" i="14"/>
  <c r="AI34" i="14"/>
  <c r="AD43" i="14"/>
  <c r="AN43" i="14"/>
  <c r="J36" i="14"/>
  <c r="AE5" i="14"/>
  <c r="AA6" i="14"/>
  <c r="T36" i="14"/>
  <c r="AG7" i="14"/>
  <c r="R36" i="14"/>
  <c r="M33" i="14"/>
  <c r="F38" i="14"/>
  <c r="G38" i="14"/>
  <c r="H38" i="14"/>
  <c r="J38" i="14"/>
  <c r="K38" i="14"/>
  <c r="N38" i="14"/>
  <c r="O38" i="14"/>
  <c r="L38" i="14"/>
  <c r="Y35" i="14"/>
  <c r="C42" i="14"/>
  <c r="D42" i="14" s="1"/>
  <c r="C44" i="14"/>
  <c r="D44" i="14" s="1"/>
  <c r="Y37" i="14"/>
  <c r="C47" i="14"/>
  <c r="D47" i="14" s="1"/>
  <c r="Y40" i="14"/>
  <c r="C45" i="14"/>
  <c r="D45" i="14" s="1"/>
  <c r="Y38" i="14"/>
  <c r="J34" i="14"/>
  <c r="H34" i="14"/>
  <c r="Y34" i="14"/>
  <c r="C41" i="14"/>
  <c r="D41" i="14" s="1"/>
  <c r="F34" i="14"/>
  <c r="O34" i="14"/>
  <c r="P34" i="14"/>
  <c r="L34" i="14"/>
  <c r="G34" i="14"/>
  <c r="R34" i="14"/>
  <c r="T34" i="14"/>
  <c r="K34" i="14"/>
  <c r="B34" i="14"/>
  <c r="S34" i="14"/>
  <c r="N34" i="14"/>
  <c r="K43" i="14"/>
  <c r="T43" i="14"/>
  <c r="S43" i="14"/>
  <c r="R43" i="14"/>
  <c r="P43" i="14"/>
  <c r="O43" i="14"/>
  <c r="N43" i="14"/>
  <c r="L43" i="14"/>
  <c r="F43" i="14"/>
  <c r="J43" i="14"/>
  <c r="Y43" i="14"/>
  <c r="G43" i="14"/>
  <c r="H43" i="14"/>
  <c r="C46" i="14"/>
  <c r="D46" i="14" s="1"/>
  <c r="Y39" i="14"/>
  <c r="M27" i="14"/>
  <c r="F20" i="16" s="1"/>
  <c r="I31" i="14"/>
  <c r="I29" i="14"/>
  <c r="I33" i="14"/>
  <c r="E33" i="14"/>
  <c r="X6" i="14"/>
  <c r="W7" i="14"/>
  <c r="M28" i="14"/>
  <c r="I28" i="14"/>
  <c r="E28" i="14"/>
  <c r="T35" i="14"/>
  <c r="S35" i="14"/>
  <c r="R35" i="14"/>
  <c r="P35" i="14"/>
  <c r="O35" i="14"/>
  <c r="K35" i="14"/>
  <c r="N35" i="14"/>
  <c r="L35" i="14"/>
  <c r="J35" i="14"/>
  <c r="H35" i="14"/>
  <c r="G35" i="14"/>
  <c r="F35" i="14"/>
  <c r="B35" i="14"/>
  <c r="M29" i="14"/>
  <c r="F39" i="14"/>
  <c r="B39" i="14"/>
  <c r="T39" i="14"/>
  <c r="S39" i="14"/>
  <c r="R39" i="14"/>
  <c r="P39" i="14"/>
  <c r="O39" i="14"/>
  <c r="N39" i="14"/>
  <c r="G39" i="14"/>
  <c r="L39" i="14"/>
  <c r="K39" i="14"/>
  <c r="J39" i="14"/>
  <c r="H39" i="14"/>
  <c r="I30" i="14"/>
  <c r="E30" i="14"/>
  <c r="M30" i="14"/>
  <c r="Q30" i="14"/>
  <c r="T37" i="14"/>
  <c r="S37" i="14"/>
  <c r="R37" i="14"/>
  <c r="P37" i="14"/>
  <c r="O37" i="14"/>
  <c r="N37" i="14"/>
  <c r="L37" i="14"/>
  <c r="K37" i="14"/>
  <c r="J37" i="14"/>
  <c r="H37" i="14"/>
  <c r="G37" i="14"/>
  <c r="F37" i="14"/>
  <c r="B37" i="14"/>
  <c r="C50" i="14" l="1"/>
  <c r="D50" i="14" s="1"/>
  <c r="B43" i="14"/>
  <c r="AI43" i="14"/>
  <c r="A24" i="19"/>
  <c r="A196" i="14"/>
  <c r="E40" i="14"/>
  <c r="H19" i="16"/>
  <c r="M40" i="14"/>
  <c r="Q40" i="14"/>
  <c r="Q38" i="14"/>
  <c r="I40" i="14"/>
  <c r="H20" i="16"/>
  <c r="M36" i="14"/>
  <c r="E38" i="14"/>
  <c r="AM5" i="14"/>
  <c r="AK6" i="14"/>
  <c r="AO6" i="14" s="1"/>
  <c r="I36" i="14"/>
  <c r="M38" i="14"/>
  <c r="AL7" i="14"/>
  <c r="I38" i="14"/>
  <c r="E36" i="14"/>
  <c r="Q36" i="14"/>
  <c r="AN47" i="14"/>
  <c r="AD47" i="14"/>
  <c r="AI47" i="14"/>
  <c r="AD45" i="14"/>
  <c r="AI45" i="14"/>
  <c r="AN45" i="14"/>
  <c r="AD44" i="14"/>
  <c r="AI44" i="14"/>
  <c r="AN44" i="14"/>
  <c r="AN42" i="14"/>
  <c r="AD42" i="14"/>
  <c r="AI42" i="14"/>
  <c r="AN46" i="14"/>
  <c r="AD46" i="14"/>
  <c r="AI46" i="14"/>
  <c r="AG8" i="14"/>
  <c r="AE6" i="14"/>
  <c r="AA7" i="14"/>
  <c r="AC7" i="14" s="1"/>
  <c r="V8" i="14"/>
  <c r="Z7" i="14"/>
  <c r="AJ6" i="14"/>
  <c r="AF7" i="14"/>
  <c r="AN50" i="14"/>
  <c r="AD50" i="14"/>
  <c r="AI50" i="14"/>
  <c r="AB8" i="14"/>
  <c r="AN41" i="14"/>
  <c r="AD41" i="14"/>
  <c r="AI41" i="14"/>
  <c r="AC6" i="14"/>
  <c r="E34" i="14"/>
  <c r="D21" i="16" s="1"/>
  <c r="M43" i="14"/>
  <c r="I43" i="14"/>
  <c r="Y46" i="14"/>
  <c r="C53" i="14"/>
  <c r="D53" i="14" s="1"/>
  <c r="T46" i="14"/>
  <c r="S46" i="14"/>
  <c r="R46" i="14"/>
  <c r="P46" i="14"/>
  <c r="O46" i="14"/>
  <c r="N46" i="14"/>
  <c r="L46" i="14"/>
  <c r="K46" i="14"/>
  <c r="J46" i="14"/>
  <c r="H46" i="14"/>
  <c r="G46" i="14"/>
  <c r="F46" i="14"/>
  <c r="B46" i="14"/>
  <c r="Q34" i="14"/>
  <c r="G21" i="16" s="1"/>
  <c r="E43" i="14"/>
  <c r="L50" i="14"/>
  <c r="C57" i="14"/>
  <c r="D57" i="14" s="1"/>
  <c r="T50" i="14"/>
  <c r="S50" i="14"/>
  <c r="R50" i="14"/>
  <c r="P50" i="14"/>
  <c r="O50" i="14"/>
  <c r="N50" i="14"/>
  <c r="B50" i="14"/>
  <c r="F50" i="14"/>
  <c r="J50" i="14"/>
  <c r="K50" i="14"/>
  <c r="G50" i="14"/>
  <c r="H50" i="14"/>
  <c r="Y50" i="14"/>
  <c r="C48" i="14"/>
  <c r="D48" i="14" s="1"/>
  <c r="Y41" i="14"/>
  <c r="N41" i="14"/>
  <c r="S41" i="14"/>
  <c r="L41" i="14"/>
  <c r="K41" i="14"/>
  <c r="J41" i="14"/>
  <c r="R41" i="14"/>
  <c r="H41" i="14"/>
  <c r="G41" i="14"/>
  <c r="P41" i="14"/>
  <c r="F41" i="14"/>
  <c r="O41" i="14"/>
  <c r="B41" i="14"/>
  <c r="T41" i="14"/>
  <c r="I34" i="14"/>
  <c r="E21" i="16" s="1"/>
  <c r="Q43" i="14"/>
  <c r="G45" i="14"/>
  <c r="C52" i="14"/>
  <c r="D52" i="14" s="1"/>
  <c r="T45" i="14"/>
  <c r="S45" i="14"/>
  <c r="R45" i="14"/>
  <c r="P45" i="14"/>
  <c r="O45" i="14"/>
  <c r="N45" i="14"/>
  <c r="L45" i="14"/>
  <c r="K45" i="14"/>
  <c r="J45" i="14"/>
  <c r="H45" i="14"/>
  <c r="B45" i="14"/>
  <c r="F45" i="14"/>
  <c r="Y45" i="14"/>
  <c r="Y47" i="14"/>
  <c r="N47" i="14"/>
  <c r="L47" i="14"/>
  <c r="K47" i="14"/>
  <c r="J47" i="14"/>
  <c r="H47" i="14"/>
  <c r="G47" i="14"/>
  <c r="F47" i="14"/>
  <c r="S47" i="14"/>
  <c r="C54" i="14"/>
  <c r="D54" i="14" s="1"/>
  <c r="R47" i="14"/>
  <c r="P47" i="14"/>
  <c r="O47" i="14"/>
  <c r="B47" i="14"/>
  <c r="T47" i="14"/>
  <c r="M34" i="14"/>
  <c r="F21" i="16" s="1"/>
  <c r="H44" i="14"/>
  <c r="K44" i="14"/>
  <c r="J44" i="14"/>
  <c r="B44" i="14"/>
  <c r="C51" i="14"/>
  <c r="D51" i="14" s="1"/>
  <c r="T44" i="14"/>
  <c r="S44" i="14"/>
  <c r="R44" i="14"/>
  <c r="P44" i="14"/>
  <c r="O44" i="14"/>
  <c r="N44" i="14"/>
  <c r="L44" i="14"/>
  <c r="Y44" i="14"/>
  <c r="F44" i="14"/>
  <c r="G44" i="14"/>
  <c r="L42" i="14"/>
  <c r="B42" i="14"/>
  <c r="C49" i="14"/>
  <c r="D49" i="14" s="1"/>
  <c r="T42" i="14"/>
  <c r="S42" i="14"/>
  <c r="R42" i="14"/>
  <c r="P42" i="14"/>
  <c r="O42" i="14"/>
  <c r="N42" i="14"/>
  <c r="F42" i="14"/>
  <c r="J42" i="14"/>
  <c r="Y42" i="14"/>
  <c r="K42" i="14"/>
  <c r="G42" i="14"/>
  <c r="H42" i="14"/>
  <c r="X7" i="14"/>
  <c r="W8" i="14"/>
  <c r="M39" i="14"/>
  <c r="E39" i="14"/>
  <c r="E35" i="14"/>
  <c r="I35" i="14"/>
  <c r="M35" i="14"/>
  <c r="I39" i="14"/>
  <c r="Q35" i="14"/>
  <c r="Q39" i="14"/>
  <c r="I37" i="14"/>
  <c r="M37" i="14"/>
  <c r="E37" i="14"/>
  <c r="Q37" i="14"/>
  <c r="A31" i="19" l="1"/>
  <c r="A203" i="14"/>
  <c r="AM6" i="14"/>
  <c r="H21" i="16"/>
  <c r="AL8" i="14"/>
  <c r="AB9" i="14"/>
  <c r="AD53" i="14"/>
  <c r="AI53" i="14"/>
  <c r="AN53" i="14"/>
  <c r="AN57" i="14"/>
  <c r="AD57" i="14"/>
  <c r="AI57" i="14"/>
  <c r="AN49" i="14"/>
  <c r="AD49" i="14"/>
  <c r="AI49" i="14"/>
  <c r="AJ7" i="14"/>
  <c r="AF8" i="14"/>
  <c r="AH8" i="14" s="1"/>
  <c r="AN51" i="14"/>
  <c r="AI51" i="14"/>
  <c r="AD51" i="14"/>
  <c r="AK7" i="14"/>
  <c r="AI52" i="14"/>
  <c r="AN52" i="14"/>
  <c r="AD52" i="14"/>
  <c r="V9" i="14"/>
  <c r="Z8" i="14"/>
  <c r="AD54" i="14"/>
  <c r="AI54" i="14"/>
  <c r="AN54" i="14"/>
  <c r="AN48" i="14"/>
  <c r="AD48" i="14"/>
  <c r="AI48" i="14"/>
  <c r="AE7" i="14"/>
  <c r="AA8" i="14"/>
  <c r="AG9" i="14"/>
  <c r="AH7" i="14"/>
  <c r="Q45" i="14"/>
  <c r="I44" i="14"/>
  <c r="I45" i="14"/>
  <c r="E44" i="14"/>
  <c r="E47" i="14"/>
  <c r="M46" i="14"/>
  <c r="Q42" i="14"/>
  <c r="Q41" i="14"/>
  <c r="G22" i="16" s="1"/>
  <c r="Q47" i="14"/>
  <c r="I41" i="14"/>
  <c r="E22" i="16" s="1"/>
  <c r="K57" i="14"/>
  <c r="S57" i="14"/>
  <c r="R57" i="14"/>
  <c r="P57" i="14"/>
  <c r="O57" i="14"/>
  <c r="N57" i="14"/>
  <c r="B57" i="14"/>
  <c r="C64" i="14"/>
  <c r="D64" i="14" s="1"/>
  <c r="T57" i="14"/>
  <c r="J57" i="14"/>
  <c r="L57" i="14"/>
  <c r="Y57" i="14"/>
  <c r="G57" i="14"/>
  <c r="F57" i="14"/>
  <c r="H57" i="14"/>
  <c r="M45" i="14"/>
  <c r="M41" i="14"/>
  <c r="F22" i="16" s="1"/>
  <c r="Y54" i="14"/>
  <c r="C61" i="14"/>
  <c r="D61" i="14" s="1"/>
  <c r="T54" i="14"/>
  <c r="S54" i="14"/>
  <c r="R54" i="14"/>
  <c r="P54" i="14"/>
  <c r="O54" i="14"/>
  <c r="N54" i="14"/>
  <c r="L54" i="14"/>
  <c r="K54" i="14"/>
  <c r="J54" i="14"/>
  <c r="H54" i="14"/>
  <c r="G54" i="14"/>
  <c r="F54" i="14"/>
  <c r="B54" i="14"/>
  <c r="E46" i="14"/>
  <c r="Y48" i="14"/>
  <c r="C55" i="14"/>
  <c r="D55" i="14" s="1"/>
  <c r="P48" i="14"/>
  <c r="O48" i="14"/>
  <c r="N48" i="14"/>
  <c r="L48" i="14"/>
  <c r="K48" i="14"/>
  <c r="J48" i="14"/>
  <c r="H48" i="14"/>
  <c r="G48" i="14"/>
  <c r="F48" i="14"/>
  <c r="T48" i="14"/>
  <c r="B48" i="14"/>
  <c r="R48" i="14"/>
  <c r="S48" i="14"/>
  <c r="M44" i="14"/>
  <c r="H52" i="14"/>
  <c r="B52" i="14"/>
  <c r="C59" i="14"/>
  <c r="D59" i="14" s="1"/>
  <c r="Y52" i="14"/>
  <c r="T52" i="14"/>
  <c r="S52" i="14"/>
  <c r="R52" i="14"/>
  <c r="P52" i="14"/>
  <c r="O52" i="14"/>
  <c r="N52" i="14"/>
  <c r="L52" i="14"/>
  <c r="K52" i="14"/>
  <c r="J52" i="14"/>
  <c r="F52" i="14"/>
  <c r="G52" i="14"/>
  <c r="I46" i="14"/>
  <c r="I47" i="14"/>
  <c r="O49" i="14"/>
  <c r="S49" i="14"/>
  <c r="R49" i="14"/>
  <c r="P49" i="14"/>
  <c r="B49" i="14"/>
  <c r="C56" i="14"/>
  <c r="D56" i="14" s="1"/>
  <c r="T49" i="14"/>
  <c r="G49" i="14"/>
  <c r="N49" i="14"/>
  <c r="Y49" i="14"/>
  <c r="H49" i="14"/>
  <c r="L49" i="14"/>
  <c r="J49" i="14"/>
  <c r="F49" i="14"/>
  <c r="K49" i="14"/>
  <c r="Q44" i="14"/>
  <c r="I50" i="14"/>
  <c r="E50" i="14"/>
  <c r="E45" i="14"/>
  <c r="I42" i="14"/>
  <c r="M47" i="14"/>
  <c r="E42" i="14"/>
  <c r="K51" i="14"/>
  <c r="T51" i="14"/>
  <c r="S51" i="14"/>
  <c r="R51" i="14"/>
  <c r="P51" i="14"/>
  <c r="O51" i="14"/>
  <c r="N51" i="14"/>
  <c r="L51" i="14"/>
  <c r="B51" i="14"/>
  <c r="C58" i="14"/>
  <c r="D58" i="14" s="1"/>
  <c r="J51" i="14"/>
  <c r="Y51" i="14"/>
  <c r="G51" i="14"/>
  <c r="H51" i="14"/>
  <c r="F51" i="14"/>
  <c r="M50" i="14"/>
  <c r="Q46" i="14"/>
  <c r="M42" i="14"/>
  <c r="E41" i="14"/>
  <c r="D22" i="16" s="1"/>
  <c r="Q50" i="14"/>
  <c r="G53" i="14"/>
  <c r="R53" i="14"/>
  <c r="P53" i="14"/>
  <c r="O53" i="14"/>
  <c r="N53" i="14"/>
  <c r="L53" i="14"/>
  <c r="K53" i="14"/>
  <c r="J53" i="14"/>
  <c r="H53" i="14"/>
  <c r="B53" i="14"/>
  <c r="C60" i="14"/>
  <c r="D60" i="14" s="1"/>
  <c r="T53" i="14"/>
  <c r="S53" i="14"/>
  <c r="F53" i="14"/>
  <c r="Y53" i="14"/>
  <c r="X8" i="14"/>
  <c r="W9" i="14"/>
  <c r="A38" i="19" l="1"/>
  <c r="A210" i="14"/>
  <c r="H22" i="16"/>
  <c r="AL9" i="14"/>
  <c r="AO7" i="14"/>
  <c r="AM7" i="14"/>
  <c r="I48" i="14"/>
  <c r="E23" i="16" s="1"/>
  <c r="AG10" i="14"/>
  <c r="AD61" i="14"/>
  <c r="AI61" i="14"/>
  <c r="AN61" i="14"/>
  <c r="AE8" i="14"/>
  <c r="AA9" i="14"/>
  <c r="AC9" i="14" s="1"/>
  <c r="AJ8" i="14"/>
  <c r="AF9" i="14"/>
  <c r="AD55" i="14"/>
  <c r="AI55" i="14"/>
  <c r="AN55" i="14"/>
  <c r="AD60" i="14"/>
  <c r="AI60" i="14"/>
  <c r="AN60" i="14"/>
  <c r="M53" i="14"/>
  <c r="AD56" i="14"/>
  <c r="AI56" i="14"/>
  <c r="AN56" i="14"/>
  <c r="AD59" i="14"/>
  <c r="AN59" i="14"/>
  <c r="AI59" i="14"/>
  <c r="AN58" i="14"/>
  <c r="AD58" i="14"/>
  <c r="AI58" i="14"/>
  <c r="AN64" i="14"/>
  <c r="AD64" i="14"/>
  <c r="AI64" i="14"/>
  <c r="V10" i="14"/>
  <c r="Z9" i="14"/>
  <c r="AK8" i="14"/>
  <c r="AB10" i="14"/>
  <c r="AC8" i="14"/>
  <c r="Q54" i="14"/>
  <c r="M49" i="14"/>
  <c r="E54" i="14"/>
  <c r="M57" i="14"/>
  <c r="E52" i="14"/>
  <c r="E49" i="14"/>
  <c r="M51" i="14"/>
  <c r="E53" i="14"/>
  <c r="M48" i="14"/>
  <c r="F23" i="16" s="1"/>
  <c r="Q52" i="14"/>
  <c r="I52" i="14"/>
  <c r="E57" i="14"/>
  <c r="I53" i="14"/>
  <c r="Q51" i="14"/>
  <c r="O56" i="14"/>
  <c r="T56" i="14"/>
  <c r="S56" i="14"/>
  <c r="R56" i="14"/>
  <c r="P56" i="14"/>
  <c r="B56" i="14"/>
  <c r="C63" i="14"/>
  <c r="D63" i="14" s="1"/>
  <c r="K56" i="14"/>
  <c r="G56" i="14"/>
  <c r="H56" i="14"/>
  <c r="L56" i="14"/>
  <c r="N56" i="14"/>
  <c r="Y56" i="14"/>
  <c r="F56" i="14"/>
  <c r="J56" i="14"/>
  <c r="G59" i="14"/>
  <c r="S59" i="14"/>
  <c r="R59" i="14"/>
  <c r="P59" i="14"/>
  <c r="O59" i="14"/>
  <c r="N59" i="14"/>
  <c r="L59" i="14"/>
  <c r="K59" i="14"/>
  <c r="J59" i="14"/>
  <c r="B59" i="14"/>
  <c r="C66" i="14"/>
  <c r="D66" i="14" s="1"/>
  <c r="T59" i="14"/>
  <c r="Y59" i="14"/>
  <c r="F59" i="14"/>
  <c r="H59" i="14"/>
  <c r="I57" i="14"/>
  <c r="Y55" i="14"/>
  <c r="J55" i="14"/>
  <c r="H55" i="14"/>
  <c r="G55" i="14"/>
  <c r="F55" i="14"/>
  <c r="C62" i="14"/>
  <c r="D62" i="14" s="1"/>
  <c r="S55" i="14"/>
  <c r="R55" i="14"/>
  <c r="P55" i="14"/>
  <c r="O55" i="14"/>
  <c r="N55" i="14"/>
  <c r="L55" i="14"/>
  <c r="K55" i="14"/>
  <c r="B55" i="14"/>
  <c r="T55" i="14"/>
  <c r="Q53" i="14"/>
  <c r="Q49" i="14"/>
  <c r="I54" i="14"/>
  <c r="J64" i="14"/>
  <c r="T64" i="14"/>
  <c r="S64" i="14"/>
  <c r="R64" i="14"/>
  <c r="P64" i="14"/>
  <c r="O64" i="14"/>
  <c r="N64" i="14"/>
  <c r="B64" i="14"/>
  <c r="C71" i="14"/>
  <c r="D71" i="14" s="1"/>
  <c r="K64" i="14"/>
  <c r="L64" i="14"/>
  <c r="Y64" i="14"/>
  <c r="F64" i="14"/>
  <c r="G64" i="14"/>
  <c r="H64" i="14"/>
  <c r="Q48" i="14"/>
  <c r="G23" i="16" s="1"/>
  <c r="G60" i="14"/>
  <c r="C67" i="14"/>
  <c r="D67" i="14" s="1"/>
  <c r="T60" i="14"/>
  <c r="S60" i="14"/>
  <c r="R60" i="14"/>
  <c r="P60" i="14"/>
  <c r="O60" i="14"/>
  <c r="N60" i="14"/>
  <c r="L60" i="14"/>
  <c r="K60" i="14"/>
  <c r="J60" i="14"/>
  <c r="H60" i="14"/>
  <c r="B60" i="14"/>
  <c r="Y60" i="14"/>
  <c r="F60" i="14"/>
  <c r="K58" i="14"/>
  <c r="C65" i="14"/>
  <c r="D65" i="14" s="1"/>
  <c r="T58" i="14"/>
  <c r="S58" i="14"/>
  <c r="R58" i="14"/>
  <c r="P58" i="14"/>
  <c r="O58" i="14"/>
  <c r="N58" i="14"/>
  <c r="L58" i="14"/>
  <c r="B58" i="14"/>
  <c r="G58" i="14"/>
  <c r="Y58" i="14"/>
  <c r="H58" i="14"/>
  <c r="J58" i="14"/>
  <c r="F58" i="14"/>
  <c r="M54" i="14"/>
  <c r="I51" i="14"/>
  <c r="E48" i="14"/>
  <c r="D23" i="16" s="1"/>
  <c r="E51" i="14"/>
  <c r="Q57" i="14"/>
  <c r="I49" i="14"/>
  <c r="M52" i="14"/>
  <c r="Y61" i="14"/>
  <c r="K61" i="14"/>
  <c r="J61" i="14"/>
  <c r="H61" i="14"/>
  <c r="G61" i="14"/>
  <c r="F61" i="14"/>
  <c r="B61" i="14"/>
  <c r="C68" i="14"/>
  <c r="D68" i="14" s="1"/>
  <c r="T61" i="14"/>
  <c r="S61" i="14"/>
  <c r="R61" i="14"/>
  <c r="P61" i="14"/>
  <c r="O61" i="14"/>
  <c r="N61" i="14"/>
  <c r="L61" i="14"/>
  <c r="X9" i="14"/>
  <c r="W10" i="14"/>
  <c r="A45" i="19" l="1"/>
  <c r="A217" i="14"/>
  <c r="H23" i="16"/>
  <c r="AK9" i="14"/>
  <c r="AO9" i="14" s="1"/>
  <c r="AL10" i="14"/>
  <c r="Q61" i="14"/>
  <c r="I61" i="14"/>
  <c r="AM8" i="14"/>
  <c r="AO8" i="14"/>
  <c r="Q64" i="14"/>
  <c r="V11" i="14"/>
  <c r="Z10" i="14"/>
  <c r="M58" i="14"/>
  <c r="AD67" i="14"/>
  <c r="AN67" i="14"/>
  <c r="AI67" i="14"/>
  <c r="AN63" i="14"/>
  <c r="AD63" i="14"/>
  <c r="AI63" i="14"/>
  <c r="AN66" i="14"/>
  <c r="AD66" i="14"/>
  <c r="AI66" i="14"/>
  <c r="AJ9" i="14"/>
  <c r="AF10" i="14"/>
  <c r="AH10" i="14" s="1"/>
  <c r="Q56" i="14"/>
  <c r="AA10" i="14"/>
  <c r="AC10" i="14" s="1"/>
  <c r="AE9" i="14"/>
  <c r="AN68" i="14"/>
  <c r="AD68" i="14"/>
  <c r="AI68" i="14"/>
  <c r="M55" i="14"/>
  <c r="F24" i="16" s="1"/>
  <c r="M59" i="14"/>
  <c r="AN65" i="14"/>
  <c r="AD65" i="14"/>
  <c r="AI65" i="14"/>
  <c r="AG11" i="14"/>
  <c r="AI71" i="14"/>
  <c r="AN71" i="14"/>
  <c r="AD71" i="14"/>
  <c r="AH9" i="14"/>
  <c r="AD62" i="14"/>
  <c r="AI62" i="14"/>
  <c r="AN62" i="14"/>
  <c r="AB11" i="14"/>
  <c r="I59" i="14"/>
  <c r="E59" i="14"/>
  <c r="Q58" i="14"/>
  <c r="Q55" i="14"/>
  <c r="G24" i="16" s="1"/>
  <c r="E61" i="14"/>
  <c r="E60" i="14"/>
  <c r="I64" i="14"/>
  <c r="Q59" i="14"/>
  <c r="E64" i="14"/>
  <c r="M61" i="14"/>
  <c r="I60" i="14"/>
  <c r="E58" i="14"/>
  <c r="M64" i="14"/>
  <c r="E55" i="14"/>
  <c r="D24" i="16" s="1"/>
  <c r="I58" i="14"/>
  <c r="I56" i="14"/>
  <c r="M60" i="14"/>
  <c r="E56" i="14"/>
  <c r="I55" i="14"/>
  <c r="E24" i="16" s="1"/>
  <c r="M56" i="14"/>
  <c r="Q60" i="14"/>
  <c r="Y68" i="14"/>
  <c r="S68" i="14"/>
  <c r="R68" i="14"/>
  <c r="P68" i="14"/>
  <c r="O68" i="14"/>
  <c r="C75" i="14"/>
  <c r="D75" i="14" s="1"/>
  <c r="N68" i="14"/>
  <c r="L68" i="14"/>
  <c r="K68" i="14"/>
  <c r="J68" i="14"/>
  <c r="H68" i="14"/>
  <c r="G68" i="14"/>
  <c r="F68" i="14"/>
  <c r="B68" i="14"/>
  <c r="T68" i="14"/>
  <c r="K65" i="14"/>
  <c r="P65" i="14"/>
  <c r="O65" i="14"/>
  <c r="N65" i="14"/>
  <c r="L65" i="14"/>
  <c r="B65" i="14"/>
  <c r="C72" i="14"/>
  <c r="D72" i="14" s="1"/>
  <c r="T65" i="14"/>
  <c r="S65" i="14"/>
  <c r="R65" i="14"/>
  <c r="G65" i="14"/>
  <c r="H65" i="14"/>
  <c r="J65" i="14"/>
  <c r="Y65" i="14"/>
  <c r="F65" i="14"/>
  <c r="G67" i="14"/>
  <c r="K67" i="14"/>
  <c r="J67" i="14"/>
  <c r="H67" i="14"/>
  <c r="B67" i="14"/>
  <c r="T67" i="14"/>
  <c r="S67" i="14"/>
  <c r="C74" i="14"/>
  <c r="D74" i="14" s="1"/>
  <c r="R67" i="14"/>
  <c r="P67" i="14"/>
  <c r="O67" i="14"/>
  <c r="N67" i="14"/>
  <c r="L67" i="14"/>
  <c r="Y67" i="14"/>
  <c r="F67" i="14"/>
  <c r="N71" i="14"/>
  <c r="B71" i="14"/>
  <c r="C78" i="14"/>
  <c r="D78" i="14" s="1"/>
  <c r="T71" i="14"/>
  <c r="S71" i="14"/>
  <c r="R71" i="14"/>
  <c r="P71" i="14"/>
  <c r="O71" i="14"/>
  <c r="F71" i="14"/>
  <c r="J71" i="14"/>
  <c r="H71" i="14"/>
  <c r="L71" i="14"/>
  <c r="Y71" i="14"/>
  <c r="K71" i="14"/>
  <c r="G71" i="14"/>
  <c r="Y62" i="14"/>
  <c r="T62" i="14"/>
  <c r="S62" i="14"/>
  <c r="R62" i="14"/>
  <c r="P62" i="14"/>
  <c r="O62" i="14"/>
  <c r="N62" i="14"/>
  <c r="L62" i="14"/>
  <c r="K62" i="14"/>
  <c r="J62" i="14"/>
  <c r="H62" i="14"/>
  <c r="G62" i="14"/>
  <c r="F62" i="14"/>
  <c r="C69" i="14"/>
  <c r="D69" i="14" s="1"/>
  <c r="B62" i="14"/>
  <c r="F66" i="14"/>
  <c r="C73" i="14"/>
  <c r="D73" i="14" s="1"/>
  <c r="Y66" i="14"/>
  <c r="T66" i="14"/>
  <c r="S66" i="14"/>
  <c r="R66" i="14"/>
  <c r="P66" i="14"/>
  <c r="O66" i="14"/>
  <c r="N66" i="14"/>
  <c r="L66" i="14"/>
  <c r="K66" i="14"/>
  <c r="J66" i="14"/>
  <c r="B66" i="14"/>
  <c r="G66" i="14"/>
  <c r="H66" i="14"/>
  <c r="O63" i="14"/>
  <c r="C70" i="14"/>
  <c r="D70" i="14" s="1"/>
  <c r="T63" i="14"/>
  <c r="S63" i="14"/>
  <c r="R63" i="14"/>
  <c r="P63" i="14"/>
  <c r="B63" i="14"/>
  <c r="K63" i="14"/>
  <c r="L63" i="14"/>
  <c r="N63" i="14"/>
  <c r="Y63" i="14"/>
  <c r="F63" i="14"/>
  <c r="G63" i="14"/>
  <c r="H63" i="14"/>
  <c r="J63" i="14"/>
  <c r="X10" i="14"/>
  <c r="W11" i="14"/>
  <c r="A52" i="19" l="1"/>
  <c r="A224" i="14"/>
  <c r="H24" i="16"/>
  <c r="AM9" i="14"/>
  <c r="I65" i="14"/>
  <c r="AL11" i="14"/>
  <c r="I62" i="14"/>
  <c r="E25" i="16" s="1"/>
  <c r="AJ10" i="14"/>
  <c r="AF11" i="14"/>
  <c r="AH11" i="14" s="1"/>
  <c r="AD75" i="14"/>
  <c r="AN75" i="14"/>
  <c r="AI75" i="14"/>
  <c r="AI72" i="14"/>
  <c r="AN72" i="14"/>
  <c r="AD72" i="14"/>
  <c r="AG12" i="14"/>
  <c r="AD78" i="14"/>
  <c r="AI78" i="14"/>
  <c r="AN78" i="14"/>
  <c r="AN74" i="14"/>
  <c r="AD74" i="14"/>
  <c r="AI74" i="14"/>
  <c r="AD73" i="14"/>
  <c r="AI73" i="14"/>
  <c r="AN73" i="14"/>
  <c r="AN69" i="14"/>
  <c r="AD69" i="14"/>
  <c r="AI69" i="14"/>
  <c r="V12" i="14"/>
  <c r="Z11" i="14"/>
  <c r="AB12" i="14"/>
  <c r="AK10" i="14"/>
  <c r="AN70" i="14"/>
  <c r="AD70" i="14"/>
  <c r="AI70" i="14"/>
  <c r="AE10" i="14"/>
  <c r="AA11" i="14"/>
  <c r="M63" i="14"/>
  <c r="E62" i="14"/>
  <c r="D25" i="16" s="1"/>
  <c r="M68" i="14"/>
  <c r="E67" i="14"/>
  <c r="I63" i="14"/>
  <c r="Q65" i="14"/>
  <c r="M67" i="14"/>
  <c r="Q63" i="14"/>
  <c r="I71" i="14"/>
  <c r="E71" i="14"/>
  <c r="I67" i="14"/>
  <c r="E68" i="14"/>
  <c r="Q71" i="14"/>
  <c r="E65" i="14"/>
  <c r="I68" i="14"/>
  <c r="E66" i="14"/>
  <c r="I66" i="14"/>
  <c r="M62" i="14"/>
  <c r="F25" i="16" s="1"/>
  <c r="M71" i="14"/>
  <c r="M66" i="14"/>
  <c r="Q62" i="14"/>
  <c r="G25" i="16" s="1"/>
  <c r="Q68" i="14"/>
  <c r="E63" i="14"/>
  <c r="Q66" i="14"/>
  <c r="Q67" i="14"/>
  <c r="M65" i="14"/>
  <c r="P70" i="14"/>
  <c r="T70" i="14"/>
  <c r="S70" i="14"/>
  <c r="R70" i="14"/>
  <c r="B70" i="14"/>
  <c r="C77" i="14"/>
  <c r="D77" i="14" s="1"/>
  <c r="G70" i="14"/>
  <c r="O70" i="14"/>
  <c r="H70" i="14"/>
  <c r="L70" i="14"/>
  <c r="J70" i="14"/>
  <c r="K70" i="14"/>
  <c r="F70" i="14"/>
  <c r="Y70" i="14"/>
  <c r="N70" i="14"/>
  <c r="J73" i="14"/>
  <c r="P73" i="14"/>
  <c r="O73" i="14"/>
  <c r="N73" i="14"/>
  <c r="L73" i="14"/>
  <c r="K73" i="14"/>
  <c r="C80" i="14"/>
  <c r="D80" i="14" s="1"/>
  <c r="T73" i="14"/>
  <c r="S73" i="14"/>
  <c r="R73" i="14"/>
  <c r="F73" i="14"/>
  <c r="Y73" i="14"/>
  <c r="G73" i="14"/>
  <c r="B73" i="14"/>
  <c r="H73" i="14"/>
  <c r="Y69" i="14"/>
  <c r="T69" i="14"/>
  <c r="S69" i="14"/>
  <c r="R69" i="14"/>
  <c r="P69" i="14"/>
  <c r="O69" i="14"/>
  <c r="N69" i="14"/>
  <c r="C76" i="14"/>
  <c r="D76" i="14" s="1"/>
  <c r="L69" i="14"/>
  <c r="K69" i="14"/>
  <c r="J69" i="14"/>
  <c r="H69" i="14"/>
  <c r="G69" i="14"/>
  <c r="F69" i="14"/>
  <c r="B69" i="14"/>
  <c r="K78" i="14"/>
  <c r="T78" i="14"/>
  <c r="S78" i="14"/>
  <c r="R78" i="14"/>
  <c r="P78" i="14"/>
  <c r="O78" i="14"/>
  <c r="N78" i="14"/>
  <c r="L78" i="14"/>
  <c r="B78" i="14"/>
  <c r="C85" i="14"/>
  <c r="D85" i="14" s="1"/>
  <c r="F78" i="14"/>
  <c r="J78" i="14"/>
  <c r="Y78" i="14"/>
  <c r="G78" i="14"/>
  <c r="H78" i="14"/>
  <c r="H74" i="14"/>
  <c r="T74" i="14"/>
  <c r="S74" i="14"/>
  <c r="R74" i="14"/>
  <c r="P74" i="14"/>
  <c r="O74" i="14"/>
  <c r="N74" i="14"/>
  <c r="L74" i="14"/>
  <c r="K74" i="14"/>
  <c r="J74" i="14"/>
  <c r="B74" i="14"/>
  <c r="C81" i="14"/>
  <c r="D81" i="14" s="1"/>
  <c r="G74" i="14"/>
  <c r="Y74" i="14"/>
  <c r="F74" i="14"/>
  <c r="L72" i="14"/>
  <c r="C79" i="14"/>
  <c r="D79" i="14" s="1"/>
  <c r="T72" i="14"/>
  <c r="S72" i="14"/>
  <c r="R72" i="14"/>
  <c r="P72" i="14"/>
  <c r="O72" i="14"/>
  <c r="N72" i="14"/>
  <c r="B72" i="14"/>
  <c r="K72" i="14"/>
  <c r="Y72" i="14"/>
  <c r="H72" i="14"/>
  <c r="F72" i="14"/>
  <c r="G72" i="14"/>
  <c r="J72" i="14"/>
  <c r="F75" i="14"/>
  <c r="K75" i="14"/>
  <c r="J75" i="14"/>
  <c r="H75" i="14"/>
  <c r="G75" i="14"/>
  <c r="C82" i="14"/>
  <c r="D82" i="14" s="1"/>
  <c r="B75" i="14"/>
  <c r="T75" i="14"/>
  <c r="R75" i="14"/>
  <c r="P75" i="14"/>
  <c r="O75" i="14"/>
  <c r="N75" i="14"/>
  <c r="L75" i="14"/>
  <c r="S75" i="14"/>
  <c r="Y75" i="14"/>
  <c r="W12" i="14"/>
  <c r="X11" i="14"/>
  <c r="A59" i="19" l="1"/>
  <c r="A231" i="14"/>
  <c r="AK11" i="14"/>
  <c r="AO11" i="14" s="1"/>
  <c r="H25" i="16"/>
  <c r="AL12" i="14"/>
  <c r="AD77" i="14"/>
  <c r="AI77" i="14"/>
  <c r="AN77" i="14"/>
  <c r="AE11" i="14"/>
  <c r="AA12" i="14"/>
  <c r="AC12" i="14" s="1"/>
  <c r="AN80" i="14"/>
  <c r="AD80" i="14"/>
  <c r="AI80" i="14"/>
  <c r="AM10" i="14"/>
  <c r="AO10" i="14"/>
  <c r="AD76" i="14"/>
  <c r="AI76" i="14"/>
  <c r="AN76" i="14"/>
  <c r="AB13" i="14"/>
  <c r="AG13" i="14"/>
  <c r="AD79" i="14"/>
  <c r="AI79" i="14"/>
  <c r="AN79" i="14"/>
  <c r="AC11" i="14"/>
  <c r="AD85" i="14"/>
  <c r="AI85" i="14"/>
  <c r="AN85" i="14"/>
  <c r="V13" i="14"/>
  <c r="Z12" i="14"/>
  <c r="AN82" i="14"/>
  <c r="AD82" i="14"/>
  <c r="AI82" i="14"/>
  <c r="AN81" i="14"/>
  <c r="AD81" i="14"/>
  <c r="AI81" i="14"/>
  <c r="AJ11" i="14"/>
  <c r="AF12" i="14"/>
  <c r="E70" i="14"/>
  <c r="M78" i="14"/>
  <c r="E72" i="14"/>
  <c r="M75" i="14"/>
  <c r="Q69" i="14"/>
  <c r="G26" i="16" s="1"/>
  <c r="M74" i="14"/>
  <c r="Q75" i="14"/>
  <c r="Q74" i="14"/>
  <c r="E69" i="14"/>
  <c r="D26" i="16" s="1"/>
  <c r="Q70" i="14"/>
  <c r="M72" i="14"/>
  <c r="M73" i="14"/>
  <c r="M69" i="14"/>
  <c r="F26" i="16" s="1"/>
  <c r="I73" i="14"/>
  <c r="M70" i="14"/>
  <c r="I69" i="14"/>
  <c r="E26" i="16" s="1"/>
  <c r="E78" i="14"/>
  <c r="E75" i="14"/>
  <c r="I70" i="14"/>
  <c r="Q72" i="14"/>
  <c r="I74" i="14"/>
  <c r="I75" i="14"/>
  <c r="Q78" i="14"/>
  <c r="I78" i="14"/>
  <c r="I72" i="14"/>
  <c r="E73" i="14"/>
  <c r="E74" i="14"/>
  <c r="Q73" i="14"/>
  <c r="Y82" i="14"/>
  <c r="K82" i="14"/>
  <c r="J82" i="14"/>
  <c r="H82" i="14"/>
  <c r="G82" i="14"/>
  <c r="F82" i="14"/>
  <c r="S82" i="14"/>
  <c r="R82" i="14"/>
  <c r="P82" i="14"/>
  <c r="C89" i="14"/>
  <c r="D89" i="14" s="1"/>
  <c r="O82" i="14"/>
  <c r="N82" i="14"/>
  <c r="L82" i="14"/>
  <c r="T82" i="14"/>
  <c r="B82" i="14"/>
  <c r="H79" i="14"/>
  <c r="J79" i="14"/>
  <c r="B79" i="14"/>
  <c r="C86" i="14"/>
  <c r="D86" i="14" s="1"/>
  <c r="T79" i="14"/>
  <c r="S79" i="14"/>
  <c r="R79" i="14"/>
  <c r="P79" i="14"/>
  <c r="O79" i="14"/>
  <c r="N79" i="14"/>
  <c r="L79" i="14"/>
  <c r="K79" i="14"/>
  <c r="F79" i="14"/>
  <c r="Y79" i="14"/>
  <c r="G79" i="14"/>
  <c r="Y81" i="14"/>
  <c r="T81" i="14"/>
  <c r="S81" i="14"/>
  <c r="C88" i="14"/>
  <c r="D88" i="14" s="1"/>
  <c r="R81" i="14"/>
  <c r="P81" i="14"/>
  <c r="O81" i="14"/>
  <c r="N81" i="14"/>
  <c r="L81" i="14"/>
  <c r="K81" i="14"/>
  <c r="J81" i="14"/>
  <c r="H81" i="14"/>
  <c r="G81" i="14"/>
  <c r="F81" i="14"/>
  <c r="B81" i="14"/>
  <c r="G85" i="14"/>
  <c r="C92" i="14"/>
  <c r="D92" i="14" s="1"/>
  <c r="T85" i="14"/>
  <c r="S85" i="14"/>
  <c r="R85" i="14"/>
  <c r="P85" i="14"/>
  <c r="O85" i="14"/>
  <c r="N85" i="14"/>
  <c r="B85" i="14"/>
  <c r="K85" i="14"/>
  <c r="F85" i="14"/>
  <c r="Y85" i="14"/>
  <c r="L85" i="14"/>
  <c r="H85" i="14"/>
  <c r="J85" i="14"/>
  <c r="Y76" i="14"/>
  <c r="T76" i="14"/>
  <c r="S76" i="14"/>
  <c r="R76" i="14"/>
  <c r="P76" i="14"/>
  <c r="O76" i="14"/>
  <c r="N76" i="14"/>
  <c r="L76" i="14"/>
  <c r="K76" i="14"/>
  <c r="J76" i="14"/>
  <c r="H76" i="14"/>
  <c r="G76" i="14"/>
  <c r="F76" i="14"/>
  <c r="C83" i="14"/>
  <c r="D83" i="14" s="1"/>
  <c r="B76" i="14"/>
  <c r="G80" i="14"/>
  <c r="T80" i="14"/>
  <c r="S80" i="14"/>
  <c r="R80" i="14"/>
  <c r="P80" i="14"/>
  <c r="O80" i="14"/>
  <c r="N80" i="14"/>
  <c r="L80" i="14"/>
  <c r="K80" i="14"/>
  <c r="J80" i="14"/>
  <c r="H80" i="14"/>
  <c r="B80" i="14"/>
  <c r="C87" i="14"/>
  <c r="D87" i="14" s="1"/>
  <c r="Y80" i="14"/>
  <c r="F80" i="14"/>
  <c r="L77" i="14"/>
  <c r="C84" i="14"/>
  <c r="D84" i="14" s="1"/>
  <c r="T77" i="14"/>
  <c r="S77" i="14"/>
  <c r="R77" i="14"/>
  <c r="P77" i="14"/>
  <c r="O77" i="14"/>
  <c r="N77" i="14"/>
  <c r="B77" i="14"/>
  <c r="Y77" i="14"/>
  <c r="K77" i="14"/>
  <c r="G77" i="14"/>
  <c r="H77" i="14"/>
  <c r="F77" i="14"/>
  <c r="J77" i="14"/>
  <c r="X12" i="14"/>
  <c r="W13" i="14"/>
  <c r="A66" i="19" l="1"/>
  <c r="A238" i="14"/>
  <c r="AM11" i="14"/>
  <c r="H26" i="16"/>
  <c r="AL13" i="14"/>
  <c r="E77" i="14"/>
  <c r="E82" i="14"/>
  <c r="AG14" i="14"/>
  <c r="AJ12" i="14"/>
  <c r="AF13" i="14"/>
  <c r="AH12" i="14"/>
  <c r="AB14" i="14"/>
  <c r="Q79" i="14"/>
  <c r="AN86" i="14"/>
  <c r="AD86" i="14"/>
  <c r="AI86" i="14"/>
  <c r="Q77" i="14"/>
  <c r="AD83" i="14"/>
  <c r="AN83" i="14"/>
  <c r="AI83" i="14"/>
  <c r="AN88" i="14"/>
  <c r="AD88" i="14"/>
  <c r="AI88" i="14"/>
  <c r="Z13" i="14"/>
  <c r="V14" i="14"/>
  <c r="AK12" i="14"/>
  <c r="AD84" i="14"/>
  <c r="AI84" i="14"/>
  <c r="AN84" i="14"/>
  <c r="AN87" i="14"/>
  <c r="AD87" i="14"/>
  <c r="AI87" i="14"/>
  <c r="AN89" i="14"/>
  <c r="AD89" i="14"/>
  <c r="AI89" i="14"/>
  <c r="AE12" i="14"/>
  <c r="AA13" i="14"/>
  <c r="AI92" i="14"/>
  <c r="AN92" i="14"/>
  <c r="AD92" i="14"/>
  <c r="I85" i="14"/>
  <c r="E76" i="14"/>
  <c r="D27" i="16" s="1"/>
  <c r="I79" i="14"/>
  <c r="E85" i="14"/>
  <c r="Q82" i="14"/>
  <c r="M85" i="14"/>
  <c r="M81" i="14"/>
  <c r="Q81" i="14"/>
  <c r="M82" i="14"/>
  <c r="I76" i="14"/>
  <c r="E27" i="16" s="1"/>
  <c r="Q85" i="14"/>
  <c r="M80" i="14"/>
  <c r="E80" i="14"/>
  <c r="E79" i="14"/>
  <c r="M76" i="14"/>
  <c r="F27" i="16" s="1"/>
  <c r="M77" i="14"/>
  <c r="I77" i="14"/>
  <c r="I80" i="14"/>
  <c r="M79" i="14"/>
  <c r="Q76" i="14"/>
  <c r="G27" i="16" s="1"/>
  <c r="E81" i="14"/>
  <c r="I82" i="14"/>
  <c r="I81" i="14"/>
  <c r="Q80" i="14"/>
  <c r="O84" i="14"/>
  <c r="P84" i="14"/>
  <c r="B84" i="14"/>
  <c r="C91" i="14"/>
  <c r="D91" i="14" s="1"/>
  <c r="T84" i="14"/>
  <c r="S84" i="14"/>
  <c r="R84" i="14"/>
  <c r="G84" i="14"/>
  <c r="H84" i="14"/>
  <c r="F84" i="14"/>
  <c r="K84" i="14"/>
  <c r="N84" i="14"/>
  <c r="Y84" i="14"/>
  <c r="J84" i="14"/>
  <c r="L84" i="14"/>
  <c r="H87" i="14"/>
  <c r="C94" i="14"/>
  <c r="D94" i="14" s="1"/>
  <c r="T87" i="14"/>
  <c r="S87" i="14"/>
  <c r="R87" i="14"/>
  <c r="P87" i="14"/>
  <c r="O87" i="14"/>
  <c r="N87" i="14"/>
  <c r="L87" i="14"/>
  <c r="K87" i="14"/>
  <c r="J87" i="14"/>
  <c r="B87" i="14"/>
  <c r="Y87" i="14"/>
  <c r="G87" i="14"/>
  <c r="F87" i="14"/>
  <c r="Y83" i="14"/>
  <c r="P83" i="14"/>
  <c r="C90" i="14"/>
  <c r="D90" i="14" s="1"/>
  <c r="O83" i="14"/>
  <c r="N83" i="14"/>
  <c r="L83" i="14"/>
  <c r="K83" i="14"/>
  <c r="J83" i="14"/>
  <c r="H83" i="14"/>
  <c r="G83" i="14"/>
  <c r="F83" i="14"/>
  <c r="R83" i="14"/>
  <c r="S83" i="14"/>
  <c r="T83" i="14"/>
  <c r="B83" i="14"/>
  <c r="L92" i="14"/>
  <c r="S92" i="14"/>
  <c r="R92" i="14"/>
  <c r="P92" i="14"/>
  <c r="O92" i="14"/>
  <c r="N92" i="14"/>
  <c r="B92" i="14"/>
  <c r="C99" i="14"/>
  <c r="D99" i="14" s="1"/>
  <c r="T92" i="14"/>
  <c r="Y92" i="14"/>
  <c r="G92" i="14"/>
  <c r="H92" i="14"/>
  <c r="K92" i="14"/>
  <c r="F92" i="14"/>
  <c r="J92" i="14"/>
  <c r="G88" i="14"/>
  <c r="R88" i="14"/>
  <c r="P88" i="14"/>
  <c r="O88" i="14"/>
  <c r="N88" i="14"/>
  <c r="L88" i="14"/>
  <c r="K88" i="14"/>
  <c r="J88" i="14"/>
  <c r="H88" i="14"/>
  <c r="C95" i="14"/>
  <c r="D95" i="14" s="1"/>
  <c r="T88" i="14"/>
  <c r="S88" i="14"/>
  <c r="B88" i="14"/>
  <c r="F88" i="14"/>
  <c r="Y88" i="14"/>
  <c r="K86" i="14"/>
  <c r="T86" i="14"/>
  <c r="S86" i="14"/>
  <c r="R86" i="14"/>
  <c r="P86" i="14"/>
  <c r="O86" i="14"/>
  <c r="N86" i="14"/>
  <c r="L86" i="14"/>
  <c r="B86" i="14"/>
  <c r="C93" i="14"/>
  <c r="D93" i="14" s="1"/>
  <c r="Y86" i="14"/>
  <c r="G86" i="14"/>
  <c r="J86" i="14"/>
  <c r="F86" i="14"/>
  <c r="H86" i="14"/>
  <c r="Y89" i="14"/>
  <c r="T89" i="14"/>
  <c r="C96" i="14"/>
  <c r="D96" i="14" s="1"/>
  <c r="S89" i="14"/>
  <c r="R89" i="14"/>
  <c r="P89" i="14"/>
  <c r="O89" i="14"/>
  <c r="N89" i="14"/>
  <c r="L89" i="14"/>
  <c r="K89" i="14"/>
  <c r="J89" i="14"/>
  <c r="H89" i="14"/>
  <c r="G89" i="14"/>
  <c r="F89" i="14"/>
  <c r="B89" i="14"/>
  <c r="X13" i="14"/>
  <c r="W14" i="14"/>
  <c r="A73" i="19" l="1"/>
  <c r="A245" i="14"/>
  <c r="H27" i="16"/>
  <c r="AL14" i="14"/>
  <c r="E86" i="14"/>
  <c r="AN91" i="14"/>
  <c r="AI91" i="14"/>
  <c r="AD91" i="14"/>
  <c r="AA14" i="14"/>
  <c r="AC14" i="14" s="1"/>
  <c r="AE13" i="14"/>
  <c r="AD93" i="14"/>
  <c r="AI93" i="14"/>
  <c r="AN93" i="14"/>
  <c r="Q83" i="14"/>
  <c r="G28" i="16" s="1"/>
  <c r="AD94" i="14"/>
  <c r="AI94" i="14"/>
  <c r="AN94" i="14"/>
  <c r="AD96" i="14"/>
  <c r="AI96" i="14"/>
  <c r="AN96" i="14"/>
  <c r="AD99" i="14"/>
  <c r="AN99" i="14"/>
  <c r="AI99" i="14"/>
  <c r="AN90" i="14"/>
  <c r="AD90" i="14"/>
  <c r="AI90" i="14"/>
  <c r="AC13" i="14"/>
  <c r="AB15" i="14"/>
  <c r="AM12" i="14"/>
  <c r="AO12" i="14"/>
  <c r="Z14" i="14"/>
  <c r="V15" i="14"/>
  <c r="AJ13" i="14"/>
  <c r="AF14" i="14"/>
  <c r="AH14" i="14" s="1"/>
  <c r="AK13" i="14"/>
  <c r="AG15" i="14"/>
  <c r="AD95" i="14"/>
  <c r="AI95" i="14"/>
  <c r="AN95" i="14"/>
  <c r="AH13" i="14"/>
  <c r="M89" i="14"/>
  <c r="Q88" i="14"/>
  <c r="E83" i="14"/>
  <c r="D28" i="16" s="1"/>
  <c r="Q87" i="14"/>
  <c r="Q89" i="14"/>
  <c r="M83" i="14"/>
  <c r="F28" i="16" s="1"/>
  <c r="E89" i="14"/>
  <c r="I92" i="14"/>
  <c r="Q86" i="14"/>
  <c r="E92" i="14"/>
  <c r="I83" i="14"/>
  <c r="E28" i="16" s="1"/>
  <c r="I84" i="14"/>
  <c r="E88" i="14"/>
  <c r="I89" i="14"/>
  <c r="M84" i="14"/>
  <c r="M92" i="14"/>
  <c r="E87" i="14"/>
  <c r="E84" i="14"/>
  <c r="I86" i="14"/>
  <c r="I88" i="14"/>
  <c r="Q92" i="14"/>
  <c r="M86" i="14"/>
  <c r="Q84" i="14"/>
  <c r="I87" i="14"/>
  <c r="M88" i="14"/>
  <c r="M87" i="14"/>
  <c r="Y96" i="14"/>
  <c r="L96" i="14"/>
  <c r="K96" i="14"/>
  <c r="J96" i="14"/>
  <c r="H96" i="14"/>
  <c r="G96" i="14"/>
  <c r="F96" i="14"/>
  <c r="T96" i="14"/>
  <c r="S96" i="14"/>
  <c r="R96" i="14"/>
  <c r="P96" i="14"/>
  <c r="C103" i="14"/>
  <c r="D103" i="14" s="1"/>
  <c r="O96" i="14"/>
  <c r="N96" i="14"/>
  <c r="B96" i="14"/>
  <c r="K93" i="14"/>
  <c r="C100" i="14"/>
  <c r="D100" i="14" s="1"/>
  <c r="T93" i="14"/>
  <c r="S93" i="14"/>
  <c r="R93" i="14"/>
  <c r="P93" i="14"/>
  <c r="O93" i="14"/>
  <c r="N93" i="14"/>
  <c r="L93" i="14"/>
  <c r="B93" i="14"/>
  <c r="G93" i="14"/>
  <c r="H93" i="14"/>
  <c r="F93" i="14"/>
  <c r="Y93" i="14"/>
  <c r="J93" i="14"/>
  <c r="G95" i="14"/>
  <c r="T95" i="14"/>
  <c r="C102" i="14"/>
  <c r="D102" i="14" s="1"/>
  <c r="S95" i="14"/>
  <c r="R95" i="14"/>
  <c r="P95" i="14"/>
  <c r="O95" i="14"/>
  <c r="N95" i="14"/>
  <c r="L95" i="14"/>
  <c r="K95" i="14"/>
  <c r="J95" i="14"/>
  <c r="H95" i="14"/>
  <c r="B95" i="14"/>
  <c r="Y95" i="14"/>
  <c r="F95" i="14"/>
  <c r="N99" i="14"/>
  <c r="C106" i="14"/>
  <c r="D106" i="14" s="1"/>
  <c r="T99" i="14"/>
  <c r="S99" i="14"/>
  <c r="R99" i="14"/>
  <c r="P99" i="14"/>
  <c r="O99" i="14"/>
  <c r="B99" i="14"/>
  <c r="L99" i="14"/>
  <c r="F99" i="14"/>
  <c r="J99" i="14"/>
  <c r="K99" i="14"/>
  <c r="H99" i="14"/>
  <c r="Y99" i="14"/>
  <c r="G99" i="14"/>
  <c r="Y90" i="14"/>
  <c r="H90" i="14"/>
  <c r="G90" i="14"/>
  <c r="F90" i="14"/>
  <c r="C97" i="14"/>
  <c r="D97" i="14" s="1"/>
  <c r="R90" i="14"/>
  <c r="P90" i="14"/>
  <c r="O90" i="14"/>
  <c r="N90" i="14"/>
  <c r="L90" i="14"/>
  <c r="K90" i="14"/>
  <c r="J90" i="14"/>
  <c r="S90" i="14"/>
  <c r="B90" i="14"/>
  <c r="T90" i="14"/>
  <c r="F94" i="14"/>
  <c r="S94" i="14"/>
  <c r="R94" i="14"/>
  <c r="P94" i="14"/>
  <c r="O94" i="14"/>
  <c r="N94" i="14"/>
  <c r="L94" i="14"/>
  <c r="K94" i="14"/>
  <c r="J94" i="14"/>
  <c r="B94" i="14"/>
  <c r="C101" i="14"/>
  <c r="D101" i="14" s="1"/>
  <c r="T94" i="14"/>
  <c r="Y94" i="14"/>
  <c r="G94" i="14"/>
  <c r="H94" i="14"/>
  <c r="O91" i="14"/>
  <c r="T91" i="14"/>
  <c r="S91" i="14"/>
  <c r="R91" i="14"/>
  <c r="P91" i="14"/>
  <c r="B91" i="14"/>
  <c r="C98" i="14"/>
  <c r="D98" i="14" s="1"/>
  <c r="Y91" i="14"/>
  <c r="G91" i="14"/>
  <c r="F91" i="14"/>
  <c r="K91" i="14"/>
  <c r="J91" i="14"/>
  <c r="H91" i="14"/>
  <c r="L91" i="14"/>
  <c r="N91" i="14"/>
  <c r="W15" i="14"/>
  <c r="X14" i="14"/>
  <c r="A80" i="19" l="1"/>
  <c r="A252" i="14"/>
  <c r="H28" i="16"/>
  <c r="AL15" i="14"/>
  <c r="AG16" i="14"/>
  <c r="AO13" i="14"/>
  <c r="AM13" i="14"/>
  <c r="AJ14" i="14"/>
  <c r="AF15" i="14"/>
  <c r="AD100" i="14"/>
  <c r="AI100" i="14"/>
  <c r="AN100" i="14"/>
  <c r="V16" i="14"/>
  <c r="Z15" i="14"/>
  <c r="AK14" i="14"/>
  <c r="AD102" i="14"/>
  <c r="AI102" i="14"/>
  <c r="AN102" i="14"/>
  <c r="AN103" i="14"/>
  <c r="AD103" i="14"/>
  <c r="AI103" i="14"/>
  <c r="AB16" i="14"/>
  <c r="AN98" i="14"/>
  <c r="AD98" i="14"/>
  <c r="AI98" i="14"/>
  <c r="AE14" i="14"/>
  <c r="AA15" i="14"/>
  <c r="AN106" i="14"/>
  <c r="AD106" i="14"/>
  <c r="AI106" i="14"/>
  <c r="AD101" i="14"/>
  <c r="AI101" i="14"/>
  <c r="AN101" i="14"/>
  <c r="AN97" i="14"/>
  <c r="AD97" i="14"/>
  <c r="AI97" i="14"/>
  <c r="Q90" i="14"/>
  <c r="G29" i="16" s="1"/>
  <c r="Q99" i="14"/>
  <c r="I91" i="14"/>
  <c r="I93" i="14"/>
  <c r="M90" i="14"/>
  <c r="F29" i="16" s="1"/>
  <c r="E91" i="14"/>
  <c r="M95" i="14"/>
  <c r="Q94" i="14"/>
  <c r="I99" i="14"/>
  <c r="E99" i="14"/>
  <c r="Q95" i="14"/>
  <c r="M96" i="14"/>
  <c r="I90" i="14"/>
  <c r="E29" i="16" s="1"/>
  <c r="Q96" i="14"/>
  <c r="E93" i="14"/>
  <c r="E96" i="14"/>
  <c r="M99" i="14"/>
  <c r="E94" i="14"/>
  <c r="M91" i="14"/>
  <c r="E95" i="14"/>
  <c r="I94" i="14"/>
  <c r="E90" i="14"/>
  <c r="D29" i="16" s="1"/>
  <c r="I96" i="14"/>
  <c r="Q91" i="14"/>
  <c r="M93" i="14"/>
  <c r="M94" i="14"/>
  <c r="I95" i="14"/>
  <c r="Q93" i="14"/>
  <c r="P98" i="14"/>
  <c r="C105" i="14"/>
  <c r="D105" i="14" s="1"/>
  <c r="T98" i="14"/>
  <c r="S98" i="14"/>
  <c r="R98" i="14"/>
  <c r="B98" i="14"/>
  <c r="N98" i="14"/>
  <c r="H98" i="14"/>
  <c r="Y98" i="14"/>
  <c r="G98" i="14"/>
  <c r="K98" i="14"/>
  <c r="J98" i="14"/>
  <c r="O98" i="14"/>
  <c r="F98" i="14"/>
  <c r="L98" i="14"/>
  <c r="J101" i="14"/>
  <c r="T101" i="14"/>
  <c r="S101" i="14"/>
  <c r="C108" i="14"/>
  <c r="D108" i="14" s="1"/>
  <c r="R101" i="14"/>
  <c r="P101" i="14"/>
  <c r="O101" i="14"/>
  <c r="N101" i="14"/>
  <c r="L101" i="14"/>
  <c r="K101" i="14"/>
  <c r="B101" i="14"/>
  <c r="H101" i="14"/>
  <c r="G101" i="14"/>
  <c r="Y101" i="14"/>
  <c r="F101" i="14"/>
  <c r="Y97" i="14"/>
  <c r="T97" i="14"/>
  <c r="S97" i="14"/>
  <c r="R97" i="14"/>
  <c r="P97" i="14"/>
  <c r="O97" i="14"/>
  <c r="N97" i="14"/>
  <c r="C104" i="14"/>
  <c r="D104" i="14" s="1"/>
  <c r="L97" i="14"/>
  <c r="K97" i="14"/>
  <c r="J97" i="14"/>
  <c r="H97" i="14"/>
  <c r="G97" i="14"/>
  <c r="F97" i="14"/>
  <c r="B97" i="14"/>
  <c r="N106" i="14"/>
  <c r="C113" i="14"/>
  <c r="D113" i="14" s="1"/>
  <c r="T106" i="14"/>
  <c r="S106" i="14"/>
  <c r="R106" i="14"/>
  <c r="P106" i="14"/>
  <c r="O106" i="14"/>
  <c r="B106" i="14"/>
  <c r="J106" i="14"/>
  <c r="L106" i="14"/>
  <c r="G106" i="14"/>
  <c r="H106" i="14"/>
  <c r="K106" i="14"/>
  <c r="F106" i="14"/>
  <c r="Y106" i="14"/>
  <c r="H102" i="14"/>
  <c r="S102" i="14"/>
  <c r="R102" i="14"/>
  <c r="C109" i="14"/>
  <c r="D109" i="14" s="1"/>
  <c r="P102" i="14"/>
  <c r="O102" i="14"/>
  <c r="N102" i="14"/>
  <c r="L102" i="14"/>
  <c r="K102" i="14"/>
  <c r="J102" i="14"/>
  <c r="B102" i="14"/>
  <c r="T102" i="14"/>
  <c r="Y102" i="14"/>
  <c r="F102" i="14"/>
  <c r="G102" i="14"/>
  <c r="L100" i="14"/>
  <c r="C107" i="14"/>
  <c r="D107" i="14" s="1"/>
  <c r="T100" i="14"/>
  <c r="S100" i="14"/>
  <c r="R100" i="14"/>
  <c r="P100" i="14"/>
  <c r="O100" i="14"/>
  <c r="N100" i="14"/>
  <c r="B100" i="14"/>
  <c r="J100" i="14"/>
  <c r="Y100" i="14"/>
  <c r="G100" i="14"/>
  <c r="F100" i="14"/>
  <c r="K100" i="14"/>
  <c r="H100" i="14"/>
  <c r="F103" i="14"/>
  <c r="T103" i="14"/>
  <c r="S103" i="14"/>
  <c r="R103" i="14"/>
  <c r="P103" i="14"/>
  <c r="C110" i="14"/>
  <c r="D110" i="14" s="1"/>
  <c r="O103" i="14"/>
  <c r="N103" i="14"/>
  <c r="L103" i="14"/>
  <c r="K103" i="14"/>
  <c r="J103" i="14"/>
  <c r="H103" i="14"/>
  <c r="G103" i="14"/>
  <c r="Y103" i="14"/>
  <c r="B103" i="14"/>
  <c r="X15" i="14"/>
  <c r="W16" i="14"/>
  <c r="A87" i="19" l="1"/>
  <c r="A259" i="14"/>
  <c r="H29" i="16"/>
  <c r="AL16" i="14"/>
  <c r="AK15" i="14"/>
  <c r="AM15" i="14" s="1"/>
  <c r="AN105" i="14"/>
  <c r="AD105" i="14"/>
  <c r="AI105" i="14"/>
  <c r="I97" i="14"/>
  <c r="E30" i="16" s="1"/>
  <c r="AN108" i="14"/>
  <c r="AD108" i="14"/>
  <c r="AI108" i="14"/>
  <c r="AN104" i="14"/>
  <c r="AD104" i="14"/>
  <c r="AI104" i="14"/>
  <c r="AM14" i="14"/>
  <c r="AO14" i="14"/>
  <c r="V17" i="14"/>
  <c r="Z16" i="14"/>
  <c r="I98" i="14"/>
  <c r="AE15" i="14"/>
  <c r="AA16" i="14"/>
  <c r="AC16" i="14" s="1"/>
  <c r="Q106" i="14"/>
  <c r="AJ15" i="14"/>
  <c r="AF16" i="14"/>
  <c r="AD113" i="14"/>
  <c r="AI113" i="14"/>
  <c r="AN113" i="14"/>
  <c r="AD107" i="14"/>
  <c r="AN107" i="14"/>
  <c r="AI107" i="14"/>
  <c r="AN110" i="14"/>
  <c r="AD110" i="14"/>
  <c r="AI110" i="14"/>
  <c r="AB17" i="14"/>
  <c r="AC15" i="14"/>
  <c r="AH15" i="14"/>
  <c r="AN109" i="14"/>
  <c r="AD109" i="14"/>
  <c r="AI109" i="14"/>
  <c r="AG17" i="14"/>
  <c r="Q97" i="14"/>
  <c r="G30" i="16" s="1"/>
  <c r="E101" i="14"/>
  <c r="I102" i="14"/>
  <c r="I100" i="14"/>
  <c r="Q98" i="14"/>
  <c r="I106" i="14"/>
  <c r="I103" i="14"/>
  <c r="M97" i="14"/>
  <c r="F30" i="16" s="1"/>
  <c r="I101" i="14"/>
  <c r="M103" i="14"/>
  <c r="E98" i="14"/>
  <c r="Q103" i="14"/>
  <c r="E103" i="14"/>
  <c r="M98" i="14"/>
  <c r="E100" i="14"/>
  <c r="M102" i="14"/>
  <c r="M106" i="14"/>
  <c r="E102" i="14"/>
  <c r="E97" i="14"/>
  <c r="D30" i="16" s="1"/>
  <c r="M100" i="14"/>
  <c r="Q102" i="14"/>
  <c r="M101" i="14"/>
  <c r="Q100" i="14"/>
  <c r="Q101" i="14"/>
  <c r="E106" i="14"/>
  <c r="F110" i="14"/>
  <c r="T110" i="14"/>
  <c r="S110" i="14"/>
  <c r="R110" i="14"/>
  <c r="P110" i="14"/>
  <c r="C117" i="14"/>
  <c r="D117" i="14" s="1"/>
  <c r="O110" i="14"/>
  <c r="N110" i="14"/>
  <c r="L110" i="14"/>
  <c r="K110" i="14"/>
  <c r="J110" i="14"/>
  <c r="H110" i="14"/>
  <c r="G110" i="14"/>
  <c r="B110" i="14"/>
  <c r="Y110" i="14"/>
  <c r="L107" i="14"/>
  <c r="B107" i="14"/>
  <c r="C114" i="14"/>
  <c r="D114" i="14" s="1"/>
  <c r="T107" i="14"/>
  <c r="S107" i="14"/>
  <c r="R107" i="14"/>
  <c r="P107" i="14"/>
  <c r="O107" i="14"/>
  <c r="N107" i="14"/>
  <c r="H107" i="14"/>
  <c r="K107" i="14"/>
  <c r="J107" i="14"/>
  <c r="F107" i="14"/>
  <c r="G107" i="14"/>
  <c r="Y107" i="14"/>
  <c r="H109" i="14"/>
  <c r="J109" i="14"/>
  <c r="F109" i="14"/>
  <c r="B109" i="14"/>
  <c r="T109" i="14"/>
  <c r="S109" i="14"/>
  <c r="R109" i="14"/>
  <c r="C116" i="14"/>
  <c r="D116" i="14" s="1"/>
  <c r="P109" i="14"/>
  <c r="O109" i="14"/>
  <c r="N109" i="14"/>
  <c r="L109" i="14"/>
  <c r="K109" i="14"/>
  <c r="Y109" i="14"/>
  <c r="G109" i="14"/>
  <c r="N113" i="14"/>
  <c r="O113" i="14"/>
  <c r="B113" i="14"/>
  <c r="C120" i="14"/>
  <c r="D120" i="14" s="1"/>
  <c r="Y113" i="14"/>
  <c r="T113" i="14"/>
  <c r="S113" i="14"/>
  <c r="R113" i="14"/>
  <c r="P113" i="14"/>
  <c r="H113" i="14"/>
  <c r="F113" i="14"/>
  <c r="J113" i="14"/>
  <c r="L113" i="14"/>
  <c r="G113" i="14"/>
  <c r="K113" i="14"/>
  <c r="Y104" i="14"/>
  <c r="L104" i="14"/>
  <c r="K104" i="14"/>
  <c r="J104" i="14"/>
  <c r="H104" i="14"/>
  <c r="G104" i="14"/>
  <c r="F104" i="14"/>
  <c r="T104" i="14"/>
  <c r="S104" i="14"/>
  <c r="R104" i="14"/>
  <c r="P104" i="14"/>
  <c r="O104" i="14"/>
  <c r="C111" i="14"/>
  <c r="D111" i="14" s="1"/>
  <c r="N104" i="14"/>
  <c r="B104" i="14"/>
  <c r="J108" i="14"/>
  <c r="T108" i="14"/>
  <c r="C115" i="14"/>
  <c r="D115" i="14" s="1"/>
  <c r="S108" i="14"/>
  <c r="R108" i="14"/>
  <c r="P108" i="14"/>
  <c r="O108" i="14"/>
  <c r="N108" i="14"/>
  <c r="L108" i="14"/>
  <c r="K108" i="14"/>
  <c r="B108" i="14"/>
  <c r="H108" i="14"/>
  <c r="F108" i="14"/>
  <c r="Y108" i="14"/>
  <c r="G108" i="14"/>
  <c r="P105" i="14"/>
  <c r="C112" i="14"/>
  <c r="D112" i="14" s="1"/>
  <c r="T105" i="14"/>
  <c r="S105" i="14"/>
  <c r="R105" i="14"/>
  <c r="B105" i="14"/>
  <c r="L105" i="14"/>
  <c r="N105" i="14"/>
  <c r="O105" i="14"/>
  <c r="Y105" i="14"/>
  <c r="J105" i="14"/>
  <c r="K105" i="14"/>
  <c r="G105" i="14"/>
  <c r="H105" i="14"/>
  <c r="F105" i="14"/>
  <c r="X16" i="14"/>
  <c r="W17" i="14"/>
  <c r="A94" i="19" l="1"/>
  <c r="A266" i="14"/>
  <c r="AO15" i="14"/>
  <c r="H30" i="16"/>
  <c r="AL17" i="14"/>
  <c r="Q113" i="14"/>
  <c r="AK16" i="14"/>
  <c r="AM16" i="14" s="1"/>
  <c r="V18" i="14"/>
  <c r="Z17" i="14"/>
  <c r="AB18" i="14"/>
  <c r="AD115" i="14"/>
  <c r="AN115" i="14"/>
  <c r="AI115" i="14"/>
  <c r="AD116" i="14"/>
  <c r="AI116" i="14"/>
  <c r="AN116" i="14"/>
  <c r="AN114" i="14"/>
  <c r="AD114" i="14"/>
  <c r="AI114" i="14"/>
  <c r="E113" i="14"/>
  <c r="AI111" i="14"/>
  <c r="AN111" i="14"/>
  <c r="AD111" i="14"/>
  <c r="AI112" i="14"/>
  <c r="AN112" i="14"/>
  <c r="AD112" i="14"/>
  <c r="AN120" i="14"/>
  <c r="AD120" i="14"/>
  <c r="AI120" i="14"/>
  <c r="AJ16" i="14"/>
  <c r="AF17" i="14"/>
  <c r="AH17" i="14" s="1"/>
  <c r="AG18" i="14"/>
  <c r="AD117" i="14"/>
  <c r="AI117" i="14"/>
  <c r="AN117" i="14"/>
  <c r="AH16" i="14"/>
  <c r="AE16" i="14"/>
  <c r="AA17" i="14"/>
  <c r="M110" i="14"/>
  <c r="I110" i="14"/>
  <c r="E107" i="14"/>
  <c r="E108" i="14"/>
  <c r="E104" i="14"/>
  <c r="D31" i="16" s="1"/>
  <c r="I104" i="14"/>
  <c r="E31" i="16" s="1"/>
  <c r="Q108" i="14"/>
  <c r="I105" i="14"/>
  <c r="M105" i="14"/>
  <c r="I113" i="14"/>
  <c r="Q109" i="14"/>
  <c r="M104" i="14"/>
  <c r="F31" i="16" s="1"/>
  <c r="I109" i="14"/>
  <c r="Q105" i="14"/>
  <c r="Q104" i="14"/>
  <c r="G31" i="16" s="1"/>
  <c r="M108" i="14"/>
  <c r="I108" i="14"/>
  <c r="I107" i="14"/>
  <c r="M113" i="14"/>
  <c r="E105" i="14"/>
  <c r="E109" i="14"/>
  <c r="M107" i="14"/>
  <c r="Q110" i="14"/>
  <c r="M109" i="14"/>
  <c r="Q107" i="14"/>
  <c r="E110" i="14"/>
  <c r="P112" i="14"/>
  <c r="T112" i="14"/>
  <c r="S112" i="14"/>
  <c r="R112" i="14"/>
  <c r="B112" i="14"/>
  <c r="C119" i="14"/>
  <c r="D119" i="14" s="1"/>
  <c r="F112" i="14"/>
  <c r="J112" i="14"/>
  <c r="G112" i="14"/>
  <c r="H112" i="14"/>
  <c r="N112" i="14"/>
  <c r="L112" i="14"/>
  <c r="O112" i="14"/>
  <c r="Y112" i="14"/>
  <c r="K112" i="14"/>
  <c r="J115" i="14"/>
  <c r="P115" i="14"/>
  <c r="O115" i="14"/>
  <c r="N115" i="14"/>
  <c r="L115" i="14"/>
  <c r="K115" i="14"/>
  <c r="B115" i="14"/>
  <c r="C122" i="14"/>
  <c r="D122" i="14" s="1"/>
  <c r="T115" i="14"/>
  <c r="S115" i="14"/>
  <c r="R115" i="14"/>
  <c r="G115" i="14"/>
  <c r="H115" i="14"/>
  <c r="F115" i="14"/>
  <c r="Y115" i="14"/>
  <c r="Y111" i="14"/>
  <c r="S111" i="14"/>
  <c r="R111" i="14"/>
  <c r="P111" i="14"/>
  <c r="O111" i="14"/>
  <c r="C118" i="14"/>
  <c r="D118" i="14" s="1"/>
  <c r="N111" i="14"/>
  <c r="L111" i="14"/>
  <c r="K111" i="14"/>
  <c r="J111" i="14"/>
  <c r="H111" i="14"/>
  <c r="G111" i="14"/>
  <c r="F111" i="14"/>
  <c r="T111" i="14"/>
  <c r="B111" i="14"/>
  <c r="L120" i="14"/>
  <c r="C127" i="14"/>
  <c r="T120" i="14"/>
  <c r="S120" i="14"/>
  <c r="R120" i="14"/>
  <c r="P120" i="14"/>
  <c r="O120" i="14"/>
  <c r="N120" i="14"/>
  <c r="B120" i="14"/>
  <c r="F120" i="14"/>
  <c r="G120" i="14"/>
  <c r="K120" i="14"/>
  <c r="Y120" i="14"/>
  <c r="H120" i="14"/>
  <c r="J120" i="14"/>
  <c r="H116" i="14"/>
  <c r="C123" i="14"/>
  <c r="D123" i="14" s="1"/>
  <c r="T116" i="14"/>
  <c r="S116" i="14"/>
  <c r="R116" i="14"/>
  <c r="P116" i="14"/>
  <c r="O116" i="14"/>
  <c r="N116" i="14"/>
  <c r="L116" i="14"/>
  <c r="K116" i="14"/>
  <c r="J116" i="14"/>
  <c r="F116" i="14"/>
  <c r="B116" i="14"/>
  <c r="G116" i="14"/>
  <c r="Y116" i="14"/>
  <c r="L114" i="14"/>
  <c r="C121" i="14"/>
  <c r="D121" i="14" s="1"/>
  <c r="T114" i="14"/>
  <c r="S114" i="14"/>
  <c r="R114" i="14"/>
  <c r="P114" i="14"/>
  <c r="O114" i="14"/>
  <c r="N114" i="14"/>
  <c r="B114" i="14"/>
  <c r="F114" i="14"/>
  <c r="Y114" i="14"/>
  <c r="K114" i="14"/>
  <c r="H114" i="14"/>
  <c r="J114" i="14"/>
  <c r="G114" i="14"/>
  <c r="F117" i="14"/>
  <c r="K117" i="14"/>
  <c r="J117" i="14"/>
  <c r="H117" i="14"/>
  <c r="G117" i="14"/>
  <c r="C124" i="14"/>
  <c r="D124" i="14" s="1"/>
  <c r="T117" i="14"/>
  <c r="S117" i="14"/>
  <c r="R117" i="14"/>
  <c r="P117" i="14"/>
  <c r="O117" i="14"/>
  <c r="N117" i="14"/>
  <c r="L117" i="14"/>
  <c r="B117" i="14"/>
  <c r="Y117" i="14"/>
  <c r="X17" i="14"/>
  <c r="W18" i="14"/>
  <c r="C134" i="14" l="1"/>
  <c r="D134" i="14" s="1"/>
  <c r="D127" i="14"/>
  <c r="AI134" i="14"/>
  <c r="L134" i="14"/>
  <c r="K134" i="14"/>
  <c r="J134" i="14"/>
  <c r="H134" i="14"/>
  <c r="G134" i="14"/>
  <c r="B134" i="14"/>
  <c r="Y134" i="14"/>
  <c r="T134" i="14"/>
  <c r="S134" i="14"/>
  <c r="R134" i="14"/>
  <c r="P134" i="14"/>
  <c r="O134" i="14"/>
  <c r="C141" i="14"/>
  <c r="D141" i="14" s="1"/>
  <c r="N134" i="14"/>
  <c r="AD134" i="14"/>
  <c r="AN134" i="14"/>
  <c r="F134" i="14"/>
  <c r="A101" i="19"/>
  <c r="A273" i="14"/>
  <c r="AO16" i="14"/>
  <c r="H31" i="16"/>
  <c r="AK17" i="14"/>
  <c r="AO17" i="14" s="1"/>
  <c r="AL18" i="14"/>
  <c r="AN122" i="14"/>
  <c r="AD122" i="14"/>
  <c r="AI122" i="14"/>
  <c r="AD123" i="14"/>
  <c r="AN123" i="14"/>
  <c r="AI123" i="14"/>
  <c r="AG19" i="14"/>
  <c r="AD118" i="14"/>
  <c r="AI118" i="14"/>
  <c r="AN118" i="14"/>
  <c r="AJ17" i="14"/>
  <c r="AF18" i="14"/>
  <c r="AD124" i="14"/>
  <c r="AI124" i="14"/>
  <c r="AN124" i="14"/>
  <c r="M120" i="14"/>
  <c r="AC17" i="14"/>
  <c r="AB19" i="14"/>
  <c r="AN121" i="14"/>
  <c r="AD121" i="14"/>
  <c r="AI121" i="14"/>
  <c r="V19" i="14"/>
  <c r="Z18" i="14"/>
  <c r="M116" i="14"/>
  <c r="AN127" i="14"/>
  <c r="AD127" i="14"/>
  <c r="AI127" i="14"/>
  <c r="AD119" i="14"/>
  <c r="AI119" i="14"/>
  <c r="AN119" i="14"/>
  <c r="AA18" i="14"/>
  <c r="AE17" i="14"/>
  <c r="E115" i="14"/>
  <c r="I111" i="14"/>
  <c r="E32" i="16" s="1"/>
  <c r="M111" i="14"/>
  <c r="F32" i="16" s="1"/>
  <c r="I120" i="14"/>
  <c r="M115" i="14"/>
  <c r="I115" i="14"/>
  <c r="E116" i="14"/>
  <c r="Q117" i="14"/>
  <c r="M117" i="14"/>
  <c r="E117" i="14"/>
  <c r="I116" i="14"/>
  <c r="M112" i="14"/>
  <c r="Q120" i="14"/>
  <c r="I114" i="14"/>
  <c r="Q114" i="14"/>
  <c r="I112" i="14"/>
  <c r="E112" i="14"/>
  <c r="Q115" i="14"/>
  <c r="I117" i="14"/>
  <c r="E114" i="14"/>
  <c r="Q116" i="14"/>
  <c r="M114" i="14"/>
  <c r="E120" i="14"/>
  <c r="Q111" i="14"/>
  <c r="G32" i="16" s="1"/>
  <c r="Q112" i="14"/>
  <c r="E111" i="14"/>
  <c r="D32" i="16" s="1"/>
  <c r="Y124" i="14"/>
  <c r="T124" i="14"/>
  <c r="S124" i="14"/>
  <c r="R124" i="14"/>
  <c r="P124" i="14"/>
  <c r="O124" i="14"/>
  <c r="C131" i="14"/>
  <c r="N124" i="14"/>
  <c r="L124" i="14"/>
  <c r="K124" i="14"/>
  <c r="J124" i="14"/>
  <c r="H124" i="14"/>
  <c r="G124" i="14"/>
  <c r="F124" i="14"/>
  <c r="B124" i="14"/>
  <c r="K121" i="14"/>
  <c r="P121" i="14"/>
  <c r="O121" i="14"/>
  <c r="N121" i="14"/>
  <c r="L121" i="14"/>
  <c r="B121" i="14"/>
  <c r="C128" i="14"/>
  <c r="T121" i="14"/>
  <c r="S121" i="14"/>
  <c r="R121" i="14"/>
  <c r="J121" i="14"/>
  <c r="Y121" i="14"/>
  <c r="H121" i="14"/>
  <c r="G121" i="14"/>
  <c r="F121" i="14"/>
  <c r="G123" i="14"/>
  <c r="L123" i="14"/>
  <c r="K123" i="14"/>
  <c r="J123" i="14"/>
  <c r="H123" i="14"/>
  <c r="B123" i="14"/>
  <c r="T123" i="14"/>
  <c r="C130" i="14"/>
  <c r="S123" i="14"/>
  <c r="R123" i="14"/>
  <c r="P123" i="14"/>
  <c r="O123" i="14"/>
  <c r="N123" i="14"/>
  <c r="F123" i="14"/>
  <c r="Y123" i="14"/>
  <c r="N127" i="14"/>
  <c r="B127" i="14"/>
  <c r="T127" i="14"/>
  <c r="S127" i="14"/>
  <c r="R127" i="14"/>
  <c r="P127" i="14"/>
  <c r="O127" i="14"/>
  <c r="L127" i="14"/>
  <c r="G127" i="14"/>
  <c r="Y127" i="14"/>
  <c r="F127" i="14"/>
  <c r="H127" i="14"/>
  <c r="K127" i="14"/>
  <c r="J127" i="14"/>
  <c r="Y118" i="14"/>
  <c r="S118" i="14"/>
  <c r="R118" i="14"/>
  <c r="P118" i="14"/>
  <c r="O118" i="14"/>
  <c r="N118" i="14"/>
  <c r="L118" i="14"/>
  <c r="K118" i="14"/>
  <c r="J118" i="14"/>
  <c r="H118" i="14"/>
  <c r="G118" i="14"/>
  <c r="F118" i="14"/>
  <c r="C125" i="14"/>
  <c r="D125" i="14" s="1"/>
  <c r="B118" i="14"/>
  <c r="T118" i="14"/>
  <c r="H122" i="14"/>
  <c r="C129" i="14"/>
  <c r="T122" i="14"/>
  <c r="S122" i="14"/>
  <c r="R122" i="14"/>
  <c r="P122" i="14"/>
  <c r="O122" i="14"/>
  <c r="N122" i="14"/>
  <c r="L122" i="14"/>
  <c r="K122" i="14"/>
  <c r="J122" i="14"/>
  <c r="B122" i="14"/>
  <c r="F122" i="14"/>
  <c r="G122" i="14"/>
  <c r="Y122" i="14"/>
  <c r="O119" i="14"/>
  <c r="C126" i="14"/>
  <c r="T119" i="14"/>
  <c r="S119" i="14"/>
  <c r="R119" i="14"/>
  <c r="P119" i="14"/>
  <c r="B119" i="14"/>
  <c r="Y119" i="14"/>
  <c r="G119" i="14"/>
  <c r="H119" i="14"/>
  <c r="K119" i="14"/>
  <c r="L119" i="14"/>
  <c r="F119" i="14"/>
  <c r="J119" i="14"/>
  <c r="N119" i="14"/>
  <c r="W19" i="14"/>
  <c r="X18" i="14"/>
  <c r="C135" i="14" l="1"/>
  <c r="D135" i="14" s="1"/>
  <c r="D128" i="14"/>
  <c r="C133" i="14"/>
  <c r="D133" i="14" s="1"/>
  <c r="D126" i="14"/>
  <c r="C136" i="14"/>
  <c r="D136" i="14" s="1"/>
  <c r="D129" i="14"/>
  <c r="C137" i="14"/>
  <c r="D137" i="14" s="1"/>
  <c r="D130" i="14"/>
  <c r="C138" i="14"/>
  <c r="D138" i="14" s="1"/>
  <c r="D131" i="14"/>
  <c r="E134" i="14"/>
  <c r="M134" i="14"/>
  <c r="Q134" i="14"/>
  <c r="I134" i="14"/>
  <c r="Y135" i="14"/>
  <c r="C142" i="14"/>
  <c r="D142" i="14" s="1"/>
  <c r="B135" i="14"/>
  <c r="AD135" i="14"/>
  <c r="N135" i="14"/>
  <c r="T135" i="14"/>
  <c r="J135" i="14"/>
  <c r="AN135" i="14"/>
  <c r="AI135" i="14"/>
  <c r="G135" i="14"/>
  <c r="O135" i="14"/>
  <c r="H135" i="14"/>
  <c r="K135" i="14"/>
  <c r="L135" i="14"/>
  <c r="P135" i="14"/>
  <c r="F135" i="14"/>
  <c r="R135" i="14"/>
  <c r="S135" i="14"/>
  <c r="A108" i="19"/>
  <c r="A280" i="14"/>
  <c r="AI141" i="14"/>
  <c r="B141" i="14"/>
  <c r="Y141" i="14"/>
  <c r="T141" i="14"/>
  <c r="S141" i="14"/>
  <c r="R141" i="14"/>
  <c r="P141" i="14"/>
  <c r="C148" i="14"/>
  <c r="D148" i="14" s="1"/>
  <c r="O141" i="14"/>
  <c r="N141" i="14"/>
  <c r="L141" i="14"/>
  <c r="K141" i="14"/>
  <c r="J141" i="14"/>
  <c r="H141" i="14"/>
  <c r="G141" i="14"/>
  <c r="AN141" i="14"/>
  <c r="AD141" i="14"/>
  <c r="F141" i="14"/>
  <c r="N136" i="14"/>
  <c r="AI136" i="14"/>
  <c r="Y136" i="14"/>
  <c r="T136" i="14"/>
  <c r="C143" i="14"/>
  <c r="D143" i="14" s="1"/>
  <c r="S136" i="14"/>
  <c r="R136" i="14"/>
  <c r="P136" i="14"/>
  <c r="O136" i="14"/>
  <c r="K136" i="14"/>
  <c r="F136" i="14"/>
  <c r="B136" i="14"/>
  <c r="AD136" i="14"/>
  <c r="AN136" i="14"/>
  <c r="J136" i="14"/>
  <c r="L136" i="14"/>
  <c r="G136" i="14"/>
  <c r="H136" i="14"/>
  <c r="B137" i="14"/>
  <c r="N137" i="14"/>
  <c r="L137" i="14"/>
  <c r="C144" i="14"/>
  <c r="D144" i="14" s="1"/>
  <c r="K137" i="14"/>
  <c r="J137" i="14"/>
  <c r="H137" i="14"/>
  <c r="G137" i="14"/>
  <c r="F137" i="14"/>
  <c r="AI137" i="14"/>
  <c r="Y137" i="14"/>
  <c r="T137" i="14"/>
  <c r="S137" i="14"/>
  <c r="R137" i="14"/>
  <c r="P137" i="14"/>
  <c r="O137" i="14"/>
  <c r="AN137" i="14"/>
  <c r="AD137" i="14"/>
  <c r="P133" i="14"/>
  <c r="C140" i="14"/>
  <c r="D140" i="14" s="1"/>
  <c r="AD133" i="14"/>
  <c r="Y133" i="14"/>
  <c r="T133" i="14"/>
  <c r="S133" i="14"/>
  <c r="R133" i="14"/>
  <c r="B133" i="14"/>
  <c r="L133" i="14"/>
  <c r="F133" i="14"/>
  <c r="AI133" i="14"/>
  <c r="G133" i="14"/>
  <c r="N133" i="14"/>
  <c r="O133" i="14"/>
  <c r="H133" i="14"/>
  <c r="J133" i="14"/>
  <c r="K133" i="14"/>
  <c r="AN133" i="14"/>
  <c r="K138" i="14"/>
  <c r="C145" i="14"/>
  <c r="D145" i="14" s="1"/>
  <c r="AI138" i="14"/>
  <c r="Y138" i="14"/>
  <c r="F138" i="14"/>
  <c r="AD138" i="14"/>
  <c r="L138" i="14"/>
  <c r="R138" i="14"/>
  <c r="AN138" i="14"/>
  <c r="S138" i="14"/>
  <c r="T138" i="14"/>
  <c r="N138" i="14"/>
  <c r="O138" i="14"/>
  <c r="P138" i="14"/>
  <c r="B138" i="14"/>
  <c r="G138" i="14"/>
  <c r="H138" i="14"/>
  <c r="J138" i="14"/>
  <c r="AM17" i="14"/>
  <c r="H32" i="16"/>
  <c r="M123" i="14"/>
  <c r="AL19" i="14"/>
  <c r="I119" i="14"/>
  <c r="Q121" i="14"/>
  <c r="AE18" i="14"/>
  <c r="AA19" i="14"/>
  <c r="AC19" i="14" s="1"/>
  <c r="AJ18" i="14"/>
  <c r="AF19" i="14"/>
  <c r="AH19" i="14" s="1"/>
  <c r="AN128" i="14"/>
  <c r="AD128" i="14"/>
  <c r="AI128" i="14"/>
  <c r="AN130" i="14"/>
  <c r="AD130" i="14"/>
  <c r="AI130" i="14"/>
  <c r="AG20" i="14"/>
  <c r="AN129" i="14"/>
  <c r="AD129" i="14"/>
  <c r="AI129" i="14"/>
  <c r="V20" i="14"/>
  <c r="Z19" i="14"/>
  <c r="AH18" i="14"/>
  <c r="M122" i="14"/>
  <c r="AK18" i="14"/>
  <c r="Q119" i="14"/>
  <c r="Q118" i="14"/>
  <c r="G33" i="16" s="1"/>
  <c r="AD125" i="14"/>
  <c r="AI125" i="14"/>
  <c r="AN125" i="14"/>
  <c r="AN126" i="14"/>
  <c r="AD126" i="14"/>
  <c r="AI126" i="14"/>
  <c r="I124" i="14"/>
  <c r="AB20" i="14"/>
  <c r="AC18" i="14"/>
  <c r="AN131" i="14"/>
  <c r="AI131" i="14"/>
  <c r="AD131" i="14"/>
  <c r="M124" i="14"/>
  <c r="E121" i="14"/>
  <c r="I121" i="14"/>
  <c r="E118" i="14"/>
  <c r="D33" i="16" s="1"/>
  <c r="E127" i="14"/>
  <c r="I123" i="14"/>
  <c r="E124" i="14"/>
  <c r="E122" i="14"/>
  <c r="M127" i="14"/>
  <c r="I122" i="14"/>
  <c r="M118" i="14"/>
  <c r="F33" i="16" s="1"/>
  <c r="E123" i="14"/>
  <c r="Q124" i="14"/>
  <c r="M119" i="14"/>
  <c r="I118" i="14"/>
  <c r="E33" i="16" s="1"/>
  <c r="Q127" i="14"/>
  <c r="Q123" i="14"/>
  <c r="E119" i="14"/>
  <c r="Q122" i="14"/>
  <c r="I127" i="14"/>
  <c r="M121" i="14"/>
  <c r="P126" i="14"/>
  <c r="T126" i="14"/>
  <c r="S126" i="14"/>
  <c r="R126" i="14"/>
  <c r="B126" i="14"/>
  <c r="L126" i="14"/>
  <c r="N126" i="14"/>
  <c r="G126" i="14"/>
  <c r="F126" i="14"/>
  <c r="K126" i="14"/>
  <c r="H126" i="14"/>
  <c r="O126" i="14"/>
  <c r="J126" i="14"/>
  <c r="Y126" i="14"/>
  <c r="J129" i="14"/>
  <c r="P129" i="14"/>
  <c r="O129" i="14"/>
  <c r="N129" i="14"/>
  <c r="L129" i="14"/>
  <c r="K129" i="14"/>
  <c r="B129" i="14"/>
  <c r="T129" i="14"/>
  <c r="S129" i="14"/>
  <c r="R129" i="14"/>
  <c r="H129" i="14"/>
  <c r="Y129" i="14"/>
  <c r="G129" i="14"/>
  <c r="F129" i="14"/>
  <c r="Y125" i="14"/>
  <c r="T125" i="14"/>
  <c r="S125" i="14"/>
  <c r="R125" i="14"/>
  <c r="P125" i="14"/>
  <c r="O125" i="14"/>
  <c r="N125" i="14"/>
  <c r="C132" i="14"/>
  <c r="L125" i="14"/>
  <c r="K125" i="14"/>
  <c r="J125" i="14"/>
  <c r="H125" i="14"/>
  <c r="G125" i="14"/>
  <c r="F125" i="14"/>
  <c r="B125" i="14"/>
  <c r="H130" i="14"/>
  <c r="T130" i="14"/>
  <c r="S130" i="14"/>
  <c r="R130" i="14"/>
  <c r="P130" i="14"/>
  <c r="O130" i="14"/>
  <c r="N130" i="14"/>
  <c r="L130" i="14"/>
  <c r="K130" i="14"/>
  <c r="J130" i="14"/>
  <c r="B130" i="14"/>
  <c r="Y130" i="14"/>
  <c r="F130" i="14"/>
  <c r="G130" i="14"/>
  <c r="L128" i="14"/>
  <c r="T128" i="14"/>
  <c r="S128" i="14"/>
  <c r="R128" i="14"/>
  <c r="P128" i="14"/>
  <c r="O128" i="14"/>
  <c r="N128" i="14"/>
  <c r="B128" i="14"/>
  <c r="J128" i="14"/>
  <c r="K128" i="14"/>
  <c r="Y128" i="14"/>
  <c r="F128" i="14"/>
  <c r="G128" i="14"/>
  <c r="H128" i="14"/>
  <c r="F131" i="14"/>
  <c r="L131" i="14"/>
  <c r="K131" i="14"/>
  <c r="J131" i="14"/>
  <c r="H131" i="14"/>
  <c r="G131" i="14"/>
  <c r="T131" i="14"/>
  <c r="S131" i="14"/>
  <c r="R131" i="14"/>
  <c r="P131" i="14"/>
  <c r="O131" i="14"/>
  <c r="N131" i="14"/>
  <c r="B131" i="14"/>
  <c r="Y131" i="14"/>
  <c r="X19" i="14"/>
  <c r="W20" i="14"/>
  <c r="C139" i="14" l="1"/>
  <c r="D139" i="14" s="1"/>
  <c r="D132" i="14"/>
  <c r="Q138" i="14"/>
  <c r="I141" i="14"/>
  <c r="M133" i="14"/>
  <c r="M136" i="14"/>
  <c r="Q137" i="14"/>
  <c r="Q133" i="14"/>
  <c r="I133" i="14"/>
  <c r="I138" i="14"/>
  <c r="Q141" i="14"/>
  <c r="M141" i="14"/>
  <c r="E135" i="14"/>
  <c r="I137" i="14"/>
  <c r="E133" i="14"/>
  <c r="AI148" i="14"/>
  <c r="AD148" i="14"/>
  <c r="Y148" i="14"/>
  <c r="T148" i="14"/>
  <c r="S148" i="14"/>
  <c r="R148" i="14"/>
  <c r="C155" i="14"/>
  <c r="D155" i="14" s="1"/>
  <c r="P148" i="14"/>
  <c r="O148" i="14"/>
  <c r="N148" i="14"/>
  <c r="L148" i="14"/>
  <c r="K148" i="14"/>
  <c r="J148" i="14"/>
  <c r="H148" i="14"/>
  <c r="G148" i="14"/>
  <c r="F148" i="14"/>
  <c r="B148" i="14"/>
  <c r="AN148" i="14"/>
  <c r="I136" i="14"/>
  <c r="E136" i="14"/>
  <c r="M138" i="14"/>
  <c r="P140" i="14"/>
  <c r="Y140" i="14"/>
  <c r="T140" i="14"/>
  <c r="S140" i="14"/>
  <c r="R140" i="14"/>
  <c r="B140" i="14"/>
  <c r="C147" i="14"/>
  <c r="D147" i="14" s="1"/>
  <c r="AD140" i="14"/>
  <c r="L140" i="14"/>
  <c r="G140" i="14"/>
  <c r="F140" i="14"/>
  <c r="H140" i="14"/>
  <c r="N140" i="14"/>
  <c r="AI140" i="14"/>
  <c r="J140" i="14"/>
  <c r="O140" i="14"/>
  <c r="K140" i="14"/>
  <c r="AN140" i="14"/>
  <c r="A115" i="19"/>
  <c r="A287" i="14"/>
  <c r="Q136" i="14"/>
  <c r="Q135" i="14"/>
  <c r="N143" i="14"/>
  <c r="C150" i="14"/>
  <c r="D150" i="14" s="1"/>
  <c r="AI143" i="14"/>
  <c r="Y143" i="14"/>
  <c r="T143" i="14"/>
  <c r="S143" i="14"/>
  <c r="R143" i="14"/>
  <c r="P143" i="14"/>
  <c r="O143" i="14"/>
  <c r="F143" i="14"/>
  <c r="B143" i="14"/>
  <c r="AD143" i="14"/>
  <c r="J143" i="14"/>
  <c r="G143" i="14"/>
  <c r="AN143" i="14"/>
  <c r="L143" i="14"/>
  <c r="K143" i="14"/>
  <c r="H143" i="14"/>
  <c r="E138" i="14"/>
  <c r="C146" i="14"/>
  <c r="D146" i="14" s="1"/>
  <c r="Y139" i="14"/>
  <c r="T139" i="14"/>
  <c r="S139" i="14"/>
  <c r="R139" i="14"/>
  <c r="P139" i="14"/>
  <c r="O139" i="14"/>
  <c r="N139" i="14"/>
  <c r="AD139" i="14"/>
  <c r="H139" i="14"/>
  <c r="B139" i="14"/>
  <c r="J139" i="14"/>
  <c r="K139" i="14"/>
  <c r="AN139" i="14"/>
  <c r="L139" i="14"/>
  <c r="F139" i="14"/>
  <c r="AI139" i="14"/>
  <c r="G139" i="14"/>
  <c r="C152" i="14"/>
  <c r="D152" i="14" s="1"/>
  <c r="AI145" i="14"/>
  <c r="Y145" i="14"/>
  <c r="F145" i="14"/>
  <c r="B145" i="14"/>
  <c r="AN145" i="14"/>
  <c r="AD145" i="14"/>
  <c r="G145" i="14"/>
  <c r="H145" i="14"/>
  <c r="R145" i="14"/>
  <c r="J145" i="14"/>
  <c r="S145" i="14"/>
  <c r="L145" i="14"/>
  <c r="K145" i="14"/>
  <c r="N145" i="14"/>
  <c r="O145" i="14"/>
  <c r="T145" i="14"/>
  <c r="P145" i="14"/>
  <c r="E141" i="14"/>
  <c r="E137" i="14"/>
  <c r="I135" i="14"/>
  <c r="M135" i="14"/>
  <c r="B144" i="14"/>
  <c r="G144" i="14"/>
  <c r="F144" i="14"/>
  <c r="AI144" i="14"/>
  <c r="Y144" i="14"/>
  <c r="T144" i="14"/>
  <c r="C151" i="14"/>
  <c r="D151" i="14" s="1"/>
  <c r="S144" i="14"/>
  <c r="R144" i="14"/>
  <c r="P144" i="14"/>
  <c r="O144" i="14"/>
  <c r="N144" i="14"/>
  <c r="L144" i="14"/>
  <c r="K144" i="14"/>
  <c r="J144" i="14"/>
  <c r="H144" i="14"/>
  <c r="AN144" i="14"/>
  <c r="AD144" i="14"/>
  <c r="M137" i="14"/>
  <c r="Y142" i="14"/>
  <c r="C149" i="14"/>
  <c r="D149" i="14" s="1"/>
  <c r="B142" i="14"/>
  <c r="AD142" i="14"/>
  <c r="S142" i="14"/>
  <c r="H142" i="14"/>
  <c r="T142" i="14"/>
  <c r="AI142" i="14"/>
  <c r="N142" i="14"/>
  <c r="AN142" i="14"/>
  <c r="O142" i="14"/>
  <c r="P142" i="14"/>
  <c r="J142" i="14"/>
  <c r="K142" i="14"/>
  <c r="L142" i="14"/>
  <c r="G142" i="14"/>
  <c r="R142" i="14"/>
  <c r="F142" i="14"/>
  <c r="H33" i="16"/>
  <c r="AK19" i="14"/>
  <c r="AO19" i="14" s="1"/>
  <c r="AL20" i="14"/>
  <c r="E125" i="14"/>
  <c r="D34" i="16" s="1"/>
  <c r="I126" i="14"/>
  <c r="Q130" i="14"/>
  <c r="AB21" i="14"/>
  <c r="AG21" i="14"/>
  <c r="AI132" i="14"/>
  <c r="AN132" i="14"/>
  <c r="AD132" i="14"/>
  <c r="AM18" i="14"/>
  <c r="AO18" i="14"/>
  <c r="AJ19" i="14"/>
  <c r="AF20" i="14"/>
  <c r="I130" i="14"/>
  <c r="AE19" i="14"/>
  <c r="AA20" i="14"/>
  <c r="Z20" i="14"/>
  <c r="V21" i="14"/>
  <c r="Q128" i="14"/>
  <c r="M125" i="14"/>
  <c r="F34" i="16" s="1"/>
  <c r="E129" i="14"/>
  <c r="M128" i="14"/>
  <c r="M131" i="14"/>
  <c r="I125" i="14"/>
  <c r="E34" i="16" s="1"/>
  <c r="M129" i="14"/>
  <c r="I129" i="14"/>
  <c r="E131" i="14"/>
  <c r="Q125" i="14"/>
  <c r="G34" i="16" s="1"/>
  <c r="E130" i="14"/>
  <c r="M130" i="14"/>
  <c r="Q131" i="14"/>
  <c r="E128" i="14"/>
  <c r="E126" i="14"/>
  <c r="I131" i="14"/>
  <c r="M126" i="14"/>
  <c r="I128" i="14"/>
  <c r="Q129" i="14"/>
  <c r="Q126" i="14"/>
  <c r="Y132" i="14"/>
  <c r="T132" i="14"/>
  <c r="S132" i="14"/>
  <c r="R132" i="14"/>
  <c r="P132" i="14"/>
  <c r="O132" i="14"/>
  <c r="N132" i="14"/>
  <c r="L132" i="14"/>
  <c r="K132" i="14"/>
  <c r="J132" i="14"/>
  <c r="H132" i="14"/>
  <c r="G132" i="14"/>
  <c r="F132" i="14"/>
  <c r="B132" i="14"/>
  <c r="W21" i="14"/>
  <c r="X20" i="14"/>
  <c r="Q143" i="14" l="1"/>
  <c r="Q142" i="14"/>
  <c r="I142" i="14"/>
  <c r="E144" i="14"/>
  <c r="M139" i="14"/>
  <c r="F36" i="16" s="1"/>
  <c r="M145" i="14"/>
  <c r="I140" i="14"/>
  <c r="E140" i="14"/>
  <c r="M144" i="14"/>
  <c r="Q144" i="14"/>
  <c r="Q140" i="14"/>
  <c r="B151" i="14"/>
  <c r="AI151" i="14"/>
  <c r="Y151" i="14"/>
  <c r="T151" i="14"/>
  <c r="S151" i="14"/>
  <c r="R151" i="14"/>
  <c r="P151" i="14"/>
  <c r="O151" i="14"/>
  <c r="N151" i="14"/>
  <c r="C158" i="14"/>
  <c r="D158" i="14" s="1"/>
  <c r="L151" i="14"/>
  <c r="K151" i="14"/>
  <c r="J151" i="14"/>
  <c r="H151" i="14"/>
  <c r="G151" i="14"/>
  <c r="F151" i="14"/>
  <c r="AD151" i="14"/>
  <c r="AN151" i="14"/>
  <c r="T152" i="14"/>
  <c r="AI152" i="14"/>
  <c r="Y152" i="14"/>
  <c r="F152" i="14"/>
  <c r="C159" i="14"/>
  <c r="D159" i="14" s="1"/>
  <c r="AD152" i="14"/>
  <c r="O152" i="14"/>
  <c r="P152" i="14"/>
  <c r="B152" i="14"/>
  <c r="G152" i="14"/>
  <c r="H152" i="14"/>
  <c r="J152" i="14"/>
  <c r="L152" i="14"/>
  <c r="K152" i="14"/>
  <c r="R152" i="14"/>
  <c r="AN152" i="14"/>
  <c r="S152" i="14"/>
  <c r="N152" i="14"/>
  <c r="E143" i="14"/>
  <c r="E139" i="14"/>
  <c r="M142" i="14"/>
  <c r="I139" i="14"/>
  <c r="E36" i="16" s="1"/>
  <c r="N150" i="14"/>
  <c r="F150" i="14"/>
  <c r="B150" i="14"/>
  <c r="AI150" i="14"/>
  <c r="Y150" i="14"/>
  <c r="T150" i="14"/>
  <c r="C157" i="14"/>
  <c r="D157" i="14" s="1"/>
  <c r="S150" i="14"/>
  <c r="R150" i="14"/>
  <c r="P150" i="14"/>
  <c r="O150" i="14"/>
  <c r="K150" i="14"/>
  <c r="AD150" i="14"/>
  <c r="AN150" i="14"/>
  <c r="G150" i="14"/>
  <c r="H150" i="14"/>
  <c r="J150" i="14"/>
  <c r="L150" i="14"/>
  <c r="M143" i="14"/>
  <c r="E148" i="14"/>
  <c r="Y149" i="14"/>
  <c r="B149" i="14"/>
  <c r="C156" i="14"/>
  <c r="D156" i="14" s="1"/>
  <c r="AD149" i="14"/>
  <c r="R149" i="14"/>
  <c r="S149" i="14"/>
  <c r="J149" i="14"/>
  <c r="K149" i="14"/>
  <c r="AN149" i="14"/>
  <c r="F149" i="14"/>
  <c r="P149" i="14"/>
  <c r="G149" i="14"/>
  <c r="H149" i="14"/>
  <c r="N149" i="14"/>
  <c r="T149" i="14"/>
  <c r="L149" i="14"/>
  <c r="O149" i="14"/>
  <c r="AI149" i="14"/>
  <c r="A122" i="19"/>
  <c r="A294" i="14"/>
  <c r="I148" i="14"/>
  <c r="Q139" i="14"/>
  <c r="G36" i="16" s="1"/>
  <c r="M148" i="14"/>
  <c r="I145" i="14"/>
  <c r="Y146" i="14"/>
  <c r="T146" i="14"/>
  <c r="S146" i="14"/>
  <c r="R146" i="14"/>
  <c r="P146" i="14"/>
  <c r="O146" i="14"/>
  <c r="N146" i="14"/>
  <c r="B146" i="14"/>
  <c r="C153" i="14"/>
  <c r="D153" i="14" s="1"/>
  <c r="AD146" i="14"/>
  <c r="H146" i="14"/>
  <c r="J146" i="14"/>
  <c r="K146" i="14"/>
  <c r="AN146" i="14"/>
  <c r="F146" i="14"/>
  <c r="AI146" i="14"/>
  <c r="L146" i="14"/>
  <c r="G146" i="14"/>
  <c r="I144" i="14"/>
  <c r="Q145" i="14"/>
  <c r="M140" i="14"/>
  <c r="AI155" i="14"/>
  <c r="T155" i="14"/>
  <c r="S155" i="14"/>
  <c r="C162" i="14"/>
  <c r="D162" i="14" s="1"/>
  <c r="R155" i="14"/>
  <c r="P155" i="14"/>
  <c r="O155" i="14"/>
  <c r="N155" i="14"/>
  <c r="L155" i="14"/>
  <c r="K155" i="14"/>
  <c r="J155" i="14"/>
  <c r="H155" i="14"/>
  <c r="G155" i="14"/>
  <c r="B155" i="14"/>
  <c r="Y155" i="14"/>
  <c r="AN155" i="14"/>
  <c r="AD155" i="14"/>
  <c r="F155" i="14"/>
  <c r="Q148" i="14"/>
  <c r="E142" i="14"/>
  <c r="E145" i="14"/>
  <c r="I143" i="14"/>
  <c r="O147" i="14"/>
  <c r="B147" i="14"/>
  <c r="C154" i="14"/>
  <c r="D154" i="14" s="1"/>
  <c r="Y147" i="14"/>
  <c r="T147" i="14"/>
  <c r="S147" i="14"/>
  <c r="R147" i="14"/>
  <c r="P147" i="14"/>
  <c r="AD147" i="14"/>
  <c r="J147" i="14"/>
  <c r="H147" i="14"/>
  <c r="K147" i="14"/>
  <c r="AN147" i="14"/>
  <c r="L147" i="14"/>
  <c r="F147" i="14"/>
  <c r="AI147" i="14"/>
  <c r="N147" i="14"/>
  <c r="G147" i="14"/>
  <c r="D36" i="16"/>
  <c r="AL21" i="14"/>
  <c r="H34" i="16"/>
  <c r="AM19" i="14"/>
  <c r="AK20" i="14"/>
  <c r="AM20" i="14" s="1"/>
  <c r="AE20" i="14"/>
  <c r="AA21" i="14"/>
  <c r="AC21" i="14" s="1"/>
  <c r="AJ20" i="14"/>
  <c r="AF21" i="14"/>
  <c r="AH21" i="14" s="1"/>
  <c r="AG22" i="14"/>
  <c r="AH20" i="14"/>
  <c r="V22" i="14"/>
  <c r="Z21" i="14"/>
  <c r="AB22" i="14"/>
  <c r="AC20" i="14"/>
  <c r="E132" i="14"/>
  <c r="D35" i="16" s="1"/>
  <c r="I132" i="14"/>
  <c r="E35" i="16" s="1"/>
  <c r="M132" i="14"/>
  <c r="F35" i="16" s="1"/>
  <c r="Q132" i="14"/>
  <c r="G35" i="16" s="1"/>
  <c r="W22" i="14"/>
  <c r="X21" i="14"/>
  <c r="M147" i="14" l="1"/>
  <c r="I155" i="14"/>
  <c r="E149" i="14"/>
  <c r="Q151" i="14"/>
  <c r="Q152" i="14"/>
  <c r="E150" i="14"/>
  <c r="M150" i="14"/>
  <c r="I149" i="14"/>
  <c r="M146" i="14"/>
  <c r="Q146" i="14"/>
  <c r="I150" i="14"/>
  <c r="E147" i="14"/>
  <c r="E152" i="14"/>
  <c r="G37" i="16"/>
  <c r="AI162" i="14"/>
  <c r="H162" i="14"/>
  <c r="G162" i="14"/>
  <c r="B162" i="14"/>
  <c r="Y162" i="14"/>
  <c r="T162" i="14"/>
  <c r="S162" i="14"/>
  <c r="R162" i="14"/>
  <c r="C169" i="14"/>
  <c r="D169" i="14" s="1"/>
  <c r="P162" i="14"/>
  <c r="O162" i="14"/>
  <c r="N162" i="14"/>
  <c r="L162" i="14"/>
  <c r="K162" i="14"/>
  <c r="J162" i="14"/>
  <c r="AN162" i="14"/>
  <c r="AD162" i="14"/>
  <c r="F162" i="14"/>
  <c r="A301" i="14"/>
  <c r="A129" i="19"/>
  <c r="T159" i="14"/>
  <c r="C166" i="14"/>
  <c r="D166" i="14" s="1"/>
  <c r="AI159" i="14"/>
  <c r="Y159" i="14"/>
  <c r="K159" i="14"/>
  <c r="G159" i="14"/>
  <c r="F159" i="14"/>
  <c r="B159" i="14"/>
  <c r="AD159" i="14"/>
  <c r="AN159" i="14"/>
  <c r="N159" i="14"/>
  <c r="O159" i="14"/>
  <c r="P159" i="14"/>
  <c r="H159" i="14"/>
  <c r="R159" i="14"/>
  <c r="J159" i="14"/>
  <c r="S159" i="14"/>
  <c r="L159" i="14"/>
  <c r="F37" i="16"/>
  <c r="Q150" i="14"/>
  <c r="P154" i="14"/>
  <c r="C161" i="14"/>
  <c r="D161" i="14" s="1"/>
  <c r="Y154" i="14"/>
  <c r="T154" i="14"/>
  <c r="S154" i="14"/>
  <c r="R154" i="14"/>
  <c r="B154" i="14"/>
  <c r="AD154" i="14"/>
  <c r="AI154" i="14"/>
  <c r="G154" i="14"/>
  <c r="O154" i="14"/>
  <c r="F154" i="14"/>
  <c r="H154" i="14"/>
  <c r="J154" i="14"/>
  <c r="K154" i="14"/>
  <c r="AN154" i="14"/>
  <c r="L154" i="14"/>
  <c r="N154" i="14"/>
  <c r="N157" i="14"/>
  <c r="C164" i="14"/>
  <c r="D164" i="14" s="1"/>
  <c r="AI157" i="14"/>
  <c r="Y157" i="14"/>
  <c r="T157" i="14"/>
  <c r="S157" i="14"/>
  <c r="R157" i="14"/>
  <c r="P157" i="14"/>
  <c r="O157" i="14"/>
  <c r="K157" i="14"/>
  <c r="F157" i="14"/>
  <c r="B157" i="14"/>
  <c r="AD157" i="14"/>
  <c r="AN157" i="14"/>
  <c r="G157" i="14"/>
  <c r="H157" i="14"/>
  <c r="J157" i="14"/>
  <c r="L157" i="14"/>
  <c r="M149" i="14"/>
  <c r="Q147" i="14"/>
  <c r="E146" i="14"/>
  <c r="D37" i="16" s="1"/>
  <c r="E151" i="14"/>
  <c r="E155" i="14"/>
  <c r="H36" i="16"/>
  <c r="I151" i="14"/>
  <c r="I146" i="14"/>
  <c r="E37" i="16" s="1"/>
  <c r="B153" i="14"/>
  <c r="C160" i="14"/>
  <c r="D160" i="14" s="1"/>
  <c r="Y153" i="14"/>
  <c r="T153" i="14"/>
  <c r="S153" i="14"/>
  <c r="R153" i="14"/>
  <c r="P153" i="14"/>
  <c r="O153" i="14"/>
  <c r="N153" i="14"/>
  <c r="AD153" i="14"/>
  <c r="L153" i="14"/>
  <c r="F153" i="14"/>
  <c r="AI153" i="14"/>
  <c r="G153" i="14"/>
  <c r="H153" i="14"/>
  <c r="J153" i="14"/>
  <c r="K153" i="14"/>
  <c r="AN153" i="14"/>
  <c r="Q149" i="14"/>
  <c r="B158" i="14"/>
  <c r="Y158" i="14"/>
  <c r="T158" i="14"/>
  <c r="S158" i="14"/>
  <c r="R158" i="14"/>
  <c r="C165" i="14"/>
  <c r="D165" i="14" s="1"/>
  <c r="P158" i="14"/>
  <c r="O158" i="14"/>
  <c r="N158" i="14"/>
  <c r="L158" i="14"/>
  <c r="K158" i="14"/>
  <c r="J158" i="14"/>
  <c r="H158" i="14"/>
  <c r="G158" i="14"/>
  <c r="F158" i="14"/>
  <c r="AI158" i="14"/>
  <c r="AN158" i="14"/>
  <c r="AD158" i="14"/>
  <c r="M152" i="14"/>
  <c r="M151" i="14"/>
  <c r="Y156" i="14"/>
  <c r="C163" i="14"/>
  <c r="D163" i="14" s="1"/>
  <c r="B156" i="14"/>
  <c r="AD156" i="14"/>
  <c r="K156" i="14"/>
  <c r="AN156" i="14"/>
  <c r="O156" i="14"/>
  <c r="F156" i="14"/>
  <c r="P156" i="14"/>
  <c r="R156" i="14"/>
  <c r="S156" i="14"/>
  <c r="L156" i="14"/>
  <c r="T156" i="14"/>
  <c r="H156" i="14"/>
  <c r="AI156" i="14"/>
  <c r="G156" i="14"/>
  <c r="N156" i="14"/>
  <c r="J156" i="14"/>
  <c r="M155" i="14"/>
  <c r="I152" i="14"/>
  <c r="I147" i="14"/>
  <c r="Q155" i="14"/>
  <c r="AO20" i="14"/>
  <c r="H35" i="16"/>
  <c r="AK21" i="14"/>
  <c r="AO21" i="14" s="1"/>
  <c r="AB23" i="14"/>
  <c r="V23" i="14"/>
  <c r="Z22" i="14"/>
  <c r="AJ21" i="14"/>
  <c r="AF22" i="14"/>
  <c r="AH22" i="14" s="1"/>
  <c r="AL22" i="14"/>
  <c r="AG23" i="14"/>
  <c r="AA22" i="14"/>
  <c r="AE21" i="14"/>
  <c r="W23" i="14"/>
  <c r="X22" i="14"/>
  <c r="E159" i="14" l="1"/>
  <c r="Q153" i="14"/>
  <c r="M159" i="14"/>
  <c r="Q159" i="14"/>
  <c r="E158" i="14"/>
  <c r="E153" i="14"/>
  <c r="D38" i="16" s="1"/>
  <c r="I156" i="14"/>
  <c r="Q162" i="14"/>
  <c r="Q158" i="14"/>
  <c r="I158" i="14"/>
  <c r="Q154" i="14"/>
  <c r="E162" i="14"/>
  <c r="E157" i="14"/>
  <c r="M156" i="14"/>
  <c r="M158" i="14"/>
  <c r="H37" i="16"/>
  <c r="I154" i="14"/>
  <c r="E154" i="14"/>
  <c r="G38" i="16"/>
  <c r="T166" i="14"/>
  <c r="C173" i="14"/>
  <c r="D173" i="14" s="1"/>
  <c r="AI166" i="14"/>
  <c r="Y166" i="14"/>
  <c r="K166" i="14"/>
  <c r="F166" i="14"/>
  <c r="B166" i="14"/>
  <c r="AN166" i="14"/>
  <c r="AD166" i="14"/>
  <c r="G166" i="14"/>
  <c r="H166" i="14"/>
  <c r="J166" i="14"/>
  <c r="L166" i="14"/>
  <c r="R166" i="14"/>
  <c r="N166" i="14"/>
  <c r="S166" i="14"/>
  <c r="O166" i="14"/>
  <c r="P166" i="14"/>
  <c r="B165" i="14"/>
  <c r="J165" i="14"/>
  <c r="H165" i="14"/>
  <c r="G165" i="14"/>
  <c r="F165" i="14"/>
  <c r="AI165" i="14"/>
  <c r="Y165" i="14"/>
  <c r="T165" i="14"/>
  <c r="S165" i="14"/>
  <c r="R165" i="14"/>
  <c r="P165" i="14"/>
  <c r="C172" i="14"/>
  <c r="D172" i="14" s="1"/>
  <c r="O165" i="14"/>
  <c r="N165" i="14"/>
  <c r="L165" i="14"/>
  <c r="K165" i="14"/>
  <c r="AD165" i="14"/>
  <c r="AN165" i="14"/>
  <c r="Q156" i="14"/>
  <c r="E156" i="14"/>
  <c r="I157" i="14"/>
  <c r="A136" i="19"/>
  <c r="A308" i="14"/>
  <c r="I153" i="14"/>
  <c r="E38" i="16" s="1"/>
  <c r="I162" i="14"/>
  <c r="P161" i="14"/>
  <c r="C168" i="14"/>
  <c r="D168" i="14" s="1"/>
  <c r="Y161" i="14"/>
  <c r="T161" i="14"/>
  <c r="S161" i="14"/>
  <c r="R161" i="14"/>
  <c r="B161" i="14"/>
  <c r="AD161" i="14"/>
  <c r="K161" i="14"/>
  <c r="AN161" i="14"/>
  <c r="L161" i="14"/>
  <c r="AI161" i="14"/>
  <c r="G161" i="14"/>
  <c r="F161" i="14"/>
  <c r="N161" i="14"/>
  <c r="O161" i="14"/>
  <c r="H161" i="14"/>
  <c r="J161" i="14"/>
  <c r="M162" i="14"/>
  <c r="M153" i="14"/>
  <c r="F38" i="16" s="1"/>
  <c r="Q157" i="14"/>
  <c r="AI169" i="14"/>
  <c r="Y169" i="14"/>
  <c r="T169" i="14"/>
  <c r="S169" i="14"/>
  <c r="C4" i="19"/>
  <c r="R169" i="14"/>
  <c r="P169" i="14"/>
  <c r="C176" i="14"/>
  <c r="D176" i="14" s="1"/>
  <c r="O169" i="14"/>
  <c r="N169" i="14"/>
  <c r="L169" i="14"/>
  <c r="K169" i="14"/>
  <c r="J169" i="14"/>
  <c r="H169" i="14"/>
  <c r="G169" i="14"/>
  <c r="B169" i="14"/>
  <c r="B4" i="19" s="1"/>
  <c r="AD169" i="14"/>
  <c r="AN169" i="14"/>
  <c r="F169" i="14"/>
  <c r="I159" i="14"/>
  <c r="N164" i="14"/>
  <c r="AI164" i="14"/>
  <c r="C171" i="14"/>
  <c r="D171" i="14" s="1"/>
  <c r="Y164" i="14"/>
  <c r="T164" i="14"/>
  <c r="S164" i="14"/>
  <c r="R164" i="14"/>
  <c r="P164" i="14"/>
  <c r="O164" i="14"/>
  <c r="K164" i="14"/>
  <c r="F164" i="14"/>
  <c r="B164" i="14"/>
  <c r="AN164" i="14"/>
  <c r="AD164" i="14"/>
  <c r="J164" i="14"/>
  <c r="G164" i="14"/>
  <c r="L164" i="14"/>
  <c r="H164" i="14"/>
  <c r="M157" i="14"/>
  <c r="Y163" i="14"/>
  <c r="C170" i="14"/>
  <c r="D170" i="14" s="1"/>
  <c r="B163" i="14"/>
  <c r="AD163" i="14"/>
  <c r="S163" i="14"/>
  <c r="J163" i="14"/>
  <c r="N163" i="14"/>
  <c r="T163" i="14"/>
  <c r="O163" i="14"/>
  <c r="K163" i="14"/>
  <c r="AN163" i="14"/>
  <c r="L163" i="14"/>
  <c r="P163" i="14"/>
  <c r="R163" i="14"/>
  <c r="F163" i="14"/>
  <c r="AI163" i="14"/>
  <c r="G163" i="14"/>
  <c r="H163" i="14"/>
  <c r="C167" i="14"/>
  <c r="D167" i="14" s="1"/>
  <c r="Y160" i="14"/>
  <c r="T160" i="14"/>
  <c r="S160" i="14"/>
  <c r="R160" i="14"/>
  <c r="P160" i="14"/>
  <c r="O160" i="14"/>
  <c r="N160" i="14"/>
  <c r="B160" i="14"/>
  <c r="AD160" i="14"/>
  <c r="K160" i="14"/>
  <c r="AN160" i="14"/>
  <c r="L160" i="14"/>
  <c r="F160" i="14"/>
  <c r="AI160" i="14"/>
  <c r="G160" i="14"/>
  <c r="H160" i="14"/>
  <c r="J160" i="14"/>
  <c r="M154" i="14"/>
  <c r="AM21" i="14"/>
  <c r="AE22" i="14"/>
  <c r="AA23" i="14"/>
  <c r="AC23" i="14" s="1"/>
  <c r="AG24" i="14"/>
  <c r="AJ22" i="14"/>
  <c r="AF23" i="14"/>
  <c r="Z23" i="14"/>
  <c r="V24" i="14"/>
  <c r="AB24" i="14"/>
  <c r="AK22" i="14"/>
  <c r="AL23" i="14"/>
  <c r="AC22" i="14"/>
  <c r="W24" i="14"/>
  <c r="X23" i="14"/>
  <c r="M164" i="14" l="1"/>
  <c r="Q163" i="14"/>
  <c r="H38" i="16"/>
  <c r="Q169" i="14"/>
  <c r="I160" i="14"/>
  <c r="I164" i="14"/>
  <c r="E169" i="14"/>
  <c r="Q160" i="14"/>
  <c r="E164" i="14"/>
  <c r="E39" i="16"/>
  <c r="G39" i="16"/>
  <c r="M165" i="14"/>
  <c r="E165" i="14"/>
  <c r="I169" i="14"/>
  <c r="Q161" i="14"/>
  <c r="I165" i="14"/>
  <c r="N171" i="14"/>
  <c r="C6" i="19"/>
  <c r="S171" i="14"/>
  <c r="R171" i="14"/>
  <c r="P171" i="14"/>
  <c r="O171" i="14"/>
  <c r="K171" i="14"/>
  <c r="F171" i="14"/>
  <c r="B171" i="14"/>
  <c r="B6" i="19" s="1"/>
  <c r="AI171" i="14"/>
  <c r="Y171" i="14"/>
  <c r="C178" i="14"/>
  <c r="D178" i="14" s="1"/>
  <c r="T171" i="14"/>
  <c r="AD171" i="14"/>
  <c r="AN171" i="14"/>
  <c r="J171" i="14"/>
  <c r="L171" i="14"/>
  <c r="G171" i="14"/>
  <c r="H171" i="14"/>
  <c r="M169" i="14"/>
  <c r="M160" i="14"/>
  <c r="F39" i="16" s="1"/>
  <c r="P168" i="14"/>
  <c r="C3" i="19"/>
  <c r="B168" i="14"/>
  <c r="B3" i="19" s="1"/>
  <c r="C175" i="14"/>
  <c r="D175" i="14" s="1"/>
  <c r="Y168" i="14"/>
  <c r="T168" i="14"/>
  <c r="S168" i="14"/>
  <c r="R168" i="14"/>
  <c r="AD168" i="14"/>
  <c r="AN168" i="14"/>
  <c r="L168" i="14"/>
  <c r="F168" i="14"/>
  <c r="AI168" i="14"/>
  <c r="N168" i="14"/>
  <c r="G168" i="14"/>
  <c r="O168" i="14"/>
  <c r="J168" i="14"/>
  <c r="H168" i="14"/>
  <c r="K168" i="14"/>
  <c r="AI176" i="14"/>
  <c r="C11" i="19"/>
  <c r="Y176" i="14"/>
  <c r="T176" i="14"/>
  <c r="S176" i="14"/>
  <c r="R176" i="14"/>
  <c r="P176" i="14"/>
  <c r="O176" i="14"/>
  <c r="N176" i="14"/>
  <c r="C183" i="14"/>
  <c r="D183" i="14" s="1"/>
  <c r="L176" i="14"/>
  <c r="K176" i="14"/>
  <c r="J176" i="14"/>
  <c r="H176" i="14"/>
  <c r="G176" i="14"/>
  <c r="B176" i="14"/>
  <c r="B11" i="19" s="1"/>
  <c r="AD176" i="14"/>
  <c r="F176" i="14"/>
  <c r="AN176" i="14"/>
  <c r="M166" i="14"/>
  <c r="A143" i="19"/>
  <c r="A315" i="14"/>
  <c r="Q166" i="14"/>
  <c r="C174" i="14"/>
  <c r="D174" i="14" s="1"/>
  <c r="Y167" i="14"/>
  <c r="T167" i="14"/>
  <c r="S167" i="14"/>
  <c r="R167" i="14"/>
  <c r="P167" i="14"/>
  <c r="O167" i="14"/>
  <c r="N167" i="14"/>
  <c r="B167" i="14"/>
  <c r="AD167" i="14"/>
  <c r="G167" i="14"/>
  <c r="H167" i="14"/>
  <c r="J167" i="14"/>
  <c r="K167" i="14"/>
  <c r="AN167" i="14"/>
  <c r="L167" i="14"/>
  <c r="F167" i="14"/>
  <c r="AI167" i="14"/>
  <c r="I166" i="14"/>
  <c r="Q164" i="14"/>
  <c r="Y170" i="14"/>
  <c r="C177" i="14"/>
  <c r="D177" i="14" s="1"/>
  <c r="B170" i="14"/>
  <c r="B5" i="19" s="1"/>
  <c r="C5" i="19"/>
  <c r="AD170" i="14"/>
  <c r="G170" i="14"/>
  <c r="H170" i="14"/>
  <c r="S170" i="14"/>
  <c r="L170" i="14"/>
  <c r="P170" i="14"/>
  <c r="T170" i="14"/>
  <c r="AI170" i="14"/>
  <c r="N170" i="14"/>
  <c r="J170" i="14"/>
  <c r="K170" i="14"/>
  <c r="F170" i="14"/>
  <c r="AN170" i="14"/>
  <c r="O170" i="14"/>
  <c r="R170" i="14"/>
  <c r="E163" i="14"/>
  <c r="I161" i="14"/>
  <c r="E166" i="14"/>
  <c r="M161" i="14"/>
  <c r="E161" i="14"/>
  <c r="B172" i="14"/>
  <c r="B7" i="19" s="1"/>
  <c r="C7" i="19"/>
  <c r="AI172" i="14"/>
  <c r="Y172" i="14"/>
  <c r="T172" i="14"/>
  <c r="S172" i="14"/>
  <c r="R172" i="14"/>
  <c r="P172" i="14"/>
  <c r="O172" i="14"/>
  <c r="C179" i="14"/>
  <c r="D179" i="14" s="1"/>
  <c r="N172" i="14"/>
  <c r="L172" i="14"/>
  <c r="K172" i="14"/>
  <c r="J172" i="14"/>
  <c r="H172" i="14"/>
  <c r="G172" i="14"/>
  <c r="F172" i="14"/>
  <c r="AN172" i="14"/>
  <c r="AD172" i="14"/>
  <c r="T173" i="14"/>
  <c r="C8" i="19"/>
  <c r="C180" i="14"/>
  <c r="D180" i="14" s="1"/>
  <c r="AI173" i="14"/>
  <c r="Y173" i="14"/>
  <c r="K173" i="14"/>
  <c r="F173" i="14"/>
  <c r="AN173" i="14"/>
  <c r="AD173" i="14"/>
  <c r="P173" i="14"/>
  <c r="B173" i="14"/>
  <c r="B8" i="19" s="1"/>
  <c r="G173" i="14"/>
  <c r="H173" i="14"/>
  <c r="J173" i="14"/>
  <c r="R173" i="14"/>
  <c r="L173" i="14"/>
  <c r="S173" i="14"/>
  <c r="N173" i="14"/>
  <c r="O173" i="14"/>
  <c r="Q165" i="14"/>
  <c r="I163" i="14"/>
  <c r="M163" i="14"/>
  <c r="E160" i="14"/>
  <c r="D39" i="16" s="1"/>
  <c r="AK23" i="14"/>
  <c r="AO23" i="14" s="1"/>
  <c r="AM22" i="14"/>
  <c r="AO22" i="14"/>
  <c r="AB25" i="14"/>
  <c r="V25" i="14"/>
  <c r="Z24" i="14"/>
  <c r="AJ23" i="14"/>
  <c r="AF24" i="14"/>
  <c r="AH24" i="14" s="1"/>
  <c r="AG25" i="14"/>
  <c r="AL24" i="14"/>
  <c r="AH23" i="14"/>
  <c r="AE23" i="14"/>
  <c r="AA24" i="14"/>
  <c r="X24" i="14"/>
  <c r="W25" i="14"/>
  <c r="M168" i="14" l="1"/>
  <c r="Q170" i="14"/>
  <c r="M172" i="14"/>
  <c r="E171" i="14"/>
  <c r="M167" i="14"/>
  <c r="M170" i="14"/>
  <c r="Q167" i="14"/>
  <c r="E168" i="14"/>
  <c r="Q172" i="14"/>
  <c r="E176" i="14"/>
  <c r="H39" i="16"/>
  <c r="E172" i="14"/>
  <c r="F40" i="16"/>
  <c r="AI183" i="14"/>
  <c r="S183" i="14"/>
  <c r="C190" i="14"/>
  <c r="D190" i="14" s="1"/>
  <c r="R183" i="14"/>
  <c r="P183" i="14"/>
  <c r="O183" i="14"/>
  <c r="N183" i="14"/>
  <c r="L183" i="14"/>
  <c r="K183" i="14"/>
  <c r="J183" i="14"/>
  <c r="H183" i="14"/>
  <c r="G183" i="14"/>
  <c r="B183" i="14"/>
  <c r="B18" i="19" s="1"/>
  <c r="C18" i="19"/>
  <c r="Y183" i="14"/>
  <c r="T183" i="14"/>
  <c r="AN183" i="14"/>
  <c r="AD183" i="14"/>
  <c r="F183" i="14"/>
  <c r="M176" i="14"/>
  <c r="I167" i="14"/>
  <c r="E40" i="16"/>
  <c r="Q176" i="14"/>
  <c r="K180" i="14"/>
  <c r="C15" i="19"/>
  <c r="Y180" i="14"/>
  <c r="B180" i="14"/>
  <c r="B15" i="19" s="1"/>
  <c r="C187" i="14"/>
  <c r="D187" i="14" s="1"/>
  <c r="AD180" i="14"/>
  <c r="O180" i="14"/>
  <c r="T180" i="14"/>
  <c r="P180" i="14"/>
  <c r="F180" i="14"/>
  <c r="AN180" i="14"/>
  <c r="AI180" i="14"/>
  <c r="G180" i="14"/>
  <c r="H180" i="14"/>
  <c r="J180" i="14"/>
  <c r="L180" i="14"/>
  <c r="R180" i="14"/>
  <c r="S180" i="14"/>
  <c r="N180" i="14"/>
  <c r="E170" i="14"/>
  <c r="I171" i="14"/>
  <c r="I170" i="14"/>
  <c r="N178" i="14"/>
  <c r="C13" i="19"/>
  <c r="B178" i="14"/>
  <c r="B13" i="19" s="1"/>
  <c r="AI178" i="14"/>
  <c r="Y178" i="14"/>
  <c r="T178" i="14"/>
  <c r="S178" i="14"/>
  <c r="C185" i="14"/>
  <c r="D185" i="14" s="1"/>
  <c r="R178" i="14"/>
  <c r="P178" i="14"/>
  <c r="O178" i="14"/>
  <c r="K178" i="14"/>
  <c r="F178" i="14"/>
  <c r="AD178" i="14"/>
  <c r="AN178" i="14"/>
  <c r="G178" i="14"/>
  <c r="L178" i="14"/>
  <c r="H178" i="14"/>
  <c r="J178" i="14"/>
  <c r="I168" i="14"/>
  <c r="I172" i="14"/>
  <c r="C9" i="19"/>
  <c r="P174" i="14"/>
  <c r="O174" i="14"/>
  <c r="N174" i="14"/>
  <c r="B174" i="14"/>
  <c r="B9" i="19" s="1"/>
  <c r="Y174" i="14"/>
  <c r="T174" i="14"/>
  <c r="C181" i="14"/>
  <c r="D181" i="14" s="1"/>
  <c r="S174" i="14"/>
  <c r="R174" i="14"/>
  <c r="AD174" i="14"/>
  <c r="L174" i="14"/>
  <c r="F174" i="14"/>
  <c r="AI174" i="14"/>
  <c r="G174" i="14"/>
  <c r="H174" i="14"/>
  <c r="J174" i="14"/>
  <c r="K174" i="14"/>
  <c r="AN174" i="14"/>
  <c r="A150" i="19"/>
  <c r="A322" i="14"/>
  <c r="Q171" i="14"/>
  <c r="M173" i="14"/>
  <c r="Y177" i="14"/>
  <c r="C12" i="19"/>
  <c r="B177" i="14"/>
  <c r="B12" i="19" s="1"/>
  <c r="C184" i="14"/>
  <c r="D184" i="14" s="1"/>
  <c r="AD177" i="14"/>
  <c r="R177" i="14"/>
  <c r="G177" i="14"/>
  <c r="H177" i="14"/>
  <c r="S177" i="14"/>
  <c r="J177" i="14"/>
  <c r="AN177" i="14"/>
  <c r="P177" i="14"/>
  <c r="N177" i="14"/>
  <c r="T177" i="14"/>
  <c r="L177" i="14"/>
  <c r="O177" i="14"/>
  <c r="K177" i="14"/>
  <c r="AI177" i="14"/>
  <c r="F177" i="14"/>
  <c r="Q168" i="14"/>
  <c r="B179" i="14"/>
  <c r="B14" i="19" s="1"/>
  <c r="C14" i="19"/>
  <c r="AI179" i="14"/>
  <c r="Y179" i="14"/>
  <c r="T179" i="14"/>
  <c r="S179" i="14"/>
  <c r="R179" i="14"/>
  <c r="P179" i="14"/>
  <c r="O179" i="14"/>
  <c r="N179" i="14"/>
  <c r="L179" i="14"/>
  <c r="C186" i="14"/>
  <c r="D186" i="14" s="1"/>
  <c r="K179" i="14"/>
  <c r="J179" i="14"/>
  <c r="H179" i="14"/>
  <c r="G179" i="14"/>
  <c r="F179" i="14"/>
  <c r="AD179" i="14"/>
  <c r="AN179" i="14"/>
  <c r="M171" i="14"/>
  <c r="I173" i="14"/>
  <c r="E173" i="14"/>
  <c r="G40" i="16"/>
  <c r="Q173" i="14"/>
  <c r="I176" i="14"/>
  <c r="P175" i="14"/>
  <c r="C10" i="19"/>
  <c r="C182" i="14"/>
  <c r="D182" i="14" s="1"/>
  <c r="Y175" i="14"/>
  <c r="T175" i="14"/>
  <c r="S175" i="14"/>
  <c r="R175" i="14"/>
  <c r="B175" i="14"/>
  <c r="B10" i="19" s="1"/>
  <c r="AD175" i="14"/>
  <c r="N175" i="14"/>
  <c r="J175" i="14"/>
  <c r="O175" i="14"/>
  <c r="F175" i="14"/>
  <c r="H175" i="14"/>
  <c r="K175" i="14"/>
  <c r="AN175" i="14"/>
  <c r="L175" i="14"/>
  <c r="AI175" i="14"/>
  <c r="G175" i="14"/>
  <c r="E167" i="14"/>
  <c r="D40" i="16" s="1"/>
  <c r="AM23" i="14"/>
  <c r="AA25" i="14"/>
  <c r="AC25" i="14" s="1"/>
  <c r="AE24" i="14"/>
  <c r="AG26" i="14"/>
  <c r="AJ24" i="14"/>
  <c r="AF25" i="14"/>
  <c r="AL25" i="14"/>
  <c r="V26" i="14"/>
  <c r="Z25" i="14"/>
  <c r="AK24" i="14"/>
  <c r="AB26" i="14"/>
  <c r="AC24" i="14"/>
  <c r="W26" i="14"/>
  <c r="X25" i="14"/>
  <c r="I178" i="14" l="1"/>
  <c r="AK25" i="14"/>
  <c r="AO25" i="14" s="1"/>
  <c r="I179" i="14"/>
  <c r="Q179" i="14"/>
  <c r="Q183" i="14"/>
  <c r="M178" i="14"/>
  <c r="Q177" i="14"/>
  <c r="E175" i="14"/>
  <c r="I175" i="14"/>
  <c r="Q175" i="14"/>
  <c r="E177" i="14"/>
  <c r="E174" i="14"/>
  <c r="D41" i="16" s="1"/>
  <c r="Q174" i="14"/>
  <c r="G41" i="16" s="1"/>
  <c r="H40" i="16"/>
  <c r="M177" i="14"/>
  <c r="C16" i="19"/>
  <c r="C188" i="14"/>
  <c r="D188" i="14" s="1"/>
  <c r="Y181" i="14"/>
  <c r="T181" i="14"/>
  <c r="S181" i="14"/>
  <c r="R181" i="14"/>
  <c r="P181" i="14"/>
  <c r="O181" i="14"/>
  <c r="N181" i="14"/>
  <c r="B181" i="14"/>
  <c r="B16" i="19" s="1"/>
  <c r="AD181" i="14"/>
  <c r="J181" i="14"/>
  <c r="K181" i="14"/>
  <c r="F181" i="14"/>
  <c r="AN181" i="14"/>
  <c r="AI181" i="14"/>
  <c r="L181" i="14"/>
  <c r="G181" i="14"/>
  <c r="H181" i="14"/>
  <c r="E183" i="14"/>
  <c r="I177" i="14"/>
  <c r="E179" i="14"/>
  <c r="M174" i="14"/>
  <c r="F41" i="16" s="1"/>
  <c r="M180" i="14"/>
  <c r="Q180" i="14"/>
  <c r="B186" i="14"/>
  <c r="B21" i="19" s="1"/>
  <c r="C21" i="19"/>
  <c r="T186" i="14"/>
  <c r="C193" i="14"/>
  <c r="D193" i="14" s="1"/>
  <c r="S186" i="14"/>
  <c r="R186" i="14"/>
  <c r="P186" i="14"/>
  <c r="O186" i="14"/>
  <c r="N186" i="14"/>
  <c r="L186" i="14"/>
  <c r="K186" i="14"/>
  <c r="J186" i="14"/>
  <c r="H186" i="14"/>
  <c r="G186" i="14"/>
  <c r="F186" i="14"/>
  <c r="AI186" i="14"/>
  <c r="Y186" i="14"/>
  <c r="AD186" i="14"/>
  <c r="AN186" i="14"/>
  <c r="Y184" i="14"/>
  <c r="C191" i="14"/>
  <c r="D191" i="14" s="1"/>
  <c r="C19" i="19"/>
  <c r="B184" i="14"/>
  <c r="B19" i="19" s="1"/>
  <c r="AD184" i="14"/>
  <c r="L184" i="14"/>
  <c r="K184" i="14"/>
  <c r="O184" i="14"/>
  <c r="H184" i="14"/>
  <c r="P184" i="14"/>
  <c r="R184" i="14"/>
  <c r="F184" i="14"/>
  <c r="J184" i="14"/>
  <c r="S184" i="14"/>
  <c r="AN184" i="14"/>
  <c r="AI184" i="14"/>
  <c r="T184" i="14"/>
  <c r="N184" i="14"/>
  <c r="M184" i="14" s="1"/>
  <c r="G184" i="14"/>
  <c r="I180" i="14"/>
  <c r="M179" i="14"/>
  <c r="I183" i="14"/>
  <c r="M183" i="14"/>
  <c r="E180" i="14"/>
  <c r="M175" i="14"/>
  <c r="E178" i="14"/>
  <c r="C25" i="19"/>
  <c r="F190" i="14"/>
  <c r="B190" i="14"/>
  <c r="B25" i="19" s="1"/>
  <c r="AI190" i="14"/>
  <c r="Y190" i="14"/>
  <c r="T190" i="14"/>
  <c r="S190" i="14"/>
  <c r="C197" i="14"/>
  <c r="D197" i="14" s="1"/>
  <c r="R190" i="14"/>
  <c r="P190" i="14"/>
  <c r="O190" i="14"/>
  <c r="N190" i="14"/>
  <c r="L190" i="14"/>
  <c r="K190" i="14"/>
  <c r="J190" i="14"/>
  <c r="H190" i="14"/>
  <c r="G190" i="14"/>
  <c r="AD190" i="14"/>
  <c r="AN190" i="14"/>
  <c r="A329" i="14"/>
  <c r="A157" i="19"/>
  <c r="T187" i="14"/>
  <c r="C22" i="19"/>
  <c r="C194" i="14"/>
  <c r="D194" i="14" s="1"/>
  <c r="AI187" i="14"/>
  <c r="Y187" i="14"/>
  <c r="K187" i="14"/>
  <c r="F187" i="14"/>
  <c r="B187" i="14"/>
  <c r="B22" i="19" s="1"/>
  <c r="AD187" i="14"/>
  <c r="L187" i="14"/>
  <c r="S187" i="14"/>
  <c r="N187" i="14"/>
  <c r="O187" i="14"/>
  <c r="P187" i="14"/>
  <c r="AN187" i="14"/>
  <c r="G187" i="14"/>
  <c r="H187" i="14"/>
  <c r="R187" i="14"/>
  <c r="J187" i="14"/>
  <c r="P182" i="14"/>
  <c r="C17" i="19"/>
  <c r="C189" i="14"/>
  <c r="D189" i="14" s="1"/>
  <c r="Y182" i="14"/>
  <c r="T182" i="14"/>
  <c r="S182" i="14"/>
  <c r="R182" i="14"/>
  <c r="B182" i="14"/>
  <c r="B17" i="19" s="1"/>
  <c r="AD182" i="14"/>
  <c r="F182" i="14"/>
  <c r="AI182" i="14"/>
  <c r="G182" i="14"/>
  <c r="N182" i="14"/>
  <c r="O182" i="14"/>
  <c r="H182" i="14"/>
  <c r="J182" i="14"/>
  <c r="K182" i="14"/>
  <c r="AN182" i="14"/>
  <c r="L182" i="14"/>
  <c r="I174" i="14"/>
  <c r="E41" i="16" s="1"/>
  <c r="Q178" i="14"/>
  <c r="N185" i="14"/>
  <c r="C20" i="19"/>
  <c r="C192" i="14"/>
  <c r="D192" i="14" s="1"/>
  <c r="AI185" i="14"/>
  <c r="Y185" i="14"/>
  <c r="T185" i="14"/>
  <c r="S185" i="14"/>
  <c r="R185" i="14"/>
  <c r="P185" i="14"/>
  <c r="O185" i="14"/>
  <c r="K185" i="14"/>
  <c r="F185" i="14"/>
  <c r="B185" i="14"/>
  <c r="B20" i="19" s="1"/>
  <c r="AD185" i="14"/>
  <c r="AN185" i="14"/>
  <c r="L185" i="14"/>
  <c r="G185" i="14"/>
  <c r="H185" i="14"/>
  <c r="J185" i="14"/>
  <c r="AB27" i="14"/>
  <c r="AM24" i="14"/>
  <c r="AO24" i="14"/>
  <c r="V27" i="14"/>
  <c r="Z26" i="14"/>
  <c r="AM25" i="14"/>
  <c r="AJ25" i="14"/>
  <c r="AF26" i="14"/>
  <c r="AH26" i="14" s="1"/>
  <c r="AL26" i="14"/>
  <c r="AG27" i="14"/>
  <c r="AH25" i="14"/>
  <c r="AA26" i="14"/>
  <c r="AE25" i="14"/>
  <c r="X26" i="14"/>
  <c r="W27" i="14"/>
  <c r="E186" i="14" l="1"/>
  <c r="I187" i="14"/>
  <c r="Q190" i="14"/>
  <c r="Q185" i="14"/>
  <c r="Q186" i="14"/>
  <c r="E181" i="14"/>
  <c r="I190" i="14"/>
  <c r="Q187" i="14"/>
  <c r="I182" i="14"/>
  <c r="D42" i="16"/>
  <c r="E185" i="14"/>
  <c r="I181" i="14"/>
  <c r="E42" i="16" s="1"/>
  <c r="M181" i="14"/>
  <c r="M190" i="14"/>
  <c r="O189" i="14"/>
  <c r="C24" i="19"/>
  <c r="Y189" i="14"/>
  <c r="T189" i="14"/>
  <c r="S189" i="14"/>
  <c r="R189" i="14"/>
  <c r="P189" i="14"/>
  <c r="B189" i="14"/>
  <c r="B24" i="19" s="1"/>
  <c r="C196" i="14"/>
  <c r="D196" i="14" s="1"/>
  <c r="AD189" i="14"/>
  <c r="F189" i="14"/>
  <c r="H189" i="14"/>
  <c r="K189" i="14"/>
  <c r="AN189" i="14"/>
  <c r="L189" i="14"/>
  <c r="AI189" i="14"/>
  <c r="G189" i="14"/>
  <c r="N189" i="14"/>
  <c r="J189" i="14"/>
  <c r="E187" i="14"/>
  <c r="AI197" i="14"/>
  <c r="Y197" i="14"/>
  <c r="T197" i="14"/>
  <c r="S197" i="14"/>
  <c r="R197" i="14"/>
  <c r="C204" i="14"/>
  <c r="D204" i="14" s="1"/>
  <c r="P197" i="14"/>
  <c r="O197" i="14"/>
  <c r="N197" i="14"/>
  <c r="L197" i="14"/>
  <c r="K197" i="14"/>
  <c r="J197" i="14"/>
  <c r="H197" i="14"/>
  <c r="G197" i="14"/>
  <c r="B197" i="14"/>
  <c r="B32" i="19" s="1"/>
  <c r="C32" i="19"/>
  <c r="AN197" i="14"/>
  <c r="AD197" i="14"/>
  <c r="F197" i="14"/>
  <c r="Q182" i="14"/>
  <c r="M187" i="14"/>
  <c r="N192" i="14"/>
  <c r="C27" i="19"/>
  <c r="AI192" i="14"/>
  <c r="C199" i="14"/>
  <c r="D199" i="14" s="1"/>
  <c r="Y192" i="14"/>
  <c r="T192" i="14"/>
  <c r="S192" i="14"/>
  <c r="R192" i="14"/>
  <c r="P192" i="14"/>
  <c r="O192" i="14"/>
  <c r="K192" i="14"/>
  <c r="F192" i="14"/>
  <c r="B192" i="14"/>
  <c r="B27" i="19" s="1"/>
  <c r="AN192" i="14"/>
  <c r="AD192" i="14"/>
  <c r="J192" i="14"/>
  <c r="L192" i="14"/>
  <c r="G192" i="14"/>
  <c r="H192" i="14"/>
  <c r="M185" i="14"/>
  <c r="Y191" i="14"/>
  <c r="C26" i="19"/>
  <c r="C198" i="14"/>
  <c r="D198" i="14" s="1"/>
  <c r="B191" i="14"/>
  <c r="B26" i="19" s="1"/>
  <c r="S191" i="14"/>
  <c r="AD191" i="14"/>
  <c r="AI191" i="14"/>
  <c r="P191" i="14"/>
  <c r="K191" i="14"/>
  <c r="T191" i="14"/>
  <c r="N191" i="14"/>
  <c r="L191" i="14"/>
  <c r="O191" i="14"/>
  <c r="F191" i="14"/>
  <c r="G191" i="14"/>
  <c r="H191" i="14"/>
  <c r="J191" i="14"/>
  <c r="AN191" i="14"/>
  <c r="R191" i="14"/>
  <c r="E190" i="14"/>
  <c r="I185" i="14"/>
  <c r="A164" i="19"/>
  <c r="A336" i="14"/>
  <c r="F42" i="16"/>
  <c r="M182" i="14"/>
  <c r="T194" i="14"/>
  <c r="C29" i="19"/>
  <c r="C201" i="14"/>
  <c r="D201" i="14" s="1"/>
  <c r="AI194" i="14"/>
  <c r="Y194" i="14"/>
  <c r="K194" i="14"/>
  <c r="F194" i="14"/>
  <c r="B194" i="14"/>
  <c r="B29" i="19" s="1"/>
  <c r="AN194" i="14"/>
  <c r="P194" i="14"/>
  <c r="G194" i="14"/>
  <c r="AD194" i="14"/>
  <c r="H194" i="14"/>
  <c r="J194" i="14"/>
  <c r="L194" i="14"/>
  <c r="R194" i="14"/>
  <c r="S194" i="14"/>
  <c r="N194" i="14"/>
  <c r="O194" i="14"/>
  <c r="H41" i="16"/>
  <c r="I186" i="14"/>
  <c r="E182" i="14"/>
  <c r="M186" i="14"/>
  <c r="Q181" i="14"/>
  <c r="G42" i="16" s="1"/>
  <c r="I184" i="14"/>
  <c r="B193" i="14"/>
  <c r="B28" i="19" s="1"/>
  <c r="C28" i="19"/>
  <c r="F193" i="14"/>
  <c r="AI193" i="14"/>
  <c r="Y193" i="14"/>
  <c r="T193" i="14"/>
  <c r="S193" i="14"/>
  <c r="R193" i="14"/>
  <c r="P193" i="14"/>
  <c r="C200" i="14"/>
  <c r="D200" i="14" s="1"/>
  <c r="O193" i="14"/>
  <c r="N193" i="14"/>
  <c r="L193" i="14"/>
  <c r="K193" i="14"/>
  <c r="J193" i="14"/>
  <c r="H193" i="14"/>
  <c r="G193" i="14"/>
  <c r="AN193" i="14"/>
  <c r="AD193" i="14"/>
  <c r="E184" i="14"/>
  <c r="C23" i="19"/>
  <c r="C195" i="14"/>
  <c r="D195" i="14" s="1"/>
  <c r="Y188" i="14"/>
  <c r="T188" i="14"/>
  <c r="S188" i="14"/>
  <c r="R188" i="14"/>
  <c r="P188" i="14"/>
  <c r="O188" i="14"/>
  <c r="N188" i="14"/>
  <c r="B188" i="14"/>
  <c r="B23" i="19" s="1"/>
  <c r="AD188" i="14"/>
  <c r="J188" i="14"/>
  <c r="K188" i="14"/>
  <c r="AN188" i="14"/>
  <c r="L188" i="14"/>
  <c r="F188" i="14"/>
  <c r="AI188" i="14"/>
  <c r="G188" i="14"/>
  <c r="H188" i="14"/>
  <c r="Q184" i="14"/>
  <c r="AE26" i="14"/>
  <c r="AA27" i="14"/>
  <c r="AC27" i="14" s="1"/>
  <c r="AG28" i="14"/>
  <c r="AJ26" i="14"/>
  <c r="AF27" i="14"/>
  <c r="AH27" i="14" s="1"/>
  <c r="AL27" i="14"/>
  <c r="Z27" i="14"/>
  <c r="V28" i="14"/>
  <c r="AK26" i="14"/>
  <c r="AO26" i="14" s="1"/>
  <c r="AB28" i="14"/>
  <c r="AC26" i="14"/>
  <c r="X27" i="14"/>
  <c r="W28" i="14"/>
  <c r="M197" i="14" l="1"/>
  <c r="Q191" i="14"/>
  <c r="I192" i="14"/>
  <c r="I191" i="14"/>
  <c r="E191" i="14"/>
  <c r="Q194" i="14"/>
  <c r="I188" i="14"/>
  <c r="E43" i="16" s="1"/>
  <c r="M188" i="14"/>
  <c r="Q197" i="14"/>
  <c r="H42" i="16"/>
  <c r="Q188" i="14"/>
  <c r="G43" i="16" s="1"/>
  <c r="AI204" i="14"/>
  <c r="C39" i="19"/>
  <c r="T204" i="14"/>
  <c r="S204" i="14"/>
  <c r="C211" i="14"/>
  <c r="D211" i="14" s="1"/>
  <c r="R204" i="14"/>
  <c r="P204" i="14"/>
  <c r="O204" i="14"/>
  <c r="N204" i="14"/>
  <c r="L204" i="14"/>
  <c r="K204" i="14"/>
  <c r="J204" i="14"/>
  <c r="H204" i="14"/>
  <c r="G204" i="14"/>
  <c r="B204" i="14"/>
  <c r="B39" i="19" s="1"/>
  <c r="Y204" i="14"/>
  <c r="AN204" i="14"/>
  <c r="AD204" i="14"/>
  <c r="F204" i="14"/>
  <c r="E192" i="14"/>
  <c r="M194" i="14"/>
  <c r="Q192" i="14"/>
  <c r="I189" i="14"/>
  <c r="M189" i="14"/>
  <c r="I194" i="14"/>
  <c r="N199" i="14"/>
  <c r="C34" i="19"/>
  <c r="O199" i="14"/>
  <c r="K199" i="14"/>
  <c r="F199" i="14"/>
  <c r="B199" i="14"/>
  <c r="B34" i="19" s="1"/>
  <c r="AI199" i="14"/>
  <c r="C206" i="14"/>
  <c r="D206" i="14" s="1"/>
  <c r="Y199" i="14"/>
  <c r="T199" i="14"/>
  <c r="S199" i="14"/>
  <c r="R199" i="14"/>
  <c r="P199" i="14"/>
  <c r="AD199" i="14"/>
  <c r="AN199" i="14"/>
  <c r="G199" i="14"/>
  <c r="H199" i="14"/>
  <c r="J199" i="14"/>
  <c r="L199" i="14"/>
  <c r="M191" i="14"/>
  <c r="I193" i="14"/>
  <c r="M192" i="14"/>
  <c r="M193" i="14"/>
  <c r="E197" i="14"/>
  <c r="E189" i="14"/>
  <c r="B200" i="14"/>
  <c r="B35" i="19" s="1"/>
  <c r="C35" i="19"/>
  <c r="AI200" i="14"/>
  <c r="Y200" i="14"/>
  <c r="T200" i="14"/>
  <c r="S200" i="14"/>
  <c r="R200" i="14"/>
  <c r="P200" i="14"/>
  <c r="C207" i="14"/>
  <c r="D207" i="14" s="1"/>
  <c r="O200" i="14"/>
  <c r="N200" i="14"/>
  <c r="L200" i="14"/>
  <c r="K200" i="14"/>
  <c r="J200" i="14"/>
  <c r="H200" i="14"/>
  <c r="G200" i="14"/>
  <c r="F200" i="14"/>
  <c r="AD200" i="14"/>
  <c r="AN200" i="14"/>
  <c r="E194" i="14"/>
  <c r="P196" i="14"/>
  <c r="C31" i="19"/>
  <c r="C203" i="14"/>
  <c r="D203" i="14" s="1"/>
  <c r="Y196" i="14"/>
  <c r="T196" i="14"/>
  <c r="S196" i="14"/>
  <c r="R196" i="14"/>
  <c r="B196" i="14"/>
  <c r="B31" i="19" s="1"/>
  <c r="AD196" i="14"/>
  <c r="O196" i="14"/>
  <c r="J196" i="14"/>
  <c r="F196" i="14"/>
  <c r="H196" i="14"/>
  <c r="K196" i="14"/>
  <c r="AN196" i="14"/>
  <c r="L196" i="14"/>
  <c r="AI196" i="14"/>
  <c r="G196" i="14"/>
  <c r="N196" i="14"/>
  <c r="E188" i="14"/>
  <c r="D43" i="16" s="1"/>
  <c r="Q193" i="14"/>
  <c r="Y198" i="14"/>
  <c r="B198" i="14"/>
  <c r="B33" i="19" s="1"/>
  <c r="C33" i="19"/>
  <c r="C205" i="14"/>
  <c r="D205" i="14" s="1"/>
  <c r="AD198" i="14"/>
  <c r="F198" i="14"/>
  <c r="R198" i="14"/>
  <c r="S198" i="14"/>
  <c r="L198" i="14"/>
  <c r="P198" i="14"/>
  <c r="G198" i="14"/>
  <c r="AI198" i="14"/>
  <c r="T198" i="14"/>
  <c r="H198" i="14"/>
  <c r="J198" i="14"/>
  <c r="N198" i="14"/>
  <c r="K198" i="14"/>
  <c r="AN198" i="14"/>
  <c r="O198" i="14"/>
  <c r="T201" i="14"/>
  <c r="C36" i="19"/>
  <c r="AI201" i="14"/>
  <c r="Y201" i="14"/>
  <c r="K201" i="14"/>
  <c r="F201" i="14"/>
  <c r="B201" i="14"/>
  <c r="B36" i="19" s="1"/>
  <c r="C208" i="14"/>
  <c r="D208" i="14" s="1"/>
  <c r="AD201" i="14"/>
  <c r="AN201" i="14"/>
  <c r="N201" i="14"/>
  <c r="O201" i="14"/>
  <c r="P201" i="14"/>
  <c r="G201" i="14"/>
  <c r="H201" i="14"/>
  <c r="J201" i="14"/>
  <c r="R201" i="14"/>
  <c r="L201" i="14"/>
  <c r="S201" i="14"/>
  <c r="Q189" i="14"/>
  <c r="I197" i="14"/>
  <c r="E193" i="14"/>
  <c r="F43" i="16"/>
  <c r="C30" i="19"/>
  <c r="Y195" i="14"/>
  <c r="T195" i="14"/>
  <c r="S195" i="14"/>
  <c r="R195" i="14"/>
  <c r="P195" i="14"/>
  <c r="O195" i="14"/>
  <c r="N195" i="14"/>
  <c r="B195" i="14"/>
  <c r="B30" i="19" s="1"/>
  <c r="C202" i="14"/>
  <c r="D202" i="14" s="1"/>
  <c r="AD195" i="14"/>
  <c r="F195" i="14"/>
  <c r="AI195" i="14"/>
  <c r="G195" i="14"/>
  <c r="H195" i="14"/>
  <c r="J195" i="14"/>
  <c r="K195" i="14"/>
  <c r="AN195" i="14"/>
  <c r="L195" i="14"/>
  <c r="A171" i="19"/>
  <c r="A343" i="14"/>
  <c r="AK27" i="14"/>
  <c r="AO27" i="14" s="1"/>
  <c r="AB29" i="14"/>
  <c r="V29" i="14"/>
  <c r="Z28" i="14"/>
  <c r="AJ27" i="14"/>
  <c r="AF28" i="14"/>
  <c r="AH28" i="14" s="1"/>
  <c r="AL28" i="14"/>
  <c r="AG29" i="14"/>
  <c r="AM26" i="14"/>
  <c r="AE27" i="14"/>
  <c r="AA28" i="14"/>
  <c r="W29" i="14"/>
  <c r="X28" i="14"/>
  <c r="M195" i="14" l="1"/>
  <c r="F44" i="16" s="1"/>
  <c r="Q201" i="14"/>
  <c r="M196" i="14"/>
  <c r="I201" i="14"/>
  <c r="Q195" i="14"/>
  <c r="Q199" i="14"/>
  <c r="M201" i="14"/>
  <c r="I195" i="14"/>
  <c r="I204" i="14"/>
  <c r="Q200" i="14"/>
  <c r="M198" i="14"/>
  <c r="I198" i="14"/>
  <c r="H43" i="16"/>
  <c r="Q196" i="14"/>
  <c r="E44" i="16"/>
  <c r="G44" i="16"/>
  <c r="P203" i="14"/>
  <c r="C38" i="19"/>
  <c r="C210" i="14"/>
  <c r="D210" i="14" s="1"/>
  <c r="Y203" i="14"/>
  <c r="T203" i="14"/>
  <c r="S203" i="14"/>
  <c r="R203" i="14"/>
  <c r="B203" i="14"/>
  <c r="B38" i="19" s="1"/>
  <c r="AD203" i="14"/>
  <c r="F203" i="14"/>
  <c r="AI203" i="14"/>
  <c r="N203" i="14"/>
  <c r="G203" i="14"/>
  <c r="O203" i="14"/>
  <c r="J203" i="14"/>
  <c r="H203" i="14"/>
  <c r="K203" i="14"/>
  <c r="AN203" i="14"/>
  <c r="L203" i="14"/>
  <c r="E204" i="14"/>
  <c r="Q198" i="14"/>
  <c r="I199" i="14"/>
  <c r="A178" i="19"/>
  <c r="A350" i="14"/>
  <c r="E198" i="14"/>
  <c r="Y205" i="14"/>
  <c r="C40" i="19"/>
  <c r="C212" i="14"/>
  <c r="D212" i="14" s="1"/>
  <c r="B205" i="14"/>
  <c r="B40" i="19" s="1"/>
  <c r="AD205" i="14"/>
  <c r="J205" i="14"/>
  <c r="N205" i="14"/>
  <c r="AN205" i="14"/>
  <c r="F205" i="14"/>
  <c r="G205" i="14"/>
  <c r="K205" i="14"/>
  <c r="L205" i="14"/>
  <c r="O205" i="14"/>
  <c r="H205" i="14"/>
  <c r="R205" i="14"/>
  <c r="S205" i="14"/>
  <c r="P205" i="14"/>
  <c r="AI205" i="14"/>
  <c r="T205" i="14"/>
  <c r="E200" i="14"/>
  <c r="I200" i="14"/>
  <c r="M204" i="14"/>
  <c r="M200" i="14"/>
  <c r="E201" i="14"/>
  <c r="N206" i="14"/>
  <c r="C41" i="19"/>
  <c r="C213" i="14"/>
  <c r="D213" i="14" s="1"/>
  <c r="AI206" i="14"/>
  <c r="Y206" i="14"/>
  <c r="T206" i="14"/>
  <c r="S206" i="14"/>
  <c r="R206" i="14"/>
  <c r="P206" i="14"/>
  <c r="O206" i="14"/>
  <c r="K206" i="14"/>
  <c r="F206" i="14"/>
  <c r="B206" i="14"/>
  <c r="B41" i="19" s="1"/>
  <c r="AN206" i="14"/>
  <c r="J206" i="14"/>
  <c r="L206" i="14"/>
  <c r="G206" i="14"/>
  <c r="H206" i="14"/>
  <c r="AD206" i="14"/>
  <c r="Q204" i="14"/>
  <c r="E195" i="14"/>
  <c r="D44" i="16" s="1"/>
  <c r="C37" i="19"/>
  <c r="B202" i="14"/>
  <c r="B37" i="19" s="1"/>
  <c r="C209" i="14"/>
  <c r="D209" i="14" s="1"/>
  <c r="Y202" i="14"/>
  <c r="T202" i="14"/>
  <c r="S202" i="14"/>
  <c r="R202" i="14"/>
  <c r="P202" i="14"/>
  <c r="O202" i="14"/>
  <c r="N202" i="14"/>
  <c r="AD202" i="14"/>
  <c r="J202" i="14"/>
  <c r="K202" i="14"/>
  <c r="AN202" i="14"/>
  <c r="L202" i="14"/>
  <c r="F202" i="14"/>
  <c r="AI202" i="14"/>
  <c r="G202" i="14"/>
  <c r="H202" i="14"/>
  <c r="B207" i="14"/>
  <c r="B42" i="19" s="1"/>
  <c r="C42" i="19"/>
  <c r="Y207" i="14"/>
  <c r="T207" i="14"/>
  <c r="C214" i="14"/>
  <c r="D214" i="14" s="1"/>
  <c r="S207" i="14"/>
  <c r="R207" i="14"/>
  <c r="P207" i="14"/>
  <c r="O207" i="14"/>
  <c r="N207" i="14"/>
  <c r="L207" i="14"/>
  <c r="K207" i="14"/>
  <c r="J207" i="14"/>
  <c r="H207" i="14"/>
  <c r="G207" i="14"/>
  <c r="F207" i="14"/>
  <c r="AI207" i="14"/>
  <c r="AN207" i="14"/>
  <c r="AD207" i="14"/>
  <c r="G211" i="14"/>
  <c r="F211" i="14"/>
  <c r="B211" i="14"/>
  <c r="B46" i="19" s="1"/>
  <c r="AI211" i="14"/>
  <c r="Y211" i="14"/>
  <c r="T211" i="14"/>
  <c r="S211" i="14"/>
  <c r="R211" i="14"/>
  <c r="C218" i="14"/>
  <c r="D218" i="14" s="1"/>
  <c r="P211" i="14"/>
  <c r="O211" i="14"/>
  <c r="N211" i="14"/>
  <c r="L211" i="14"/>
  <c r="C46" i="19"/>
  <c r="K211" i="14"/>
  <c r="J211" i="14"/>
  <c r="H211" i="14"/>
  <c r="AD211" i="14"/>
  <c r="AN211" i="14"/>
  <c r="E199" i="14"/>
  <c r="E196" i="14"/>
  <c r="I196" i="14"/>
  <c r="M199" i="14"/>
  <c r="T208" i="14"/>
  <c r="C43" i="19"/>
  <c r="C215" i="14"/>
  <c r="D215" i="14" s="1"/>
  <c r="AI208" i="14"/>
  <c r="Y208" i="14"/>
  <c r="K208" i="14"/>
  <c r="F208" i="14"/>
  <c r="B208" i="14"/>
  <c r="B43" i="19" s="1"/>
  <c r="AN208" i="14"/>
  <c r="AD208" i="14"/>
  <c r="J208" i="14"/>
  <c r="R208" i="14"/>
  <c r="L208" i="14"/>
  <c r="S208" i="14"/>
  <c r="N208" i="14"/>
  <c r="O208" i="14"/>
  <c r="P208" i="14"/>
  <c r="G208" i="14"/>
  <c r="H208" i="14"/>
  <c r="AM27" i="14"/>
  <c r="AE28" i="14"/>
  <c r="AA29" i="14"/>
  <c r="AC29" i="14" s="1"/>
  <c r="AG30" i="14"/>
  <c r="AL29" i="14"/>
  <c r="AK28" i="14"/>
  <c r="AJ28" i="14"/>
  <c r="AF29" i="14"/>
  <c r="AB30" i="14"/>
  <c r="Z29" i="14"/>
  <c r="V30" i="14"/>
  <c r="AC28" i="14"/>
  <c r="X29" i="14"/>
  <c r="W30" i="14"/>
  <c r="Q211" i="14" l="1"/>
  <c r="I211" i="14"/>
  <c r="Q205" i="14"/>
  <c r="M211" i="14"/>
  <c r="M205" i="14"/>
  <c r="M207" i="14"/>
  <c r="M203" i="14"/>
  <c r="E203" i="14"/>
  <c r="I206" i="14"/>
  <c r="E207" i="14"/>
  <c r="Q202" i="14"/>
  <c r="I208" i="14"/>
  <c r="T215" i="14"/>
  <c r="C50" i="19"/>
  <c r="C222" i="14"/>
  <c r="D222" i="14" s="1"/>
  <c r="AI215" i="14"/>
  <c r="Y215" i="14"/>
  <c r="F215" i="14"/>
  <c r="B215" i="14"/>
  <c r="B50" i="19" s="1"/>
  <c r="AD215" i="14"/>
  <c r="G215" i="14"/>
  <c r="K215" i="14"/>
  <c r="H215" i="14"/>
  <c r="J215" i="14"/>
  <c r="L215" i="14"/>
  <c r="R215" i="14"/>
  <c r="AN215" i="14"/>
  <c r="S215" i="14"/>
  <c r="N215" i="14"/>
  <c r="O215" i="14"/>
  <c r="P215" i="14"/>
  <c r="M206" i="14"/>
  <c r="I207" i="14"/>
  <c r="Q208" i="14"/>
  <c r="B214" i="14"/>
  <c r="B49" i="19" s="1"/>
  <c r="C49" i="19"/>
  <c r="G214" i="14"/>
  <c r="F214" i="14"/>
  <c r="AI214" i="14"/>
  <c r="Y214" i="14"/>
  <c r="T214" i="14"/>
  <c r="S214" i="14"/>
  <c r="R214" i="14"/>
  <c r="P214" i="14"/>
  <c r="O214" i="14"/>
  <c r="C221" i="14"/>
  <c r="D221" i="14" s="1"/>
  <c r="N214" i="14"/>
  <c r="L214" i="14"/>
  <c r="K214" i="14"/>
  <c r="J214" i="14"/>
  <c r="H214" i="14"/>
  <c r="AD214" i="14"/>
  <c r="AN214" i="14"/>
  <c r="C44" i="19"/>
  <c r="C216" i="14"/>
  <c r="D216" i="14" s="1"/>
  <c r="Y209" i="14"/>
  <c r="T209" i="14"/>
  <c r="S209" i="14"/>
  <c r="R209" i="14"/>
  <c r="P209" i="14"/>
  <c r="O209" i="14"/>
  <c r="N209" i="14"/>
  <c r="B209" i="14"/>
  <c r="B44" i="19" s="1"/>
  <c r="AD209" i="14"/>
  <c r="H209" i="14"/>
  <c r="J209" i="14"/>
  <c r="K209" i="14"/>
  <c r="AN209" i="14"/>
  <c r="L209" i="14"/>
  <c r="F209" i="14"/>
  <c r="AI209" i="14"/>
  <c r="G209" i="14"/>
  <c r="I203" i="14"/>
  <c r="Q207" i="14"/>
  <c r="E206" i="14"/>
  <c r="E205" i="14"/>
  <c r="Q203" i="14"/>
  <c r="AI218" i="14"/>
  <c r="C53" i="19"/>
  <c r="Y218" i="14"/>
  <c r="T218" i="14"/>
  <c r="S218" i="14"/>
  <c r="R218" i="14"/>
  <c r="C225" i="14"/>
  <c r="D225" i="14" s="1"/>
  <c r="P218" i="14"/>
  <c r="O218" i="14"/>
  <c r="N218" i="14"/>
  <c r="L218" i="14"/>
  <c r="K218" i="14"/>
  <c r="J218" i="14"/>
  <c r="H218" i="14"/>
  <c r="G218" i="14"/>
  <c r="B218" i="14"/>
  <c r="B53" i="19" s="1"/>
  <c r="AD218" i="14"/>
  <c r="AN218" i="14"/>
  <c r="F218" i="14"/>
  <c r="M208" i="14"/>
  <c r="I205" i="14"/>
  <c r="E202" i="14"/>
  <c r="D45" i="16" s="1"/>
  <c r="Q206" i="14"/>
  <c r="O210" i="14"/>
  <c r="C45" i="19"/>
  <c r="Y210" i="14"/>
  <c r="T210" i="14"/>
  <c r="S210" i="14"/>
  <c r="R210" i="14"/>
  <c r="P210" i="14"/>
  <c r="B210" i="14"/>
  <c r="B45" i="19" s="1"/>
  <c r="C217" i="14"/>
  <c r="D217" i="14" s="1"/>
  <c r="AD210" i="14"/>
  <c r="H210" i="14"/>
  <c r="K210" i="14"/>
  <c r="AN210" i="14"/>
  <c r="L210" i="14"/>
  <c r="F210" i="14"/>
  <c r="AI210" i="14"/>
  <c r="G210" i="14"/>
  <c r="N210" i="14"/>
  <c r="J210" i="14"/>
  <c r="E211" i="14"/>
  <c r="I202" i="14"/>
  <c r="E45" i="16" s="1"/>
  <c r="H44" i="16"/>
  <c r="Y212" i="14"/>
  <c r="C219" i="14"/>
  <c r="D219" i="14" s="1"/>
  <c r="B212" i="14"/>
  <c r="B47" i="19" s="1"/>
  <c r="C47" i="19"/>
  <c r="AD212" i="14"/>
  <c r="S212" i="14"/>
  <c r="K212" i="14"/>
  <c r="P212" i="14"/>
  <c r="N212" i="14"/>
  <c r="F212" i="14"/>
  <c r="T212" i="14"/>
  <c r="H212" i="14"/>
  <c r="L212" i="14"/>
  <c r="J212" i="14"/>
  <c r="AN212" i="14"/>
  <c r="O212" i="14"/>
  <c r="AI212" i="14"/>
  <c r="G212" i="14"/>
  <c r="R212" i="14"/>
  <c r="M202" i="14"/>
  <c r="F45" i="16" s="1"/>
  <c r="N213" i="14"/>
  <c r="M213" i="14" s="1"/>
  <c r="C48" i="19"/>
  <c r="AI213" i="14"/>
  <c r="Y213" i="14"/>
  <c r="C220" i="14"/>
  <c r="D220" i="14" s="1"/>
  <c r="T213" i="14"/>
  <c r="S213" i="14"/>
  <c r="R213" i="14"/>
  <c r="P213" i="14"/>
  <c r="O213" i="14"/>
  <c r="K213" i="14"/>
  <c r="F213" i="14"/>
  <c r="B213" i="14"/>
  <c r="B48" i="19" s="1"/>
  <c r="AN213" i="14"/>
  <c r="AD213" i="14"/>
  <c r="J213" i="14"/>
  <c r="L213" i="14"/>
  <c r="G213" i="14"/>
  <c r="H213" i="14"/>
  <c r="E208" i="14"/>
  <c r="A185" i="19"/>
  <c r="A357" i="14"/>
  <c r="G45" i="16"/>
  <c r="AK29" i="14"/>
  <c r="AO29" i="14" s="1"/>
  <c r="V31" i="14"/>
  <c r="Z30" i="14"/>
  <c r="AB31" i="14"/>
  <c r="AJ29" i="14"/>
  <c r="AF30" i="14"/>
  <c r="AH30" i="14" s="1"/>
  <c r="AH29" i="14"/>
  <c r="AM28" i="14"/>
  <c r="AO28" i="14"/>
  <c r="AL30" i="14"/>
  <c r="AG31" i="14"/>
  <c r="AA30" i="14"/>
  <c r="AE29" i="14"/>
  <c r="X30" i="14"/>
  <c r="W31" i="14"/>
  <c r="Q218" i="14" l="1"/>
  <c r="I212" i="14"/>
  <c r="M212" i="14"/>
  <c r="Q214" i="14"/>
  <c r="I209" i="14"/>
  <c r="H45" i="16"/>
  <c r="AM29" i="14"/>
  <c r="I210" i="14"/>
  <c r="M210" i="14"/>
  <c r="I218" i="14"/>
  <c r="M209" i="14"/>
  <c r="F46" i="16" s="1"/>
  <c r="E210" i="14"/>
  <c r="M218" i="14"/>
  <c r="Q212" i="14"/>
  <c r="Q209" i="14"/>
  <c r="N220" i="14"/>
  <c r="C55" i="19"/>
  <c r="R220" i="14"/>
  <c r="P220" i="14"/>
  <c r="O220" i="14"/>
  <c r="K220" i="14"/>
  <c r="F220" i="14"/>
  <c r="B220" i="14"/>
  <c r="B55" i="19" s="1"/>
  <c r="AI220" i="14"/>
  <c r="C227" i="14"/>
  <c r="D227" i="14" s="1"/>
  <c r="Y220" i="14"/>
  <c r="T220" i="14"/>
  <c r="S220" i="14"/>
  <c r="AD220" i="14"/>
  <c r="G220" i="14"/>
  <c r="H220" i="14"/>
  <c r="AN220" i="14"/>
  <c r="J220" i="14"/>
  <c r="L220" i="14"/>
  <c r="AI225" i="14"/>
  <c r="C60" i="19"/>
  <c r="Y225" i="14"/>
  <c r="T225" i="14"/>
  <c r="C232" i="14"/>
  <c r="D232" i="14" s="1"/>
  <c r="S225" i="14"/>
  <c r="R225" i="14"/>
  <c r="P225" i="14"/>
  <c r="O225" i="14"/>
  <c r="N225" i="14"/>
  <c r="L225" i="14"/>
  <c r="K225" i="14"/>
  <c r="J225" i="14"/>
  <c r="H225" i="14"/>
  <c r="G225" i="14"/>
  <c r="B225" i="14"/>
  <c r="B60" i="19" s="1"/>
  <c r="AD225" i="14"/>
  <c r="AN225" i="14"/>
  <c r="F225" i="14"/>
  <c r="P217" i="14"/>
  <c r="C52" i="19"/>
  <c r="B217" i="14"/>
  <c r="B52" i="19" s="1"/>
  <c r="C224" i="14"/>
  <c r="D224" i="14" s="1"/>
  <c r="Y217" i="14"/>
  <c r="T217" i="14"/>
  <c r="S217" i="14"/>
  <c r="R217" i="14"/>
  <c r="AD217" i="14"/>
  <c r="J217" i="14"/>
  <c r="K217" i="14"/>
  <c r="AN217" i="14"/>
  <c r="L217" i="14"/>
  <c r="F217" i="14"/>
  <c r="N217" i="14"/>
  <c r="AI217" i="14"/>
  <c r="G217" i="14"/>
  <c r="H217" i="14"/>
  <c r="O217" i="14"/>
  <c r="C51" i="19"/>
  <c r="C223" i="14"/>
  <c r="D223" i="14" s="1"/>
  <c r="Y216" i="14"/>
  <c r="T216" i="14"/>
  <c r="S216" i="14"/>
  <c r="R216" i="14"/>
  <c r="P216" i="14"/>
  <c r="O216" i="14"/>
  <c r="N216" i="14"/>
  <c r="B216" i="14"/>
  <c r="B51" i="19" s="1"/>
  <c r="AD216" i="14"/>
  <c r="F216" i="14"/>
  <c r="AI216" i="14"/>
  <c r="G216" i="14"/>
  <c r="H216" i="14"/>
  <c r="J216" i="14"/>
  <c r="K216" i="14"/>
  <c r="AN216" i="14"/>
  <c r="L216" i="14"/>
  <c r="M215" i="14"/>
  <c r="A364" i="14"/>
  <c r="A192" i="19"/>
  <c r="Q210" i="14"/>
  <c r="Q215" i="14"/>
  <c r="G46" i="16"/>
  <c r="I214" i="14"/>
  <c r="I215" i="14"/>
  <c r="I213" i="14"/>
  <c r="M214" i="14"/>
  <c r="E212" i="14"/>
  <c r="B221" i="14"/>
  <c r="B56" i="19" s="1"/>
  <c r="C56" i="19"/>
  <c r="AI221" i="14"/>
  <c r="Y221" i="14"/>
  <c r="T221" i="14"/>
  <c r="S221" i="14"/>
  <c r="R221" i="14"/>
  <c r="C228" i="14"/>
  <c r="D228" i="14" s="1"/>
  <c r="P221" i="14"/>
  <c r="O221" i="14"/>
  <c r="N221" i="14"/>
  <c r="L221" i="14"/>
  <c r="K221" i="14"/>
  <c r="J221" i="14"/>
  <c r="H221" i="14"/>
  <c r="G221" i="14"/>
  <c r="F221" i="14"/>
  <c r="AD221" i="14"/>
  <c r="AN221" i="14"/>
  <c r="E46" i="16"/>
  <c r="E215" i="14"/>
  <c r="E213" i="14"/>
  <c r="Y219" i="14"/>
  <c r="C54" i="19"/>
  <c r="B219" i="14"/>
  <c r="B54" i="19" s="1"/>
  <c r="C226" i="14"/>
  <c r="D226" i="14" s="1"/>
  <c r="G219" i="14"/>
  <c r="R219" i="14"/>
  <c r="AI219" i="14"/>
  <c r="J219" i="14"/>
  <c r="S219" i="14"/>
  <c r="L219" i="14"/>
  <c r="P219" i="14"/>
  <c r="T219" i="14"/>
  <c r="F219" i="14"/>
  <c r="AN219" i="14"/>
  <c r="H219" i="14"/>
  <c r="N219" i="14"/>
  <c r="K219" i="14"/>
  <c r="AD219" i="14"/>
  <c r="O219" i="14"/>
  <c r="E209" i="14"/>
  <c r="D46" i="16" s="1"/>
  <c r="E218" i="14"/>
  <c r="T222" i="14"/>
  <c r="C57" i="19"/>
  <c r="AI222" i="14"/>
  <c r="Y222" i="14"/>
  <c r="K222" i="14"/>
  <c r="F222" i="14"/>
  <c r="B222" i="14"/>
  <c r="B57" i="19" s="1"/>
  <c r="C229" i="14"/>
  <c r="D229" i="14" s="1"/>
  <c r="AN222" i="14"/>
  <c r="AD222" i="14"/>
  <c r="O222" i="14"/>
  <c r="P222" i="14"/>
  <c r="G222" i="14"/>
  <c r="H222" i="14"/>
  <c r="J222" i="14"/>
  <c r="R222" i="14"/>
  <c r="L222" i="14"/>
  <c r="S222" i="14"/>
  <c r="N222" i="14"/>
  <c r="Q213" i="14"/>
  <c r="E214" i="14"/>
  <c r="AE30" i="14"/>
  <c r="AA31" i="14"/>
  <c r="AC31" i="14" s="1"/>
  <c r="AG32" i="14"/>
  <c r="AJ30" i="14"/>
  <c r="AF31" i="14"/>
  <c r="AL31" i="14"/>
  <c r="AB32" i="14"/>
  <c r="AC30" i="14"/>
  <c r="Z31" i="14"/>
  <c r="V32" i="14"/>
  <c r="AK30" i="14"/>
  <c r="AO30" i="14" s="1"/>
  <c r="X31" i="14"/>
  <c r="W32" i="14"/>
  <c r="M216" i="14" l="1"/>
  <c r="E219" i="14"/>
  <c r="Q221" i="14"/>
  <c r="M225" i="14"/>
  <c r="M222" i="14"/>
  <c r="E220" i="14"/>
  <c r="Q217" i="14"/>
  <c r="I225" i="14"/>
  <c r="I222" i="14"/>
  <c r="Q220" i="14"/>
  <c r="F47" i="16"/>
  <c r="Q225" i="14"/>
  <c r="E221" i="14"/>
  <c r="I217" i="14"/>
  <c r="I220" i="14"/>
  <c r="I221" i="14"/>
  <c r="I216" i="14"/>
  <c r="E47" i="16" s="1"/>
  <c r="M221" i="14"/>
  <c r="P224" i="14"/>
  <c r="C59" i="19"/>
  <c r="C231" i="14"/>
  <c r="D231" i="14" s="1"/>
  <c r="Y224" i="14"/>
  <c r="T224" i="14"/>
  <c r="S224" i="14"/>
  <c r="R224" i="14"/>
  <c r="B224" i="14"/>
  <c r="B59" i="19" s="1"/>
  <c r="AD224" i="14"/>
  <c r="F224" i="14"/>
  <c r="AI224" i="14"/>
  <c r="G224" i="14"/>
  <c r="N224" i="14"/>
  <c r="O224" i="14"/>
  <c r="H224" i="14"/>
  <c r="J224" i="14"/>
  <c r="K224" i="14"/>
  <c r="AN224" i="14"/>
  <c r="L224" i="14"/>
  <c r="E216" i="14"/>
  <c r="M219" i="14"/>
  <c r="B228" i="14"/>
  <c r="B63" i="19" s="1"/>
  <c r="C63" i="19"/>
  <c r="AI228" i="14"/>
  <c r="Y228" i="14"/>
  <c r="T228" i="14"/>
  <c r="C235" i="14"/>
  <c r="D235" i="14" s="1"/>
  <c r="S228" i="14"/>
  <c r="R228" i="14"/>
  <c r="P228" i="14"/>
  <c r="O228" i="14"/>
  <c r="N228" i="14"/>
  <c r="L228" i="14"/>
  <c r="K228" i="14"/>
  <c r="J228" i="14"/>
  <c r="H228" i="14"/>
  <c r="G228" i="14"/>
  <c r="F228" i="14"/>
  <c r="AD228" i="14"/>
  <c r="AN228" i="14"/>
  <c r="E225" i="14"/>
  <c r="N227" i="14"/>
  <c r="C62" i="19"/>
  <c r="C234" i="14"/>
  <c r="D234" i="14" s="1"/>
  <c r="AI227" i="14"/>
  <c r="Y227" i="14"/>
  <c r="T227" i="14"/>
  <c r="S227" i="14"/>
  <c r="R227" i="14"/>
  <c r="P227" i="14"/>
  <c r="O227" i="14"/>
  <c r="K227" i="14"/>
  <c r="G227" i="14"/>
  <c r="F227" i="14"/>
  <c r="B227" i="14"/>
  <c r="B62" i="19" s="1"/>
  <c r="AN227" i="14"/>
  <c r="J227" i="14"/>
  <c r="AD227" i="14"/>
  <c r="L227" i="14"/>
  <c r="H227" i="14"/>
  <c r="Q216" i="14"/>
  <c r="G47" i="16" s="1"/>
  <c r="I219" i="14"/>
  <c r="M220" i="14"/>
  <c r="Q222" i="14"/>
  <c r="T229" i="14"/>
  <c r="C64" i="19"/>
  <c r="C236" i="14"/>
  <c r="D236" i="14" s="1"/>
  <c r="AI229" i="14"/>
  <c r="Y229" i="14"/>
  <c r="K229" i="14"/>
  <c r="F229" i="14"/>
  <c r="B229" i="14"/>
  <c r="B64" i="19" s="1"/>
  <c r="AD229" i="14"/>
  <c r="AN229" i="14"/>
  <c r="L229" i="14"/>
  <c r="R229" i="14"/>
  <c r="S229" i="14"/>
  <c r="N229" i="14"/>
  <c r="O229" i="14"/>
  <c r="P229" i="14"/>
  <c r="G229" i="14"/>
  <c r="H229" i="14"/>
  <c r="J229" i="14"/>
  <c r="M217" i="14"/>
  <c r="D47" i="16"/>
  <c r="Y226" i="14"/>
  <c r="B226" i="14"/>
  <c r="B61" i="19" s="1"/>
  <c r="C61" i="19"/>
  <c r="C233" i="14"/>
  <c r="D233" i="14" s="1"/>
  <c r="AD226" i="14"/>
  <c r="AI226" i="14"/>
  <c r="T226" i="14"/>
  <c r="N226" i="14"/>
  <c r="G226" i="14"/>
  <c r="O226" i="14"/>
  <c r="F226" i="14"/>
  <c r="P226" i="14"/>
  <c r="R226" i="14"/>
  <c r="H226" i="14"/>
  <c r="J226" i="14"/>
  <c r="L226" i="14"/>
  <c r="S226" i="14"/>
  <c r="K226" i="14"/>
  <c r="AN226" i="14"/>
  <c r="E222" i="14"/>
  <c r="E217" i="14"/>
  <c r="C67" i="19"/>
  <c r="H232" i="14"/>
  <c r="G232" i="14"/>
  <c r="F232" i="14"/>
  <c r="B232" i="14"/>
  <c r="B67" i="19" s="1"/>
  <c r="AI232" i="14"/>
  <c r="Y232" i="14"/>
  <c r="T232" i="14"/>
  <c r="S232" i="14"/>
  <c r="C239" i="14"/>
  <c r="D239" i="14" s="1"/>
  <c r="R232" i="14"/>
  <c r="P232" i="14"/>
  <c r="O232" i="14"/>
  <c r="N232" i="14"/>
  <c r="L232" i="14"/>
  <c r="K232" i="14"/>
  <c r="J232" i="14"/>
  <c r="AD232" i="14"/>
  <c r="AN232" i="14"/>
  <c r="H46" i="16"/>
  <c r="Q219" i="14"/>
  <c r="C58" i="19"/>
  <c r="N223" i="14"/>
  <c r="B223" i="14"/>
  <c r="B58" i="19" s="1"/>
  <c r="C230" i="14"/>
  <c r="D230" i="14" s="1"/>
  <c r="Y223" i="14"/>
  <c r="T223" i="14"/>
  <c r="S223" i="14"/>
  <c r="R223" i="14"/>
  <c r="P223" i="14"/>
  <c r="O223" i="14"/>
  <c r="AD223" i="14"/>
  <c r="K223" i="14"/>
  <c r="AN223" i="14"/>
  <c r="L223" i="14"/>
  <c r="F223" i="14"/>
  <c r="AI223" i="14"/>
  <c r="G223" i="14"/>
  <c r="H223" i="14"/>
  <c r="J223" i="14"/>
  <c r="A371" i="14"/>
  <c r="A199" i="19"/>
  <c r="AK31" i="14"/>
  <c r="AO31" i="14" s="1"/>
  <c r="Z32" i="14"/>
  <c r="V33" i="14"/>
  <c r="AB33" i="14"/>
  <c r="AJ31" i="14"/>
  <c r="AF32" i="14"/>
  <c r="AH32" i="14" s="1"/>
  <c r="AL32" i="14"/>
  <c r="AG33" i="14"/>
  <c r="AH31" i="14"/>
  <c r="AM30" i="14"/>
  <c r="AE31" i="14"/>
  <c r="AA32" i="14"/>
  <c r="X32" i="14"/>
  <c r="W33" i="14"/>
  <c r="Q228" i="14" l="1"/>
  <c r="M226" i="14"/>
  <c r="Q226" i="14"/>
  <c r="E228" i="14"/>
  <c r="I227" i="14"/>
  <c r="E227" i="14"/>
  <c r="M228" i="14"/>
  <c r="Q223" i="14"/>
  <c r="I223" i="14"/>
  <c r="E48" i="16" s="1"/>
  <c r="M232" i="14"/>
  <c r="Q224" i="14"/>
  <c r="Q232" i="14"/>
  <c r="M229" i="14"/>
  <c r="G48" i="16"/>
  <c r="Q227" i="14"/>
  <c r="C65" i="19"/>
  <c r="C237" i="14"/>
  <c r="D237" i="14" s="1"/>
  <c r="Y230" i="14"/>
  <c r="T230" i="14"/>
  <c r="S230" i="14"/>
  <c r="R230" i="14"/>
  <c r="P230" i="14"/>
  <c r="O230" i="14"/>
  <c r="N230" i="14"/>
  <c r="B230" i="14"/>
  <c r="B65" i="19" s="1"/>
  <c r="AD230" i="14"/>
  <c r="H230" i="14"/>
  <c r="J230" i="14"/>
  <c r="K230" i="14"/>
  <c r="AN230" i="14"/>
  <c r="L230" i="14"/>
  <c r="F230" i="14"/>
  <c r="AI230" i="14"/>
  <c r="G230" i="14"/>
  <c r="Q229" i="14"/>
  <c r="M223" i="14"/>
  <c r="F48" i="16" s="1"/>
  <c r="I226" i="14"/>
  <c r="N234" i="14"/>
  <c r="C69" i="19"/>
  <c r="AI234" i="14"/>
  <c r="C241" i="14"/>
  <c r="D241" i="14" s="1"/>
  <c r="Y234" i="14"/>
  <c r="T234" i="14"/>
  <c r="S234" i="14"/>
  <c r="R234" i="14"/>
  <c r="P234" i="14"/>
  <c r="O234" i="14"/>
  <c r="K234" i="14"/>
  <c r="F234" i="14"/>
  <c r="B234" i="14"/>
  <c r="B69" i="19" s="1"/>
  <c r="AN234" i="14"/>
  <c r="AD234" i="14"/>
  <c r="J234" i="14"/>
  <c r="L234" i="14"/>
  <c r="G234" i="14"/>
  <c r="H234" i="14"/>
  <c r="I224" i="14"/>
  <c r="M227" i="14"/>
  <c r="M224" i="14"/>
  <c r="I232" i="14"/>
  <c r="E226" i="14"/>
  <c r="T236" i="14"/>
  <c r="C71" i="19"/>
  <c r="C243" i="14"/>
  <c r="D243" i="14" s="1"/>
  <c r="AI236" i="14"/>
  <c r="Y236" i="14"/>
  <c r="K236" i="14"/>
  <c r="F236" i="14"/>
  <c r="B236" i="14"/>
  <c r="B71" i="19" s="1"/>
  <c r="AN236" i="14"/>
  <c r="AD236" i="14"/>
  <c r="G236" i="14"/>
  <c r="H236" i="14"/>
  <c r="J236" i="14"/>
  <c r="R236" i="14"/>
  <c r="L236" i="14"/>
  <c r="S236" i="14"/>
  <c r="N236" i="14"/>
  <c r="O236" i="14"/>
  <c r="P236" i="14"/>
  <c r="E224" i="14"/>
  <c r="I228" i="14"/>
  <c r="AI239" i="14"/>
  <c r="C74" i="19"/>
  <c r="Y239" i="14"/>
  <c r="T239" i="14"/>
  <c r="C246" i="14"/>
  <c r="D246" i="14" s="1"/>
  <c r="S239" i="14"/>
  <c r="R239" i="14"/>
  <c r="P239" i="14"/>
  <c r="O239" i="14"/>
  <c r="N239" i="14"/>
  <c r="L239" i="14"/>
  <c r="K239" i="14"/>
  <c r="J239" i="14"/>
  <c r="H239" i="14"/>
  <c r="G239" i="14"/>
  <c r="B239" i="14"/>
  <c r="B74" i="19" s="1"/>
  <c r="AN239" i="14"/>
  <c r="AD239" i="14"/>
  <c r="F239" i="14"/>
  <c r="E239" i="14" s="1"/>
  <c r="Y233" i="14"/>
  <c r="C68" i="19"/>
  <c r="C240" i="14"/>
  <c r="D240" i="14" s="1"/>
  <c r="B233" i="14"/>
  <c r="B68" i="19" s="1"/>
  <c r="AI233" i="14"/>
  <c r="AD233" i="14"/>
  <c r="R233" i="14"/>
  <c r="AN233" i="14"/>
  <c r="S233" i="14"/>
  <c r="F233" i="14"/>
  <c r="J233" i="14"/>
  <c r="P233" i="14"/>
  <c r="T233" i="14"/>
  <c r="K233" i="14"/>
  <c r="N233" i="14"/>
  <c r="G233" i="14"/>
  <c r="L233" i="14"/>
  <c r="O233" i="14"/>
  <c r="H233" i="14"/>
  <c r="O231" i="14"/>
  <c r="C66" i="19"/>
  <c r="Y231" i="14"/>
  <c r="T231" i="14"/>
  <c r="S231" i="14"/>
  <c r="R231" i="14"/>
  <c r="P231" i="14"/>
  <c r="B231" i="14"/>
  <c r="B66" i="19" s="1"/>
  <c r="C238" i="14"/>
  <c r="D238" i="14" s="1"/>
  <c r="H231" i="14"/>
  <c r="AD231" i="14"/>
  <c r="K231" i="14"/>
  <c r="AN231" i="14"/>
  <c r="L231" i="14"/>
  <c r="F231" i="14"/>
  <c r="AI231" i="14"/>
  <c r="N231" i="14"/>
  <c r="G231" i="14"/>
  <c r="J231" i="14"/>
  <c r="E223" i="14"/>
  <c r="D48" i="16" s="1"/>
  <c r="A378" i="14"/>
  <c r="A206" i="19"/>
  <c r="E232" i="14"/>
  <c r="I229" i="14"/>
  <c r="B235" i="14"/>
  <c r="B70" i="19" s="1"/>
  <c r="C70" i="19"/>
  <c r="H235" i="14"/>
  <c r="G235" i="14"/>
  <c r="F235" i="14"/>
  <c r="AI235" i="14"/>
  <c r="Y235" i="14"/>
  <c r="T235" i="14"/>
  <c r="S235" i="14"/>
  <c r="R235" i="14"/>
  <c r="P235" i="14"/>
  <c r="C242" i="14"/>
  <c r="D242" i="14" s="1"/>
  <c r="O235" i="14"/>
  <c r="N235" i="14"/>
  <c r="L235" i="14"/>
  <c r="K235" i="14"/>
  <c r="J235" i="14"/>
  <c r="AD235" i="14"/>
  <c r="AN235" i="14"/>
  <c r="H47" i="16"/>
  <c r="E229" i="14"/>
  <c r="AM31" i="14"/>
  <c r="AE32" i="14"/>
  <c r="AA33" i="14"/>
  <c r="AC33" i="14" s="1"/>
  <c r="AG34" i="14"/>
  <c r="AJ32" i="14"/>
  <c r="AF33" i="14"/>
  <c r="AB34" i="14"/>
  <c r="AL33" i="14"/>
  <c r="AC32" i="14"/>
  <c r="V34" i="14"/>
  <c r="Z33" i="14"/>
  <c r="AK32" i="14"/>
  <c r="AO32" i="14" s="1"/>
  <c r="W34" i="14"/>
  <c r="X33" i="14"/>
  <c r="E234" i="14" l="1"/>
  <c r="H48" i="16"/>
  <c r="Q230" i="14"/>
  <c r="G49" i="16" s="1"/>
  <c r="Q236" i="14"/>
  <c r="M230" i="14"/>
  <c r="M233" i="14"/>
  <c r="E233" i="14"/>
  <c r="E236" i="14"/>
  <c r="M236" i="14"/>
  <c r="I231" i="14"/>
  <c r="I239" i="14"/>
  <c r="E235" i="14"/>
  <c r="N241" i="14"/>
  <c r="C76" i="19"/>
  <c r="R241" i="14"/>
  <c r="P241" i="14"/>
  <c r="O241" i="14"/>
  <c r="K241" i="14"/>
  <c r="F241" i="14"/>
  <c r="B241" i="14"/>
  <c r="B76" i="19" s="1"/>
  <c r="C248" i="14"/>
  <c r="D248" i="14" s="1"/>
  <c r="AI241" i="14"/>
  <c r="Y241" i="14"/>
  <c r="T241" i="14"/>
  <c r="S241" i="14"/>
  <c r="AD241" i="14"/>
  <c r="AN241" i="14"/>
  <c r="L241" i="14"/>
  <c r="G241" i="14"/>
  <c r="H241" i="14"/>
  <c r="J241" i="14"/>
  <c r="M234" i="14"/>
  <c r="M235" i="14"/>
  <c r="M239" i="14"/>
  <c r="T243" i="14"/>
  <c r="C78" i="19"/>
  <c r="C250" i="14"/>
  <c r="D250" i="14" s="1"/>
  <c r="AI243" i="14"/>
  <c r="Y243" i="14"/>
  <c r="K243" i="14"/>
  <c r="G243" i="14"/>
  <c r="F243" i="14"/>
  <c r="B243" i="14"/>
  <c r="B78" i="19" s="1"/>
  <c r="P243" i="14"/>
  <c r="AD243" i="14"/>
  <c r="AN243" i="14"/>
  <c r="S243" i="14"/>
  <c r="H243" i="14"/>
  <c r="J243" i="14"/>
  <c r="L243" i="14"/>
  <c r="N243" i="14"/>
  <c r="O243" i="14"/>
  <c r="R243" i="14"/>
  <c r="Q239" i="14"/>
  <c r="I235" i="14"/>
  <c r="O246" i="14"/>
  <c r="N246" i="14"/>
  <c r="L246" i="14"/>
  <c r="C81" i="19"/>
  <c r="AI246" i="14"/>
  <c r="Y246" i="14"/>
  <c r="T246" i="14"/>
  <c r="S246" i="14"/>
  <c r="R246" i="14"/>
  <c r="P246" i="14"/>
  <c r="K246" i="14"/>
  <c r="J246" i="14"/>
  <c r="H246" i="14"/>
  <c r="G246" i="14"/>
  <c r="F246" i="14"/>
  <c r="C253" i="14"/>
  <c r="D253" i="14" s="1"/>
  <c r="B246" i="14"/>
  <c r="B81" i="19" s="1"/>
  <c r="AD246" i="14"/>
  <c r="AN246" i="14"/>
  <c r="F49" i="16"/>
  <c r="E230" i="14"/>
  <c r="D49" i="16" s="1"/>
  <c r="A385" i="14"/>
  <c r="A213" i="19"/>
  <c r="I233" i="14"/>
  <c r="I230" i="14"/>
  <c r="E49" i="16" s="1"/>
  <c r="M231" i="14"/>
  <c r="Q233" i="14"/>
  <c r="I234" i="14"/>
  <c r="E231" i="14"/>
  <c r="I236" i="14"/>
  <c r="Y240" i="14"/>
  <c r="C75" i="19"/>
  <c r="B240" i="14"/>
  <c r="B75" i="19" s="1"/>
  <c r="C247" i="14"/>
  <c r="D247" i="14" s="1"/>
  <c r="AI240" i="14"/>
  <c r="K240" i="14"/>
  <c r="L240" i="14"/>
  <c r="H240" i="14"/>
  <c r="O240" i="14"/>
  <c r="AD240" i="14"/>
  <c r="AN240" i="14"/>
  <c r="N240" i="14"/>
  <c r="P240" i="14"/>
  <c r="F240" i="14"/>
  <c r="J240" i="14"/>
  <c r="R240" i="14"/>
  <c r="S240" i="14"/>
  <c r="T240" i="14"/>
  <c r="G240" i="14"/>
  <c r="Q234" i="14"/>
  <c r="C72" i="19"/>
  <c r="C244" i="14"/>
  <c r="D244" i="14" s="1"/>
  <c r="Y237" i="14"/>
  <c r="T237" i="14"/>
  <c r="S237" i="14"/>
  <c r="R237" i="14"/>
  <c r="P237" i="14"/>
  <c r="O237" i="14"/>
  <c r="N237" i="14"/>
  <c r="B237" i="14"/>
  <c r="B72" i="19" s="1"/>
  <c r="AD237" i="14"/>
  <c r="F237" i="14"/>
  <c r="AI237" i="14"/>
  <c r="G237" i="14"/>
  <c r="H237" i="14"/>
  <c r="J237" i="14"/>
  <c r="K237" i="14"/>
  <c r="AN237" i="14"/>
  <c r="L237" i="14"/>
  <c r="Q235" i="14"/>
  <c r="Q231" i="14"/>
  <c r="B242" i="14"/>
  <c r="B77" i="19" s="1"/>
  <c r="C77" i="19"/>
  <c r="AI242" i="14"/>
  <c r="Y242" i="14"/>
  <c r="T242" i="14"/>
  <c r="S242" i="14"/>
  <c r="R242" i="14"/>
  <c r="P242" i="14"/>
  <c r="C249" i="14"/>
  <c r="D249" i="14" s="1"/>
  <c r="O242" i="14"/>
  <c r="N242" i="14"/>
  <c r="L242" i="14"/>
  <c r="K242" i="14"/>
  <c r="J242" i="14"/>
  <c r="H242" i="14"/>
  <c r="G242" i="14"/>
  <c r="F242" i="14"/>
  <c r="AN242" i="14"/>
  <c r="AD242" i="14"/>
  <c r="P238" i="14"/>
  <c r="C73" i="19"/>
  <c r="B238" i="14"/>
  <c r="B73" i="19" s="1"/>
  <c r="C245" i="14"/>
  <c r="D245" i="14" s="1"/>
  <c r="Y238" i="14"/>
  <c r="T238" i="14"/>
  <c r="S238" i="14"/>
  <c r="R238" i="14"/>
  <c r="AD238" i="14"/>
  <c r="G238" i="14"/>
  <c r="N238" i="14"/>
  <c r="O238" i="14"/>
  <c r="F238" i="14"/>
  <c r="H238" i="14"/>
  <c r="AI238" i="14"/>
  <c r="J238" i="14"/>
  <c r="K238" i="14"/>
  <c r="AN238" i="14"/>
  <c r="L238" i="14"/>
  <c r="AK33" i="14"/>
  <c r="AO33" i="14" s="1"/>
  <c r="Z34" i="14"/>
  <c r="V35" i="14"/>
  <c r="AJ33" i="14"/>
  <c r="AF34" i="14"/>
  <c r="AH34" i="14" s="1"/>
  <c r="AB35" i="14"/>
  <c r="AL34" i="14"/>
  <c r="AG35" i="14"/>
  <c r="AM32" i="14"/>
  <c r="AH33" i="14"/>
  <c r="AA34" i="14"/>
  <c r="AE33" i="14"/>
  <c r="W35" i="14"/>
  <c r="X34" i="14"/>
  <c r="E241" i="14" l="1"/>
  <c r="Q237" i="14"/>
  <c r="E240" i="14"/>
  <c r="Q243" i="14"/>
  <c r="M246" i="14"/>
  <c r="Q240" i="14"/>
  <c r="H49" i="16"/>
  <c r="T250" i="14"/>
  <c r="C85" i="19"/>
  <c r="K250" i="14"/>
  <c r="F250" i="14"/>
  <c r="C257" i="14"/>
  <c r="D257" i="14" s="1"/>
  <c r="B250" i="14"/>
  <c r="B85" i="19" s="1"/>
  <c r="AI250" i="14"/>
  <c r="Y250" i="14"/>
  <c r="L250" i="14"/>
  <c r="S250" i="14"/>
  <c r="AN250" i="14"/>
  <c r="AD250" i="14"/>
  <c r="G250" i="14"/>
  <c r="H250" i="14"/>
  <c r="J250" i="14"/>
  <c r="N250" i="14"/>
  <c r="O250" i="14"/>
  <c r="P250" i="14"/>
  <c r="R250" i="14"/>
  <c r="I237" i="14"/>
  <c r="Q246" i="14"/>
  <c r="O245" i="14"/>
  <c r="C80" i="19"/>
  <c r="Y245" i="14"/>
  <c r="T245" i="14"/>
  <c r="C252" i="14"/>
  <c r="D252" i="14" s="1"/>
  <c r="S245" i="14"/>
  <c r="R245" i="14"/>
  <c r="P245" i="14"/>
  <c r="B245" i="14"/>
  <c r="B80" i="19" s="1"/>
  <c r="F245" i="14"/>
  <c r="AD245" i="14"/>
  <c r="AI245" i="14"/>
  <c r="G245" i="14"/>
  <c r="N245" i="14"/>
  <c r="H245" i="14"/>
  <c r="J245" i="14"/>
  <c r="K245" i="14"/>
  <c r="AN245" i="14"/>
  <c r="L245" i="14"/>
  <c r="E237" i="14"/>
  <c r="Y247" i="14"/>
  <c r="C82" i="19"/>
  <c r="C254" i="14"/>
  <c r="D254" i="14" s="1"/>
  <c r="B247" i="14"/>
  <c r="B82" i="19" s="1"/>
  <c r="G247" i="14"/>
  <c r="AD247" i="14"/>
  <c r="J247" i="14"/>
  <c r="O247" i="14"/>
  <c r="AN247" i="14"/>
  <c r="K247" i="14"/>
  <c r="S247" i="14"/>
  <c r="F247" i="14"/>
  <c r="N247" i="14"/>
  <c r="L247" i="14"/>
  <c r="AI247" i="14"/>
  <c r="H247" i="14"/>
  <c r="R247" i="14"/>
  <c r="P247" i="14"/>
  <c r="T247" i="14"/>
  <c r="E242" i="14"/>
  <c r="AM33" i="14"/>
  <c r="M237" i="14"/>
  <c r="F50" i="16" s="1"/>
  <c r="I241" i="14"/>
  <c r="D50" i="16"/>
  <c r="I242" i="14"/>
  <c r="M242" i="14"/>
  <c r="B249" i="14"/>
  <c r="B84" i="19" s="1"/>
  <c r="C256" i="14"/>
  <c r="D256" i="14" s="1"/>
  <c r="O249" i="14"/>
  <c r="N249" i="14"/>
  <c r="L249" i="14"/>
  <c r="C84" i="19"/>
  <c r="AI249" i="14"/>
  <c r="Y249" i="14"/>
  <c r="T249" i="14"/>
  <c r="S249" i="14"/>
  <c r="R249" i="14"/>
  <c r="P249" i="14"/>
  <c r="K249" i="14"/>
  <c r="J249" i="14"/>
  <c r="H249" i="14"/>
  <c r="G249" i="14"/>
  <c r="F249" i="14"/>
  <c r="AD249" i="14"/>
  <c r="AN249" i="14"/>
  <c r="C79" i="19"/>
  <c r="C251" i="14"/>
  <c r="D251" i="14" s="1"/>
  <c r="B244" i="14"/>
  <c r="B79" i="19" s="1"/>
  <c r="Y244" i="14"/>
  <c r="T244" i="14"/>
  <c r="S244" i="14"/>
  <c r="R244" i="14"/>
  <c r="P244" i="14"/>
  <c r="O244" i="14"/>
  <c r="N244" i="14"/>
  <c r="L244" i="14"/>
  <c r="F244" i="14"/>
  <c r="AI244" i="14"/>
  <c r="AD244" i="14"/>
  <c r="J244" i="14"/>
  <c r="K244" i="14"/>
  <c r="AN244" i="14"/>
  <c r="G244" i="14"/>
  <c r="H244" i="14"/>
  <c r="I238" i="14"/>
  <c r="Q242" i="14"/>
  <c r="M243" i="14"/>
  <c r="A220" i="19"/>
  <c r="A392" i="14"/>
  <c r="I243" i="14"/>
  <c r="N248" i="14"/>
  <c r="C83" i="19"/>
  <c r="P248" i="14"/>
  <c r="AI248" i="14"/>
  <c r="Y248" i="14"/>
  <c r="T248" i="14"/>
  <c r="S248" i="14"/>
  <c r="R248" i="14"/>
  <c r="O248" i="14"/>
  <c r="K248" i="14"/>
  <c r="F248" i="14"/>
  <c r="C255" i="14"/>
  <c r="D255" i="14" s="1"/>
  <c r="B248" i="14"/>
  <c r="B83" i="19" s="1"/>
  <c r="AN248" i="14"/>
  <c r="AD248" i="14"/>
  <c r="G248" i="14"/>
  <c r="H248" i="14"/>
  <c r="J248" i="14"/>
  <c r="L248" i="14"/>
  <c r="E238" i="14"/>
  <c r="E243" i="14"/>
  <c r="M238" i="14"/>
  <c r="I240" i="14"/>
  <c r="Q238" i="14"/>
  <c r="M240" i="14"/>
  <c r="AI253" i="14"/>
  <c r="Y253" i="14"/>
  <c r="T253" i="14"/>
  <c r="S253" i="14"/>
  <c r="R253" i="14"/>
  <c r="P253" i="14"/>
  <c r="O253" i="14"/>
  <c r="N253" i="14"/>
  <c r="L253" i="14"/>
  <c r="K253" i="14"/>
  <c r="C88" i="19"/>
  <c r="J253" i="14"/>
  <c r="H253" i="14"/>
  <c r="G253" i="14"/>
  <c r="C260" i="14"/>
  <c r="D260" i="14" s="1"/>
  <c r="B253" i="14"/>
  <c r="B88" i="19" s="1"/>
  <c r="AD253" i="14"/>
  <c r="AN253" i="14"/>
  <c r="F253" i="14"/>
  <c r="Q241" i="14"/>
  <c r="E246" i="14"/>
  <c r="M241" i="14"/>
  <c r="I246" i="14"/>
  <c r="G50" i="16"/>
  <c r="E50" i="16"/>
  <c r="AG36" i="14"/>
  <c r="AJ34" i="14"/>
  <c r="AF35" i="14"/>
  <c r="AE34" i="14"/>
  <c r="AA35" i="14"/>
  <c r="AC35" i="14" s="1"/>
  <c r="AB36" i="14"/>
  <c r="AC34" i="14"/>
  <c r="AL35" i="14"/>
  <c r="Z35" i="14"/>
  <c r="V36" i="14"/>
  <c r="AK34" i="14"/>
  <c r="AO34" i="14" s="1"/>
  <c r="X35" i="14"/>
  <c r="W36" i="14"/>
  <c r="Q248" i="14" l="1"/>
  <c r="E245" i="14"/>
  <c r="I253" i="14"/>
  <c r="I244" i="14"/>
  <c r="E51" i="16" s="1"/>
  <c r="M250" i="14"/>
  <c r="M248" i="14"/>
  <c r="E249" i="14"/>
  <c r="Q245" i="14"/>
  <c r="I249" i="14"/>
  <c r="M247" i="14"/>
  <c r="P252" i="14"/>
  <c r="Y252" i="14"/>
  <c r="T252" i="14"/>
  <c r="S252" i="14"/>
  <c r="C87" i="19"/>
  <c r="R252" i="14"/>
  <c r="B252" i="14"/>
  <c r="B87" i="19" s="1"/>
  <c r="C259" i="14"/>
  <c r="D259" i="14" s="1"/>
  <c r="H252" i="14"/>
  <c r="AD252" i="14"/>
  <c r="F252" i="14"/>
  <c r="AI252" i="14"/>
  <c r="G252" i="14"/>
  <c r="J252" i="14"/>
  <c r="K252" i="14"/>
  <c r="AN252" i="14"/>
  <c r="L252" i="14"/>
  <c r="N252" i="14"/>
  <c r="O252" i="14"/>
  <c r="E247" i="14"/>
  <c r="Q249" i="14"/>
  <c r="A399" i="14"/>
  <c r="A227" i="19"/>
  <c r="H50" i="16"/>
  <c r="I247" i="14"/>
  <c r="Q250" i="14"/>
  <c r="M249" i="14"/>
  <c r="Y254" i="14"/>
  <c r="B254" i="14"/>
  <c r="B89" i="19" s="1"/>
  <c r="C89" i="19"/>
  <c r="C261" i="14"/>
  <c r="D261" i="14" s="1"/>
  <c r="K254" i="14"/>
  <c r="S254" i="14"/>
  <c r="J254" i="14"/>
  <c r="F254" i="14"/>
  <c r="P254" i="14"/>
  <c r="AD254" i="14"/>
  <c r="G254" i="14"/>
  <c r="H254" i="14"/>
  <c r="L254" i="14"/>
  <c r="N254" i="14"/>
  <c r="O254" i="14"/>
  <c r="AI254" i="14"/>
  <c r="R254" i="14"/>
  <c r="T254" i="14"/>
  <c r="AN254" i="14"/>
  <c r="E244" i="14"/>
  <c r="D51" i="16" s="1"/>
  <c r="I250" i="14"/>
  <c r="I248" i="14"/>
  <c r="B256" i="14"/>
  <c r="B91" i="19" s="1"/>
  <c r="C91" i="19"/>
  <c r="AI256" i="14"/>
  <c r="Y256" i="14"/>
  <c r="T256" i="14"/>
  <c r="S256" i="14"/>
  <c r="R256" i="14"/>
  <c r="P256" i="14"/>
  <c r="O256" i="14"/>
  <c r="N256" i="14"/>
  <c r="L256" i="14"/>
  <c r="K256" i="14"/>
  <c r="J256" i="14"/>
  <c r="H256" i="14"/>
  <c r="G256" i="14"/>
  <c r="F256" i="14"/>
  <c r="C263" i="14"/>
  <c r="D263" i="14" s="1"/>
  <c r="AD256" i="14"/>
  <c r="AN256" i="14"/>
  <c r="M244" i="14"/>
  <c r="F51" i="16" s="1"/>
  <c r="E253" i="14"/>
  <c r="AI260" i="14"/>
  <c r="C95" i="19"/>
  <c r="K260" i="14"/>
  <c r="Y260" i="14"/>
  <c r="T260" i="14"/>
  <c r="S260" i="14"/>
  <c r="R260" i="14"/>
  <c r="P260" i="14"/>
  <c r="O260" i="14"/>
  <c r="N260" i="14"/>
  <c r="L260" i="14"/>
  <c r="J260" i="14"/>
  <c r="H260" i="14"/>
  <c r="G260" i="14"/>
  <c r="C267" i="14"/>
  <c r="D267" i="14" s="1"/>
  <c r="B260" i="14"/>
  <c r="B95" i="19" s="1"/>
  <c r="F260" i="14"/>
  <c r="AN260" i="14"/>
  <c r="AD260" i="14"/>
  <c r="N255" i="14"/>
  <c r="C90" i="19"/>
  <c r="AI255" i="14"/>
  <c r="C262" i="14"/>
  <c r="D262" i="14" s="1"/>
  <c r="Y255" i="14"/>
  <c r="T255" i="14"/>
  <c r="S255" i="14"/>
  <c r="R255" i="14"/>
  <c r="P255" i="14"/>
  <c r="O255" i="14"/>
  <c r="K255" i="14"/>
  <c r="F255" i="14"/>
  <c r="B255" i="14"/>
  <c r="B90" i="19" s="1"/>
  <c r="AD255" i="14"/>
  <c r="AN255" i="14"/>
  <c r="G255" i="14"/>
  <c r="H255" i="14"/>
  <c r="J255" i="14"/>
  <c r="L255" i="14"/>
  <c r="E248" i="14"/>
  <c r="Q244" i="14"/>
  <c r="G51" i="16" s="1"/>
  <c r="I245" i="14"/>
  <c r="M245" i="14"/>
  <c r="M253" i="14"/>
  <c r="C86" i="19"/>
  <c r="Y251" i="14"/>
  <c r="T251" i="14"/>
  <c r="S251" i="14"/>
  <c r="R251" i="14"/>
  <c r="P251" i="14"/>
  <c r="O251" i="14"/>
  <c r="N251" i="14"/>
  <c r="C258" i="14"/>
  <c r="D258" i="14" s="1"/>
  <c r="B251" i="14"/>
  <c r="B86" i="19" s="1"/>
  <c r="H251" i="14"/>
  <c r="AD251" i="14"/>
  <c r="G251" i="14"/>
  <c r="K251" i="14"/>
  <c r="AN251" i="14"/>
  <c r="L251" i="14"/>
  <c r="F251" i="14"/>
  <c r="AI251" i="14"/>
  <c r="J251" i="14"/>
  <c r="T257" i="14"/>
  <c r="C92" i="19"/>
  <c r="Y257" i="14"/>
  <c r="K257" i="14"/>
  <c r="F257" i="14"/>
  <c r="C264" i="14"/>
  <c r="D264" i="14" s="1"/>
  <c r="B257" i="14"/>
  <c r="B92" i="19" s="1"/>
  <c r="AI257" i="14"/>
  <c r="G257" i="14"/>
  <c r="AD257" i="14"/>
  <c r="AN257" i="14"/>
  <c r="L257" i="14"/>
  <c r="N257" i="14"/>
  <c r="O257" i="14"/>
  <c r="P257" i="14"/>
  <c r="R257" i="14"/>
  <c r="S257" i="14"/>
  <c r="H257" i="14"/>
  <c r="J257" i="14"/>
  <c r="E250" i="14"/>
  <c r="Q253" i="14"/>
  <c r="Q247" i="14"/>
  <c r="AK35" i="14"/>
  <c r="AO35" i="14" s="1"/>
  <c r="V37" i="14"/>
  <c r="Z36" i="14"/>
  <c r="AB37" i="14"/>
  <c r="AE35" i="14"/>
  <c r="AA36" i="14"/>
  <c r="AL36" i="14"/>
  <c r="AJ35" i="14"/>
  <c r="AF36" i="14"/>
  <c r="AH36" i="14" s="1"/>
  <c r="AG37" i="14"/>
  <c r="AM34" i="14"/>
  <c r="AH35" i="14"/>
  <c r="X36" i="14"/>
  <c r="W37" i="14"/>
  <c r="E255" i="14" l="1"/>
  <c r="M255" i="14"/>
  <c r="M260" i="14"/>
  <c r="Q251" i="14"/>
  <c r="E252" i="14"/>
  <c r="Q257" i="14"/>
  <c r="M252" i="14"/>
  <c r="G52" i="16"/>
  <c r="I257" i="14"/>
  <c r="I256" i="14"/>
  <c r="Q252" i="14"/>
  <c r="I260" i="14"/>
  <c r="Q260" i="14"/>
  <c r="I251" i="14"/>
  <c r="A406" i="14"/>
  <c r="A234" i="19"/>
  <c r="E251" i="14"/>
  <c r="D52" i="16" s="1"/>
  <c r="H51" i="16"/>
  <c r="Q254" i="14"/>
  <c r="Q255" i="14"/>
  <c r="M254" i="14"/>
  <c r="T258" i="14"/>
  <c r="S258" i="14"/>
  <c r="R258" i="14"/>
  <c r="C93" i="19"/>
  <c r="C265" i="14"/>
  <c r="D265" i="14" s="1"/>
  <c r="Y258" i="14"/>
  <c r="P258" i="14"/>
  <c r="O258" i="14"/>
  <c r="N258" i="14"/>
  <c r="B258" i="14"/>
  <c r="B93" i="19" s="1"/>
  <c r="G258" i="14"/>
  <c r="K258" i="14"/>
  <c r="AN258" i="14"/>
  <c r="L258" i="14"/>
  <c r="AD258" i="14"/>
  <c r="F258" i="14"/>
  <c r="AI258" i="14"/>
  <c r="H258" i="14"/>
  <c r="J258" i="14"/>
  <c r="B263" i="14"/>
  <c r="B98" i="19" s="1"/>
  <c r="L263" i="14"/>
  <c r="C98" i="19"/>
  <c r="AI263" i="14"/>
  <c r="Y263" i="14"/>
  <c r="T263" i="14"/>
  <c r="S263" i="14"/>
  <c r="R263" i="14"/>
  <c r="P263" i="14"/>
  <c r="O263" i="14"/>
  <c r="N263" i="14"/>
  <c r="K263" i="14"/>
  <c r="J263" i="14"/>
  <c r="H263" i="14"/>
  <c r="G263" i="14"/>
  <c r="F263" i="14"/>
  <c r="C270" i="14"/>
  <c r="D270" i="14" s="1"/>
  <c r="AD263" i="14"/>
  <c r="AN263" i="14"/>
  <c r="M251" i="14"/>
  <c r="N262" i="14"/>
  <c r="K262" i="14"/>
  <c r="F262" i="14"/>
  <c r="C97" i="19"/>
  <c r="C269" i="14"/>
  <c r="D269" i="14" s="1"/>
  <c r="AI262" i="14"/>
  <c r="Y262" i="14"/>
  <c r="T262" i="14"/>
  <c r="S262" i="14"/>
  <c r="R262" i="14"/>
  <c r="P262" i="14"/>
  <c r="O262" i="14"/>
  <c r="B262" i="14"/>
  <c r="B97" i="19" s="1"/>
  <c r="G262" i="14"/>
  <c r="AN262" i="14"/>
  <c r="H262" i="14"/>
  <c r="AD262" i="14"/>
  <c r="J262" i="14"/>
  <c r="L262" i="14"/>
  <c r="E256" i="14"/>
  <c r="I252" i="14"/>
  <c r="E254" i="14"/>
  <c r="I254" i="14"/>
  <c r="M257" i="14"/>
  <c r="E260" i="14"/>
  <c r="M256" i="14"/>
  <c r="Y261" i="14"/>
  <c r="C96" i="19"/>
  <c r="B261" i="14"/>
  <c r="B96" i="19" s="1"/>
  <c r="C268" i="14"/>
  <c r="D268" i="14" s="1"/>
  <c r="R261" i="14"/>
  <c r="AD261" i="14"/>
  <c r="L261" i="14"/>
  <c r="N261" i="14"/>
  <c r="AN261" i="14"/>
  <c r="O261" i="14"/>
  <c r="H261" i="14"/>
  <c r="K261" i="14"/>
  <c r="S261" i="14"/>
  <c r="J261" i="14"/>
  <c r="P261" i="14"/>
  <c r="T261" i="14"/>
  <c r="G261" i="14"/>
  <c r="AI261" i="14"/>
  <c r="F261" i="14"/>
  <c r="P259" i="14"/>
  <c r="C94" i="19"/>
  <c r="Y259" i="14"/>
  <c r="T259" i="14"/>
  <c r="S259" i="14"/>
  <c r="R259" i="14"/>
  <c r="C266" i="14"/>
  <c r="D266" i="14" s="1"/>
  <c r="B259" i="14"/>
  <c r="B94" i="19" s="1"/>
  <c r="J259" i="14"/>
  <c r="AD259" i="14"/>
  <c r="AI259" i="14"/>
  <c r="G259" i="14"/>
  <c r="H259" i="14"/>
  <c r="K259" i="14"/>
  <c r="AN259" i="14"/>
  <c r="L259" i="14"/>
  <c r="N259" i="14"/>
  <c r="O259" i="14"/>
  <c r="F259" i="14"/>
  <c r="Q256" i="14"/>
  <c r="AI267" i="14"/>
  <c r="S267" i="14"/>
  <c r="R267" i="14"/>
  <c r="C274" i="14"/>
  <c r="D274" i="14" s="1"/>
  <c r="P267" i="14"/>
  <c r="Y267" i="14"/>
  <c r="T267" i="14"/>
  <c r="O267" i="14"/>
  <c r="N267" i="14"/>
  <c r="L267" i="14"/>
  <c r="K267" i="14"/>
  <c r="J267" i="14"/>
  <c r="H267" i="14"/>
  <c r="G267" i="14"/>
  <c r="C102" i="19"/>
  <c r="B267" i="14"/>
  <c r="B102" i="19" s="1"/>
  <c r="AN267" i="14"/>
  <c r="AD267" i="14"/>
  <c r="F267" i="14"/>
  <c r="F52" i="16"/>
  <c r="E52" i="16"/>
  <c r="T264" i="14"/>
  <c r="AI264" i="14"/>
  <c r="Y264" i="14"/>
  <c r="K264" i="14"/>
  <c r="C99" i="19"/>
  <c r="F264" i="14"/>
  <c r="B264" i="14"/>
  <c r="B99" i="19" s="1"/>
  <c r="C271" i="14"/>
  <c r="D271" i="14" s="1"/>
  <c r="O264" i="14"/>
  <c r="AN264" i="14"/>
  <c r="P264" i="14"/>
  <c r="R264" i="14"/>
  <c r="L264" i="14"/>
  <c r="N264" i="14"/>
  <c r="AD264" i="14"/>
  <c r="S264" i="14"/>
  <c r="G264" i="14"/>
  <c r="H264" i="14"/>
  <c r="J264" i="14"/>
  <c r="E257" i="14"/>
  <c r="I255" i="14"/>
  <c r="AM35" i="14"/>
  <c r="AA37" i="14"/>
  <c r="AC37" i="14" s="1"/>
  <c r="AE36" i="14"/>
  <c r="AL37" i="14"/>
  <c r="AC36" i="14"/>
  <c r="AG38" i="14"/>
  <c r="AJ36" i="14"/>
  <c r="AF37" i="14"/>
  <c r="AB38" i="14"/>
  <c r="Z37" i="14"/>
  <c r="V38" i="14"/>
  <c r="AK36" i="14"/>
  <c r="AO36" i="14" s="1"/>
  <c r="W38" i="14"/>
  <c r="X37" i="14"/>
  <c r="E263" i="14" l="1"/>
  <c r="I264" i="14"/>
  <c r="M262" i="14"/>
  <c r="M264" i="14"/>
  <c r="Q259" i="14"/>
  <c r="E261" i="14"/>
  <c r="I267" i="14"/>
  <c r="I262" i="14"/>
  <c r="I258" i="14"/>
  <c r="H52" i="16"/>
  <c r="M261" i="14"/>
  <c r="N269" i="14"/>
  <c r="C104" i="19"/>
  <c r="C276" i="14"/>
  <c r="D276" i="14" s="1"/>
  <c r="Y269" i="14"/>
  <c r="B269" i="14"/>
  <c r="B104" i="19" s="1"/>
  <c r="AI269" i="14"/>
  <c r="T269" i="14"/>
  <c r="S269" i="14"/>
  <c r="R269" i="14"/>
  <c r="P269" i="14"/>
  <c r="O269" i="14"/>
  <c r="K269" i="14"/>
  <c r="F269" i="14"/>
  <c r="J269" i="14"/>
  <c r="AD269" i="14"/>
  <c r="AN269" i="14"/>
  <c r="G269" i="14"/>
  <c r="H269" i="14"/>
  <c r="L269" i="14"/>
  <c r="E258" i="14"/>
  <c r="D53" i="16" s="1"/>
  <c r="Q261" i="14"/>
  <c r="E262" i="14"/>
  <c r="E259" i="14"/>
  <c r="E267" i="14"/>
  <c r="M259" i="14"/>
  <c r="I259" i="14"/>
  <c r="Y268" i="14"/>
  <c r="B268" i="14"/>
  <c r="B103" i="19" s="1"/>
  <c r="C275" i="14"/>
  <c r="D275" i="14" s="1"/>
  <c r="C103" i="19"/>
  <c r="N268" i="14"/>
  <c r="H268" i="14"/>
  <c r="K268" i="14"/>
  <c r="AD268" i="14"/>
  <c r="S268" i="14"/>
  <c r="J268" i="14"/>
  <c r="R268" i="14"/>
  <c r="L268" i="14"/>
  <c r="P268" i="14"/>
  <c r="T268" i="14"/>
  <c r="F268" i="14"/>
  <c r="AI268" i="14"/>
  <c r="O268" i="14"/>
  <c r="G268" i="14"/>
  <c r="AN268" i="14"/>
  <c r="M258" i="14"/>
  <c r="F53" i="16" s="1"/>
  <c r="AI274" i="14"/>
  <c r="H274" i="14"/>
  <c r="G274" i="14"/>
  <c r="B274" i="14"/>
  <c r="B109" i="19" s="1"/>
  <c r="C109" i="19"/>
  <c r="C281" i="14"/>
  <c r="D281" i="14" s="1"/>
  <c r="Y274" i="14"/>
  <c r="T274" i="14"/>
  <c r="S274" i="14"/>
  <c r="R274" i="14"/>
  <c r="P274" i="14"/>
  <c r="O274" i="14"/>
  <c r="N274" i="14"/>
  <c r="L274" i="14"/>
  <c r="K274" i="14"/>
  <c r="J274" i="14"/>
  <c r="AN274" i="14"/>
  <c r="AD274" i="14"/>
  <c r="F274" i="14"/>
  <c r="P266" i="14"/>
  <c r="S266" i="14"/>
  <c r="C101" i="19"/>
  <c r="Y266" i="14"/>
  <c r="T266" i="14"/>
  <c r="R266" i="14"/>
  <c r="B266" i="14"/>
  <c r="B101" i="19" s="1"/>
  <c r="C273" i="14"/>
  <c r="D273" i="14" s="1"/>
  <c r="F266" i="14"/>
  <c r="AI266" i="14"/>
  <c r="G266" i="14"/>
  <c r="N266" i="14"/>
  <c r="AD266" i="14"/>
  <c r="J266" i="14"/>
  <c r="H266" i="14"/>
  <c r="K266" i="14"/>
  <c r="AN266" i="14"/>
  <c r="L266" i="14"/>
  <c r="O266" i="14"/>
  <c r="B270" i="14"/>
  <c r="B105" i="19" s="1"/>
  <c r="T270" i="14"/>
  <c r="S270" i="14"/>
  <c r="C105" i="19"/>
  <c r="R270" i="14"/>
  <c r="C277" i="14"/>
  <c r="D277" i="14" s="1"/>
  <c r="AI270" i="14"/>
  <c r="Y270" i="14"/>
  <c r="P270" i="14"/>
  <c r="O270" i="14"/>
  <c r="N270" i="14"/>
  <c r="L270" i="14"/>
  <c r="K270" i="14"/>
  <c r="J270" i="14"/>
  <c r="H270" i="14"/>
  <c r="G270" i="14"/>
  <c r="F270" i="14"/>
  <c r="AD270" i="14"/>
  <c r="AN270" i="14"/>
  <c r="C100" i="19"/>
  <c r="C272" i="14"/>
  <c r="D272" i="14" s="1"/>
  <c r="B265" i="14"/>
  <c r="B100" i="19" s="1"/>
  <c r="Y265" i="14"/>
  <c r="T265" i="14"/>
  <c r="S265" i="14"/>
  <c r="R265" i="14"/>
  <c r="P265" i="14"/>
  <c r="O265" i="14"/>
  <c r="N265" i="14"/>
  <c r="K265" i="14"/>
  <c r="AN265" i="14"/>
  <c r="L265" i="14"/>
  <c r="AD265" i="14"/>
  <c r="H265" i="14"/>
  <c r="F265" i="14"/>
  <c r="AI265" i="14"/>
  <c r="G265" i="14"/>
  <c r="J265" i="14"/>
  <c r="E264" i="14"/>
  <c r="E53" i="16"/>
  <c r="I263" i="14"/>
  <c r="M267" i="14"/>
  <c r="Q258" i="14"/>
  <c r="G53" i="16" s="1"/>
  <c r="M263" i="14"/>
  <c r="Q263" i="14"/>
  <c r="Q264" i="14"/>
  <c r="Q267" i="14"/>
  <c r="I261" i="14"/>
  <c r="T271" i="14"/>
  <c r="C106" i="19"/>
  <c r="AI271" i="14"/>
  <c r="Y271" i="14"/>
  <c r="K271" i="14"/>
  <c r="F271" i="14"/>
  <c r="B271" i="14"/>
  <c r="B106" i="19" s="1"/>
  <c r="C278" i="14"/>
  <c r="D278" i="14" s="1"/>
  <c r="L271" i="14"/>
  <c r="R271" i="14"/>
  <c r="S271" i="14"/>
  <c r="AD271" i="14"/>
  <c r="O271" i="14"/>
  <c r="AN271" i="14"/>
  <c r="P271" i="14"/>
  <c r="G271" i="14"/>
  <c r="H271" i="14"/>
  <c r="J271" i="14"/>
  <c r="I271" i="14" s="1"/>
  <c r="N271" i="14"/>
  <c r="Q262" i="14"/>
  <c r="A241" i="19"/>
  <c r="A413" i="14"/>
  <c r="AK37" i="14"/>
  <c r="AO37" i="14" s="1"/>
  <c r="V39" i="14"/>
  <c r="Z38" i="14"/>
  <c r="AB39" i="14"/>
  <c r="AM36" i="14"/>
  <c r="AJ37" i="14"/>
  <c r="AF38" i="14"/>
  <c r="AH38" i="14" s="1"/>
  <c r="AG39" i="14"/>
  <c r="AL38" i="14"/>
  <c r="AH37" i="14"/>
  <c r="AA38" i="14"/>
  <c r="AE37" i="14"/>
  <c r="W39" i="14"/>
  <c r="X38" i="14"/>
  <c r="M271" i="14" l="1"/>
  <c r="I265" i="14"/>
  <c r="E268" i="14"/>
  <c r="M274" i="14"/>
  <c r="M270" i="14"/>
  <c r="E266" i="14"/>
  <c r="E269" i="14"/>
  <c r="Q268" i="14"/>
  <c r="I268" i="14"/>
  <c r="Q270" i="14"/>
  <c r="Q265" i="14"/>
  <c r="G54" i="16"/>
  <c r="E271" i="14"/>
  <c r="AI281" i="14"/>
  <c r="Y281" i="14"/>
  <c r="P281" i="14"/>
  <c r="O281" i="14"/>
  <c r="N281" i="14"/>
  <c r="L281" i="14"/>
  <c r="K281" i="14"/>
  <c r="J281" i="14"/>
  <c r="H281" i="14"/>
  <c r="G281" i="14"/>
  <c r="B281" i="14"/>
  <c r="B116" i="19" s="1"/>
  <c r="C116" i="19"/>
  <c r="C288" i="14"/>
  <c r="D288" i="14" s="1"/>
  <c r="T281" i="14"/>
  <c r="S281" i="14"/>
  <c r="R281" i="14"/>
  <c r="AN281" i="14"/>
  <c r="AD281" i="14"/>
  <c r="F281" i="14"/>
  <c r="I266" i="14"/>
  <c r="C107" i="19"/>
  <c r="S272" i="14"/>
  <c r="C279" i="14"/>
  <c r="D279" i="14" s="1"/>
  <c r="R272" i="14"/>
  <c r="B272" i="14"/>
  <c r="B107" i="19" s="1"/>
  <c r="Y272" i="14"/>
  <c r="T272" i="14"/>
  <c r="P272" i="14"/>
  <c r="O272" i="14"/>
  <c r="N272" i="14"/>
  <c r="H272" i="14"/>
  <c r="G272" i="14"/>
  <c r="F272" i="14"/>
  <c r="AI272" i="14"/>
  <c r="J272" i="14"/>
  <c r="AD272" i="14"/>
  <c r="K272" i="14"/>
  <c r="AN272" i="14"/>
  <c r="L272" i="14"/>
  <c r="Q271" i="14"/>
  <c r="M266" i="14"/>
  <c r="E270" i="14"/>
  <c r="P273" i="14"/>
  <c r="T273" i="14"/>
  <c r="R273" i="14"/>
  <c r="C108" i="19"/>
  <c r="C280" i="14"/>
  <c r="D280" i="14" s="1"/>
  <c r="Y273" i="14"/>
  <c r="S273" i="14"/>
  <c r="B273" i="14"/>
  <c r="B108" i="19" s="1"/>
  <c r="H273" i="14"/>
  <c r="K273" i="14"/>
  <c r="AN273" i="14"/>
  <c r="L273" i="14"/>
  <c r="AD273" i="14"/>
  <c r="J273" i="14"/>
  <c r="N273" i="14"/>
  <c r="O273" i="14"/>
  <c r="F273" i="14"/>
  <c r="AI273" i="14"/>
  <c r="G273" i="14"/>
  <c r="Q266" i="14"/>
  <c r="I270" i="14"/>
  <c r="I269" i="14"/>
  <c r="E274" i="14"/>
  <c r="Q269" i="14"/>
  <c r="E265" i="14"/>
  <c r="D54" i="16" s="1"/>
  <c r="C284" i="14"/>
  <c r="D284" i="14" s="1"/>
  <c r="H277" i="14"/>
  <c r="G277" i="14"/>
  <c r="F277" i="14"/>
  <c r="C112" i="19"/>
  <c r="AI277" i="14"/>
  <c r="Y277" i="14"/>
  <c r="T277" i="14"/>
  <c r="S277" i="14"/>
  <c r="R277" i="14"/>
  <c r="P277" i="14"/>
  <c r="O277" i="14"/>
  <c r="N277" i="14"/>
  <c r="M277" i="14" s="1"/>
  <c r="L277" i="14"/>
  <c r="K277" i="14"/>
  <c r="J277" i="14"/>
  <c r="B277" i="14"/>
  <c r="B112" i="19" s="1"/>
  <c r="AD277" i="14"/>
  <c r="AN277" i="14"/>
  <c r="I274" i="14"/>
  <c r="M268" i="14"/>
  <c r="N276" i="14"/>
  <c r="AI276" i="14"/>
  <c r="T276" i="14"/>
  <c r="C283" i="14"/>
  <c r="D283" i="14" s="1"/>
  <c r="P276" i="14"/>
  <c r="F276" i="14"/>
  <c r="C111" i="19"/>
  <c r="Y276" i="14"/>
  <c r="S276" i="14"/>
  <c r="R276" i="14"/>
  <c r="O276" i="14"/>
  <c r="K276" i="14"/>
  <c r="B276" i="14"/>
  <c r="B111" i="19" s="1"/>
  <c r="AD276" i="14"/>
  <c r="G276" i="14"/>
  <c r="AN276" i="14"/>
  <c r="J276" i="14"/>
  <c r="L276" i="14"/>
  <c r="H276" i="14"/>
  <c r="M265" i="14"/>
  <c r="F54" i="16" s="1"/>
  <c r="A420" i="14"/>
  <c r="A248" i="19"/>
  <c r="H53" i="16"/>
  <c r="T278" i="14"/>
  <c r="C285" i="14"/>
  <c r="D285" i="14" s="1"/>
  <c r="C113" i="19"/>
  <c r="Y278" i="14"/>
  <c r="AI278" i="14"/>
  <c r="K278" i="14"/>
  <c r="G278" i="14"/>
  <c r="H278" i="14"/>
  <c r="J278" i="14"/>
  <c r="O278" i="14"/>
  <c r="AD278" i="14"/>
  <c r="R278" i="14"/>
  <c r="S278" i="14"/>
  <c r="B278" i="14"/>
  <c r="B113" i="19" s="1"/>
  <c r="F278" i="14"/>
  <c r="L278" i="14"/>
  <c r="AN278" i="14"/>
  <c r="N278" i="14"/>
  <c r="P278" i="14"/>
  <c r="Y275" i="14"/>
  <c r="C110" i="19"/>
  <c r="C282" i="14"/>
  <c r="D282" i="14" s="1"/>
  <c r="B275" i="14"/>
  <c r="B110" i="19" s="1"/>
  <c r="P275" i="14"/>
  <c r="G275" i="14"/>
  <c r="AD275" i="14"/>
  <c r="R275" i="14"/>
  <c r="AI275" i="14"/>
  <c r="S275" i="14"/>
  <c r="AN275" i="14"/>
  <c r="T275" i="14"/>
  <c r="F275" i="14"/>
  <c r="J275" i="14"/>
  <c r="K275" i="14"/>
  <c r="L275" i="14"/>
  <c r="N275" i="14"/>
  <c r="H275" i="14"/>
  <c r="O275" i="14"/>
  <c r="M269" i="14"/>
  <c r="Q274" i="14"/>
  <c r="E54" i="16"/>
  <c r="AM37" i="14"/>
  <c r="AA39" i="14"/>
  <c r="AC39" i="14" s="1"/>
  <c r="AE38" i="14"/>
  <c r="AG40" i="14"/>
  <c r="AJ38" i="14"/>
  <c r="AF39" i="14"/>
  <c r="AL39" i="14"/>
  <c r="V40" i="14"/>
  <c r="Z39" i="14"/>
  <c r="AB40" i="14"/>
  <c r="AC38" i="14"/>
  <c r="AK38" i="14"/>
  <c r="AO38" i="14" s="1"/>
  <c r="X39" i="14"/>
  <c r="W40" i="14"/>
  <c r="M272" i="14" l="1"/>
  <c r="E272" i="14"/>
  <c r="D55" i="16" s="1"/>
  <c r="M275" i="14"/>
  <c r="M276" i="14"/>
  <c r="M278" i="14"/>
  <c r="Q281" i="14"/>
  <c r="Q276" i="14"/>
  <c r="I272" i="14"/>
  <c r="E273" i="14"/>
  <c r="I276" i="14"/>
  <c r="Q277" i="14"/>
  <c r="Q272" i="14"/>
  <c r="Y279" i="14"/>
  <c r="S279" i="14"/>
  <c r="R279" i="14"/>
  <c r="O279" i="14"/>
  <c r="N279" i="14"/>
  <c r="C114" i="19"/>
  <c r="C286" i="14"/>
  <c r="D286" i="14" s="1"/>
  <c r="T279" i="14"/>
  <c r="P279" i="14"/>
  <c r="AD279" i="14"/>
  <c r="K279" i="14"/>
  <c r="AN279" i="14"/>
  <c r="F279" i="14"/>
  <c r="AI279" i="14"/>
  <c r="G279" i="14"/>
  <c r="H279" i="14"/>
  <c r="J279" i="14"/>
  <c r="L279" i="14"/>
  <c r="B279" i="14"/>
  <c r="B114" i="19" s="1"/>
  <c r="Y282" i="14"/>
  <c r="C289" i="14"/>
  <c r="D289" i="14" s="1"/>
  <c r="B282" i="14"/>
  <c r="B117" i="19" s="1"/>
  <c r="C117" i="19"/>
  <c r="S282" i="14"/>
  <c r="F282" i="14"/>
  <c r="J282" i="14"/>
  <c r="AD282" i="14"/>
  <c r="O282" i="14"/>
  <c r="G282" i="14"/>
  <c r="L282" i="14"/>
  <c r="T282" i="14"/>
  <c r="AN282" i="14"/>
  <c r="AI282" i="14"/>
  <c r="H282" i="14"/>
  <c r="K282" i="14"/>
  <c r="N282" i="14"/>
  <c r="R282" i="14"/>
  <c r="P282" i="14"/>
  <c r="P280" i="14"/>
  <c r="Y280" i="14"/>
  <c r="T280" i="14"/>
  <c r="S280" i="14"/>
  <c r="R280" i="14"/>
  <c r="B280" i="14"/>
  <c r="B115" i="19" s="1"/>
  <c r="C115" i="19"/>
  <c r="C287" i="14"/>
  <c r="D287" i="14" s="1"/>
  <c r="AD280" i="14"/>
  <c r="H280" i="14"/>
  <c r="G280" i="14"/>
  <c r="O280" i="14"/>
  <c r="J280" i="14"/>
  <c r="AN280" i="14"/>
  <c r="L280" i="14"/>
  <c r="N280" i="14"/>
  <c r="F280" i="14"/>
  <c r="AI280" i="14"/>
  <c r="K280" i="14"/>
  <c r="E55" i="16"/>
  <c r="Q273" i="14"/>
  <c r="E281" i="14"/>
  <c r="E277" i="14"/>
  <c r="E278" i="14"/>
  <c r="F55" i="16"/>
  <c r="H54" i="16"/>
  <c r="B284" i="14"/>
  <c r="B119" i="19" s="1"/>
  <c r="C119" i="19"/>
  <c r="AI284" i="14"/>
  <c r="C291" i="14"/>
  <c r="D291" i="14" s="1"/>
  <c r="Y284" i="14"/>
  <c r="T284" i="14"/>
  <c r="S284" i="14"/>
  <c r="R284" i="14"/>
  <c r="P284" i="14"/>
  <c r="O284" i="14"/>
  <c r="N284" i="14"/>
  <c r="L284" i="14"/>
  <c r="K284" i="14"/>
  <c r="J284" i="14"/>
  <c r="H284" i="14"/>
  <c r="G284" i="14"/>
  <c r="F284" i="14"/>
  <c r="AD284" i="14"/>
  <c r="AN284" i="14"/>
  <c r="Q278" i="14"/>
  <c r="AI288" i="14"/>
  <c r="T288" i="14"/>
  <c r="S288" i="14"/>
  <c r="C295" i="14"/>
  <c r="D295" i="14" s="1"/>
  <c r="R288" i="14"/>
  <c r="P288" i="14"/>
  <c r="O288" i="14"/>
  <c r="C123" i="19"/>
  <c r="N288" i="14"/>
  <c r="K288" i="14"/>
  <c r="J288" i="14"/>
  <c r="H288" i="14"/>
  <c r="Y288" i="14"/>
  <c r="L288" i="14"/>
  <c r="G288" i="14"/>
  <c r="F288" i="14"/>
  <c r="B288" i="14"/>
  <c r="B123" i="19" s="1"/>
  <c r="AN288" i="14"/>
  <c r="AD288" i="14"/>
  <c r="E276" i="14"/>
  <c r="I278" i="14"/>
  <c r="N283" i="14"/>
  <c r="C118" i="19"/>
  <c r="AI283" i="14"/>
  <c r="Y283" i="14"/>
  <c r="T283" i="14"/>
  <c r="R283" i="14"/>
  <c r="O283" i="14"/>
  <c r="F283" i="14"/>
  <c r="C290" i="14"/>
  <c r="D290" i="14" s="1"/>
  <c r="S283" i="14"/>
  <c r="P283" i="14"/>
  <c r="K283" i="14"/>
  <c r="B283" i="14"/>
  <c r="B118" i="19" s="1"/>
  <c r="AD283" i="14"/>
  <c r="AN283" i="14"/>
  <c r="L283" i="14"/>
  <c r="G283" i="14"/>
  <c r="J283" i="14"/>
  <c r="H283" i="14"/>
  <c r="G55" i="16"/>
  <c r="I281" i="14"/>
  <c r="I275" i="14"/>
  <c r="M281" i="14"/>
  <c r="E275" i="14"/>
  <c r="M273" i="14"/>
  <c r="T285" i="14"/>
  <c r="C292" i="14"/>
  <c r="D292" i="14" s="1"/>
  <c r="C120" i="19"/>
  <c r="Y285" i="14"/>
  <c r="K285" i="14"/>
  <c r="B285" i="14"/>
  <c r="B120" i="19" s="1"/>
  <c r="AI285" i="14"/>
  <c r="F285" i="14"/>
  <c r="AD285" i="14"/>
  <c r="N285" i="14"/>
  <c r="AN285" i="14"/>
  <c r="R285" i="14"/>
  <c r="S285" i="14"/>
  <c r="G285" i="14"/>
  <c r="H285" i="14"/>
  <c r="J285" i="14"/>
  <c r="L285" i="14"/>
  <c r="O285" i="14"/>
  <c r="P285" i="14"/>
  <c r="I273" i="14"/>
  <c r="I277" i="14"/>
  <c r="Q275" i="14"/>
  <c r="A427" i="14"/>
  <c r="A255" i="19"/>
  <c r="AK39" i="14"/>
  <c r="AO39" i="14" s="1"/>
  <c r="AB41" i="14"/>
  <c r="V41" i="14"/>
  <c r="Z40" i="14"/>
  <c r="AM38" i="14"/>
  <c r="AL40" i="14"/>
  <c r="AJ39" i="14"/>
  <c r="AF40" i="14"/>
  <c r="AH40" i="14" s="1"/>
  <c r="AG41" i="14"/>
  <c r="AH39" i="14"/>
  <c r="AE39" i="14"/>
  <c r="AA40" i="14"/>
  <c r="W41" i="14"/>
  <c r="X40" i="14"/>
  <c r="M288" i="14" l="1"/>
  <c r="M282" i="14"/>
  <c r="M283" i="14"/>
  <c r="E280" i="14"/>
  <c r="Q280" i="14"/>
  <c r="Q282" i="14"/>
  <c r="I279" i="14"/>
  <c r="E56" i="16" s="1"/>
  <c r="I283" i="14"/>
  <c r="Q285" i="14"/>
  <c r="Q283" i="14"/>
  <c r="M280" i="14"/>
  <c r="I282" i="14"/>
  <c r="E285" i="14"/>
  <c r="E282" i="14"/>
  <c r="E284" i="14"/>
  <c r="I280" i="14"/>
  <c r="I284" i="14"/>
  <c r="Y289" i="14"/>
  <c r="B289" i="14"/>
  <c r="B124" i="19" s="1"/>
  <c r="C124" i="19"/>
  <c r="C296" i="14"/>
  <c r="D296" i="14" s="1"/>
  <c r="K289" i="14"/>
  <c r="AD289" i="14"/>
  <c r="AN289" i="14"/>
  <c r="P289" i="14"/>
  <c r="N289" i="14"/>
  <c r="F289" i="14"/>
  <c r="AI289" i="14"/>
  <c r="G289" i="14"/>
  <c r="J289" i="14"/>
  <c r="S289" i="14"/>
  <c r="T289" i="14"/>
  <c r="H289" i="14"/>
  <c r="L289" i="14"/>
  <c r="O289" i="14"/>
  <c r="R289" i="14"/>
  <c r="M284" i="14"/>
  <c r="T292" i="14"/>
  <c r="F292" i="14"/>
  <c r="B292" i="14"/>
  <c r="B127" i="19" s="1"/>
  <c r="C127" i="19"/>
  <c r="AI292" i="14"/>
  <c r="Y292" i="14"/>
  <c r="C299" i="14"/>
  <c r="D299" i="14" s="1"/>
  <c r="K292" i="14"/>
  <c r="S292" i="14"/>
  <c r="N292" i="14"/>
  <c r="O292" i="14"/>
  <c r="AN292" i="14"/>
  <c r="G292" i="14"/>
  <c r="H292" i="14"/>
  <c r="J292" i="14"/>
  <c r="AD292" i="14"/>
  <c r="R292" i="14"/>
  <c r="L292" i="14"/>
  <c r="P292" i="14"/>
  <c r="O287" i="14"/>
  <c r="C122" i="19"/>
  <c r="C294" i="14"/>
  <c r="D294" i="14" s="1"/>
  <c r="B287" i="14"/>
  <c r="B122" i="19" s="1"/>
  <c r="Y287" i="14"/>
  <c r="T287" i="14"/>
  <c r="S287" i="14"/>
  <c r="R287" i="14"/>
  <c r="P287" i="14"/>
  <c r="H287" i="14"/>
  <c r="N287" i="14"/>
  <c r="AD287" i="14"/>
  <c r="K287" i="14"/>
  <c r="AN287" i="14"/>
  <c r="L287" i="14"/>
  <c r="F287" i="14"/>
  <c r="AI287" i="14"/>
  <c r="G287" i="14"/>
  <c r="J287" i="14"/>
  <c r="N290" i="14"/>
  <c r="B290" i="14"/>
  <c r="B125" i="19" s="1"/>
  <c r="C125" i="19"/>
  <c r="AI290" i="14"/>
  <c r="Y290" i="14"/>
  <c r="T290" i="14"/>
  <c r="S290" i="14"/>
  <c r="C297" i="14"/>
  <c r="D297" i="14" s="1"/>
  <c r="R290" i="14"/>
  <c r="P290" i="14"/>
  <c r="O290" i="14"/>
  <c r="K290" i="14"/>
  <c r="F290" i="14"/>
  <c r="AD290" i="14"/>
  <c r="AN290" i="14"/>
  <c r="L290" i="14"/>
  <c r="G290" i="14"/>
  <c r="J290" i="14"/>
  <c r="H290" i="14"/>
  <c r="E288" i="14"/>
  <c r="Q284" i="14"/>
  <c r="A434" i="14"/>
  <c r="A269" i="19" s="1"/>
  <c r="A262" i="19"/>
  <c r="E279" i="14"/>
  <c r="D56" i="16" s="1"/>
  <c r="B291" i="14"/>
  <c r="B126" i="19" s="1"/>
  <c r="AI291" i="14"/>
  <c r="C126" i="19"/>
  <c r="Y291" i="14"/>
  <c r="T291" i="14"/>
  <c r="S291" i="14"/>
  <c r="R291" i="14"/>
  <c r="P291" i="14"/>
  <c r="C298" i="14"/>
  <c r="D298" i="14" s="1"/>
  <c r="O291" i="14"/>
  <c r="N291" i="14"/>
  <c r="K291" i="14"/>
  <c r="J291" i="14"/>
  <c r="H291" i="14"/>
  <c r="L291" i="14"/>
  <c r="G291" i="14"/>
  <c r="F291" i="14"/>
  <c r="AD291" i="14"/>
  <c r="AN291" i="14"/>
  <c r="I288" i="14"/>
  <c r="I285" i="14"/>
  <c r="T286" i="14"/>
  <c r="S286" i="14"/>
  <c r="R286" i="14"/>
  <c r="P286" i="14"/>
  <c r="N286" i="14"/>
  <c r="C121" i="19"/>
  <c r="B286" i="14"/>
  <c r="B121" i="19" s="1"/>
  <c r="Y286" i="14"/>
  <c r="O286" i="14"/>
  <c r="C293" i="14"/>
  <c r="D293" i="14" s="1"/>
  <c r="AI286" i="14"/>
  <c r="G286" i="14"/>
  <c r="J286" i="14"/>
  <c r="K286" i="14"/>
  <c r="AD286" i="14"/>
  <c r="H286" i="14"/>
  <c r="AN286" i="14"/>
  <c r="L286" i="14"/>
  <c r="F286" i="14"/>
  <c r="Q288" i="14"/>
  <c r="M279" i="14"/>
  <c r="F56" i="16" s="1"/>
  <c r="AI295" i="14"/>
  <c r="O295" i="14"/>
  <c r="N295" i="14"/>
  <c r="L295" i="14"/>
  <c r="K295" i="14"/>
  <c r="J295" i="14"/>
  <c r="H295" i="14"/>
  <c r="G295" i="14"/>
  <c r="B295" i="14"/>
  <c r="B130" i="19" s="1"/>
  <c r="C130" i="19"/>
  <c r="Y295" i="14"/>
  <c r="T295" i="14"/>
  <c r="S295" i="14"/>
  <c r="R295" i="14"/>
  <c r="P295" i="14"/>
  <c r="C302" i="14"/>
  <c r="D302" i="14" s="1"/>
  <c r="AD295" i="14"/>
  <c r="AN295" i="14"/>
  <c r="F295" i="14"/>
  <c r="Q279" i="14"/>
  <c r="G56" i="16" s="1"/>
  <c r="H55" i="16"/>
  <c r="M285" i="14"/>
  <c r="E283" i="14"/>
  <c r="AM39" i="14"/>
  <c r="AG42" i="14"/>
  <c r="AA41" i="14"/>
  <c r="AC41" i="14" s="1"/>
  <c r="AE40" i="14"/>
  <c r="AJ40" i="14"/>
  <c r="AF41" i="14"/>
  <c r="AL41" i="14"/>
  <c r="Z41" i="14"/>
  <c r="V42" i="14"/>
  <c r="AK40" i="14"/>
  <c r="AO40" i="14" s="1"/>
  <c r="AB42" i="14"/>
  <c r="AC40" i="14"/>
  <c r="X41" i="14"/>
  <c r="W42" i="14"/>
  <c r="I287" i="14" l="1"/>
  <c r="Q291" i="14"/>
  <c r="Q290" i="14"/>
  <c r="I292" i="14"/>
  <c r="Q289" i="14"/>
  <c r="H56" i="16"/>
  <c r="M295" i="14"/>
  <c r="E291" i="14"/>
  <c r="P294" i="14"/>
  <c r="C301" i="14"/>
  <c r="D301" i="14" s="1"/>
  <c r="Y294" i="14"/>
  <c r="C129" i="19"/>
  <c r="T294" i="14"/>
  <c r="R294" i="14"/>
  <c r="B294" i="14"/>
  <c r="B129" i="19" s="1"/>
  <c r="S294" i="14"/>
  <c r="L294" i="14"/>
  <c r="F294" i="14"/>
  <c r="AD294" i="14"/>
  <c r="H294" i="14"/>
  <c r="K294" i="14"/>
  <c r="AN294" i="14"/>
  <c r="N294" i="14"/>
  <c r="O294" i="14"/>
  <c r="AI294" i="14"/>
  <c r="G294" i="14"/>
  <c r="J294" i="14"/>
  <c r="I289" i="14"/>
  <c r="M291" i="14"/>
  <c r="N297" i="14"/>
  <c r="AI297" i="14"/>
  <c r="C304" i="14"/>
  <c r="D304" i="14" s="1"/>
  <c r="Y297" i="14"/>
  <c r="T297" i="14"/>
  <c r="S297" i="14"/>
  <c r="R297" i="14"/>
  <c r="C132" i="19"/>
  <c r="O297" i="14"/>
  <c r="P297" i="14"/>
  <c r="K297" i="14"/>
  <c r="F297" i="14"/>
  <c r="B297" i="14"/>
  <c r="B132" i="19" s="1"/>
  <c r="J297" i="14"/>
  <c r="AD297" i="14"/>
  <c r="AN297" i="14"/>
  <c r="L297" i="14"/>
  <c r="G297" i="14"/>
  <c r="H297" i="14"/>
  <c r="Q292" i="14"/>
  <c r="B298" i="14"/>
  <c r="B133" i="19" s="1"/>
  <c r="P298" i="14"/>
  <c r="C305" i="14"/>
  <c r="D305" i="14" s="1"/>
  <c r="O298" i="14"/>
  <c r="N298" i="14"/>
  <c r="L298" i="14"/>
  <c r="K298" i="14"/>
  <c r="J298" i="14"/>
  <c r="H298" i="14"/>
  <c r="G298" i="14"/>
  <c r="F298" i="14"/>
  <c r="C133" i="19"/>
  <c r="AI298" i="14"/>
  <c r="Y298" i="14"/>
  <c r="T298" i="14"/>
  <c r="S298" i="14"/>
  <c r="R298" i="14"/>
  <c r="AN298" i="14"/>
  <c r="AD298" i="14"/>
  <c r="E289" i="14"/>
  <c r="M289" i="14"/>
  <c r="I291" i="14"/>
  <c r="E292" i="14"/>
  <c r="M292" i="14"/>
  <c r="Y296" i="14"/>
  <c r="C303" i="14"/>
  <c r="D303" i="14" s="1"/>
  <c r="C131" i="19"/>
  <c r="B296" i="14"/>
  <c r="B131" i="19" s="1"/>
  <c r="T296" i="14"/>
  <c r="N296" i="14"/>
  <c r="J296" i="14"/>
  <c r="AD296" i="14"/>
  <c r="G296" i="14"/>
  <c r="L296" i="14"/>
  <c r="S296" i="14"/>
  <c r="AI296" i="14"/>
  <c r="P296" i="14"/>
  <c r="AN296" i="14"/>
  <c r="H296" i="14"/>
  <c r="K296" i="14"/>
  <c r="O296" i="14"/>
  <c r="F296" i="14"/>
  <c r="R296" i="14"/>
  <c r="E295" i="14"/>
  <c r="E286" i="14"/>
  <c r="D57" i="16" s="1"/>
  <c r="Q295" i="14"/>
  <c r="E287" i="14"/>
  <c r="T299" i="14"/>
  <c r="C306" i="14"/>
  <c r="D306" i="14" s="1"/>
  <c r="Y299" i="14"/>
  <c r="C134" i="19"/>
  <c r="B299" i="14"/>
  <c r="B134" i="19" s="1"/>
  <c r="K299" i="14"/>
  <c r="F299" i="14"/>
  <c r="AI299" i="14"/>
  <c r="G299" i="14"/>
  <c r="H299" i="14"/>
  <c r="J299" i="14"/>
  <c r="R299" i="14"/>
  <c r="L299" i="14"/>
  <c r="AD299" i="14"/>
  <c r="AN299" i="14"/>
  <c r="P299" i="14"/>
  <c r="S299" i="14"/>
  <c r="N299" i="14"/>
  <c r="O299" i="14"/>
  <c r="M286" i="14"/>
  <c r="F57" i="16" s="1"/>
  <c r="M290" i="14"/>
  <c r="C128" i="19"/>
  <c r="Y293" i="14"/>
  <c r="N293" i="14"/>
  <c r="T293" i="14"/>
  <c r="S293" i="14"/>
  <c r="R293" i="14"/>
  <c r="P293" i="14"/>
  <c r="O293" i="14"/>
  <c r="C300" i="14"/>
  <c r="D300" i="14" s="1"/>
  <c r="B293" i="14"/>
  <c r="B128" i="19" s="1"/>
  <c r="J293" i="14"/>
  <c r="K293" i="14"/>
  <c r="AN293" i="14"/>
  <c r="AD293" i="14"/>
  <c r="G293" i="14"/>
  <c r="H293" i="14"/>
  <c r="L293" i="14"/>
  <c r="F293" i="14"/>
  <c r="AI293" i="14"/>
  <c r="AI302" i="14"/>
  <c r="B302" i="14"/>
  <c r="B137" i="19" s="1"/>
  <c r="T302" i="14"/>
  <c r="C309" i="14"/>
  <c r="D309" i="14" s="1"/>
  <c r="R302" i="14"/>
  <c r="L302" i="14"/>
  <c r="C137" i="19"/>
  <c r="Y302" i="14"/>
  <c r="S302" i="14"/>
  <c r="P302" i="14"/>
  <c r="O302" i="14"/>
  <c r="N302" i="14"/>
  <c r="K302" i="14"/>
  <c r="J302" i="14"/>
  <c r="H302" i="14"/>
  <c r="G302" i="14"/>
  <c r="AN302" i="14"/>
  <c r="AD302" i="14"/>
  <c r="F302" i="14"/>
  <c r="I286" i="14"/>
  <c r="E57" i="16" s="1"/>
  <c r="Q286" i="14"/>
  <c r="G57" i="16" s="1"/>
  <c r="M287" i="14"/>
  <c r="I290" i="14"/>
  <c r="I295" i="14"/>
  <c r="E290" i="14"/>
  <c r="Q287" i="14"/>
  <c r="AK41" i="14"/>
  <c r="AO41" i="14" s="1"/>
  <c r="AB43" i="14"/>
  <c r="V43" i="14"/>
  <c r="Z42" i="14"/>
  <c r="AJ41" i="14"/>
  <c r="AF42" i="14"/>
  <c r="AH42" i="14" s="1"/>
  <c r="AM41" i="14"/>
  <c r="AL42" i="14"/>
  <c r="AA42" i="14"/>
  <c r="AE41" i="14"/>
  <c r="AM40" i="14"/>
  <c r="AG43" i="14"/>
  <c r="AH41" i="14"/>
  <c r="W43" i="14"/>
  <c r="X42" i="14"/>
  <c r="Q296" i="14" l="1"/>
  <c r="M299" i="14"/>
  <c r="E293" i="14"/>
  <c r="E294" i="14"/>
  <c r="M302" i="14"/>
  <c r="Q302" i="14"/>
  <c r="M298" i="14"/>
  <c r="Q299" i="14"/>
  <c r="Q293" i="14"/>
  <c r="E296" i="14"/>
  <c r="H57" i="16"/>
  <c r="E298" i="14"/>
  <c r="N304" i="14"/>
  <c r="C139" i="19"/>
  <c r="C311" i="14"/>
  <c r="D311" i="14" s="1"/>
  <c r="AI304" i="14"/>
  <c r="Y304" i="14"/>
  <c r="T304" i="14"/>
  <c r="S304" i="14"/>
  <c r="R304" i="14"/>
  <c r="P304" i="14"/>
  <c r="O304" i="14"/>
  <c r="K304" i="14"/>
  <c r="F304" i="14"/>
  <c r="B304" i="14"/>
  <c r="B139" i="19" s="1"/>
  <c r="AD304" i="14"/>
  <c r="AN304" i="14"/>
  <c r="L304" i="14"/>
  <c r="G304" i="14"/>
  <c r="H304" i="14"/>
  <c r="J304" i="14"/>
  <c r="M297" i="14"/>
  <c r="I298" i="14"/>
  <c r="I294" i="14"/>
  <c r="I296" i="14"/>
  <c r="I299" i="14"/>
  <c r="M296" i="14"/>
  <c r="B305" i="14"/>
  <c r="B140" i="19" s="1"/>
  <c r="F305" i="14"/>
  <c r="C140" i="19"/>
  <c r="Y305" i="14"/>
  <c r="S305" i="14"/>
  <c r="N305" i="14"/>
  <c r="AI305" i="14"/>
  <c r="T305" i="14"/>
  <c r="R305" i="14"/>
  <c r="P305" i="14"/>
  <c r="O305" i="14"/>
  <c r="L305" i="14"/>
  <c r="K305" i="14"/>
  <c r="J305" i="14"/>
  <c r="H305" i="14"/>
  <c r="G305" i="14"/>
  <c r="C312" i="14"/>
  <c r="D312" i="14" s="1"/>
  <c r="AD305" i="14"/>
  <c r="AN305" i="14"/>
  <c r="M294" i="14"/>
  <c r="E299" i="14"/>
  <c r="G58" i="16"/>
  <c r="Y303" i="14"/>
  <c r="C138" i="19"/>
  <c r="C310" i="14"/>
  <c r="D310" i="14" s="1"/>
  <c r="B303" i="14"/>
  <c r="B138" i="19" s="1"/>
  <c r="G303" i="14"/>
  <c r="S303" i="14"/>
  <c r="AD303" i="14"/>
  <c r="L303" i="14"/>
  <c r="O303" i="14"/>
  <c r="R303" i="14"/>
  <c r="AI303" i="14"/>
  <c r="J303" i="14"/>
  <c r="K303" i="14"/>
  <c r="P303" i="14"/>
  <c r="T303" i="14"/>
  <c r="N303" i="14"/>
  <c r="F303" i="14"/>
  <c r="H303" i="14"/>
  <c r="AN303" i="14"/>
  <c r="E297" i="14"/>
  <c r="AI309" i="14"/>
  <c r="Y309" i="14"/>
  <c r="T309" i="14"/>
  <c r="S309" i="14"/>
  <c r="R309" i="14"/>
  <c r="P309" i="14"/>
  <c r="O309" i="14"/>
  <c r="C144" i="19"/>
  <c r="C316" i="14"/>
  <c r="D316" i="14" s="1"/>
  <c r="N309" i="14"/>
  <c r="L309" i="14"/>
  <c r="K309" i="14"/>
  <c r="H309" i="14"/>
  <c r="J309" i="14"/>
  <c r="G309" i="14"/>
  <c r="B309" i="14"/>
  <c r="B144" i="19" s="1"/>
  <c r="AN309" i="14"/>
  <c r="AD309" i="14"/>
  <c r="F309" i="14"/>
  <c r="F58" i="16"/>
  <c r="E302" i="14"/>
  <c r="I293" i="14"/>
  <c r="E58" i="16" s="1"/>
  <c r="C307" i="14"/>
  <c r="D307" i="14" s="1"/>
  <c r="Y300" i="14"/>
  <c r="T300" i="14"/>
  <c r="S300" i="14"/>
  <c r="R300" i="14"/>
  <c r="P300" i="14"/>
  <c r="O300" i="14"/>
  <c r="N300" i="14"/>
  <c r="B300" i="14"/>
  <c r="B135" i="19" s="1"/>
  <c r="C135" i="19"/>
  <c r="AD300" i="14"/>
  <c r="H300" i="14"/>
  <c r="F300" i="14"/>
  <c r="L300" i="14"/>
  <c r="AI300" i="14"/>
  <c r="G300" i="14"/>
  <c r="J300" i="14"/>
  <c r="K300" i="14"/>
  <c r="AN300" i="14"/>
  <c r="T306" i="14"/>
  <c r="C313" i="14"/>
  <c r="D313" i="14" s="1"/>
  <c r="C141" i="19"/>
  <c r="AI306" i="14"/>
  <c r="Y306" i="14"/>
  <c r="K306" i="14"/>
  <c r="G306" i="14"/>
  <c r="F306" i="14"/>
  <c r="B306" i="14"/>
  <c r="B141" i="19" s="1"/>
  <c r="P306" i="14"/>
  <c r="AN306" i="14"/>
  <c r="S306" i="14"/>
  <c r="AD306" i="14"/>
  <c r="N306" i="14"/>
  <c r="O306" i="14"/>
  <c r="R306" i="14"/>
  <c r="H306" i="14"/>
  <c r="J306" i="14"/>
  <c r="L306" i="14"/>
  <c r="I297" i="14"/>
  <c r="Q294" i="14"/>
  <c r="D58" i="16"/>
  <c r="I302" i="14"/>
  <c r="M293" i="14"/>
  <c r="Q298" i="14"/>
  <c r="P301" i="14"/>
  <c r="Y301" i="14"/>
  <c r="T301" i="14"/>
  <c r="S301" i="14"/>
  <c r="R301" i="14"/>
  <c r="B301" i="14"/>
  <c r="B136" i="19" s="1"/>
  <c r="C136" i="19"/>
  <c r="C308" i="14"/>
  <c r="D308" i="14" s="1"/>
  <c r="AI301" i="14"/>
  <c r="G301" i="14"/>
  <c r="N301" i="14"/>
  <c r="AD301" i="14"/>
  <c r="H301" i="14"/>
  <c r="K301" i="14"/>
  <c r="AN301" i="14"/>
  <c r="L301" i="14"/>
  <c r="O301" i="14"/>
  <c r="F301" i="14"/>
  <c r="E301" i="14" s="1"/>
  <c r="J301" i="14"/>
  <c r="Q297" i="14"/>
  <c r="AG44" i="14"/>
  <c r="AA43" i="14"/>
  <c r="AC43" i="14" s="1"/>
  <c r="AE42" i="14"/>
  <c r="AJ42" i="14"/>
  <c r="AF43" i="14"/>
  <c r="AC42" i="14"/>
  <c r="AL43" i="14"/>
  <c r="V44" i="14"/>
  <c r="Z43" i="14"/>
  <c r="AK42" i="14"/>
  <c r="AO42" i="14" s="1"/>
  <c r="AB44" i="14"/>
  <c r="W44" i="14"/>
  <c r="X43" i="14"/>
  <c r="Q305" i="14" l="1"/>
  <c r="Q309" i="14"/>
  <c r="M303" i="14"/>
  <c r="I301" i="14"/>
  <c r="E309" i="14"/>
  <c r="I303" i="14"/>
  <c r="E306" i="14"/>
  <c r="E304" i="14"/>
  <c r="M306" i="14"/>
  <c r="I309" i="14"/>
  <c r="H58" i="16"/>
  <c r="I300" i="14"/>
  <c r="E59" i="16" s="1"/>
  <c r="Y310" i="14"/>
  <c r="B310" i="14"/>
  <c r="B145" i="19" s="1"/>
  <c r="C145" i="19"/>
  <c r="C317" i="14"/>
  <c r="D317" i="14" s="1"/>
  <c r="O310" i="14"/>
  <c r="G310" i="14"/>
  <c r="AD310" i="14"/>
  <c r="P310" i="14"/>
  <c r="F310" i="14"/>
  <c r="L310" i="14"/>
  <c r="T310" i="14"/>
  <c r="H310" i="14"/>
  <c r="N310" i="14"/>
  <c r="R310" i="14"/>
  <c r="S310" i="14"/>
  <c r="AN310" i="14"/>
  <c r="AI310" i="14"/>
  <c r="J310" i="14"/>
  <c r="K310" i="14"/>
  <c r="M309" i="14"/>
  <c r="T316" i="14"/>
  <c r="S316" i="14"/>
  <c r="R316" i="14"/>
  <c r="C323" i="14"/>
  <c r="D323" i="14" s="1"/>
  <c r="P316" i="14"/>
  <c r="O316" i="14"/>
  <c r="N316" i="14"/>
  <c r="L316" i="14"/>
  <c r="K316" i="14"/>
  <c r="J316" i="14"/>
  <c r="H316" i="14"/>
  <c r="G316" i="14"/>
  <c r="F316" i="14"/>
  <c r="B316" i="14"/>
  <c r="B151" i="19" s="1"/>
  <c r="AI316" i="14"/>
  <c r="Y316" i="14"/>
  <c r="C151" i="19"/>
  <c r="AD316" i="14"/>
  <c r="AN316" i="14"/>
  <c r="E300" i="14"/>
  <c r="D59" i="16" s="1"/>
  <c r="I304" i="14"/>
  <c r="I306" i="14"/>
  <c r="M300" i="14"/>
  <c r="F59" i="16" s="1"/>
  <c r="B312" i="14"/>
  <c r="B147" i="19" s="1"/>
  <c r="AI312" i="14"/>
  <c r="Y312" i="14"/>
  <c r="T312" i="14"/>
  <c r="S312" i="14"/>
  <c r="R312" i="14"/>
  <c r="P312" i="14"/>
  <c r="C319" i="14"/>
  <c r="D319" i="14" s="1"/>
  <c r="O312" i="14"/>
  <c r="N312" i="14"/>
  <c r="L312" i="14"/>
  <c r="J312" i="14"/>
  <c r="C147" i="19"/>
  <c r="G312" i="14"/>
  <c r="K312" i="14"/>
  <c r="H312" i="14"/>
  <c r="F312" i="14"/>
  <c r="AD312" i="14"/>
  <c r="AN312" i="14"/>
  <c r="Q306" i="14"/>
  <c r="Q300" i="14"/>
  <c r="G59" i="16" s="1"/>
  <c r="I305" i="14"/>
  <c r="E303" i="14"/>
  <c r="Q304" i="14"/>
  <c r="T307" i="14"/>
  <c r="C314" i="14"/>
  <c r="D314" i="14" s="1"/>
  <c r="S307" i="14"/>
  <c r="R307" i="14"/>
  <c r="P307" i="14"/>
  <c r="O307" i="14"/>
  <c r="N307" i="14"/>
  <c r="B307" i="14"/>
  <c r="B142" i="19" s="1"/>
  <c r="C142" i="19"/>
  <c r="Y307" i="14"/>
  <c r="F307" i="14"/>
  <c r="AD307" i="14"/>
  <c r="AI307" i="14"/>
  <c r="G307" i="14"/>
  <c r="J307" i="14"/>
  <c r="K307" i="14"/>
  <c r="H307" i="14"/>
  <c r="AN307" i="14"/>
  <c r="L307" i="14"/>
  <c r="M305" i="14"/>
  <c r="N311" i="14"/>
  <c r="K311" i="14"/>
  <c r="F311" i="14"/>
  <c r="B311" i="14"/>
  <c r="B146" i="19" s="1"/>
  <c r="C146" i="19"/>
  <c r="C318" i="14"/>
  <c r="D318" i="14" s="1"/>
  <c r="Y311" i="14"/>
  <c r="AI311" i="14"/>
  <c r="T311" i="14"/>
  <c r="S311" i="14"/>
  <c r="R311" i="14"/>
  <c r="P311" i="14"/>
  <c r="O311" i="14"/>
  <c r="L311" i="14"/>
  <c r="AD311" i="14"/>
  <c r="AN311" i="14"/>
  <c r="G311" i="14"/>
  <c r="H311" i="14"/>
  <c r="J311" i="14"/>
  <c r="M301" i="14"/>
  <c r="Q303" i="14"/>
  <c r="M304" i="14"/>
  <c r="P308" i="14"/>
  <c r="C143" i="19"/>
  <c r="S308" i="14"/>
  <c r="T308" i="14"/>
  <c r="R308" i="14"/>
  <c r="B308" i="14"/>
  <c r="B143" i="19" s="1"/>
  <c r="C315" i="14"/>
  <c r="D315" i="14" s="1"/>
  <c r="Y308" i="14"/>
  <c r="AI308" i="14"/>
  <c r="N308" i="14"/>
  <c r="G308" i="14"/>
  <c r="AD308" i="14"/>
  <c r="O308" i="14"/>
  <c r="K308" i="14"/>
  <c r="AN308" i="14"/>
  <c r="L308" i="14"/>
  <c r="F308" i="14"/>
  <c r="J308" i="14"/>
  <c r="H308" i="14"/>
  <c r="Q301" i="14"/>
  <c r="T313" i="14"/>
  <c r="Y313" i="14"/>
  <c r="B313" i="14"/>
  <c r="B148" i="19" s="1"/>
  <c r="C148" i="19"/>
  <c r="C320" i="14"/>
  <c r="D320" i="14" s="1"/>
  <c r="N313" i="14"/>
  <c r="G313" i="14"/>
  <c r="H313" i="14"/>
  <c r="J313" i="14"/>
  <c r="AN313" i="14"/>
  <c r="R313" i="14"/>
  <c r="AD313" i="14"/>
  <c r="L313" i="14"/>
  <c r="O313" i="14"/>
  <c r="P313" i="14"/>
  <c r="S313" i="14"/>
  <c r="F313" i="14"/>
  <c r="AI313" i="14"/>
  <c r="K313" i="14"/>
  <c r="E305" i="14"/>
  <c r="AK43" i="14"/>
  <c r="AO43" i="14" s="1"/>
  <c r="AB45" i="14"/>
  <c r="V45" i="14"/>
  <c r="Z44" i="14"/>
  <c r="AL44" i="14"/>
  <c r="AE43" i="14"/>
  <c r="AA44" i="14"/>
  <c r="AJ43" i="14"/>
  <c r="AF44" i="14"/>
  <c r="AH44" i="14" s="1"/>
  <c r="AM42" i="14"/>
  <c r="AG45" i="14"/>
  <c r="AH43" i="14"/>
  <c r="X44" i="14"/>
  <c r="W45" i="14"/>
  <c r="Q308" i="14" l="1"/>
  <c r="Q313" i="14"/>
  <c r="I312" i="14"/>
  <c r="E313" i="14"/>
  <c r="I311" i="14"/>
  <c r="I313" i="14"/>
  <c r="M307" i="14"/>
  <c r="I308" i="14"/>
  <c r="E308" i="14"/>
  <c r="Q311" i="14"/>
  <c r="AI323" i="14"/>
  <c r="J323" i="14"/>
  <c r="H323" i="14"/>
  <c r="G323" i="14"/>
  <c r="B323" i="14"/>
  <c r="B158" i="19" s="1"/>
  <c r="C158" i="19"/>
  <c r="R323" i="14"/>
  <c r="Y323" i="14"/>
  <c r="T323" i="14"/>
  <c r="S323" i="14"/>
  <c r="P323" i="14"/>
  <c r="O323" i="14"/>
  <c r="N323" i="14"/>
  <c r="L323" i="14"/>
  <c r="K323" i="14"/>
  <c r="C330" i="14"/>
  <c r="D330" i="14" s="1"/>
  <c r="AN323" i="14"/>
  <c r="AD323" i="14"/>
  <c r="F323" i="14"/>
  <c r="Q312" i="14"/>
  <c r="Q316" i="14"/>
  <c r="T320" i="14"/>
  <c r="C155" i="19"/>
  <c r="K320" i="14"/>
  <c r="AI320" i="14"/>
  <c r="Y320" i="14"/>
  <c r="F320" i="14"/>
  <c r="B320" i="14"/>
  <c r="B155" i="19" s="1"/>
  <c r="C327" i="14"/>
  <c r="D327" i="14" s="1"/>
  <c r="L320" i="14"/>
  <c r="R320" i="14"/>
  <c r="AD320" i="14"/>
  <c r="N320" i="14"/>
  <c r="O320" i="14"/>
  <c r="AN320" i="14"/>
  <c r="G320" i="14"/>
  <c r="H320" i="14"/>
  <c r="J320" i="14"/>
  <c r="P320" i="14"/>
  <c r="S320" i="14"/>
  <c r="H59" i="16"/>
  <c r="Q307" i="14"/>
  <c r="G60" i="16" s="1"/>
  <c r="I310" i="14"/>
  <c r="N314" i="14"/>
  <c r="B314" i="14"/>
  <c r="B149" i="19" s="1"/>
  <c r="C149" i="19"/>
  <c r="Y314" i="14"/>
  <c r="T314" i="14"/>
  <c r="S314" i="14"/>
  <c r="R314" i="14"/>
  <c r="P314" i="14"/>
  <c r="O314" i="14"/>
  <c r="C321" i="14"/>
  <c r="D321" i="14" s="1"/>
  <c r="J314" i="14"/>
  <c r="K314" i="14"/>
  <c r="AN314" i="14"/>
  <c r="F314" i="14"/>
  <c r="AI314" i="14"/>
  <c r="H314" i="14"/>
  <c r="G314" i="14"/>
  <c r="AD314" i="14"/>
  <c r="L314" i="14"/>
  <c r="Q310" i="14"/>
  <c r="N318" i="14"/>
  <c r="C153" i="19"/>
  <c r="AI318" i="14"/>
  <c r="Y318" i="14"/>
  <c r="C325" i="14"/>
  <c r="D325" i="14" s="1"/>
  <c r="T318" i="14"/>
  <c r="S318" i="14"/>
  <c r="P318" i="14"/>
  <c r="B318" i="14"/>
  <c r="B153" i="19" s="1"/>
  <c r="R318" i="14"/>
  <c r="O318" i="14"/>
  <c r="K318" i="14"/>
  <c r="F318" i="14"/>
  <c r="J318" i="14"/>
  <c r="AD318" i="14"/>
  <c r="L318" i="14"/>
  <c r="AN318" i="14"/>
  <c r="G318" i="14"/>
  <c r="H318" i="14"/>
  <c r="M310" i="14"/>
  <c r="M308" i="14"/>
  <c r="E311" i="14"/>
  <c r="I307" i="14"/>
  <c r="E60" i="16" s="1"/>
  <c r="E310" i="14"/>
  <c r="M311" i="14"/>
  <c r="O315" i="14"/>
  <c r="C322" i="14"/>
  <c r="D322" i="14" s="1"/>
  <c r="Y315" i="14"/>
  <c r="T315" i="14"/>
  <c r="S315" i="14"/>
  <c r="P315" i="14"/>
  <c r="C150" i="19"/>
  <c r="R315" i="14"/>
  <c r="B315" i="14"/>
  <c r="B150" i="19" s="1"/>
  <c r="F315" i="14"/>
  <c r="AI315" i="14"/>
  <c r="G315" i="14"/>
  <c r="AD315" i="14"/>
  <c r="K315" i="14"/>
  <c r="H315" i="14"/>
  <c r="J315" i="14"/>
  <c r="AN315" i="14"/>
  <c r="L315" i="14"/>
  <c r="N315" i="14"/>
  <c r="E312" i="14"/>
  <c r="E316" i="14"/>
  <c r="Y317" i="14"/>
  <c r="C152" i="19"/>
  <c r="B317" i="14"/>
  <c r="B152" i="19" s="1"/>
  <c r="C324" i="14"/>
  <c r="D324" i="14" s="1"/>
  <c r="T317" i="14"/>
  <c r="O317" i="14"/>
  <c r="G317" i="14"/>
  <c r="AN317" i="14"/>
  <c r="AD317" i="14"/>
  <c r="J317" i="14"/>
  <c r="S317" i="14"/>
  <c r="H317" i="14"/>
  <c r="K317" i="14"/>
  <c r="N317" i="14"/>
  <c r="AI317" i="14"/>
  <c r="P317" i="14"/>
  <c r="R317" i="14"/>
  <c r="F317" i="14"/>
  <c r="L317" i="14"/>
  <c r="I316" i="14"/>
  <c r="M312" i="14"/>
  <c r="M316" i="14"/>
  <c r="M313" i="14"/>
  <c r="F60" i="16"/>
  <c r="E307" i="14"/>
  <c r="D60" i="16" s="1"/>
  <c r="B319" i="14"/>
  <c r="B154" i="19" s="1"/>
  <c r="T319" i="14"/>
  <c r="S319" i="14"/>
  <c r="R319" i="14"/>
  <c r="P319" i="14"/>
  <c r="C154" i="19"/>
  <c r="O319" i="14"/>
  <c r="C326" i="14"/>
  <c r="D326" i="14" s="1"/>
  <c r="N319" i="14"/>
  <c r="L319" i="14"/>
  <c r="K319" i="14"/>
  <c r="J319" i="14"/>
  <c r="H319" i="14"/>
  <c r="G319" i="14"/>
  <c r="F319" i="14"/>
  <c r="AI319" i="14"/>
  <c r="Y319" i="14"/>
  <c r="AD319" i="14"/>
  <c r="AN319" i="14"/>
  <c r="AM43" i="14"/>
  <c r="AA45" i="14"/>
  <c r="AC45" i="14" s="1"/>
  <c r="AE44" i="14"/>
  <c r="AG46" i="14"/>
  <c r="AL45" i="14"/>
  <c r="AJ44" i="14"/>
  <c r="AF45" i="14"/>
  <c r="Z45" i="14"/>
  <c r="V46" i="14"/>
  <c r="AK44" i="14"/>
  <c r="AO44" i="14" s="1"/>
  <c r="AC44" i="14"/>
  <c r="AB46" i="14"/>
  <c r="X45" i="14"/>
  <c r="W46" i="14"/>
  <c r="M318" i="14" l="1"/>
  <c r="E319" i="14"/>
  <c r="M319" i="14"/>
  <c r="I320" i="14"/>
  <c r="I319" i="14"/>
  <c r="E323" i="14"/>
  <c r="I317" i="14"/>
  <c r="Q323" i="14"/>
  <c r="E314" i="14"/>
  <c r="D61" i="16"/>
  <c r="M315" i="14"/>
  <c r="H60" i="16"/>
  <c r="I318" i="14"/>
  <c r="I315" i="14"/>
  <c r="E318" i="14"/>
  <c r="Q314" i="14"/>
  <c r="G61" i="16" s="1"/>
  <c r="Q318" i="14"/>
  <c r="E317" i="14"/>
  <c r="E315" i="14"/>
  <c r="M314" i="14"/>
  <c r="C156" i="19"/>
  <c r="Y321" i="14"/>
  <c r="T321" i="14"/>
  <c r="C328" i="14"/>
  <c r="D328" i="14" s="1"/>
  <c r="S321" i="14"/>
  <c r="R321" i="14"/>
  <c r="P321" i="14"/>
  <c r="N321" i="14"/>
  <c r="O321" i="14"/>
  <c r="AD321" i="14"/>
  <c r="H321" i="14"/>
  <c r="B321" i="14"/>
  <c r="B156" i="19" s="1"/>
  <c r="K321" i="14"/>
  <c r="AN321" i="14"/>
  <c r="F321" i="14"/>
  <c r="AI321" i="14"/>
  <c r="G321" i="14"/>
  <c r="J321" i="14"/>
  <c r="L321" i="14"/>
  <c r="AI330" i="14"/>
  <c r="Y330" i="14"/>
  <c r="T330" i="14"/>
  <c r="S330" i="14"/>
  <c r="C337" i="14"/>
  <c r="D337" i="14" s="1"/>
  <c r="P330" i="14"/>
  <c r="K330" i="14"/>
  <c r="C165" i="19"/>
  <c r="R330" i="14"/>
  <c r="O330" i="14"/>
  <c r="N330" i="14"/>
  <c r="L330" i="14"/>
  <c r="J330" i="14"/>
  <c r="H330" i="14"/>
  <c r="G330" i="14"/>
  <c r="B330" i="14"/>
  <c r="B165" i="19" s="1"/>
  <c r="AD330" i="14"/>
  <c r="AN330" i="14"/>
  <c r="F330" i="14"/>
  <c r="Q315" i="14"/>
  <c r="N325" i="14"/>
  <c r="AI325" i="14"/>
  <c r="Y325" i="14"/>
  <c r="T325" i="14"/>
  <c r="S325" i="14"/>
  <c r="C332" i="14"/>
  <c r="D332" i="14" s="1"/>
  <c r="R325" i="14"/>
  <c r="P325" i="14"/>
  <c r="O325" i="14"/>
  <c r="K325" i="14"/>
  <c r="F325" i="14"/>
  <c r="C160" i="19"/>
  <c r="B325" i="14"/>
  <c r="B160" i="19" s="1"/>
  <c r="AD325" i="14"/>
  <c r="AN325" i="14"/>
  <c r="J325" i="14"/>
  <c r="L325" i="14"/>
  <c r="G325" i="14"/>
  <c r="H325" i="14"/>
  <c r="Q317" i="14"/>
  <c r="M317" i="14"/>
  <c r="M323" i="14"/>
  <c r="P322" i="14"/>
  <c r="C329" i="14"/>
  <c r="D329" i="14" s="1"/>
  <c r="Y322" i="14"/>
  <c r="T322" i="14"/>
  <c r="S322" i="14"/>
  <c r="R322" i="14"/>
  <c r="C157" i="19"/>
  <c r="B322" i="14"/>
  <c r="B157" i="19" s="1"/>
  <c r="K322" i="14"/>
  <c r="H322" i="14"/>
  <c r="O322" i="14"/>
  <c r="AD322" i="14"/>
  <c r="J322" i="14"/>
  <c r="N322" i="14"/>
  <c r="F322" i="14"/>
  <c r="AI322" i="14"/>
  <c r="G322" i="14"/>
  <c r="AN322" i="14"/>
  <c r="L322" i="14"/>
  <c r="B326" i="14"/>
  <c r="B161" i="19" s="1"/>
  <c r="C333" i="14"/>
  <c r="D333" i="14" s="1"/>
  <c r="K326" i="14"/>
  <c r="J326" i="14"/>
  <c r="H326" i="14"/>
  <c r="G326" i="14"/>
  <c r="F326" i="14"/>
  <c r="C161" i="19"/>
  <c r="S326" i="14"/>
  <c r="T326" i="14"/>
  <c r="R326" i="14"/>
  <c r="P326" i="14"/>
  <c r="O326" i="14"/>
  <c r="N326" i="14"/>
  <c r="L326" i="14"/>
  <c r="AI326" i="14"/>
  <c r="Y326" i="14"/>
  <c r="AD326" i="14"/>
  <c r="AN326" i="14"/>
  <c r="M320" i="14"/>
  <c r="Y324" i="14"/>
  <c r="C331" i="14"/>
  <c r="D331" i="14" s="1"/>
  <c r="C159" i="19"/>
  <c r="B324" i="14"/>
  <c r="B159" i="19" s="1"/>
  <c r="S324" i="14"/>
  <c r="G324" i="14"/>
  <c r="AD324" i="14"/>
  <c r="N324" i="14"/>
  <c r="AI324" i="14"/>
  <c r="O324" i="14"/>
  <c r="P324" i="14"/>
  <c r="F324" i="14"/>
  <c r="K324" i="14"/>
  <c r="R324" i="14"/>
  <c r="AN324" i="14"/>
  <c r="H324" i="14"/>
  <c r="L324" i="14"/>
  <c r="J324" i="14"/>
  <c r="T324" i="14"/>
  <c r="F61" i="16"/>
  <c r="Q320" i="14"/>
  <c r="I323" i="14"/>
  <c r="Q319" i="14"/>
  <c r="T327" i="14"/>
  <c r="C334" i="14"/>
  <c r="D334" i="14" s="1"/>
  <c r="Y327" i="14"/>
  <c r="B327" i="14"/>
  <c r="B162" i="19" s="1"/>
  <c r="C162" i="19"/>
  <c r="F327" i="14"/>
  <c r="AI327" i="14"/>
  <c r="G327" i="14"/>
  <c r="H327" i="14"/>
  <c r="K327" i="14"/>
  <c r="L327" i="14"/>
  <c r="N327" i="14"/>
  <c r="AD327" i="14"/>
  <c r="O327" i="14"/>
  <c r="R327" i="14"/>
  <c r="S327" i="14"/>
  <c r="J327" i="14"/>
  <c r="AN327" i="14"/>
  <c r="P327" i="14"/>
  <c r="I314" i="14"/>
  <c r="E61" i="16" s="1"/>
  <c r="E320" i="14"/>
  <c r="AK45" i="14"/>
  <c r="AO45" i="14" s="1"/>
  <c r="AB47" i="14"/>
  <c r="Z46" i="14"/>
  <c r="V47" i="14"/>
  <c r="AM44" i="14"/>
  <c r="AJ45" i="14"/>
  <c r="AF46" i="14"/>
  <c r="AH46" i="14" s="1"/>
  <c r="AL46" i="14"/>
  <c r="AH45" i="14"/>
  <c r="AG47" i="14"/>
  <c r="AA46" i="14"/>
  <c r="AE45" i="14"/>
  <c r="W47" i="14"/>
  <c r="X46" i="14"/>
  <c r="I324" i="14" l="1"/>
  <c r="I322" i="14"/>
  <c r="Q324" i="14"/>
  <c r="I326" i="14"/>
  <c r="Q330" i="14"/>
  <c r="M325" i="14"/>
  <c r="M321" i="14"/>
  <c r="F62" i="16"/>
  <c r="I327" i="14"/>
  <c r="I321" i="14"/>
  <c r="E327" i="14"/>
  <c r="Y331" i="14"/>
  <c r="C166" i="19"/>
  <c r="C338" i="14"/>
  <c r="D338" i="14" s="1"/>
  <c r="B331" i="14"/>
  <c r="B166" i="19" s="1"/>
  <c r="AD331" i="14"/>
  <c r="S331" i="14"/>
  <c r="AI331" i="14"/>
  <c r="AN331" i="14"/>
  <c r="O331" i="14"/>
  <c r="H331" i="14"/>
  <c r="F331" i="14"/>
  <c r="K331" i="14"/>
  <c r="R331" i="14"/>
  <c r="J331" i="14"/>
  <c r="P331" i="14"/>
  <c r="T331" i="14"/>
  <c r="G331" i="14"/>
  <c r="L331" i="14"/>
  <c r="N331" i="14"/>
  <c r="N332" i="14"/>
  <c r="AI332" i="14"/>
  <c r="C167" i="19"/>
  <c r="Y332" i="14"/>
  <c r="T332" i="14"/>
  <c r="S332" i="14"/>
  <c r="R332" i="14"/>
  <c r="P332" i="14"/>
  <c r="O332" i="14"/>
  <c r="K332" i="14"/>
  <c r="F332" i="14"/>
  <c r="B332" i="14"/>
  <c r="B167" i="19" s="1"/>
  <c r="C339" i="14"/>
  <c r="D339" i="14" s="1"/>
  <c r="J332" i="14"/>
  <c r="AN332" i="14"/>
  <c r="L332" i="14"/>
  <c r="G332" i="14"/>
  <c r="H332" i="14"/>
  <c r="AD332" i="14"/>
  <c r="E321" i="14"/>
  <c r="T334" i="14"/>
  <c r="C341" i="14"/>
  <c r="D341" i="14" s="1"/>
  <c r="C169" i="19"/>
  <c r="AI334" i="14"/>
  <c r="Y334" i="14"/>
  <c r="K334" i="14"/>
  <c r="F334" i="14"/>
  <c r="B334" i="14"/>
  <c r="B169" i="19" s="1"/>
  <c r="AD334" i="14"/>
  <c r="AN334" i="14"/>
  <c r="H334" i="14"/>
  <c r="R334" i="14"/>
  <c r="N334" i="14"/>
  <c r="O334" i="14"/>
  <c r="P334" i="14"/>
  <c r="S334" i="14"/>
  <c r="G334" i="14"/>
  <c r="J334" i="14"/>
  <c r="L334" i="14"/>
  <c r="Q322" i="14"/>
  <c r="M326" i="14"/>
  <c r="E330" i="14"/>
  <c r="Q326" i="14"/>
  <c r="P329" i="14"/>
  <c r="Y329" i="14"/>
  <c r="T329" i="14"/>
  <c r="S329" i="14"/>
  <c r="R329" i="14"/>
  <c r="B329" i="14"/>
  <c r="B164" i="19" s="1"/>
  <c r="C336" i="14"/>
  <c r="D336" i="14" s="1"/>
  <c r="C164" i="19"/>
  <c r="K329" i="14"/>
  <c r="L329" i="14"/>
  <c r="AD329" i="14"/>
  <c r="AI329" i="14"/>
  <c r="N329" i="14"/>
  <c r="G329" i="14"/>
  <c r="J329" i="14"/>
  <c r="F329" i="14"/>
  <c r="AN329" i="14"/>
  <c r="H329" i="14"/>
  <c r="O329" i="14"/>
  <c r="Q321" i="14"/>
  <c r="G62" i="16" s="1"/>
  <c r="H61" i="16"/>
  <c r="E326" i="14"/>
  <c r="I330" i="14"/>
  <c r="C335" i="14"/>
  <c r="D335" i="14" s="1"/>
  <c r="Y328" i="14"/>
  <c r="T328" i="14"/>
  <c r="S328" i="14"/>
  <c r="R328" i="14"/>
  <c r="P328" i="14"/>
  <c r="O328" i="14"/>
  <c r="N328" i="14"/>
  <c r="B328" i="14"/>
  <c r="B163" i="19" s="1"/>
  <c r="C163" i="19"/>
  <c r="F328" i="14"/>
  <c r="AI328" i="14"/>
  <c r="G328" i="14"/>
  <c r="H328" i="14"/>
  <c r="J328" i="14"/>
  <c r="K328" i="14"/>
  <c r="AN328" i="14"/>
  <c r="AD328" i="14"/>
  <c r="L328" i="14"/>
  <c r="M330" i="14"/>
  <c r="I325" i="14"/>
  <c r="E324" i="14"/>
  <c r="Q327" i="14"/>
  <c r="B333" i="14"/>
  <c r="B168" i="19" s="1"/>
  <c r="C168" i="19"/>
  <c r="AI333" i="14"/>
  <c r="Y333" i="14"/>
  <c r="T333" i="14"/>
  <c r="C340" i="14"/>
  <c r="D340" i="14" s="1"/>
  <c r="R333" i="14"/>
  <c r="L333" i="14"/>
  <c r="S333" i="14"/>
  <c r="P333" i="14"/>
  <c r="O333" i="14"/>
  <c r="N333" i="14"/>
  <c r="K333" i="14"/>
  <c r="J333" i="14"/>
  <c r="H333" i="14"/>
  <c r="G333" i="14"/>
  <c r="F333" i="14"/>
  <c r="AD333" i="14"/>
  <c r="AN333" i="14"/>
  <c r="D62" i="16"/>
  <c r="M324" i="14"/>
  <c r="M327" i="14"/>
  <c r="AI337" i="14"/>
  <c r="Y337" i="14"/>
  <c r="T337" i="14"/>
  <c r="C344" i="14"/>
  <c r="D344" i="14" s="1"/>
  <c r="S337" i="14"/>
  <c r="R337" i="14"/>
  <c r="P337" i="14"/>
  <c r="O337" i="14"/>
  <c r="N337" i="14"/>
  <c r="L337" i="14"/>
  <c r="C172" i="19"/>
  <c r="K337" i="14"/>
  <c r="J337" i="14"/>
  <c r="H337" i="14"/>
  <c r="G337" i="14"/>
  <c r="F337" i="14"/>
  <c r="B337" i="14"/>
  <c r="B172" i="19" s="1"/>
  <c r="AD337" i="14"/>
  <c r="AN337" i="14"/>
  <c r="E325" i="14"/>
  <c r="E62" i="16"/>
  <c r="E322" i="14"/>
  <c r="M322" i="14"/>
  <c r="Q325" i="14"/>
  <c r="AM45" i="14"/>
  <c r="AA47" i="14"/>
  <c r="AC47" i="14" s="1"/>
  <c r="AE46" i="14"/>
  <c r="AG48" i="14"/>
  <c r="AJ46" i="14"/>
  <c r="AF47" i="14"/>
  <c r="AH47" i="14" s="1"/>
  <c r="V48" i="14"/>
  <c r="Z47" i="14"/>
  <c r="AL47" i="14"/>
  <c r="AB48" i="14"/>
  <c r="AK46" i="14"/>
  <c r="AO46" i="14" s="1"/>
  <c r="AC46" i="14"/>
  <c r="W48" i="14"/>
  <c r="X47" i="14"/>
  <c r="Q337" i="14" l="1"/>
  <c r="E337" i="14"/>
  <c r="M328" i="14"/>
  <c r="Q328" i="14"/>
  <c r="I331" i="14"/>
  <c r="Q329" i="14"/>
  <c r="M333" i="14"/>
  <c r="Q332" i="14"/>
  <c r="M334" i="14"/>
  <c r="AI344" i="14"/>
  <c r="L344" i="14"/>
  <c r="K344" i="14"/>
  <c r="J344" i="14"/>
  <c r="H344" i="14"/>
  <c r="G344" i="14"/>
  <c r="F344" i="14"/>
  <c r="B344" i="14"/>
  <c r="B179" i="19" s="1"/>
  <c r="Y344" i="14"/>
  <c r="T344" i="14"/>
  <c r="S344" i="14"/>
  <c r="C351" i="14"/>
  <c r="D351" i="14" s="1"/>
  <c r="R344" i="14"/>
  <c r="P344" i="14"/>
  <c r="O344" i="14"/>
  <c r="C179" i="19"/>
  <c r="N344" i="14"/>
  <c r="AN344" i="14"/>
  <c r="AD344" i="14"/>
  <c r="E329" i="14"/>
  <c r="Q334" i="14"/>
  <c r="I329" i="14"/>
  <c r="M329" i="14"/>
  <c r="M332" i="14"/>
  <c r="M331" i="14"/>
  <c r="E334" i="14"/>
  <c r="I328" i="14"/>
  <c r="E63" i="16" s="1"/>
  <c r="F63" i="16"/>
  <c r="E333" i="14"/>
  <c r="O336" i="14"/>
  <c r="C171" i="19"/>
  <c r="C343" i="14"/>
  <c r="D343" i="14" s="1"/>
  <c r="R336" i="14"/>
  <c r="P336" i="14"/>
  <c r="Y336" i="14"/>
  <c r="T336" i="14"/>
  <c r="S336" i="14"/>
  <c r="B336" i="14"/>
  <c r="B171" i="19" s="1"/>
  <c r="AI336" i="14"/>
  <c r="G336" i="14"/>
  <c r="N336" i="14"/>
  <c r="H336" i="14"/>
  <c r="J336" i="14"/>
  <c r="AD336" i="14"/>
  <c r="K336" i="14"/>
  <c r="AN336" i="14"/>
  <c r="F336" i="14"/>
  <c r="L336" i="14"/>
  <c r="E328" i="14"/>
  <c r="T341" i="14"/>
  <c r="F341" i="14"/>
  <c r="B341" i="14"/>
  <c r="B176" i="19" s="1"/>
  <c r="C176" i="19"/>
  <c r="C348" i="14"/>
  <c r="D348" i="14" s="1"/>
  <c r="AI341" i="14"/>
  <c r="Y341" i="14"/>
  <c r="K341" i="14"/>
  <c r="L341" i="14"/>
  <c r="R341" i="14"/>
  <c r="S341" i="14"/>
  <c r="N341" i="14"/>
  <c r="O341" i="14"/>
  <c r="AD341" i="14"/>
  <c r="AN341" i="14"/>
  <c r="G341" i="14"/>
  <c r="H341" i="14"/>
  <c r="J341" i="14"/>
  <c r="P341" i="14"/>
  <c r="Q331" i="14"/>
  <c r="I333" i="14"/>
  <c r="E331" i="14"/>
  <c r="I332" i="14"/>
  <c r="Q333" i="14"/>
  <c r="N339" i="14"/>
  <c r="B339" i="14"/>
  <c r="B174" i="19" s="1"/>
  <c r="C174" i="19"/>
  <c r="C346" i="14"/>
  <c r="D346" i="14" s="1"/>
  <c r="AI339" i="14"/>
  <c r="T339" i="14"/>
  <c r="R339" i="14"/>
  <c r="P339" i="14"/>
  <c r="Y339" i="14"/>
  <c r="S339" i="14"/>
  <c r="O339" i="14"/>
  <c r="K339" i="14"/>
  <c r="F339" i="14"/>
  <c r="J339" i="14"/>
  <c r="L339" i="14"/>
  <c r="AN339" i="14"/>
  <c r="AD339" i="14"/>
  <c r="G339" i="14"/>
  <c r="H339" i="14"/>
  <c r="I337" i="14"/>
  <c r="B340" i="14"/>
  <c r="B175" i="19" s="1"/>
  <c r="AI340" i="14"/>
  <c r="Y340" i="14"/>
  <c r="T340" i="14"/>
  <c r="S340" i="14"/>
  <c r="C347" i="14"/>
  <c r="D347" i="14" s="1"/>
  <c r="R340" i="14"/>
  <c r="P340" i="14"/>
  <c r="O340" i="14"/>
  <c r="N340" i="14"/>
  <c r="L340" i="14"/>
  <c r="K340" i="14"/>
  <c r="J340" i="14"/>
  <c r="H340" i="14"/>
  <c r="G340" i="14"/>
  <c r="F340" i="14"/>
  <c r="C175" i="19"/>
  <c r="AN340" i="14"/>
  <c r="AD340" i="14"/>
  <c r="T335" i="14"/>
  <c r="S335" i="14"/>
  <c r="R335" i="14"/>
  <c r="P335" i="14"/>
  <c r="O335" i="14"/>
  <c r="N335" i="14"/>
  <c r="B335" i="14"/>
  <c r="B170" i="19" s="1"/>
  <c r="C170" i="19"/>
  <c r="C342" i="14"/>
  <c r="D342" i="14" s="1"/>
  <c r="Y335" i="14"/>
  <c r="F335" i="14"/>
  <c r="L335" i="14"/>
  <c r="AI335" i="14"/>
  <c r="G335" i="14"/>
  <c r="AD335" i="14"/>
  <c r="J335" i="14"/>
  <c r="K335" i="14"/>
  <c r="AN335" i="14"/>
  <c r="H335" i="14"/>
  <c r="G63" i="16"/>
  <c r="Y338" i="14"/>
  <c r="B338" i="14"/>
  <c r="B173" i="19" s="1"/>
  <c r="C173" i="19"/>
  <c r="C345" i="14"/>
  <c r="D345" i="14" s="1"/>
  <c r="F338" i="14"/>
  <c r="G338" i="14"/>
  <c r="O338" i="14"/>
  <c r="H338" i="14"/>
  <c r="K338" i="14"/>
  <c r="J338" i="14"/>
  <c r="L338" i="14"/>
  <c r="S338" i="14"/>
  <c r="AN338" i="14"/>
  <c r="AD338" i="14"/>
  <c r="P338" i="14"/>
  <c r="AI338" i="14"/>
  <c r="N338" i="14"/>
  <c r="R338" i="14"/>
  <c r="T338" i="14"/>
  <c r="E332" i="14"/>
  <c r="I334" i="14"/>
  <c r="D63" i="16"/>
  <c r="H62" i="16"/>
  <c r="M337" i="14"/>
  <c r="AK47" i="14"/>
  <c r="AO47" i="14" s="1"/>
  <c r="AB49" i="14"/>
  <c r="Z48" i="14"/>
  <c r="V49" i="14"/>
  <c r="AJ47" i="14"/>
  <c r="AF48" i="14"/>
  <c r="AH48" i="14" s="1"/>
  <c r="AL48" i="14"/>
  <c r="AM46" i="14"/>
  <c r="AG49" i="14"/>
  <c r="AE47" i="14"/>
  <c r="AA48" i="14"/>
  <c r="X48" i="14"/>
  <c r="W49" i="14"/>
  <c r="Q336" i="14" l="1"/>
  <c r="E344" i="14"/>
  <c r="Q335" i="14"/>
  <c r="G64" i="16" s="1"/>
  <c r="M336" i="14"/>
  <c r="I344" i="14"/>
  <c r="I336" i="14"/>
  <c r="E340" i="14"/>
  <c r="T348" i="14"/>
  <c r="C183" i="19"/>
  <c r="C355" i="14"/>
  <c r="D355" i="14" s="1"/>
  <c r="AI348" i="14"/>
  <c r="Y348" i="14"/>
  <c r="K348" i="14"/>
  <c r="F348" i="14"/>
  <c r="B348" i="14"/>
  <c r="B183" i="19" s="1"/>
  <c r="G348" i="14"/>
  <c r="H348" i="14"/>
  <c r="J348" i="14"/>
  <c r="R348" i="14"/>
  <c r="AD348" i="14"/>
  <c r="L348" i="14"/>
  <c r="S348" i="14"/>
  <c r="N348" i="14"/>
  <c r="AN348" i="14"/>
  <c r="O348" i="14"/>
  <c r="P348" i="14"/>
  <c r="Q339" i="14"/>
  <c r="E338" i="14"/>
  <c r="Y345" i="14"/>
  <c r="C180" i="19"/>
  <c r="C352" i="14"/>
  <c r="D352" i="14" s="1"/>
  <c r="B345" i="14"/>
  <c r="B180" i="19" s="1"/>
  <c r="J345" i="14"/>
  <c r="S345" i="14"/>
  <c r="G345" i="14"/>
  <c r="K345" i="14"/>
  <c r="AI345" i="14"/>
  <c r="H345" i="14"/>
  <c r="L345" i="14"/>
  <c r="T345" i="14"/>
  <c r="N345" i="14"/>
  <c r="AN345" i="14"/>
  <c r="O345" i="14"/>
  <c r="AD345" i="14"/>
  <c r="P345" i="14"/>
  <c r="F345" i="14"/>
  <c r="R345" i="14"/>
  <c r="Q345" i="14" s="1"/>
  <c r="I340" i="14"/>
  <c r="E341" i="14"/>
  <c r="N346" i="14"/>
  <c r="C181" i="19"/>
  <c r="AI346" i="14"/>
  <c r="Y346" i="14"/>
  <c r="C353" i="14"/>
  <c r="D353" i="14" s="1"/>
  <c r="T346" i="14"/>
  <c r="S346" i="14"/>
  <c r="R346" i="14"/>
  <c r="P346" i="14"/>
  <c r="O346" i="14"/>
  <c r="K346" i="14"/>
  <c r="F346" i="14"/>
  <c r="B346" i="14"/>
  <c r="B181" i="19" s="1"/>
  <c r="AN346" i="14"/>
  <c r="AD346" i="14"/>
  <c r="J346" i="14"/>
  <c r="G346" i="14"/>
  <c r="H346" i="14"/>
  <c r="L346" i="14"/>
  <c r="M340" i="14"/>
  <c r="M339" i="14"/>
  <c r="E336" i="14"/>
  <c r="Q340" i="14"/>
  <c r="M344" i="14"/>
  <c r="I338" i="14"/>
  <c r="I335" i="14"/>
  <c r="E64" i="16" s="1"/>
  <c r="B347" i="14"/>
  <c r="B182" i="19" s="1"/>
  <c r="C354" i="14"/>
  <c r="D354" i="14" s="1"/>
  <c r="N347" i="14"/>
  <c r="L347" i="14"/>
  <c r="K347" i="14"/>
  <c r="J347" i="14"/>
  <c r="C182" i="19"/>
  <c r="H347" i="14"/>
  <c r="G347" i="14"/>
  <c r="F347" i="14"/>
  <c r="AI347" i="14"/>
  <c r="Y347" i="14"/>
  <c r="T347" i="14"/>
  <c r="S347" i="14"/>
  <c r="R347" i="14"/>
  <c r="P347" i="14"/>
  <c r="O347" i="14"/>
  <c r="AD347" i="14"/>
  <c r="AN347" i="14"/>
  <c r="Q344" i="14"/>
  <c r="E335" i="14"/>
  <c r="D64" i="16" s="1"/>
  <c r="AI351" i="14"/>
  <c r="C186" i="19"/>
  <c r="Y351" i="14"/>
  <c r="T351" i="14"/>
  <c r="S351" i="14"/>
  <c r="R351" i="14"/>
  <c r="P351" i="14"/>
  <c r="C358" i="14"/>
  <c r="D358" i="14" s="1"/>
  <c r="N351" i="14"/>
  <c r="L351" i="14"/>
  <c r="K351" i="14"/>
  <c r="J351" i="14"/>
  <c r="O351" i="14"/>
  <c r="H351" i="14"/>
  <c r="G351" i="14"/>
  <c r="B351" i="14"/>
  <c r="B186" i="19" s="1"/>
  <c r="F351" i="14"/>
  <c r="AN351" i="14"/>
  <c r="AD351" i="14"/>
  <c r="Q338" i="14"/>
  <c r="I341" i="14"/>
  <c r="M338" i="14"/>
  <c r="C349" i="14"/>
  <c r="D349" i="14" s="1"/>
  <c r="Y342" i="14"/>
  <c r="T342" i="14"/>
  <c r="S342" i="14"/>
  <c r="P342" i="14"/>
  <c r="C177" i="19"/>
  <c r="N342" i="14"/>
  <c r="R342" i="14"/>
  <c r="O342" i="14"/>
  <c r="B342" i="14"/>
  <c r="B177" i="19" s="1"/>
  <c r="H342" i="14"/>
  <c r="AD342" i="14"/>
  <c r="J342" i="14"/>
  <c r="K342" i="14"/>
  <c r="AN342" i="14"/>
  <c r="L342" i="14"/>
  <c r="AI342" i="14"/>
  <c r="G342" i="14"/>
  <c r="F342" i="14"/>
  <c r="M335" i="14"/>
  <c r="F64" i="16" s="1"/>
  <c r="M341" i="14"/>
  <c r="I339" i="14"/>
  <c r="O343" i="14"/>
  <c r="C350" i="14"/>
  <c r="D350" i="14" s="1"/>
  <c r="Y343" i="14"/>
  <c r="T343" i="14"/>
  <c r="S343" i="14"/>
  <c r="R343" i="14"/>
  <c r="P343" i="14"/>
  <c r="B343" i="14"/>
  <c r="B178" i="19" s="1"/>
  <c r="C178" i="19"/>
  <c r="K343" i="14"/>
  <c r="AN343" i="14"/>
  <c r="L343" i="14"/>
  <c r="F343" i="14"/>
  <c r="AD343" i="14"/>
  <c r="AI343" i="14"/>
  <c r="G343" i="14"/>
  <c r="J343" i="14"/>
  <c r="H343" i="14"/>
  <c r="N343" i="14"/>
  <c r="E339" i="14"/>
  <c r="Q341" i="14"/>
  <c r="H63" i="16"/>
  <c r="AM47" i="14"/>
  <c r="AA49" i="14"/>
  <c r="AC49" i="14" s="1"/>
  <c r="AE48" i="14"/>
  <c r="AG50" i="14"/>
  <c r="AJ48" i="14"/>
  <c r="AF49" i="14"/>
  <c r="AK48" i="14"/>
  <c r="AO48" i="14" s="1"/>
  <c r="Z49" i="14"/>
  <c r="V50" i="14"/>
  <c r="AL49" i="14"/>
  <c r="AB50" i="14"/>
  <c r="AC48" i="14"/>
  <c r="X49" i="14"/>
  <c r="W50" i="14"/>
  <c r="I342" i="14" l="1"/>
  <c r="E65" i="16" s="1"/>
  <c r="E342" i="14"/>
  <c r="M342" i="14"/>
  <c r="E346" i="14"/>
  <c r="AK49" i="14"/>
  <c r="AO49" i="14" s="1"/>
  <c r="I351" i="14"/>
  <c r="Q348" i="14"/>
  <c r="E343" i="14"/>
  <c r="F65" i="16"/>
  <c r="H64" i="16"/>
  <c r="E351" i="14"/>
  <c r="I345" i="14"/>
  <c r="E347" i="14"/>
  <c r="Q346" i="14"/>
  <c r="Y352" i="14"/>
  <c r="C359" i="14"/>
  <c r="D359" i="14" s="1"/>
  <c r="B352" i="14"/>
  <c r="B187" i="19" s="1"/>
  <c r="C187" i="19"/>
  <c r="K352" i="14"/>
  <c r="R352" i="14"/>
  <c r="S352" i="14"/>
  <c r="AN352" i="14"/>
  <c r="T352" i="14"/>
  <c r="G352" i="14"/>
  <c r="H352" i="14"/>
  <c r="AD352" i="14"/>
  <c r="O352" i="14"/>
  <c r="F352" i="14"/>
  <c r="J352" i="14"/>
  <c r="L352" i="14"/>
  <c r="P352" i="14"/>
  <c r="N352" i="14"/>
  <c r="AI352" i="14"/>
  <c r="I347" i="14"/>
  <c r="N353" i="14"/>
  <c r="AI353" i="14"/>
  <c r="Y353" i="14"/>
  <c r="C360" i="14"/>
  <c r="D360" i="14" s="1"/>
  <c r="T353" i="14"/>
  <c r="S353" i="14"/>
  <c r="R353" i="14"/>
  <c r="P353" i="14"/>
  <c r="O353" i="14"/>
  <c r="K353" i="14"/>
  <c r="F353" i="14"/>
  <c r="B353" i="14"/>
  <c r="B188" i="19" s="1"/>
  <c r="C188" i="19"/>
  <c r="H353" i="14"/>
  <c r="AD353" i="14"/>
  <c r="AN353" i="14"/>
  <c r="J353" i="14"/>
  <c r="L353" i="14"/>
  <c r="G353" i="14"/>
  <c r="M351" i="14"/>
  <c r="AI358" i="14"/>
  <c r="Y358" i="14"/>
  <c r="T358" i="14"/>
  <c r="S358" i="14"/>
  <c r="R358" i="14"/>
  <c r="C365" i="14"/>
  <c r="D365" i="14" s="1"/>
  <c r="P358" i="14"/>
  <c r="O358" i="14"/>
  <c r="N358" i="14"/>
  <c r="L358" i="14"/>
  <c r="K358" i="14"/>
  <c r="J358" i="14"/>
  <c r="H358" i="14"/>
  <c r="G358" i="14"/>
  <c r="B358" i="14"/>
  <c r="B193" i="19" s="1"/>
  <c r="C193" i="19"/>
  <c r="F358" i="14"/>
  <c r="AN358" i="14"/>
  <c r="AD358" i="14"/>
  <c r="M347" i="14"/>
  <c r="B354" i="14"/>
  <c r="B189" i="19" s="1"/>
  <c r="AI354" i="14"/>
  <c r="Y354" i="14"/>
  <c r="T354" i="14"/>
  <c r="S354" i="14"/>
  <c r="C189" i="19"/>
  <c r="R354" i="14"/>
  <c r="P354" i="14"/>
  <c r="O354" i="14"/>
  <c r="C361" i="14"/>
  <c r="D361" i="14" s="1"/>
  <c r="N354" i="14"/>
  <c r="L354" i="14"/>
  <c r="K354" i="14"/>
  <c r="F354" i="14"/>
  <c r="J354" i="14"/>
  <c r="H354" i="14"/>
  <c r="G354" i="14"/>
  <c r="AN354" i="14"/>
  <c r="AD354" i="14"/>
  <c r="M346" i="14"/>
  <c r="Q351" i="14"/>
  <c r="M348" i="14"/>
  <c r="I343" i="14"/>
  <c r="M343" i="14"/>
  <c r="Q342" i="14"/>
  <c r="G65" i="16" s="1"/>
  <c r="D65" i="16"/>
  <c r="E345" i="14"/>
  <c r="I348" i="14"/>
  <c r="E348" i="14"/>
  <c r="M345" i="14"/>
  <c r="Q343" i="14"/>
  <c r="C356" i="14"/>
  <c r="D356" i="14" s="1"/>
  <c r="Y349" i="14"/>
  <c r="C184" i="19"/>
  <c r="T349" i="14"/>
  <c r="S349" i="14"/>
  <c r="R349" i="14"/>
  <c r="P349" i="14"/>
  <c r="O349" i="14"/>
  <c r="N349" i="14"/>
  <c r="G349" i="14"/>
  <c r="AD349" i="14"/>
  <c r="H349" i="14"/>
  <c r="J349" i="14"/>
  <c r="K349" i="14"/>
  <c r="AN349" i="14"/>
  <c r="L349" i="14"/>
  <c r="B349" i="14"/>
  <c r="B184" i="19" s="1"/>
  <c r="F349" i="14"/>
  <c r="AI349" i="14"/>
  <c r="I346" i="14"/>
  <c r="T355" i="14"/>
  <c r="C362" i="14"/>
  <c r="D362" i="14" s="1"/>
  <c r="AI355" i="14"/>
  <c r="Y355" i="14"/>
  <c r="K355" i="14"/>
  <c r="F355" i="14"/>
  <c r="B355" i="14"/>
  <c r="B190" i="19" s="1"/>
  <c r="C190" i="19"/>
  <c r="P355" i="14"/>
  <c r="G355" i="14"/>
  <c r="H355" i="14"/>
  <c r="AD355" i="14"/>
  <c r="J355" i="14"/>
  <c r="R355" i="14"/>
  <c r="L355" i="14"/>
  <c r="AN355" i="14"/>
  <c r="S355" i="14"/>
  <c r="N355" i="14"/>
  <c r="O355" i="14"/>
  <c r="Q347" i="14"/>
  <c r="P350" i="14"/>
  <c r="Y350" i="14"/>
  <c r="T350" i="14"/>
  <c r="S350" i="14"/>
  <c r="R350" i="14"/>
  <c r="B350" i="14"/>
  <c r="B185" i="19" s="1"/>
  <c r="C185" i="19"/>
  <c r="C357" i="14"/>
  <c r="D357" i="14" s="1"/>
  <c r="J350" i="14"/>
  <c r="AD350" i="14"/>
  <c r="K350" i="14"/>
  <c r="AN350" i="14"/>
  <c r="L350" i="14"/>
  <c r="F350" i="14"/>
  <c r="AI350" i="14"/>
  <c r="G350" i="14"/>
  <c r="N350" i="14"/>
  <c r="H350" i="14"/>
  <c r="O350" i="14"/>
  <c r="AM49" i="14"/>
  <c r="AB51" i="14"/>
  <c r="V51" i="14"/>
  <c r="Z50" i="14"/>
  <c r="AJ49" i="14"/>
  <c r="AF50" i="14"/>
  <c r="AH50" i="14" s="1"/>
  <c r="AL50" i="14"/>
  <c r="AM48" i="14"/>
  <c r="AH49" i="14"/>
  <c r="AG51" i="14"/>
  <c r="AA50" i="14"/>
  <c r="AE49" i="14"/>
  <c r="X50" i="14"/>
  <c r="W51" i="14"/>
  <c r="M358" i="14" l="1"/>
  <c r="H65" i="16"/>
  <c r="E358" i="14"/>
  <c r="M354" i="14"/>
  <c r="M355" i="14"/>
  <c r="Q354" i="14"/>
  <c r="M349" i="14"/>
  <c r="Q353" i="14"/>
  <c r="E349" i="14"/>
  <c r="D66" i="16" s="1"/>
  <c r="Q350" i="14"/>
  <c r="M353" i="14"/>
  <c r="I349" i="14"/>
  <c r="I354" i="14"/>
  <c r="E354" i="14"/>
  <c r="AI365" i="14"/>
  <c r="T365" i="14"/>
  <c r="S365" i="14"/>
  <c r="R365" i="14"/>
  <c r="P365" i="14"/>
  <c r="O365" i="14"/>
  <c r="N365" i="14"/>
  <c r="L365" i="14"/>
  <c r="C372" i="14"/>
  <c r="D372" i="14" s="1"/>
  <c r="K365" i="14"/>
  <c r="J365" i="14"/>
  <c r="H365" i="14"/>
  <c r="G365" i="14"/>
  <c r="C200" i="19"/>
  <c r="B365" i="14"/>
  <c r="B200" i="19" s="1"/>
  <c r="Y365" i="14"/>
  <c r="AN365" i="14"/>
  <c r="AD365" i="14"/>
  <c r="F365" i="14"/>
  <c r="M352" i="14"/>
  <c r="Q358" i="14"/>
  <c r="I352" i="14"/>
  <c r="Q355" i="14"/>
  <c r="Q349" i="14"/>
  <c r="G66" i="16" s="1"/>
  <c r="B361" i="14"/>
  <c r="B196" i="19" s="1"/>
  <c r="C196" i="19"/>
  <c r="AI361" i="14"/>
  <c r="Y361" i="14"/>
  <c r="T361" i="14"/>
  <c r="S361" i="14"/>
  <c r="R361" i="14"/>
  <c r="P361" i="14"/>
  <c r="C368" i="14"/>
  <c r="D368" i="14" s="1"/>
  <c r="O361" i="14"/>
  <c r="N361" i="14"/>
  <c r="L361" i="14"/>
  <c r="K361" i="14"/>
  <c r="J361" i="14"/>
  <c r="H361" i="14"/>
  <c r="G361" i="14"/>
  <c r="F361" i="14"/>
  <c r="AD361" i="14"/>
  <c r="AN361" i="14"/>
  <c r="E352" i="14"/>
  <c r="I355" i="14"/>
  <c r="I353" i="14"/>
  <c r="Q352" i="14"/>
  <c r="E350" i="14"/>
  <c r="E353" i="14"/>
  <c r="E355" i="14"/>
  <c r="T362" i="14"/>
  <c r="AI362" i="14"/>
  <c r="Y362" i="14"/>
  <c r="K362" i="14"/>
  <c r="F362" i="14"/>
  <c r="C197" i="19"/>
  <c r="B362" i="14"/>
  <c r="B197" i="19" s="1"/>
  <c r="C369" i="14"/>
  <c r="D369" i="14" s="1"/>
  <c r="N362" i="14"/>
  <c r="O362" i="14"/>
  <c r="AD362" i="14"/>
  <c r="P362" i="14"/>
  <c r="AN362" i="14"/>
  <c r="G362" i="14"/>
  <c r="H362" i="14"/>
  <c r="J362" i="14"/>
  <c r="R362" i="14"/>
  <c r="L362" i="14"/>
  <c r="S362" i="14"/>
  <c r="Y359" i="14"/>
  <c r="C194" i="19"/>
  <c r="B359" i="14"/>
  <c r="B194" i="19" s="1"/>
  <c r="C366" i="14"/>
  <c r="D366" i="14" s="1"/>
  <c r="L359" i="14"/>
  <c r="O359" i="14"/>
  <c r="P359" i="14"/>
  <c r="J359" i="14"/>
  <c r="K359" i="14"/>
  <c r="AN359" i="14"/>
  <c r="R359" i="14"/>
  <c r="AD359" i="14"/>
  <c r="F359" i="14"/>
  <c r="H359" i="14"/>
  <c r="S359" i="14"/>
  <c r="T359" i="14"/>
  <c r="N359" i="14"/>
  <c r="G359" i="14"/>
  <c r="AI359" i="14"/>
  <c r="I350" i="14"/>
  <c r="P357" i="14"/>
  <c r="C364" i="14"/>
  <c r="D364" i="14" s="1"/>
  <c r="Y357" i="14"/>
  <c r="T357" i="14"/>
  <c r="S357" i="14"/>
  <c r="C192" i="19"/>
  <c r="R357" i="14"/>
  <c r="B357" i="14"/>
  <c r="B192" i="19" s="1"/>
  <c r="G357" i="14"/>
  <c r="N357" i="14"/>
  <c r="H357" i="14"/>
  <c r="O357" i="14"/>
  <c r="J357" i="14"/>
  <c r="K357" i="14"/>
  <c r="AN357" i="14"/>
  <c r="L357" i="14"/>
  <c r="AD357" i="14"/>
  <c r="F357" i="14"/>
  <c r="AI357" i="14"/>
  <c r="F66" i="16"/>
  <c r="Y356" i="14"/>
  <c r="T356" i="14"/>
  <c r="S356" i="14"/>
  <c r="R356" i="14"/>
  <c r="P356" i="14"/>
  <c r="O356" i="14"/>
  <c r="N356" i="14"/>
  <c r="C191" i="19"/>
  <c r="C363" i="14"/>
  <c r="D363" i="14" s="1"/>
  <c r="L356" i="14"/>
  <c r="F356" i="14"/>
  <c r="AI356" i="14"/>
  <c r="AD356" i="14"/>
  <c r="G356" i="14"/>
  <c r="B356" i="14"/>
  <c r="B191" i="19" s="1"/>
  <c r="J356" i="14"/>
  <c r="K356" i="14"/>
  <c r="H356" i="14"/>
  <c r="AN356" i="14"/>
  <c r="E66" i="16"/>
  <c r="I358" i="14"/>
  <c r="N360" i="14"/>
  <c r="O360" i="14"/>
  <c r="K360" i="14"/>
  <c r="C195" i="19"/>
  <c r="F360" i="14"/>
  <c r="B360" i="14"/>
  <c r="B195" i="19" s="1"/>
  <c r="AI360" i="14"/>
  <c r="C367" i="14"/>
  <c r="D367" i="14" s="1"/>
  <c r="Y360" i="14"/>
  <c r="T360" i="14"/>
  <c r="S360" i="14"/>
  <c r="R360" i="14"/>
  <c r="P360" i="14"/>
  <c r="AN360" i="14"/>
  <c r="L360" i="14"/>
  <c r="AD360" i="14"/>
  <c r="G360" i="14"/>
  <c r="H360" i="14"/>
  <c r="J360" i="14"/>
  <c r="M350" i="14"/>
  <c r="AG52" i="14"/>
  <c r="AA51" i="14"/>
  <c r="AC51" i="14" s="1"/>
  <c r="AE50" i="14"/>
  <c r="AJ50" i="14"/>
  <c r="AF51" i="14"/>
  <c r="AL51" i="14"/>
  <c r="V52" i="14"/>
  <c r="Z51" i="14"/>
  <c r="AK50" i="14"/>
  <c r="AO50" i="14" s="1"/>
  <c r="AB52" i="14"/>
  <c r="AC50" i="14"/>
  <c r="W52" i="14"/>
  <c r="X51" i="14"/>
  <c r="M359" i="14" l="1"/>
  <c r="I360" i="14"/>
  <c r="Q362" i="14"/>
  <c r="M356" i="14"/>
  <c r="Q361" i="14"/>
  <c r="Q357" i="14"/>
  <c r="E361" i="14"/>
  <c r="I362" i="14"/>
  <c r="Q365" i="14"/>
  <c r="E357" i="14"/>
  <c r="I357" i="14"/>
  <c r="F67" i="16"/>
  <c r="E360" i="14"/>
  <c r="Q359" i="14"/>
  <c r="Q356" i="14"/>
  <c r="G67" i="16" s="1"/>
  <c r="N367" i="14"/>
  <c r="AI367" i="14"/>
  <c r="Y367" i="14"/>
  <c r="C202" i="19"/>
  <c r="T367" i="14"/>
  <c r="S367" i="14"/>
  <c r="R367" i="14"/>
  <c r="C374" i="14"/>
  <c r="D374" i="14" s="1"/>
  <c r="P367" i="14"/>
  <c r="O367" i="14"/>
  <c r="K367" i="14"/>
  <c r="F367" i="14"/>
  <c r="B367" i="14"/>
  <c r="B202" i="19" s="1"/>
  <c r="J367" i="14"/>
  <c r="L367" i="14"/>
  <c r="AN367" i="14"/>
  <c r="G367" i="14"/>
  <c r="H367" i="14"/>
  <c r="AD367" i="14"/>
  <c r="M362" i="14"/>
  <c r="I359" i="14"/>
  <c r="M360" i="14"/>
  <c r="E365" i="14"/>
  <c r="H66" i="16"/>
  <c r="Y366" i="14"/>
  <c r="C201" i="19"/>
  <c r="C373" i="14"/>
  <c r="D373" i="14" s="1"/>
  <c r="B366" i="14"/>
  <c r="B201" i="19" s="1"/>
  <c r="T366" i="14"/>
  <c r="L366" i="14"/>
  <c r="AD366" i="14"/>
  <c r="N366" i="14"/>
  <c r="G366" i="14"/>
  <c r="H366" i="14"/>
  <c r="O366" i="14"/>
  <c r="P366" i="14"/>
  <c r="F366" i="14"/>
  <c r="J366" i="14"/>
  <c r="K366" i="14"/>
  <c r="R366" i="14"/>
  <c r="S366" i="14"/>
  <c r="AI366" i="14"/>
  <c r="AN366" i="14"/>
  <c r="Q360" i="14"/>
  <c r="M357" i="14"/>
  <c r="B363" i="14"/>
  <c r="B198" i="19" s="1"/>
  <c r="C198" i="19"/>
  <c r="Y363" i="14"/>
  <c r="T363" i="14"/>
  <c r="S363" i="14"/>
  <c r="C370" i="14"/>
  <c r="D370" i="14" s="1"/>
  <c r="R363" i="14"/>
  <c r="P363" i="14"/>
  <c r="O363" i="14"/>
  <c r="N363" i="14"/>
  <c r="J363" i="14"/>
  <c r="K363" i="14"/>
  <c r="AN363" i="14"/>
  <c r="L363" i="14"/>
  <c r="F363" i="14"/>
  <c r="AI363" i="14"/>
  <c r="G363" i="14"/>
  <c r="AD363" i="14"/>
  <c r="H363" i="14"/>
  <c r="I356" i="14"/>
  <c r="E67" i="16" s="1"/>
  <c r="I365" i="14"/>
  <c r="I361" i="14"/>
  <c r="E356" i="14"/>
  <c r="D67" i="16" s="1"/>
  <c r="AI372" i="14"/>
  <c r="C379" i="14"/>
  <c r="D379" i="14" s="1"/>
  <c r="O372" i="14"/>
  <c r="N372" i="14"/>
  <c r="L372" i="14"/>
  <c r="K372" i="14"/>
  <c r="J372" i="14"/>
  <c r="H372" i="14"/>
  <c r="G372" i="14"/>
  <c r="B372" i="14"/>
  <c r="B207" i="19" s="1"/>
  <c r="Y372" i="14"/>
  <c r="T372" i="14"/>
  <c r="S372" i="14"/>
  <c r="R372" i="14"/>
  <c r="P372" i="14"/>
  <c r="C207" i="19"/>
  <c r="AD372" i="14"/>
  <c r="AN372" i="14"/>
  <c r="F372" i="14"/>
  <c r="P364" i="14"/>
  <c r="C199" i="19"/>
  <c r="C371" i="14"/>
  <c r="D371" i="14" s="1"/>
  <c r="Y364" i="14"/>
  <c r="T364" i="14"/>
  <c r="S364" i="14"/>
  <c r="R364" i="14"/>
  <c r="B364" i="14"/>
  <c r="B199" i="19" s="1"/>
  <c r="K364" i="14"/>
  <c r="AN364" i="14"/>
  <c r="L364" i="14"/>
  <c r="F364" i="14"/>
  <c r="AI364" i="14"/>
  <c r="N364" i="14"/>
  <c r="G364" i="14"/>
  <c r="H364" i="14"/>
  <c r="O364" i="14"/>
  <c r="AD364" i="14"/>
  <c r="J364" i="14"/>
  <c r="M361" i="14"/>
  <c r="M365" i="14"/>
  <c r="B368" i="14"/>
  <c r="B203" i="19" s="1"/>
  <c r="Y368" i="14"/>
  <c r="T368" i="14"/>
  <c r="S368" i="14"/>
  <c r="R368" i="14"/>
  <c r="P368" i="14"/>
  <c r="O368" i="14"/>
  <c r="N368" i="14"/>
  <c r="L368" i="14"/>
  <c r="K368" i="14"/>
  <c r="C375" i="14"/>
  <c r="D375" i="14" s="1"/>
  <c r="J368" i="14"/>
  <c r="H368" i="14"/>
  <c r="G368" i="14"/>
  <c r="F368" i="14"/>
  <c r="C203" i="19"/>
  <c r="AI368" i="14"/>
  <c r="AN368" i="14"/>
  <c r="AD368" i="14"/>
  <c r="T369" i="14"/>
  <c r="C204" i="19"/>
  <c r="C376" i="14"/>
  <c r="D376" i="14" s="1"/>
  <c r="Y369" i="14"/>
  <c r="G369" i="14"/>
  <c r="H369" i="14"/>
  <c r="J369" i="14"/>
  <c r="K369" i="14"/>
  <c r="R369" i="14"/>
  <c r="AN369" i="14"/>
  <c r="S369" i="14"/>
  <c r="L369" i="14"/>
  <c r="N369" i="14"/>
  <c r="O369" i="14"/>
  <c r="P369" i="14"/>
  <c r="AD369" i="14"/>
  <c r="B369" i="14"/>
  <c r="B204" i="19" s="1"/>
  <c r="F369" i="14"/>
  <c r="AI369" i="14"/>
  <c r="E362" i="14"/>
  <c r="E359" i="14"/>
  <c r="AK51" i="14"/>
  <c r="AO51" i="14" s="1"/>
  <c r="AB53" i="14"/>
  <c r="V53" i="14"/>
  <c r="Z52" i="14"/>
  <c r="AJ51" i="14"/>
  <c r="AF52" i="14"/>
  <c r="AH52" i="14" s="1"/>
  <c r="AL52" i="14"/>
  <c r="AA52" i="14"/>
  <c r="AE51" i="14"/>
  <c r="AG53" i="14"/>
  <c r="AM50" i="14"/>
  <c r="AH51" i="14"/>
  <c r="W53" i="14"/>
  <c r="X52" i="14"/>
  <c r="E369" i="14" l="1"/>
  <c r="H67" i="16"/>
  <c r="E372" i="14"/>
  <c r="E364" i="14"/>
  <c r="M366" i="14"/>
  <c r="I367" i="14"/>
  <c r="Q366" i="14"/>
  <c r="E366" i="14"/>
  <c r="I368" i="14"/>
  <c r="Q368" i="14"/>
  <c r="I372" i="14"/>
  <c r="M364" i="14"/>
  <c r="T376" i="14"/>
  <c r="C211" i="19"/>
  <c r="C383" i="14"/>
  <c r="D383" i="14" s="1"/>
  <c r="AI376" i="14"/>
  <c r="Y376" i="14"/>
  <c r="K376" i="14"/>
  <c r="F376" i="14"/>
  <c r="B376" i="14"/>
  <c r="B211" i="19" s="1"/>
  <c r="G376" i="14"/>
  <c r="H376" i="14"/>
  <c r="J376" i="14"/>
  <c r="R376" i="14"/>
  <c r="S376" i="14"/>
  <c r="L376" i="14"/>
  <c r="AD376" i="14"/>
  <c r="AN376" i="14"/>
  <c r="N376" i="14"/>
  <c r="O376" i="14"/>
  <c r="P376" i="14"/>
  <c r="M372" i="14"/>
  <c r="AI379" i="14"/>
  <c r="B379" i="14"/>
  <c r="B214" i="19" s="1"/>
  <c r="C214" i="19"/>
  <c r="Y379" i="14"/>
  <c r="T379" i="14"/>
  <c r="S379" i="14"/>
  <c r="C386" i="14"/>
  <c r="D386" i="14" s="1"/>
  <c r="R379" i="14"/>
  <c r="P379" i="14"/>
  <c r="O379" i="14"/>
  <c r="N379" i="14"/>
  <c r="L379" i="14"/>
  <c r="K379" i="14"/>
  <c r="J379" i="14"/>
  <c r="H379" i="14"/>
  <c r="G379" i="14"/>
  <c r="F379" i="14"/>
  <c r="AD379" i="14"/>
  <c r="AN379" i="14"/>
  <c r="E367" i="14"/>
  <c r="E368" i="14"/>
  <c r="Q364" i="14"/>
  <c r="I366" i="14"/>
  <c r="P371" i="14"/>
  <c r="C378" i="14"/>
  <c r="D378" i="14" s="1"/>
  <c r="Y371" i="14"/>
  <c r="T371" i="14"/>
  <c r="S371" i="14"/>
  <c r="R371" i="14"/>
  <c r="B371" i="14"/>
  <c r="B206" i="19" s="1"/>
  <c r="C206" i="19"/>
  <c r="K371" i="14"/>
  <c r="AN371" i="14"/>
  <c r="L371" i="14"/>
  <c r="F371" i="14"/>
  <c r="AI371" i="14"/>
  <c r="G371" i="14"/>
  <c r="N371" i="14"/>
  <c r="AD371" i="14"/>
  <c r="H371" i="14"/>
  <c r="O371" i="14"/>
  <c r="J371" i="14"/>
  <c r="I371" i="14" s="1"/>
  <c r="M368" i="14"/>
  <c r="N374" i="14"/>
  <c r="C209" i="19"/>
  <c r="AI374" i="14"/>
  <c r="Y374" i="14"/>
  <c r="C381" i="14"/>
  <c r="D381" i="14" s="1"/>
  <c r="T374" i="14"/>
  <c r="S374" i="14"/>
  <c r="R374" i="14"/>
  <c r="P374" i="14"/>
  <c r="O374" i="14"/>
  <c r="K374" i="14"/>
  <c r="F374" i="14"/>
  <c r="B374" i="14"/>
  <c r="B209" i="19" s="1"/>
  <c r="AD374" i="14"/>
  <c r="J374" i="14"/>
  <c r="AN374" i="14"/>
  <c r="L374" i="14"/>
  <c r="G374" i="14"/>
  <c r="H374" i="14"/>
  <c r="E363" i="14"/>
  <c r="D68" i="16" s="1"/>
  <c r="Q367" i="14"/>
  <c r="M369" i="14"/>
  <c r="I363" i="14"/>
  <c r="E68" i="16" s="1"/>
  <c r="Q372" i="14"/>
  <c r="M363" i="14"/>
  <c r="F68" i="16" s="1"/>
  <c r="Y373" i="14"/>
  <c r="C208" i="19"/>
  <c r="C380" i="14"/>
  <c r="D380" i="14" s="1"/>
  <c r="B373" i="14"/>
  <c r="B208" i="19" s="1"/>
  <c r="S373" i="14"/>
  <c r="AD373" i="14"/>
  <c r="T373" i="14"/>
  <c r="H373" i="14"/>
  <c r="N373" i="14"/>
  <c r="F373" i="14"/>
  <c r="AI373" i="14"/>
  <c r="K373" i="14"/>
  <c r="L373" i="14"/>
  <c r="O373" i="14"/>
  <c r="G373" i="14"/>
  <c r="J373" i="14"/>
  <c r="P373" i="14"/>
  <c r="AN373" i="14"/>
  <c r="R373" i="14"/>
  <c r="M367" i="14"/>
  <c r="Q369" i="14"/>
  <c r="B375" i="14"/>
  <c r="B210" i="19" s="1"/>
  <c r="P375" i="14"/>
  <c r="C382" i="14"/>
  <c r="D382" i="14" s="1"/>
  <c r="O375" i="14"/>
  <c r="N375" i="14"/>
  <c r="L375" i="14"/>
  <c r="C210" i="19"/>
  <c r="K375" i="14"/>
  <c r="J375" i="14"/>
  <c r="H375" i="14"/>
  <c r="G375" i="14"/>
  <c r="F375" i="14"/>
  <c r="AI375" i="14"/>
  <c r="R375" i="14"/>
  <c r="Y375" i="14"/>
  <c r="T375" i="14"/>
  <c r="S375" i="14"/>
  <c r="AD375" i="14"/>
  <c r="AN375" i="14"/>
  <c r="I369" i="14"/>
  <c r="Q363" i="14"/>
  <c r="G68" i="16" s="1"/>
  <c r="I364" i="14"/>
  <c r="C377" i="14"/>
  <c r="D377" i="14" s="1"/>
  <c r="Y370" i="14"/>
  <c r="T370" i="14"/>
  <c r="S370" i="14"/>
  <c r="R370" i="14"/>
  <c r="P370" i="14"/>
  <c r="O370" i="14"/>
  <c r="C205" i="19"/>
  <c r="N370" i="14"/>
  <c r="B370" i="14"/>
  <c r="B205" i="19" s="1"/>
  <c r="H370" i="14"/>
  <c r="J370" i="14"/>
  <c r="K370" i="14"/>
  <c r="AN370" i="14"/>
  <c r="L370" i="14"/>
  <c r="F370" i="14"/>
  <c r="AI370" i="14"/>
  <c r="G370" i="14"/>
  <c r="AD370" i="14"/>
  <c r="AM51" i="14"/>
  <c r="AG54" i="14"/>
  <c r="AE52" i="14"/>
  <c r="AA53" i="14"/>
  <c r="AC53" i="14" s="1"/>
  <c r="AJ52" i="14"/>
  <c r="AF53" i="14"/>
  <c r="AC52" i="14"/>
  <c r="AL53" i="14"/>
  <c r="Z53" i="14"/>
  <c r="V54" i="14"/>
  <c r="AK52" i="14"/>
  <c r="AO52" i="14" s="1"/>
  <c r="AB54" i="14"/>
  <c r="X53" i="14"/>
  <c r="W54" i="14"/>
  <c r="E375" i="14" l="1"/>
  <c r="M374" i="14"/>
  <c r="M375" i="14"/>
  <c r="Q371" i="14"/>
  <c r="Q374" i="14"/>
  <c r="M379" i="14"/>
  <c r="Q373" i="14"/>
  <c r="I374" i="14"/>
  <c r="H68" i="16"/>
  <c r="C384" i="14"/>
  <c r="D384" i="14" s="1"/>
  <c r="C212" i="19"/>
  <c r="Y377" i="14"/>
  <c r="T377" i="14"/>
  <c r="S377" i="14"/>
  <c r="R377" i="14"/>
  <c r="P377" i="14"/>
  <c r="O377" i="14"/>
  <c r="N377" i="14"/>
  <c r="B377" i="14"/>
  <c r="B212" i="19" s="1"/>
  <c r="F377" i="14"/>
  <c r="AI377" i="14"/>
  <c r="G377" i="14"/>
  <c r="H377" i="14"/>
  <c r="J377" i="14"/>
  <c r="K377" i="14"/>
  <c r="AN377" i="14"/>
  <c r="L377" i="14"/>
  <c r="AD377" i="14"/>
  <c r="I373" i="14"/>
  <c r="E374" i="14"/>
  <c r="P378" i="14"/>
  <c r="Y378" i="14"/>
  <c r="T378" i="14"/>
  <c r="S378" i="14"/>
  <c r="R378" i="14"/>
  <c r="B378" i="14"/>
  <c r="B213" i="19" s="1"/>
  <c r="C213" i="19"/>
  <c r="C385" i="14"/>
  <c r="D385" i="14" s="1"/>
  <c r="J378" i="14"/>
  <c r="K378" i="14"/>
  <c r="AN378" i="14"/>
  <c r="L378" i="14"/>
  <c r="AD378" i="14"/>
  <c r="F378" i="14"/>
  <c r="AI378" i="14"/>
  <c r="G378" i="14"/>
  <c r="N378" i="14"/>
  <c r="H378" i="14"/>
  <c r="O378" i="14"/>
  <c r="M376" i="14"/>
  <c r="E373" i="14"/>
  <c r="M373" i="14"/>
  <c r="N381" i="14"/>
  <c r="C388" i="14"/>
  <c r="D388" i="14" s="1"/>
  <c r="AI381" i="14"/>
  <c r="Y381" i="14"/>
  <c r="T381" i="14"/>
  <c r="S381" i="14"/>
  <c r="R381" i="14"/>
  <c r="P381" i="14"/>
  <c r="O381" i="14"/>
  <c r="K381" i="14"/>
  <c r="F381" i="14"/>
  <c r="B381" i="14"/>
  <c r="B216" i="19" s="1"/>
  <c r="C216" i="19"/>
  <c r="G381" i="14"/>
  <c r="H381" i="14"/>
  <c r="AN381" i="14"/>
  <c r="J381" i="14"/>
  <c r="L381" i="14"/>
  <c r="AD381" i="14"/>
  <c r="Q375" i="14"/>
  <c r="Q376" i="14"/>
  <c r="E379" i="14"/>
  <c r="I376" i="14"/>
  <c r="Y380" i="14"/>
  <c r="C387" i="14"/>
  <c r="D387" i="14" s="1"/>
  <c r="C215" i="19"/>
  <c r="B380" i="14"/>
  <c r="B215" i="19" s="1"/>
  <c r="G380" i="14"/>
  <c r="J380" i="14"/>
  <c r="K380" i="14"/>
  <c r="R380" i="14"/>
  <c r="AD380" i="14"/>
  <c r="F380" i="14"/>
  <c r="S380" i="14"/>
  <c r="T380" i="14"/>
  <c r="AN380" i="14"/>
  <c r="N380" i="14"/>
  <c r="M380" i="14" s="1"/>
  <c r="AI380" i="14"/>
  <c r="L380" i="14"/>
  <c r="O380" i="14"/>
  <c r="P380" i="14"/>
  <c r="H380" i="14"/>
  <c r="I375" i="14"/>
  <c r="I379" i="14"/>
  <c r="E376" i="14"/>
  <c r="I370" i="14"/>
  <c r="E69" i="16" s="1"/>
  <c r="M371" i="14"/>
  <c r="T383" i="14"/>
  <c r="C390" i="14"/>
  <c r="D390" i="14" s="1"/>
  <c r="AI383" i="14"/>
  <c r="Y383" i="14"/>
  <c r="K383" i="14"/>
  <c r="F383" i="14"/>
  <c r="B383" i="14"/>
  <c r="B218" i="19" s="1"/>
  <c r="C218" i="19"/>
  <c r="O383" i="14"/>
  <c r="AN383" i="14"/>
  <c r="P383" i="14"/>
  <c r="G383" i="14"/>
  <c r="H383" i="14"/>
  <c r="R383" i="14"/>
  <c r="AD383" i="14"/>
  <c r="J383" i="14"/>
  <c r="S383" i="14"/>
  <c r="L383" i="14"/>
  <c r="N383" i="14"/>
  <c r="M370" i="14"/>
  <c r="F69" i="16" s="1"/>
  <c r="F382" i="14"/>
  <c r="B382" i="14"/>
  <c r="B217" i="19" s="1"/>
  <c r="AI382" i="14"/>
  <c r="Y382" i="14"/>
  <c r="T382" i="14"/>
  <c r="C217" i="19"/>
  <c r="S382" i="14"/>
  <c r="R382" i="14"/>
  <c r="C389" i="14"/>
  <c r="D389" i="14" s="1"/>
  <c r="P382" i="14"/>
  <c r="O382" i="14"/>
  <c r="N382" i="14"/>
  <c r="L382" i="14"/>
  <c r="K382" i="14"/>
  <c r="J382" i="14"/>
  <c r="H382" i="14"/>
  <c r="G382" i="14"/>
  <c r="AN382" i="14"/>
  <c r="AD382" i="14"/>
  <c r="Q379" i="14"/>
  <c r="E371" i="14"/>
  <c r="AI386" i="14"/>
  <c r="Y386" i="14"/>
  <c r="T386" i="14"/>
  <c r="C393" i="14"/>
  <c r="D393" i="14" s="1"/>
  <c r="S386" i="14"/>
  <c r="R386" i="14"/>
  <c r="P386" i="14"/>
  <c r="O386" i="14"/>
  <c r="N386" i="14"/>
  <c r="L386" i="14"/>
  <c r="K386" i="14"/>
  <c r="J386" i="14"/>
  <c r="H386" i="14"/>
  <c r="G386" i="14"/>
  <c r="B386" i="14"/>
  <c r="B221" i="19" s="1"/>
  <c r="C221" i="19"/>
  <c r="AD386" i="14"/>
  <c r="F386" i="14"/>
  <c r="AN386" i="14"/>
  <c r="E370" i="14"/>
  <c r="D69" i="16" s="1"/>
  <c r="Q370" i="14"/>
  <c r="G69" i="16" s="1"/>
  <c r="AK53" i="14"/>
  <c r="AO53" i="14" s="1"/>
  <c r="AB55" i="14"/>
  <c r="Z54" i="14"/>
  <c r="V55" i="14"/>
  <c r="AL54" i="14"/>
  <c r="AJ53" i="14"/>
  <c r="AF54" i="14"/>
  <c r="AH54" i="14" s="1"/>
  <c r="AM52" i="14"/>
  <c r="AA54" i="14"/>
  <c r="AE53" i="14"/>
  <c r="AG55" i="14"/>
  <c r="AH53" i="14"/>
  <c r="W55" i="14"/>
  <c r="X54" i="14"/>
  <c r="E378" i="14" l="1"/>
  <c r="I383" i="14"/>
  <c r="I380" i="14"/>
  <c r="E383" i="14"/>
  <c r="M382" i="14"/>
  <c r="M377" i="14"/>
  <c r="F70" i="16"/>
  <c r="I381" i="14"/>
  <c r="M386" i="14"/>
  <c r="H69" i="16"/>
  <c r="Q381" i="14"/>
  <c r="Q383" i="14"/>
  <c r="E380" i="14"/>
  <c r="Q380" i="14"/>
  <c r="N388" i="14"/>
  <c r="O388" i="14"/>
  <c r="K388" i="14"/>
  <c r="C223" i="19"/>
  <c r="F388" i="14"/>
  <c r="B388" i="14"/>
  <c r="B223" i="19" s="1"/>
  <c r="C395" i="14"/>
  <c r="D395" i="14" s="1"/>
  <c r="AI388" i="14"/>
  <c r="Y388" i="14"/>
  <c r="T388" i="14"/>
  <c r="S388" i="14"/>
  <c r="R388" i="14"/>
  <c r="P388" i="14"/>
  <c r="AD388" i="14"/>
  <c r="L388" i="14"/>
  <c r="G388" i="14"/>
  <c r="AN388" i="14"/>
  <c r="H388" i="14"/>
  <c r="J388" i="14"/>
  <c r="M381" i="14"/>
  <c r="C400" i="14"/>
  <c r="D400" i="14" s="1"/>
  <c r="P393" i="14"/>
  <c r="O393" i="14"/>
  <c r="N393" i="14"/>
  <c r="L393" i="14"/>
  <c r="K393" i="14"/>
  <c r="J393" i="14"/>
  <c r="H393" i="14"/>
  <c r="G393" i="14"/>
  <c r="F393" i="14"/>
  <c r="B393" i="14"/>
  <c r="B228" i="19" s="1"/>
  <c r="C228" i="19"/>
  <c r="AI393" i="14"/>
  <c r="Y393" i="14"/>
  <c r="T393" i="14"/>
  <c r="S393" i="14"/>
  <c r="R393" i="14"/>
  <c r="AD393" i="14"/>
  <c r="AN393" i="14"/>
  <c r="I382" i="14"/>
  <c r="I377" i="14"/>
  <c r="E70" i="16" s="1"/>
  <c r="Y387" i="14"/>
  <c r="C222" i="19"/>
  <c r="B387" i="14"/>
  <c r="B222" i="19" s="1"/>
  <c r="C394" i="14"/>
  <c r="D394" i="14" s="1"/>
  <c r="H387" i="14"/>
  <c r="K387" i="14"/>
  <c r="J387" i="14"/>
  <c r="N387" i="14"/>
  <c r="L387" i="14"/>
  <c r="AI387" i="14"/>
  <c r="O387" i="14"/>
  <c r="G387" i="14"/>
  <c r="AN387" i="14"/>
  <c r="AD387" i="14"/>
  <c r="P387" i="14"/>
  <c r="F387" i="14"/>
  <c r="R387" i="14"/>
  <c r="S387" i="14"/>
  <c r="T387" i="14"/>
  <c r="T390" i="14"/>
  <c r="AI390" i="14"/>
  <c r="Y390" i="14"/>
  <c r="K390" i="14"/>
  <c r="F390" i="14"/>
  <c r="B390" i="14"/>
  <c r="B225" i="19" s="1"/>
  <c r="C225" i="19"/>
  <c r="C397" i="14"/>
  <c r="D397" i="14" s="1"/>
  <c r="R390" i="14"/>
  <c r="AD390" i="14"/>
  <c r="AN390" i="14"/>
  <c r="L390" i="14"/>
  <c r="S390" i="14"/>
  <c r="N390" i="14"/>
  <c r="O390" i="14"/>
  <c r="P390" i="14"/>
  <c r="G390" i="14"/>
  <c r="H390" i="14"/>
  <c r="J390" i="14"/>
  <c r="M378" i="14"/>
  <c r="E377" i="14"/>
  <c r="D70" i="16" s="1"/>
  <c r="C224" i="19"/>
  <c r="AI389" i="14"/>
  <c r="Y389" i="14"/>
  <c r="T389" i="14"/>
  <c r="S389" i="14"/>
  <c r="C396" i="14"/>
  <c r="D396" i="14" s="1"/>
  <c r="R389" i="14"/>
  <c r="P389" i="14"/>
  <c r="O389" i="14"/>
  <c r="N389" i="14"/>
  <c r="L389" i="14"/>
  <c r="K389" i="14"/>
  <c r="J389" i="14"/>
  <c r="H389" i="14"/>
  <c r="G389" i="14"/>
  <c r="F389" i="14"/>
  <c r="B389" i="14"/>
  <c r="B224" i="19" s="1"/>
  <c r="AD389" i="14"/>
  <c r="AN389" i="14"/>
  <c r="E386" i="14"/>
  <c r="Q382" i="14"/>
  <c r="Q377" i="14"/>
  <c r="G70" i="16" s="1"/>
  <c r="I378" i="14"/>
  <c r="E382" i="14"/>
  <c r="P385" i="14"/>
  <c r="C392" i="14"/>
  <c r="D392" i="14" s="1"/>
  <c r="Y385" i="14"/>
  <c r="T385" i="14"/>
  <c r="S385" i="14"/>
  <c r="R385" i="14"/>
  <c r="B385" i="14"/>
  <c r="B220" i="19" s="1"/>
  <c r="C220" i="19"/>
  <c r="AD385" i="14"/>
  <c r="F385" i="14"/>
  <c r="AI385" i="14"/>
  <c r="G385" i="14"/>
  <c r="N385" i="14"/>
  <c r="H385" i="14"/>
  <c r="O385" i="14"/>
  <c r="J385" i="14"/>
  <c r="K385" i="14"/>
  <c r="AN385" i="14"/>
  <c r="L385" i="14"/>
  <c r="I386" i="14"/>
  <c r="Y384" i="14"/>
  <c r="T384" i="14"/>
  <c r="S384" i="14"/>
  <c r="R384" i="14"/>
  <c r="P384" i="14"/>
  <c r="O384" i="14"/>
  <c r="N384" i="14"/>
  <c r="B384" i="14"/>
  <c r="B219" i="19" s="1"/>
  <c r="C219" i="19"/>
  <c r="C391" i="14"/>
  <c r="D391" i="14" s="1"/>
  <c r="AD384" i="14"/>
  <c r="L384" i="14"/>
  <c r="F384" i="14"/>
  <c r="AI384" i="14"/>
  <c r="G384" i="14"/>
  <c r="H384" i="14"/>
  <c r="J384" i="14"/>
  <c r="K384" i="14"/>
  <c r="AN384" i="14"/>
  <c r="M383" i="14"/>
  <c r="E381" i="14"/>
  <c r="Q386" i="14"/>
  <c r="Q378" i="14"/>
  <c r="AM53" i="14"/>
  <c r="AJ54" i="14"/>
  <c r="AF55" i="14"/>
  <c r="AH55" i="14" s="1"/>
  <c r="AG56" i="14"/>
  <c r="AA55" i="14"/>
  <c r="AC55" i="14" s="1"/>
  <c r="AE54" i="14"/>
  <c r="AB56" i="14"/>
  <c r="Z55" i="14"/>
  <c r="V56" i="14"/>
  <c r="AL55" i="14"/>
  <c r="AK54" i="14"/>
  <c r="AO54" i="14" s="1"/>
  <c r="AC54" i="14"/>
  <c r="X55" i="14"/>
  <c r="W56" i="14"/>
  <c r="E387" i="14" l="1"/>
  <c r="Q387" i="14"/>
  <c r="E389" i="14"/>
  <c r="I385" i="14"/>
  <c r="E393" i="14"/>
  <c r="Q393" i="14"/>
  <c r="Q385" i="14"/>
  <c r="Q384" i="14"/>
  <c r="G71" i="16" s="1"/>
  <c r="H70" i="16"/>
  <c r="M387" i="14"/>
  <c r="AI400" i="14"/>
  <c r="B400" i="14"/>
  <c r="B235" i="19" s="1"/>
  <c r="Y400" i="14"/>
  <c r="T400" i="14"/>
  <c r="S400" i="14"/>
  <c r="R400" i="14"/>
  <c r="P400" i="14"/>
  <c r="O400" i="14"/>
  <c r="N400" i="14"/>
  <c r="C407" i="14"/>
  <c r="D407" i="14" s="1"/>
  <c r="L400" i="14"/>
  <c r="C235" i="19"/>
  <c r="K400" i="14"/>
  <c r="J400" i="14"/>
  <c r="H400" i="14"/>
  <c r="G400" i="14"/>
  <c r="F400" i="14"/>
  <c r="AN400" i="14"/>
  <c r="AD400" i="14"/>
  <c r="I387" i="14"/>
  <c r="I388" i="14"/>
  <c r="M384" i="14"/>
  <c r="M390" i="14"/>
  <c r="Y394" i="14"/>
  <c r="C229" i="19"/>
  <c r="C401" i="14"/>
  <c r="D401" i="14" s="1"/>
  <c r="B394" i="14"/>
  <c r="B229" i="19" s="1"/>
  <c r="J394" i="14"/>
  <c r="S394" i="14"/>
  <c r="G394" i="14"/>
  <c r="K394" i="14"/>
  <c r="T394" i="14"/>
  <c r="F394" i="14"/>
  <c r="AI394" i="14"/>
  <c r="N394" i="14"/>
  <c r="AN394" i="14"/>
  <c r="L394" i="14"/>
  <c r="O394" i="14"/>
  <c r="H394" i="14"/>
  <c r="P394" i="14"/>
  <c r="AD394" i="14"/>
  <c r="R394" i="14"/>
  <c r="Q390" i="14"/>
  <c r="T397" i="14"/>
  <c r="C404" i="14"/>
  <c r="D404" i="14" s="1"/>
  <c r="AI397" i="14"/>
  <c r="Y397" i="14"/>
  <c r="C232" i="19"/>
  <c r="K397" i="14"/>
  <c r="F397" i="14"/>
  <c r="B397" i="14"/>
  <c r="B232" i="19" s="1"/>
  <c r="G397" i="14"/>
  <c r="H397" i="14"/>
  <c r="J397" i="14"/>
  <c r="R397" i="14"/>
  <c r="AD397" i="14"/>
  <c r="L397" i="14"/>
  <c r="S397" i="14"/>
  <c r="N397" i="14"/>
  <c r="O397" i="14"/>
  <c r="P397" i="14"/>
  <c r="AN397" i="14"/>
  <c r="Q388" i="14"/>
  <c r="I389" i="14"/>
  <c r="E390" i="14"/>
  <c r="M385" i="14"/>
  <c r="M389" i="14"/>
  <c r="N395" i="14"/>
  <c r="AI395" i="14"/>
  <c r="C402" i="14"/>
  <c r="D402" i="14" s="1"/>
  <c r="Y395" i="14"/>
  <c r="T395" i="14"/>
  <c r="S395" i="14"/>
  <c r="R395" i="14"/>
  <c r="C230" i="19"/>
  <c r="P395" i="14"/>
  <c r="O395" i="14"/>
  <c r="F395" i="14"/>
  <c r="B395" i="14"/>
  <c r="B230" i="19" s="1"/>
  <c r="J395" i="14"/>
  <c r="K395" i="14"/>
  <c r="AN395" i="14"/>
  <c r="L395" i="14"/>
  <c r="G395" i="14"/>
  <c r="AD395" i="14"/>
  <c r="H395" i="14"/>
  <c r="E388" i="14"/>
  <c r="E385" i="14"/>
  <c r="Q389" i="14"/>
  <c r="I384" i="14"/>
  <c r="E71" i="16" s="1"/>
  <c r="B396" i="14"/>
  <c r="B231" i="19" s="1"/>
  <c r="R396" i="14"/>
  <c r="P396" i="14"/>
  <c r="C403" i="14"/>
  <c r="D403" i="14" s="1"/>
  <c r="O396" i="14"/>
  <c r="N396" i="14"/>
  <c r="L396" i="14"/>
  <c r="K396" i="14"/>
  <c r="J396" i="14"/>
  <c r="H396" i="14"/>
  <c r="G396" i="14"/>
  <c r="F396" i="14"/>
  <c r="C231" i="19"/>
  <c r="S396" i="14"/>
  <c r="AI396" i="14"/>
  <c r="Y396" i="14"/>
  <c r="T396" i="14"/>
  <c r="AD396" i="14"/>
  <c r="AN396" i="14"/>
  <c r="M388" i="14"/>
  <c r="E384" i="14"/>
  <c r="D71" i="16" s="1"/>
  <c r="I393" i="14"/>
  <c r="C226" i="19"/>
  <c r="C398" i="14"/>
  <c r="D398" i="14" s="1"/>
  <c r="Y391" i="14"/>
  <c r="T391" i="14"/>
  <c r="S391" i="14"/>
  <c r="R391" i="14"/>
  <c r="P391" i="14"/>
  <c r="O391" i="14"/>
  <c r="N391" i="14"/>
  <c r="B391" i="14"/>
  <c r="B226" i="19" s="1"/>
  <c r="H391" i="14"/>
  <c r="J391" i="14"/>
  <c r="K391" i="14"/>
  <c r="AD391" i="14"/>
  <c r="AN391" i="14"/>
  <c r="L391" i="14"/>
  <c r="F391" i="14"/>
  <c r="AI391" i="14"/>
  <c r="G391" i="14"/>
  <c r="O392" i="14"/>
  <c r="C399" i="14"/>
  <c r="D399" i="14" s="1"/>
  <c r="C227" i="19"/>
  <c r="Y392" i="14"/>
  <c r="T392" i="14"/>
  <c r="S392" i="14"/>
  <c r="R392" i="14"/>
  <c r="P392" i="14"/>
  <c r="B392" i="14"/>
  <c r="B227" i="19" s="1"/>
  <c r="K392" i="14"/>
  <c r="L392" i="14"/>
  <c r="F392" i="14"/>
  <c r="AI392" i="14"/>
  <c r="AN392" i="14"/>
  <c r="G392" i="14"/>
  <c r="H392" i="14"/>
  <c r="N392" i="14"/>
  <c r="J392" i="14"/>
  <c r="AD392" i="14"/>
  <c r="F71" i="16"/>
  <c r="M393" i="14"/>
  <c r="I390" i="14"/>
  <c r="AK55" i="14"/>
  <c r="AO55" i="14" s="1"/>
  <c r="V57" i="14"/>
  <c r="Z56" i="14"/>
  <c r="AB57" i="14"/>
  <c r="AM54" i="14"/>
  <c r="AL56" i="14"/>
  <c r="AE55" i="14"/>
  <c r="AA56" i="14"/>
  <c r="AG57" i="14"/>
  <c r="AJ55" i="14"/>
  <c r="AF56" i="14"/>
  <c r="AH56" i="14" s="1"/>
  <c r="W57" i="14"/>
  <c r="X56" i="14"/>
  <c r="M394" i="14" l="1"/>
  <c r="M392" i="14"/>
  <c r="Q396" i="14"/>
  <c r="M400" i="14"/>
  <c r="M396" i="14"/>
  <c r="E392" i="14"/>
  <c r="I391" i="14"/>
  <c r="E394" i="14"/>
  <c r="E72" i="16"/>
  <c r="I395" i="14"/>
  <c r="H71" i="16"/>
  <c r="P399" i="14"/>
  <c r="C406" i="14"/>
  <c r="D406" i="14" s="1"/>
  <c r="Y399" i="14"/>
  <c r="T399" i="14"/>
  <c r="S399" i="14"/>
  <c r="R399" i="14"/>
  <c r="B399" i="14"/>
  <c r="B234" i="19" s="1"/>
  <c r="C234" i="19"/>
  <c r="J399" i="14"/>
  <c r="K399" i="14"/>
  <c r="AN399" i="14"/>
  <c r="L399" i="14"/>
  <c r="F399" i="14"/>
  <c r="AD399" i="14"/>
  <c r="AI399" i="14"/>
  <c r="G399" i="14"/>
  <c r="N399" i="14"/>
  <c r="H399" i="14"/>
  <c r="O399" i="14"/>
  <c r="E395" i="14"/>
  <c r="E397" i="14"/>
  <c r="E391" i="14"/>
  <c r="D72" i="16" s="1"/>
  <c r="E396" i="14"/>
  <c r="Q395" i="14"/>
  <c r="T404" i="14"/>
  <c r="C239" i="19"/>
  <c r="C411" i="14"/>
  <c r="D411" i="14" s="1"/>
  <c r="Y404" i="14"/>
  <c r="F404" i="14"/>
  <c r="B404" i="14"/>
  <c r="B239" i="19" s="1"/>
  <c r="O404" i="14"/>
  <c r="P404" i="14"/>
  <c r="AD404" i="14"/>
  <c r="AI404" i="14"/>
  <c r="G404" i="14"/>
  <c r="H404" i="14"/>
  <c r="J404" i="14"/>
  <c r="K404" i="14"/>
  <c r="AN404" i="14"/>
  <c r="R404" i="14"/>
  <c r="L404" i="14"/>
  <c r="S404" i="14"/>
  <c r="N404" i="14"/>
  <c r="I396" i="14"/>
  <c r="E400" i="14"/>
  <c r="N402" i="14"/>
  <c r="C237" i="19"/>
  <c r="AI402" i="14"/>
  <c r="Y402" i="14"/>
  <c r="T402" i="14"/>
  <c r="S402" i="14"/>
  <c r="C409" i="14"/>
  <c r="D409" i="14" s="1"/>
  <c r="R402" i="14"/>
  <c r="P402" i="14"/>
  <c r="O402" i="14"/>
  <c r="K402" i="14"/>
  <c r="F402" i="14"/>
  <c r="B402" i="14"/>
  <c r="B237" i="19" s="1"/>
  <c r="H402" i="14"/>
  <c r="AN402" i="14"/>
  <c r="J402" i="14"/>
  <c r="L402" i="14"/>
  <c r="AD402" i="14"/>
  <c r="G402" i="14"/>
  <c r="Q394" i="14"/>
  <c r="M395" i="14"/>
  <c r="I400" i="14"/>
  <c r="I392" i="14"/>
  <c r="M391" i="14"/>
  <c r="F72" i="16" s="1"/>
  <c r="B403" i="14"/>
  <c r="B238" i="19" s="1"/>
  <c r="G403" i="14"/>
  <c r="F403" i="14"/>
  <c r="C238" i="19"/>
  <c r="AI403" i="14"/>
  <c r="Y403" i="14"/>
  <c r="T403" i="14"/>
  <c r="S403" i="14"/>
  <c r="R403" i="14"/>
  <c r="P403" i="14"/>
  <c r="O403" i="14"/>
  <c r="N403" i="14"/>
  <c r="C410" i="14"/>
  <c r="D410" i="14" s="1"/>
  <c r="L403" i="14"/>
  <c r="K403" i="14"/>
  <c r="J403" i="14"/>
  <c r="H403" i="14"/>
  <c r="AD403" i="14"/>
  <c r="AN403" i="14"/>
  <c r="AI407" i="14"/>
  <c r="Y407" i="14"/>
  <c r="C242" i="19"/>
  <c r="T407" i="14"/>
  <c r="S407" i="14"/>
  <c r="R407" i="14"/>
  <c r="P407" i="14"/>
  <c r="C414" i="14"/>
  <c r="D414" i="14" s="1"/>
  <c r="O407" i="14"/>
  <c r="N407" i="14"/>
  <c r="L407" i="14"/>
  <c r="K407" i="14"/>
  <c r="J407" i="14"/>
  <c r="H407" i="14"/>
  <c r="G407" i="14"/>
  <c r="B407" i="14"/>
  <c r="B242" i="19" s="1"/>
  <c r="F407" i="14"/>
  <c r="AN407" i="14"/>
  <c r="AD407" i="14"/>
  <c r="Q391" i="14"/>
  <c r="G72" i="16" s="1"/>
  <c r="Q400" i="14"/>
  <c r="Y398" i="14"/>
  <c r="T398" i="14"/>
  <c r="C405" i="14"/>
  <c r="D405" i="14" s="1"/>
  <c r="S398" i="14"/>
  <c r="R398" i="14"/>
  <c r="P398" i="14"/>
  <c r="O398" i="14"/>
  <c r="N398" i="14"/>
  <c r="B398" i="14"/>
  <c r="B233" i="19" s="1"/>
  <c r="C233" i="19"/>
  <c r="G398" i="14"/>
  <c r="H398" i="14"/>
  <c r="J398" i="14"/>
  <c r="K398" i="14"/>
  <c r="AN398" i="14"/>
  <c r="L398" i="14"/>
  <c r="AD398" i="14"/>
  <c r="F398" i="14"/>
  <c r="AI398" i="14"/>
  <c r="M397" i="14"/>
  <c r="Q392" i="14"/>
  <c r="I394" i="14"/>
  <c r="Q397" i="14"/>
  <c r="I397" i="14"/>
  <c r="Y401" i="14"/>
  <c r="C236" i="19"/>
  <c r="C408" i="14"/>
  <c r="D408" i="14" s="1"/>
  <c r="B401" i="14"/>
  <c r="B236" i="19" s="1"/>
  <c r="AN401" i="14"/>
  <c r="L401" i="14"/>
  <c r="R401" i="14"/>
  <c r="AD401" i="14"/>
  <c r="S401" i="14"/>
  <c r="AI401" i="14"/>
  <c r="T401" i="14"/>
  <c r="N401" i="14"/>
  <c r="F401" i="14"/>
  <c r="K401" i="14"/>
  <c r="G401" i="14"/>
  <c r="O401" i="14"/>
  <c r="J401" i="14"/>
  <c r="P401" i="14"/>
  <c r="H401" i="14"/>
  <c r="AM55" i="14"/>
  <c r="AJ56" i="14"/>
  <c r="AF57" i="14"/>
  <c r="AH57" i="14" s="1"/>
  <c r="AA57" i="14"/>
  <c r="AC57" i="14" s="1"/>
  <c r="AE56" i="14"/>
  <c r="AG58" i="14"/>
  <c r="AL57" i="14"/>
  <c r="AB58" i="14"/>
  <c r="AC56" i="14"/>
  <c r="V58" i="14"/>
  <c r="Z57" i="14"/>
  <c r="AK56" i="14"/>
  <c r="AO56" i="14" s="1"/>
  <c r="W58" i="14"/>
  <c r="X57" i="14"/>
  <c r="I401" i="14" l="1"/>
  <c r="Q402" i="14"/>
  <c r="E398" i="14"/>
  <c r="D73" i="16" s="1"/>
  <c r="M398" i="14"/>
  <c r="I403" i="14"/>
  <c r="E399" i="14"/>
  <c r="Q403" i="14"/>
  <c r="M407" i="14"/>
  <c r="F73" i="16"/>
  <c r="I399" i="14"/>
  <c r="H72" i="16"/>
  <c r="Y408" i="14"/>
  <c r="C415" i="14"/>
  <c r="D415" i="14" s="1"/>
  <c r="B408" i="14"/>
  <c r="B243" i="19" s="1"/>
  <c r="C243" i="19"/>
  <c r="L408" i="14"/>
  <c r="AD408" i="14"/>
  <c r="O408" i="14"/>
  <c r="P408" i="14"/>
  <c r="R408" i="14"/>
  <c r="S408" i="14"/>
  <c r="J408" i="14"/>
  <c r="T408" i="14"/>
  <c r="AN408" i="14"/>
  <c r="N408" i="14"/>
  <c r="AI408" i="14"/>
  <c r="F408" i="14"/>
  <c r="G408" i="14"/>
  <c r="H408" i="14"/>
  <c r="K408" i="14"/>
  <c r="E407" i="14"/>
  <c r="Q401" i="14"/>
  <c r="C412" i="14"/>
  <c r="D412" i="14" s="1"/>
  <c r="Y405" i="14"/>
  <c r="T405" i="14"/>
  <c r="S405" i="14"/>
  <c r="R405" i="14"/>
  <c r="C240" i="19"/>
  <c r="P405" i="14"/>
  <c r="O405" i="14"/>
  <c r="N405" i="14"/>
  <c r="L405" i="14"/>
  <c r="F405" i="14"/>
  <c r="AI405" i="14"/>
  <c r="G405" i="14"/>
  <c r="H405" i="14"/>
  <c r="AD405" i="14"/>
  <c r="B405" i="14"/>
  <c r="B240" i="19" s="1"/>
  <c r="J405" i="14"/>
  <c r="K405" i="14"/>
  <c r="AN405" i="14"/>
  <c r="I407" i="14"/>
  <c r="M402" i="14"/>
  <c r="E403" i="14"/>
  <c r="M404" i="14"/>
  <c r="M399" i="14"/>
  <c r="AI414" i="14"/>
  <c r="Y414" i="14"/>
  <c r="T414" i="14"/>
  <c r="S414" i="14"/>
  <c r="R414" i="14"/>
  <c r="C421" i="14"/>
  <c r="D421" i="14" s="1"/>
  <c r="P414" i="14"/>
  <c r="O414" i="14"/>
  <c r="N414" i="14"/>
  <c r="L414" i="14"/>
  <c r="K414" i="14"/>
  <c r="J414" i="14"/>
  <c r="H414" i="14"/>
  <c r="G414" i="14"/>
  <c r="B414" i="14"/>
  <c r="B249" i="19" s="1"/>
  <c r="C249" i="19"/>
  <c r="F414" i="14"/>
  <c r="AN414" i="14"/>
  <c r="AD414" i="14"/>
  <c r="Q404" i="14"/>
  <c r="I398" i="14"/>
  <c r="E73" i="16" s="1"/>
  <c r="Q407" i="14"/>
  <c r="I404" i="14"/>
  <c r="M401" i="14"/>
  <c r="E401" i="14"/>
  <c r="I402" i="14"/>
  <c r="Q399" i="14"/>
  <c r="Q398" i="14"/>
  <c r="G73" i="16" s="1"/>
  <c r="E404" i="14"/>
  <c r="T411" i="14"/>
  <c r="C418" i="14"/>
  <c r="D418" i="14" s="1"/>
  <c r="AI411" i="14"/>
  <c r="Y411" i="14"/>
  <c r="K411" i="14"/>
  <c r="F411" i="14"/>
  <c r="B411" i="14"/>
  <c r="B246" i="19" s="1"/>
  <c r="C246" i="19"/>
  <c r="S411" i="14"/>
  <c r="AD411" i="14"/>
  <c r="N411" i="14"/>
  <c r="AN411" i="14"/>
  <c r="O411" i="14"/>
  <c r="P411" i="14"/>
  <c r="G411" i="14"/>
  <c r="H411" i="14"/>
  <c r="J411" i="14"/>
  <c r="R411" i="14"/>
  <c r="L411" i="14"/>
  <c r="P406" i="14"/>
  <c r="R406" i="14"/>
  <c r="B406" i="14"/>
  <c r="B241" i="19" s="1"/>
  <c r="C241" i="19"/>
  <c r="C413" i="14"/>
  <c r="D413" i="14" s="1"/>
  <c r="Y406" i="14"/>
  <c r="T406" i="14"/>
  <c r="S406" i="14"/>
  <c r="AI406" i="14"/>
  <c r="N406" i="14"/>
  <c r="G406" i="14"/>
  <c r="O406" i="14"/>
  <c r="H406" i="14"/>
  <c r="J406" i="14"/>
  <c r="K406" i="14"/>
  <c r="AD406" i="14"/>
  <c r="AN406" i="14"/>
  <c r="L406" i="14"/>
  <c r="F406" i="14"/>
  <c r="E402" i="14"/>
  <c r="B410" i="14"/>
  <c r="B245" i="19" s="1"/>
  <c r="AI410" i="14"/>
  <c r="Y410" i="14"/>
  <c r="T410" i="14"/>
  <c r="S410" i="14"/>
  <c r="R410" i="14"/>
  <c r="P410" i="14"/>
  <c r="O410" i="14"/>
  <c r="C245" i="19"/>
  <c r="C417" i="14"/>
  <c r="D417" i="14" s="1"/>
  <c r="N410" i="14"/>
  <c r="L410" i="14"/>
  <c r="K410" i="14"/>
  <c r="J410" i="14"/>
  <c r="H410" i="14"/>
  <c r="G410" i="14"/>
  <c r="F410" i="14"/>
  <c r="AD410" i="14"/>
  <c r="AN410" i="14"/>
  <c r="M403" i="14"/>
  <c r="N409" i="14"/>
  <c r="C416" i="14"/>
  <c r="D416" i="14" s="1"/>
  <c r="T409" i="14"/>
  <c r="S409" i="14"/>
  <c r="R409" i="14"/>
  <c r="P409" i="14"/>
  <c r="O409" i="14"/>
  <c r="K409" i="14"/>
  <c r="F409" i="14"/>
  <c r="B409" i="14"/>
  <c r="B244" i="19" s="1"/>
  <c r="C244" i="19"/>
  <c r="AI409" i="14"/>
  <c r="Y409" i="14"/>
  <c r="AD409" i="14"/>
  <c r="L409" i="14"/>
  <c r="AN409" i="14"/>
  <c r="G409" i="14"/>
  <c r="H409" i="14"/>
  <c r="J409" i="14"/>
  <c r="AK57" i="14"/>
  <c r="AO57" i="14" s="1"/>
  <c r="Z58" i="14"/>
  <c r="V59" i="14"/>
  <c r="AB59" i="14"/>
  <c r="AM56" i="14"/>
  <c r="AG59" i="14"/>
  <c r="AL58" i="14"/>
  <c r="AA58" i="14"/>
  <c r="AC58" i="14" s="1"/>
  <c r="AE57" i="14"/>
  <c r="AJ57" i="14"/>
  <c r="AF58" i="14"/>
  <c r="W59" i="14"/>
  <c r="X58" i="14"/>
  <c r="E414" i="14" l="1"/>
  <c r="E406" i="14"/>
  <c r="Q414" i="14"/>
  <c r="I408" i="14"/>
  <c r="I410" i="14"/>
  <c r="E408" i="14"/>
  <c r="M408" i="14"/>
  <c r="Q410" i="14"/>
  <c r="I411" i="14"/>
  <c r="N416" i="14"/>
  <c r="B416" i="14"/>
  <c r="B251" i="19" s="1"/>
  <c r="C251" i="19"/>
  <c r="AI416" i="14"/>
  <c r="C423" i="14"/>
  <c r="D423" i="14" s="1"/>
  <c r="Y416" i="14"/>
  <c r="T416" i="14"/>
  <c r="S416" i="14"/>
  <c r="R416" i="14"/>
  <c r="P416" i="14"/>
  <c r="O416" i="14"/>
  <c r="K416" i="14"/>
  <c r="F416" i="14"/>
  <c r="AN416" i="14"/>
  <c r="L416" i="14"/>
  <c r="G416" i="14"/>
  <c r="H416" i="14"/>
  <c r="AD416" i="14"/>
  <c r="J416" i="14"/>
  <c r="M414" i="14"/>
  <c r="Q405" i="14"/>
  <c r="G74" i="16" s="1"/>
  <c r="T418" i="14"/>
  <c r="K418" i="14"/>
  <c r="F418" i="14"/>
  <c r="B418" i="14"/>
  <c r="B253" i="19" s="1"/>
  <c r="C253" i="19"/>
  <c r="C425" i="14"/>
  <c r="D425" i="14" s="1"/>
  <c r="Y418" i="14"/>
  <c r="AI418" i="14"/>
  <c r="H418" i="14"/>
  <c r="J418" i="14"/>
  <c r="AN418" i="14"/>
  <c r="L418" i="14"/>
  <c r="S418" i="14"/>
  <c r="AD418" i="14"/>
  <c r="N418" i="14"/>
  <c r="O418" i="14"/>
  <c r="P418" i="14"/>
  <c r="R418" i="14"/>
  <c r="G418" i="14"/>
  <c r="AI421" i="14"/>
  <c r="C428" i="14"/>
  <c r="D428" i="14" s="1"/>
  <c r="P421" i="14"/>
  <c r="O421" i="14"/>
  <c r="N421" i="14"/>
  <c r="L421" i="14"/>
  <c r="K421" i="14"/>
  <c r="J421" i="14"/>
  <c r="H421" i="14"/>
  <c r="G421" i="14"/>
  <c r="B421" i="14"/>
  <c r="B256" i="19" s="1"/>
  <c r="C256" i="19"/>
  <c r="Y421" i="14"/>
  <c r="T421" i="14"/>
  <c r="S421" i="14"/>
  <c r="R421" i="14"/>
  <c r="AN421" i="14"/>
  <c r="AD421" i="14"/>
  <c r="F421" i="14"/>
  <c r="M406" i="14"/>
  <c r="M409" i="14"/>
  <c r="E410" i="14"/>
  <c r="R412" i="14"/>
  <c r="P412" i="14"/>
  <c r="O412" i="14"/>
  <c r="N412" i="14"/>
  <c r="C247" i="19"/>
  <c r="Y412" i="14"/>
  <c r="T412" i="14"/>
  <c r="S412" i="14"/>
  <c r="C419" i="14"/>
  <c r="D419" i="14" s="1"/>
  <c r="J412" i="14"/>
  <c r="B412" i="14"/>
  <c r="B247" i="19" s="1"/>
  <c r="K412" i="14"/>
  <c r="AN412" i="14"/>
  <c r="L412" i="14"/>
  <c r="F412" i="14"/>
  <c r="AI412" i="14"/>
  <c r="AD412" i="14"/>
  <c r="G412" i="14"/>
  <c r="H412" i="14"/>
  <c r="P413" i="14"/>
  <c r="C420" i="14"/>
  <c r="D420" i="14" s="1"/>
  <c r="Y413" i="14"/>
  <c r="T413" i="14"/>
  <c r="S413" i="14"/>
  <c r="R413" i="14"/>
  <c r="B413" i="14"/>
  <c r="B248" i="19" s="1"/>
  <c r="C248" i="19"/>
  <c r="F413" i="14"/>
  <c r="AI413" i="14"/>
  <c r="G413" i="14"/>
  <c r="N413" i="14"/>
  <c r="H413" i="14"/>
  <c r="O413" i="14"/>
  <c r="J413" i="14"/>
  <c r="AD413" i="14"/>
  <c r="K413" i="14"/>
  <c r="AN413" i="14"/>
  <c r="L413" i="14"/>
  <c r="F74" i="16"/>
  <c r="I409" i="14"/>
  <c r="M410" i="14"/>
  <c r="B417" i="14"/>
  <c r="B252" i="19" s="1"/>
  <c r="C252" i="19"/>
  <c r="AI417" i="14"/>
  <c r="Y417" i="14"/>
  <c r="T417" i="14"/>
  <c r="S417" i="14"/>
  <c r="R417" i="14"/>
  <c r="P417" i="14"/>
  <c r="C424" i="14"/>
  <c r="D424" i="14" s="1"/>
  <c r="O417" i="14"/>
  <c r="N417" i="14"/>
  <c r="L417" i="14"/>
  <c r="K417" i="14"/>
  <c r="J417" i="14"/>
  <c r="H417" i="14"/>
  <c r="G417" i="14"/>
  <c r="F417" i="14"/>
  <c r="AN417" i="14"/>
  <c r="AD417" i="14"/>
  <c r="Q406" i="14"/>
  <c r="I406" i="14"/>
  <c r="Q411" i="14"/>
  <c r="H73" i="16"/>
  <c r="I405" i="14"/>
  <c r="E74" i="16" s="1"/>
  <c r="E411" i="14"/>
  <c r="Q408" i="14"/>
  <c r="E409" i="14"/>
  <c r="M411" i="14"/>
  <c r="E405" i="14"/>
  <c r="D74" i="16" s="1"/>
  <c r="Q409" i="14"/>
  <c r="I414" i="14"/>
  <c r="M405" i="14"/>
  <c r="Y415" i="14"/>
  <c r="C250" i="19"/>
  <c r="B415" i="14"/>
  <c r="B250" i="19" s="1"/>
  <c r="C422" i="14"/>
  <c r="D422" i="14" s="1"/>
  <c r="F415" i="14"/>
  <c r="AI415" i="14"/>
  <c r="N415" i="14"/>
  <c r="G415" i="14"/>
  <c r="H415" i="14"/>
  <c r="K415" i="14"/>
  <c r="L415" i="14"/>
  <c r="AD415" i="14"/>
  <c r="O415" i="14"/>
  <c r="P415" i="14"/>
  <c r="J415" i="14"/>
  <c r="I415" i="14" s="1"/>
  <c r="AN415" i="14"/>
  <c r="R415" i="14"/>
  <c r="S415" i="14"/>
  <c r="T415" i="14"/>
  <c r="AM57" i="14"/>
  <c r="AJ58" i="14"/>
  <c r="AF59" i="14"/>
  <c r="AH59" i="14" s="1"/>
  <c r="AL59" i="14"/>
  <c r="AA59" i="14"/>
  <c r="AC59" i="14" s="1"/>
  <c r="AE58" i="14"/>
  <c r="AG60" i="14"/>
  <c r="AH58" i="14"/>
  <c r="AB60" i="14"/>
  <c r="Z59" i="14"/>
  <c r="V60" i="14"/>
  <c r="AK58" i="14"/>
  <c r="AO58" i="14" s="1"/>
  <c r="W60" i="14"/>
  <c r="X59" i="14"/>
  <c r="I412" i="14" l="1"/>
  <c r="Q417" i="14"/>
  <c r="M413" i="14"/>
  <c r="M417" i="14"/>
  <c r="Q412" i="14"/>
  <c r="G75" i="16" s="1"/>
  <c r="E412" i="14"/>
  <c r="E417" i="14"/>
  <c r="Q418" i="14"/>
  <c r="E75" i="16"/>
  <c r="I413" i="14"/>
  <c r="E416" i="14"/>
  <c r="M418" i="14"/>
  <c r="E421" i="14"/>
  <c r="D75" i="16"/>
  <c r="Q416" i="14"/>
  <c r="H74" i="16"/>
  <c r="E418" i="14"/>
  <c r="M415" i="14"/>
  <c r="I421" i="14"/>
  <c r="I416" i="14"/>
  <c r="M421" i="14"/>
  <c r="C254" i="19"/>
  <c r="C426" i="14"/>
  <c r="D426" i="14" s="1"/>
  <c r="Y419" i="14"/>
  <c r="T419" i="14"/>
  <c r="S419" i="14"/>
  <c r="R419" i="14"/>
  <c r="P419" i="14"/>
  <c r="O419" i="14"/>
  <c r="N419" i="14"/>
  <c r="B419" i="14"/>
  <c r="B254" i="19" s="1"/>
  <c r="H419" i="14"/>
  <c r="J419" i="14"/>
  <c r="AD419" i="14"/>
  <c r="K419" i="14"/>
  <c r="AN419" i="14"/>
  <c r="L419" i="14"/>
  <c r="F419" i="14"/>
  <c r="AI419" i="14"/>
  <c r="G419" i="14"/>
  <c r="Q415" i="14"/>
  <c r="AI428" i="14"/>
  <c r="B428" i="14"/>
  <c r="B263" i="19" s="1"/>
  <c r="Y428" i="14"/>
  <c r="T428" i="14"/>
  <c r="S428" i="14"/>
  <c r="R428" i="14"/>
  <c r="P428" i="14"/>
  <c r="O428" i="14"/>
  <c r="N428" i="14"/>
  <c r="C435" i="14"/>
  <c r="D435" i="14" s="1"/>
  <c r="L428" i="14"/>
  <c r="C263" i="19"/>
  <c r="K428" i="14"/>
  <c r="J428" i="14"/>
  <c r="H428" i="14"/>
  <c r="G428" i="14"/>
  <c r="F428" i="14"/>
  <c r="AN428" i="14"/>
  <c r="AD428" i="14"/>
  <c r="M412" i="14"/>
  <c r="F75" i="16" s="1"/>
  <c r="I417" i="14"/>
  <c r="N423" i="14"/>
  <c r="AI423" i="14"/>
  <c r="C430" i="14"/>
  <c r="D430" i="14" s="1"/>
  <c r="Y423" i="14"/>
  <c r="T423" i="14"/>
  <c r="S423" i="14"/>
  <c r="R423" i="14"/>
  <c r="C258" i="19"/>
  <c r="P423" i="14"/>
  <c r="O423" i="14"/>
  <c r="K423" i="14"/>
  <c r="F423" i="14"/>
  <c r="B423" i="14"/>
  <c r="B258" i="19" s="1"/>
  <c r="H423" i="14"/>
  <c r="AD423" i="14"/>
  <c r="J423" i="14"/>
  <c r="AN423" i="14"/>
  <c r="L423" i="14"/>
  <c r="G423" i="14"/>
  <c r="Q413" i="14"/>
  <c r="I418" i="14"/>
  <c r="E415" i="14"/>
  <c r="Y422" i="14"/>
  <c r="C257" i="19"/>
  <c r="C429" i="14"/>
  <c r="D429" i="14" s="1"/>
  <c r="B422" i="14"/>
  <c r="B257" i="19" s="1"/>
  <c r="R422" i="14"/>
  <c r="J422" i="14"/>
  <c r="S422" i="14"/>
  <c r="G422" i="14"/>
  <c r="AN422" i="14"/>
  <c r="N422" i="14"/>
  <c r="T422" i="14"/>
  <c r="F422" i="14"/>
  <c r="H422" i="14"/>
  <c r="L422" i="14"/>
  <c r="O422" i="14"/>
  <c r="AD422" i="14"/>
  <c r="AI422" i="14"/>
  <c r="K422" i="14"/>
  <c r="P422" i="14"/>
  <c r="B424" i="14"/>
  <c r="B259" i="19" s="1"/>
  <c r="R424" i="14"/>
  <c r="P424" i="14"/>
  <c r="C431" i="14"/>
  <c r="D431" i="14" s="1"/>
  <c r="O424" i="14"/>
  <c r="N424" i="14"/>
  <c r="L424" i="14"/>
  <c r="K424" i="14"/>
  <c r="J424" i="14"/>
  <c r="H424" i="14"/>
  <c r="G424" i="14"/>
  <c r="F424" i="14"/>
  <c r="C259" i="19"/>
  <c r="AI424" i="14"/>
  <c r="Y424" i="14"/>
  <c r="T424" i="14"/>
  <c r="S424" i="14"/>
  <c r="AN424" i="14"/>
  <c r="AD424" i="14"/>
  <c r="M416" i="14"/>
  <c r="P420" i="14"/>
  <c r="C427" i="14"/>
  <c r="D427" i="14" s="1"/>
  <c r="C255" i="19"/>
  <c r="Y420" i="14"/>
  <c r="T420" i="14"/>
  <c r="S420" i="14"/>
  <c r="R420" i="14"/>
  <c r="B420" i="14"/>
  <c r="B255" i="19" s="1"/>
  <c r="AD420" i="14"/>
  <c r="K420" i="14"/>
  <c r="AN420" i="14"/>
  <c r="F420" i="14"/>
  <c r="L420" i="14"/>
  <c r="AI420" i="14"/>
  <c r="G420" i="14"/>
  <c r="N420" i="14"/>
  <c r="H420" i="14"/>
  <c r="O420" i="14"/>
  <c r="J420" i="14"/>
  <c r="Q421" i="14"/>
  <c r="E413" i="14"/>
  <c r="T425" i="14"/>
  <c r="C432" i="14"/>
  <c r="D432" i="14" s="1"/>
  <c r="AI425" i="14"/>
  <c r="Y425" i="14"/>
  <c r="C260" i="19"/>
  <c r="K425" i="14"/>
  <c r="F425" i="14"/>
  <c r="B425" i="14"/>
  <c r="B260" i="19" s="1"/>
  <c r="P425" i="14"/>
  <c r="G425" i="14"/>
  <c r="H425" i="14"/>
  <c r="J425" i="14"/>
  <c r="L425" i="14"/>
  <c r="R425" i="14"/>
  <c r="S425" i="14"/>
  <c r="AN425" i="14"/>
  <c r="AD425" i="14"/>
  <c r="N425" i="14"/>
  <c r="O425" i="14"/>
  <c r="AK59" i="14"/>
  <c r="AO59" i="14" s="1"/>
  <c r="V61" i="14"/>
  <c r="Z60" i="14"/>
  <c r="AB61" i="14"/>
  <c r="AG61" i="14"/>
  <c r="AL60" i="14"/>
  <c r="AA60" i="14"/>
  <c r="AC60" i="14" s="1"/>
  <c r="AE59" i="14"/>
  <c r="AM58" i="14"/>
  <c r="AJ59" i="14"/>
  <c r="AF60" i="14"/>
  <c r="W61" i="14"/>
  <c r="X60" i="14"/>
  <c r="H75" i="16" l="1"/>
  <c r="E422" i="14"/>
  <c r="M420" i="14"/>
  <c r="I428" i="14"/>
  <c r="Q419" i="14"/>
  <c r="M425" i="14"/>
  <c r="M428" i="14"/>
  <c r="Q423" i="14"/>
  <c r="E425" i="14"/>
  <c r="G76" i="16"/>
  <c r="M422" i="14"/>
  <c r="N430" i="14"/>
  <c r="C265" i="19"/>
  <c r="AI430" i="14"/>
  <c r="Y430" i="14"/>
  <c r="T430" i="14"/>
  <c r="S430" i="14"/>
  <c r="C437" i="14"/>
  <c r="D437" i="14" s="1"/>
  <c r="R430" i="14"/>
  <c r="P430" i="14"/>
  <c r="O430" i="14"/>
  <c r="K430" i="14"/>
  <c r="F430" i="14"/>
  <c r="B430" i="14"/>
  <c r="B265" i="19" s="1"/>
  <c r="G430" i="14"/>
  <c r="AD430" i="14"/>
  <c r="H430" i="14"/>
  <c r="AN430" i="14"/>
  <c r="J430" i="14"/>
  <c r="L430" i="14"/>
  <c r="E419" i="14"/>
  <c r="I422" i="14"/>
  <c r="M423" i="14"/>
  <c r="T432" i="14"/>
  <c r="C267" i="19"/>
  <c r="C439" i="14"/>
  <c r="D439" i="14" s="1"/>
  <c r="Y432" i="14"/>
  <c r="B432" i="14"/>
  <c r="B267" i="19" s="1"/>
  <c r="N432" i="14"/>
  <c r="O432" i="14"/>
  <c r="P432" i="14"/>
  <c r="AD432" i="14"/>
  <c r="F432" i="14"/>
  <c r="AI432" i="14"/>
  <c r="G432" i="14"/>
  <c r="H432" i="14"/>
  <c r="J432" i="14"/>
  <c r="K432" i="14"/>
  <c r="R432" i="14"/>
  <c r="AN432" i="14"/>
  <c r="S432" i="14"/>
  <c r="L432" i="14"/>
  <c r="I425" i="14"/>
  <c r="Q422" i="14"/>
  <c r="D76" i="16"/>
  <c r="E424" i="14"/>
  <c r="Y429" i="14"/>
  <c r="C264" i="19"/>
  <c r="C436" i="14"/>
  <c r="D436" i="14" s="1"/>
  <c r="B429" i="14"/>
  <c r="B264" i="19" s="1"/>
  <c r="F429" i="14"/>
  <c r="G429" i="14"/>
  <c r="R429" i="14"/>
  <c r="J429" i="14"/>
  <c r="AD429" i="14"/>
  <c r="AN429" i="14"/>
  <c r="S429" i="14"/>
  <c r="K429" i="14"/>
  <c r="L429" i="14"/>
  <c r="T429" i="14"/>
  <c r="N429" i="14"/>
  <c r="O429" i="14"/>
  <c r="AI429" i="14"/>
  <c r="P429" i="14"/>
  <c r="H429" i="14"/>
  <c r="I419" i="14"/>
  <c r="E76" i="16" s="1"/>
  <c r="I424" i="14"/>
  <c r="E428" i="14"/>
  <c r="M419" i="14"/>
  <c r="F76" i="16" s="1"/>
  <c r="M424" i="14"/>
  <c r="E420" i="14"/>
  <c r="B431" i="14"/>
  <c r="B266" i="19" s="1"/>
  <c r="G431" i="14"/>
  <c r="F431" i="14"/>
  <c r="C266" i="19"/>
  <c r="AI431" i="14"/>
  <c r="Y431" i="14"/>
  <c r="T431" i="14"/>
  <c r="S431" i="14"/>
  <c r="R431" i="14"/>
  <c r="P431" i="14"/>
  <c r="O431" i="14"/>
  <c r="N431" i="14"/>
  <c r="C438" i="14"/>
  <c r="D438" i="14" s="1"/>
  <c r="L431" i="14"/>
  <c r="K431" i="14"/>
  <c r="J431" i="14"/>
  <c r="H431" i="14"/>
  <c r="AD431" i="14"/>
  <c r="AN431" i="14"/>
  <c r="Q424" i="14"/>
  <c r="I423" i="14"/>
  <c r="AI435" i="14"/>
  <c r="Y435" i="14"/>
  <c r="C270" i="19"/>
  <c r="T435" i="14"/>
  <c r="S435" i="14"/>
  <c r="R435" i="14"/>
  <c r="P435" i="14"/>
  <c r="O435" i="14"/>
  <c r="N435" i="14"/>
  <c r="L435" i="14"/>
  <c r="K435" i="14"/>
  <c r="J435" i="14"/>
  <c r="H435" i="14"/>
  <c r="G435" i="14"/>
  <c r="B435" i="14"/>
  <c r="B270" i="19" s="1"/>
  <c r="AD435" i="14"/>
  <c r="F435" i="14"/>
  <c r="AN435" i="14"/>
  <c r="Y426" i="14"/>
  <c r="T426" i="14"/>
  <c r="C433" i="14"/>
  <c r="D433" i="14" s="1"/>
  <c r="S426" i="14"/>
  <c r="R426" i="14"/>
  <c r="P426" i="14"/>
  <c r="O426" i="14"/>
  <c r="N426" i="14"/>
  <c r="B426" i="14"/>
  <c r="B261" i="19" s="1"/>
  <c r="C261" i="19"/>
  <c r="F426" i="14"/>
  <c r="AI426" i="14"/>
  <c r="G426" i="14"/>
  <c r="H426" i="14"/>
  <c r="J426" i="14"/>
  <c r="AD426" i="14"/>
  <c r="K426" i="14"/>
  <c r="AN426" i="14"/>
  <c r="L426" i="14"/>
  <c r="Q425" i="14"/>
  <c r="E423" i="14"/>
  <c r="Q428" i="14"/>
  <c r="I420" i="14"/>
  <c r="Q420" i="14"/>
  <c r="P427" i="14"/>
  <c r="C434" i="14"/>
  <c r="D434" i="14" s="1"/>
  <c r="Y427" i="14"/>
  <c r="T427" i="14"/>
  <c r="S427" i="14"/>
  <c r="R427" i="14"/>
  <c r="B427" i="14"/>
  <c r="B262" i="19" s="1"/>
  <c r="C262" i="19"/>
  <c r="J427" i="14"/>
  <c r="K427" i="14"/>
  <c r="AN427" i="14"/>
  <c r="L427" i="14"/>
  <c r="F427" i="14"/>
  <c r="AD427" i="14"/>
  <c r="N427" i="14"/>
  <c r="AI427" i="14"/>
  <c r="G427" i="14"/>
  <c r="H427" i="14"/>
  <c r="O427" i="14"/>
  <c r="AM59" i="14"/>
  <c r="AJ60" i="14"/>
  <c r="AF61" i="14"/>
  <c r="AH61" i="14" s="1"/>
  <c r="AG62" i="14"/>
  <c r="AL61" i="14"/>
  <c r="AA61" i="14"/>
  <c r="AC61" i="14" s="1"/>
  <c r="AE60" i="14"/>
  <c r="AH60" i="14"/>
  <c r="AB62" i="14"/>
  <c r="Z61" i="14"/>
  <c r="V62" i="14"/>
  <c r="AK60" i="14"/>
  <c r="AO60" i="14" s="1"/>
  <c r="W62" i="14"/>
  <c r="X61" i="14"/>
  <c r="I426" i="14" l="1"/>
  <c r="E435" i="14"/>
  <c r="Q431" i="14"/>
  <c r="Q426" i="14"/>
  <c r="E426" i="14"/>
  <c r="Q430" i="14"/>
  <c r="M435" i="14"/>
  <c r="M429" i="14"/>
  <c r="E430" i="14"/>
  <c r="M426" i="14"/>
  <c r="F77" i="16" s="1"/>
  <c r="M427" i="14"/>
  <c r="Q427" i="14"/>
  <c r="H76" i="16"/>
  <c r="E429" i="14"/>
  <c r="I427" i="14"/>
  <c r="G77" i="16"/>
  <c r="E77" i="16"/>
  <c r="Y436" i="14"/>
  <c r="B436" i="14"/>
  <c r="B271" i="19" s="1"/>
  <c r="C271" i="19"/>
  <c r="N436" i="14"/>
  <c r="AI436" i="14"/>
  <c r="L436" i="14"/>
  <c r="H436" i="14"/>
  <c r="J436" i="14"/>
  <c r="O436" i="14"/>
  <c r="K436" i="14"/>
  <c r="P436" i="14"/>
  <c r="AN436" i="14"/>
  <c r="R436" i="14"/>
  <c r="AD436" i="14"/>
  <c r="S436" i="14"/>
  <c r="F436" i="14"/>
  <c r="T436" i="14"/>
  <c r="G436" i="14"/>
  <c r="I435" i="14"/>
  <c r="I430" i="14"/>
  <c r="P434" i="14"/>
  <c r="R434" i="14"/>
  <c r="B434" i="14"/>
  <c r="B269" i="19" s="1"/>
  <c r="C269" i="19"/>
  <c r="Y434" i="14"/>
  <c r="T434" i="14"/>
  <c r="S434" i="14"/>
  <c r="AI434" i="14"/>
  <c r="G434" i="14"/>
  <c r="N434" i="14"/>
  <c r="H434" i="14"/>
  <c r="O434" i="14"/>
  <c r="J434" i="14"/>
  <c r="K434" i="14"/>
  <c r="AN434" i="14"/>
  <c r="L434" i="14"/>
  <c r="AD434" i="14"/>
  <c r="F434" i="14"/>
  <c r="E431" i="14"/>
  <c r="D77" i="16"/>
  <c r="Q435" i="14"/>
  <c r="Q432" i="14"/>
  <c r="I432" i="14"/>
  <c r="E427" i="14"/>
  <c r="N437" i="14"/>
  <c r="T437" i="14"/>
  <c r="S437" i="14"/>
  <c r="R437" i="14"/>
  <c r="P437" i="14"/>
  <c r="O437" i="14"/>
  <c r="K437" i="14"/>
  <c r="F437" i="14"/>
  <c r="B437" i="14"/>
  <c r="B272" i="19" s="1"/>
  <c r="C272" i="19"/>
  <c r="AI437" i="14"/>
  <c r="Y437" i="14"/>
  <c r="L437" i="14"/>
  <c r="AN437" i="14"/>
  <c r="AD437" i="14"/>
  <c r="G437" i="14"/>
  <c r="H437" i="14"/>
  <c r="J437" i="14"/>
  <c r="E432" i="14"/>
  <c r="I431" i="14"/>
  <c r="M430" i="14"/>
  <c r="M432" i="14"/>
  <c r="Y433" i="14"/>
  <c r="C440" i="14"/>
  <c r="D440" i="14" s="1"/>
  <c r="T433" i="14"/>
  <c r="S433" i="14"/>
  <c r="R433" i="14"/>
  <c r="C268" i="19"/>
  <c r="P433" i="14"/>
  <c r="O433" i="14"/>
  <c r="N433" i="14"/>
  <c r="B433" i="14"/>
  <c r="B268" i="19" s="1"/>
  <c r="K433" i="14"/>
  <c r="AN433" i="14"/>
  <c r="F433" i="14"/>
  <c r="L433" i="14"/>
  <c r="AI433" i="14"/>
  <c r="AD433" i="14"/>
  <c r="G433" i="14"/>
  <c r="H433" i="14"/>
  <c r="J433" i="14"/>
  <c r="B438" i="14"/>
  <c r="B273" i="19" s="1"/>
  <c r="AI438" i="14"/>
  <c r="Y438" i="14"/>
  <c r="T438" i="14"/>
  <c r="S438" i="14"/>
  <c r="R438" i="14"/>
  <c r="P438" i="14"/>
  <c r="O438" i="14"/>
  <c r="C273" i="19"/>
  <c r="N438" i="14"/>
  <c r="L438" i="14"/>
  <c r="K438" i="14"/>
  <c r="J438" i="14"/>
  <c r="H438" i="14"/>
  <c r="G438" i="14"/>
  <c r="F438" i="14"/>
  <c r="AD438" i="14"/>
  <c r="AN438" i="14"/>
  <c r="M431" i="14"/>
  <c r="I429" i="14"/>
  <c r="T439" i="14"/>
  <c r="AI439" i="14"/>
  <c r="Y439" i="14"/>
  <c r="K439" i="14"/>
  <c r="F439" i="14"/>
  <c r="C274" i="19"/>
  <c r="AN439" i="14"/>
  <c r="L439" i="14"/>
  <c r="S439" i="14"/>
  <c r="N439" i="14"/>
  <c r="O439" i="14"/>
  <c r="P439" i="14"/>
  <c r="AD439" i="14"/>
  <c r="B439" i="14"/>
  <c r="B274" i="19" s="1"/>
  <c r="G439" i="14"/>
  <c r="H439" i="14"/>
  <c r="J439" i="14"/>
  <c r="R439" i="14"/>
  <c r="Q429" i="14"/>
  <c r="AK61" i="14"/>
  <c r="AO61" i="14" s="1"/>
  <c r="Z62" i="14"/>
  <c r="V63" i="14"/>
  <c r="AB63" i="14"/>
  <c r="AA62" i="14"/>
  <c r="AE61" i="14"/>
  <c r="AL62" i="14"/>
  <c r="AG63" i="14"/>
  <c r="AM60" i="14"/>
  <c r="AJ61" i="14"/>
  <c r="AF62" i="14"/>
  <c r="X62" i="14"/>
  <c r="W63" i="14"/>
  <c r="I437" i="14" l="1"/>
  <c r="E434" i="14"/>
  <c r="M433" i="14"/>
  <c r="F78" i="16" s="1"/>
  <c r="Q433" i="14"/>
  <c r="G78" i="16" s="1"/>
  <c r="I438" i="14"/>
  <c r="Q436" i="14"/>
  <c r="I436" i="14"/>
  <c r="Q434" i="14"/>
  <c r="Q437" i="14"/>
  <c r="H77" i="16"/>
  <c r="E438" i="14"/>
  <c r="M437" i="14"/>
  <c r="E436" i="14"/>
  <c r="S440" i="14"/>
  <c r="R440" i="14"/>
  <c r="P440" i="14"/>
  <c r="O440" i="14"/>
  <c r="N440" i="14"/>
  <c r="C275" i="19"/>
  <c r="T440" i="14"/>
  <c r="Y440" i="14"/>
  <c r="H440" i="14"/>
  <c r="B440" i="14"/>
  <c r="B275" i="19" s="1"/>
  <c r="J440" i="14"/>
  <c r="K440" i="14"/>
  <c r="AN440" i="14"/>
  <c r="L440" i="14"/>
  <c r="AD440" i="14"/>
  <c r="F440" i="14"/>
  <c r="AI440" i="14"/>
  <c r="G440" i="14"/>
  <c r="M438" i="14"/>
  <c r="Q439" i="14"/>
  <c r="I439" i="14"/>
  <c r="Q438" i="14"/>
  <c r="I434" i="14"/>
  <c r="M436" i="14"/>
  <c r="I433" i="14"/>
  <c r="M434" i="14"/>
  <c r="E439" i="14"/>
  <c r="E78" i="16"/>
  <c r="M439" i="14"/>
  <c r="E433" i="14"/>
  <c r="D78" i="16" s="1"/>
  <c r="E437" i="14"/>
  <c r="AM61" i="14"/>
  <c r="AJ62" i="14"/>
  <c r="AF63" i="14"/>
  <c r="AH63" i="14" s="1"/>
  <c r="AB64" i="14"/>
  <c r="AG64" i="14"/>
  <c r="AH62" i="14"/>
  <c r="AE62" i="14"/>
  <c r="AA63" i="14"/>
  <c r="AC63" i="14" s="1"/>
  <c r="AL63" i="14"/>
  <c r="AC62" i="14"/>
  <c r="Z63" i="14"/>
  <c r="V64" i="14"/>
  <c r="AK62" i="14"/>
  <c r="AO62" i="14" s="1"/>
  <c r="W64" i="14"/>
  <c r="X63" i="14"/>
  <c r="H78" i="16" l="1"/>
  <c r="I440" i="14"/>
  <c r="E79" i="16" s="1"/>
  <c r="E440" i="14"/>
  <c r="D79" i="16" s="1"/>
  <c r="M440" i="14"/>
  <c r="F79" i="16" s="1"/>
  <c r="Q440" i="14"/>
  <c r="G79" i="16" s="1"/>
  <c r="AL64" i="14"/>
  <c r="AK63" i="14"/>
  <c r="AO63" i="14" s="1"/>
  <c r="AM62" i="14"/>
  <c r="AG65" i="14"/>
  <c r="V65" i="14"/>
  <c r="Z64" i="14"/>
  <c r="AE63" i="14"/>
  <c r="AA64" i="14"/>
  <c r="AC64" i="14" s="1"/>
  <c r="AB65" i="14"/>
  <c r="AJ63" i="14"/>
  <c r="AF64" i="14"/>
  <c r="W65" i="14"/>
  <c r="X64" i="14"/>
  <c r="H79" i="16" l="1"/>
  <c r="AM63" i="14"/>
  <c r="AJ64" i="14"/>
  <c r="AF65" i="14"/>
  <c r="AH65" i="14" s="1"/>
  <c r="AB66" i="14"/>
  <c r="AE64" i="14"/>
  <c r="AA65" i="14"/>
  <c r="Z65" i="14"/>
  <c r="V66" i="14"/>
  <c r="AG66" i="14"/>
  <c r="AH64" i="14"/>
  <c r="AK64" i="14"/>
  <c r="AL65" i="14"/>
  <c r="X65" i="14"/>
  <c r="W66" i="14"/>
  <c r="AO64" i="14" l="1"/>
  <c r="AM64" i="14"/>
  <c r="AG67" i="14"/>
  <c r="V67" i="14"/>
  <c r="Z66" i="14"/>
  <c r="AE65" i="14"/>
  <c r="AA66" i="14"/>
  <c r="AC66" i="14" s="1"/>
  <c r="AK65" i="14"/>
  <c r="AO65" i="14" s="1"/>
  <c r="AL66" i="14"/>
  <c r="AC65" i="14"/>
  <c r="AB67" i="14"/>
  <c r="AJ65" i="14"/>
  <c r="AF66" i="14"/>
  <c r="W67" i="14"/>
  <c r="X66" i="14"/>
  <c r="AJ66" i="14" l="1"/>
  <c r="AF67" i="14"/>
  <c r="AH67" i="14" s="1"/>
  <c r="AB68" i="14"/>
  <c r="AE66" i="14"/>
  <c r="AA67" i="14"/>
  <c r="Z67" i="14"/>
  <c r="V68" i="14"/>
  <c r="AL67" i="14"/>
  <c r="AK66" i="14"/>
  <c r="AO66" i="14" s="1"/>
  <c r="AM65" i="14"/>
  <c r="AG68" i="14"/>
  <c r="AH66" i="14"/>
  <c r="W68" i="14"/>
  <c r="X67" i="14"/>
  <c r="AK67" i="14" l="1"/>
  <c r="AO67" i="14" s="1"/>
  <c r="AG69" i="14"/>
  <c r="V69" i="14"/>
  <c r="Z68" i="14"/>
  <c r="AM66" i="14"/>
  <c r="AL68" i="14"/>
  <c r="AA68" i="14"/>
  <c r="AC68" i="14" s="1"/>
  <c r="AE67" i="14"/>
  <c r="AC67" i="14"/>
  <c r="AB69" i="14"/>
  <c r="AJ67" i="14"/>
  <c r="AF68" i="14"/>
  <c r="X68" i="14"/>
  <c r="W69" i="14"/>
  <c r="AM67" i="14" l="1"/>
  <c r="AJ68" i="14"/>
  <c r="AF69" i="14"/>
  <c r="AH69" i="14" s="1"/>
  <c r="AB70" i="14"/>
  <c r="AA69" i="14"/>
  <c r="AE68" i="14"/>
  <c r="V70" i="14"/>
  <c r="Z69" i="14"/>
  <c r="AG70" i="14"/>
  <c r="AL69" i="14"/>
  <c r="AK68" i="14"/>
  <c r="AO68" i="14" s="1"/>
  <c r="AH68" i="14"/>
  <c r="X69" i="14"/>
  <c r="W70" i="14"/>
  <c r="AK69" i="14" l="1"/>
  <c r="AO69" i="14" s="1"/>
  <c r="AG71" i="14"/>
  <c r="AM68" i="14"/>
  <c r="Z70" i="14"/>
  <c r="V71" i="14"/>
  <c r="AL70" i="14"/>
  <c r="AA70" i="14"/>
  <c r="AC70" i="14" s="1"/>
  <c r="AE69" i="14"/>
  <c r="AB71" i="14"/>
  <c r="AC69" i="14"/>
  <c r="AJ69" i="14"/>
  <c r="AF70" i="14"/>
  <c r="W71" i="14"/>
  <c r="X70" i="14"/>
  <c r="AM69" i="14" l="1"/>
  <c r="AJ70" i="14"/>
  <c r="AF71" i="14"/>
  <c r="AH71" i="14" s="1"/>
  <c r="AB72" i="14"/>
  <c r="AA71" i="14"/>
  <c r="AE70" i="14"/>
  <c r="V72" i="14"/>
  <c r="Z71" i="14"/>
  <c r="AL71" i="14"/>
  <c r="AG72" i="14"/>
  <c r="AK70" i="14"/>
  <c r="AO70" i="14" s="1"/>
  <c r="AH70" i="14"/>
  <c r="W72" i="14"/>
  <c r="X71" i="14"/>
  <c r="AK71" i="14" l="1"/>
  <c r="AO71" i="14" s="1"/>
  <c r="AG73" i="14"/>
  <c r="V73" i="14"/>
  <c r="Z72" i="14"/>
  <c r="AM70" i="14"/>
  <c r="AL72" i="14"/>
  <c r="AE71" i="14"/>
  <c r="AA72" i="14"/>
  <c r="AC72" i="14" s="1"/>
  <c r="AB73" i="14"/>
  <c r="AC71" i="14"/>
  <c r="AJ71" i="14"/>
  <c r="AF72" i="14"/>
  <c r="W73" i="14"/>
  <c r="X72" i="14"/>
  <c r="AM71" i="14" l="1"/>
  <c r="AJ72" i="14"/>
  <c r="AF73" i="14"/>
  <c r="AH73" i="14" s="1"/>
  <c r="AB74" i="14"/>
  <c r="AE72" i="14"/>
  <c r="AA73" i="14"/>
  <c r="AL73" i="14"/>
  <c r="AK72" i="14"/>
  <c r="AO72" i="14" s="1"/>
  <c r="V74" i="14"/>
  <c r="Z73" i="14"/>
  <c r="AG74" i="14"/>
  <c r="AH72" i="14"/>
  <c r="X73" i="14"/>
  <c r="W74" i="14"/>
  <c r="AK73" i="14" l="1"/>
  <c r="AO73" i="14" s="1"/>
  <c r="AG75" i="14"/>
  <c r="V75" i="14"/>
  <c r="Z74" i="14"/>
  <c r="AL74" i="14"/>
  <c r="AM72" i="14"/>
  <c r="AA74" i="14"/>
  <c r="AC74" i="14" s="1"/>
  <c r="AE73" i="14"/>
  <c r="AB75" i="14"/>
  <c r="AC73" i="14"/>
  <c r="AJ73" i="14"/>
  <c r="AF74" i="14"/>
  <c r="X74" i="14"/>
  <c r="W75" i="14"/>
  <c r="AM73" i="14" l="1"/>
  <c r="AJ74" i="14"/>
  <c r="AF75" i="14"/>
  <c r="AH75" i="14" s="1"/>
  <c r="AB76" i="14"/>
  <c r="AE74" i="14"/>
  <c r="AA75" i="14"/>
  <c r="AL75" i="14"/>
  <c r="AK74" i="14"/>
  <c r="AO74" i="14" s="1"/>
  <c r="V76" i="14"/>
  <c r="Z75" i="14"/>
  <c r="AG76" i="14"/>
  <c r="AH74" i="14"/>
  <c r="W76" i="14"/>
  <c r="X75" i="14"/>
  <c r="AK75" i="14" l="1"/>
  <c r="AO75" i="14" s="1"/>
  <c r="AG77" i="14"/>
  <c r="V77" i="14"/>
  <c r="Z76" i="14"/>
  <c r="AM74" i="14"/>
  <c r="AA76" i="14"/>
  <c r="AC76" i="14" s="1"/>
  <c r="AE75" i="14"/>
  <c r="AL76" i="14"/>
  <c r="AC75" i="14"/>
  <c r="AB77" i="14"/>
  <c r="AJ75" i="14"/>
  <c r="AF76" i="14"/>
  <c r="X76" i="14"/>
  <c r="W77" i="14"/>
  <c r="AM75" i="14" l="1"/>
  <c r="AB78" i="14"/>
  <c r="AJ76" i="14"/>
  <c r="AF77" i="14"/>
  <c r="AH77" i="14" s="1"/>
  <c r="AE76" i="14"/>
  <c r="AA77" i="14"/>
  <c r="AL77" i="14"/>
  <c r="V78" i="14"/>
  <c r="Z77" i="14"/>
  <c r="AG78" i="14"/>
  <c r="AK76" i="14"/>
  <c r="AO76" i="14" s="1"/>
  <c r="AH76" i="14"/>
  <c r="X77" i="14"/>
  <c r="W78" i="14"/>
  <c r="AK77" i="14" l="1"/>
  <c r="AO77" i="14" s="1"/>
  <c r="AG79" i="14"/>
  <c r="AE77" i="14"/>
  <c r="AA78" i="14"/>
  <c r="AC78" i="14" s="1"/>
  <c r="AL78" i="14"/>
  <c r="AM76" i="14"/>
  <c r="AJ77" i="14"/>
  <c r="AF78" i="14"/>
  <c r="V79" i="14"/>
  <c r="Z78" i="14"/>
  <c r="AC77" i="14"/>
  <c r="AB79" i="14"/>
  <c r="W79" i="14"/>
  <c r="X78" i="14"/>
  <c r="AM77" i="14" l="1"/>
  <c r="AB80" i="14"/>
  <c r="AJ78" i="14"/>
  <c r="AF79" i="14"/>
  <c r="AH79" i="14" s="1"/>
  <c r="V80" i="14"/>
  <c r="Z79" i="14"/>
  <c r="AK78" i="14"/>
  <c r="AO78" i="14" s="1"/>
  <c r="AL79" i="14"/>
  <c r="AE78" i="14"/>
  <c r="AA79" i="14"/>
  <c r="AG80" i="14"/>
  <c r="AH78" i="14"/>
  <c r="X79" i="14"/>
  <c r="W80" i="14"/>
  <c r="AM78" i="14" l="1"/>
  <c r="AG81" i="14"/>
  <c r="AA80" i="14"/>
  <c r="AC80" i="14" s="1"/>
  <c r="AE79" i="14"/>
  <c r="Z80" i="14"/>
  <c r="V81" i="14"/>
  <c r="AL80" i="14"/>
  <c r="AK79" i="14"/>
  <c r="AO79" i="14" s="1"/>
  <c r="AJ79" i="14"/>
  <c r="AF80" i="14"/>
  <c r="AB81" i="14"/>
  <c r="AC79" i="14"/>
  <c r="W81" i="14"/>
  <c r="X80" i="14"/>
  <c r="AB82" i="14" l="1"/>
  <c r="AJ80" i="14"/>
  <c r="AF81" i="14"/>
  <c r="AH81" i="14" s="1"/>
  <c r="AM79" i="14"/>
  <c r="V82" i="14"/>
  <c r="Z81" i="14"/>
  <c r="AL81" i="14"/>
  <c r="AK80" i="14"/>
  <c r="AO80" i="14" s="1"/>
  <c r="AE80" i="14"/>
  <c r="AA81" i="14"/>
  <c r="AG82" i="14"/>
  <c r="AH80" i="14"/>
  <c r="W82" i="14"/>
  <c r="X81" i="14"/>
  <c r="AG83" i="14" l="1"/>
  <c r="AE81" i="14"/>
  <c r="AA82" i="14"/>
  <c r="AC82" i="14" s="1"/>
  <c r="AK81" i="14"/>
  <c r="AO81" i="14" s="1"/>
  <c r="AJ81" i="14"/>
  <c r="AF82" i="14"/>
  <c r="V83" i="14"/>
  <c r="Z82" i="14"/>
  <c r="AL82" i="14"/>
  <c r="AM80" i="14"/>
  <c r="AC81" i="14"/>
  <c r="AB83" i="14"/>
  <c r="X82" i="14"/>
  <c r="W83" i="14"/>
  <c r="AK82" i="14" l="1"/>
  <c r="AO82" i="14" s="1"/>
  <c r="AM81" i="14"/>
  <c r="AB84" i="14"/>
  <c r="AL83" i="14"/>
  <c r="V84" i="14"/>
  <c r="Z83" i="14"/>
  <c r="AJ82" i="14"/>
  <c r="AF83" i="14"/>
  <c r="AH83" i="14" s="1"/>
  <c r="AE82" i="14"/>
  <c r="AA83" i="14"/>
  <c r="AG84" i="14"/>
  <c r="AH82" i="14"/>
  <c r="X83" i="14"/>
  <c r="W84" i="14"/>
  <c r="AM82" i="14" l="1"/>
  <c r="AG85" i="14"/>
  <c r="AA84" i="14"/>
  <c r="AC84" i="14" s="1"/>
  <c r="AE83" i="14"/>
  <c r="AJ83" i="14"/>
  <c r="AF84" i="14"/>
  <c r="AK84" i="14" s="1"/>
  <c r="AO84" i="14" s="1"/>
  <c r="AL84" i="14"/>
  <c r="V85" i="14"/>
  <c r="Z84" i="14"/>
  <c r="AK83" i="14"/>
  <c r="AO83" i="14" s="1"/>
  <c r="AB85" i="14"/>
  <c r="AC83" i="14"/>
  <c r="X84" i="14"/>
  <c r="W85" i="14"/>
  <c r="AM83" i="14" l="1"/>
  <c r="AB86" i="14"/>
  <c r="AL85" i="14"/>
  <c r="V86" i="14"/>
  <c r="Z85" i="14"/>
  <c r="AM84" i="14"/>
  <c r="AJ84" i="14"/>
  <c r="AF85" i="14"/>
  <c r="AH85" i="14" s="1"/>
  <c r="AG86" i="14"/>
  <c r="AE84" i="14"/>
  <c r="AA85" i="14"/>
  <c r="AH84" i="14"/>
  <c r="X85" i="14"/>
  <c r="W86" i="14"/>
  <c r="AG87" i="14" l="1"/>
  <c r="AJ85" i="14"/>
  <c r="AF86" i="14"/>
  <c r="AA86" i="14"/>
  <c r="AC86" i="14" s="1"/>
  <c r="AE85" i="14"/>
  <c r="AL86" i="14"/>
  <c r="V87" i="14"/>
  <c r="Z86" i="14"/>
  <c r="AK85" i="14"/>
  <c r="AO85" i="14" s="1"/>
  <c r="AC85" i="14"/>
  <c r="AB87" i="14"/>
  <c r="W87" i="14"/>
  <c r="X86" i="14"/>
  <c r="AK86" i="14" l="1"/>
  <c r="AO86" i="14" s="1"/>
  <c r="AM85" i="14"/>
  <c r="AB88" i="14"/>
  <c r="V88" i="14"/>
  <c r="Z87" i="14"/>
  <c r="AL87" i="14"/>
  <c r="AE86" i="14"/>
  <c r="AA87" i="14"/>
  <c r="AJ86" i="14"/>
  <c r="AF87" i="14"/>
  <c r="AH87" i="14" s="1"/>
  <c r="AH86" i="14"/>
  <c r="AG88" i="14"/>
  <c r="X87" i="14"/>
  <c r="W88" i="14"/>
  <c r="AM86" i="14" l="1"/>
  <c r="AG89" i="14"/>
  <c r="AJ87" i="14"/>
  <c r="AF88" i="14"/>
  <c r="AA88" i="14"/>
  <c r="AC88" i="14" s="1"/>
  <c r="AE87" i="14"/>
  <c r="AL88" i="14"/>
  <c r="V89" i="14"/>
  <c r="Z88" i="14"/>
  <c r="AK87" i="14"/>
  <c r="AO87" i="14" s="1"/>
  <c r="AC87" i="14"/>
  <c r="AB89" i="14"/>
  <c r="X88" i="14"/>
  <c r="W89" i="14"/>
  <c r="AK88" i="14" l="1"/>
  <c r="AO88" i="14" s="1"/>
  <c r="AB90" i="14"/>
  <c r="Z89" i="14"/>
  <c r="V90" i="14"/>
  <c r="AM87" i="14"/>
  <c r="AL89" i="14"/>
  <c r="AA89" i="14"/>
  <c r="AE88" i="14"/>
  <c r="AJ88" i="14"/>
  <c r="AF89" i="14"/>
  <c r="AH89" i="14" s="1"/>
  <c r="AG90" i="14"/>
  <c r="AH88" i="14"/>
  <c r="X89" i="14"/>
  <c r="W90" i="14"/>
  <c r="AM88" i="14" l="1"/>
  <c r="AG91" i="14"/>
  <c r="AJ89" i="14"/>
  <c r="AF90" i="14"/>
  <c r="AE89" i="14"/>
  <c r="AA90" i="14"/>
  <c r="V91" i="14"/>
  <c r="Z90" i="14"/>
  <c r="AL90" i="14"/>
  <c r="AK89" i="14"/>
  <c r="AO89" i="14" s="1"/>
  <c r="AC89" i="14"/>
  <c r="AB91" i="14"/>
  <c r="X90" i="14"/>
  <c r="W91" i="14"/>
  <c r="AK90" i="14" l="1"/>
  <c r="AO90" i="14" s="1"/>
  <c r="AC90" i="14"/>
  <c r="AB92" i="14"/>
  <c r="V92" i="14"/>
  <c r="Z91" i="14"/>
  <c r="AL91" i="14"/>
  <c r="AJ90" i="14"/>
  <c r="AF91" i="14"/>
  <c r="AH91" i="14" s="1"/>
  <c r="AM89" i="14"/>
  <c r="AE90" i="14"/>
  <c r="AA91" i="14"/>
  <c r="AH90" i="14"/>
  <c r="AG92" i="14"/>
  <c r="W92" i="14"/>
  <c r="X91" i="14"/>
  <c r="AM90" i="14" l="1"/>
  <c r="AG93" i="14"/>
  <c r="AE91" i="14"/>
  <c r="AA92" i="14"/>
  <c r="AJ91" i="14"/>
  <c r="AF92" i="14"/>
  <c r="AK91" i="14"/>
  <c r="AO91" i="14" s="1"/>
  <c r="Z92" i="14"/>
  <c r="V93" i="14"/>
  <c r="AL92" i="14"/>
  <c r="AB93" i="14"/>
  <c r="AC91" i="14"/>
  <c r="X92" i="14"/>
  <c r="W93" i="14"/>
  <c r="AK92" i="14" l="1"/>
  <c r="AO92" i="14" s="1"/>
  <c r="AC92" i="14"/>
  <c r="AB94" i="14"/>
  <c r="V94" i="14"/>
  <c r="Z93" i="14"/>
  <c r="AM91" i="14"/>
  <c r="AL93" i="14"/>
  <c r="AJ92" i="14"/>
  <c r="AF93" i="14"/>
  <c r="AH93" i="14" s="1"/>
  <c r="AE92" i="14"/>
  <c r="AA93" i="14"/>
  <c r="AG94" i="14"/>
  <c r="AH92" i="14"/>
  <c r="W94" i="14"/>
  <c r="X93" i="14"/>
  <c r="AM92" i="14" l="1"/>
  <c r="AG95" i="14"/>
  <c r="AA94" i="14"/>
  <c r="AC94" i="14" s="1"/>
  <c r="AE93" i="14"/>
  <c r="AJ93" i="14"/>
  <c r="AF94" i="14"/>
  <c r="AK94" i="14" s="1"/>
  <c r="AO94" i="14" s="1"/>
  <c r="AL94" i="14"/>
  <c r="Z94" i="14"/>
  <c r="V95" i="14"/>
  <c r="AK93" i="14"/>
  <c r="AO93" i="14" s="1"/>
  <c r="AB95" i="14"/>
  <c r="AC93" i="14"/>
  <c r="X94" i="14"/>
  <c r="W95" i="14"/>
  <c r="AB96" i="14" l="1"/>
  <c r="V96" i="14"/>
  <c r="Z95" i="14"/>
  <c r="AM94" i="14"/>
  <c r="AM93" i="14"/>
  <c r="AL95" i="14"/>
  <c r="AJ94" i="14"/>
  <c r="AF95" i="14"/>
  <c r="AH95" i="14" s="1"/>
  <c r="AA95" i="14"/>
  <c r="AE94" i="14"/>
  <c r="AG96" i="14"/>
  <c r="AH94" i="14"/>
  <c r="X95" i="14"/>
  <c r="W96" i="14"/>
  <c r="AG97" i="14" l="1"/>
  <c r="AJ95" i="14"/>
  <c r="AF96" i="14"/>
  <c r="AL96" i="14"/>
  <c r="Z96" i="14"/>
  <c r="V97" i="14"/>
  <c r="AE95" i="14"/>
  <c r="AA96" i="14"/>
  <c r="AC96" i="14" s="1"/>
  <c r="AK95" i="14"/>
  <c r="AO95" i="14" s="1"/>
  <c r="AB97" i="14"/>
  <c r="AC95" i="14"/>
  <c r="W97" i="14"/>
  <c r="X96" i="14"/>
  <c r="AB98" i="14" l="1"/>
  <c r="AM95" i="14"/>
  <c r="AE96" i="14"/>
  <c r="AA97" i="14"/>
  <c r="V98" i="14"/>
  <c r="Z97" i="14"/>
  <c r="AK96" i="14"/>
  <c r="AO96" i="14" s="1"/>
  <c r="AL97" i="14"/>
  <c r="AJ96" i="14"/>
  <c r="AF97" i="14"/>
  <c r="AH97" i="14" s="1"/>
  <c r="AG98" i="14"/>
  <c r="AH96" i="14"/>
  <c r="X97" i="14"/>
  <c r="W98" i="14"/>
  <c r="AM96" i="14" l="1"/>
  <c r="AG99" i="14"/>
  <c r="AJ97" i="14"/>
  <c r="AF98" i="14"/>
  <c r="Z98" i="14"/>
  <c r="V99" i="14"/>
  <c r="AL98" i="14"/>
  <c r="AK97" i="14"/>
  <c r="AO97" i="14" s="1"/>
  <c r="AA98" i="14"/>
  <c r="AC98" i="14" s="1"/>
  <c r="AE97" i="14"/>
  <c r="AC97" i="14"/>
  <c r="AB99" i="14"/>
  <c r="W99" i="14"/>
  <c r="X98" i="14"/>
  <c r="AB100" i="14" l="1"/>
  <c r="AE98" i="14"/>
  <c r="AA99" i="14"/>
  <c r="V100" i="14"/>
  <c r="Z99" i="14"/>
  <c r="AK98" i="14"/>
  <c r="AO98" i="14" s="1"/>
  <c r="AL99" i="14"/>
  <c r="AM97" i="14"/>
  <c r="AJ98" i="14"/>
  <c r="AF99" i="14"/>
  <c r="AH99" i="14" s="1"/>
  <c r="AG100" i="14"/>
  <c r="AH98" i="14"/>
  <c r="W100" i="14"/>
  <c r="X99" i="14"/>
  <c r="AG101" i="14" l="1"/>
  <c r="AJ99" i="14"/>
  <c r="AF100" i="14"/>
  <c r="AL100" i="14"/>
  <c r="Z100" i="14"/>
  <c r="V101" i="14"/>
  <c r="AK99" i="14"/>
  <c r="AO99" i="14" s="1"/>
  <c r="AM98" i="14"/>
  <c r="AE99" i="14"/>
  <c r="AA100" i="14"/>
  <c r="AC100" i="14" s="1"/>
  <c r="AC99" i="14"/>
  <c r="AB101" i="14"/>
  <c r="X100" i="14"/>
  <c r="W101" i="14"/>
  <c r="AB102" i="14" l="1"/>
  <c r="AE100" i="14"/>
  <c r="AA101" i="14"/>
  <c r="V102" i="14"/>
  <c r="Z101" i="14"/>
  <c r="AL101" i="14"/>
  <c r="AK100" i="14"/>
  <c r="AO100" i="14" s="1"/>
  <c r="AM99" i="14"/>
  <c r="AJ100" i="14"/>
  <c r="AF101" i="14"/>
  <c r="AH101" i="14" s="1"/>
  <c r="AG102" i="14"/>
  <c r="AH100" i="14"/>
  <c r="X101" i="14"/>
  <c r="W102" i="14"/>
  <c r="AM100" i="14" l="1"/>
  <c r="AG103" i="14"/>
  <c r="AJ101" i="14"/>
  <c r="AF102" i="14"/>
  <c r="AL102" i="14"/>
  <c r="V103" i="14"/>
  <c r="Z102" i="14"/>
  <c r="AK101" i="14"/>
  <c r="AO101" i="14" s="1"/>
  <c r="AA102" i="14"/>
  <c r="AC102" i="14" s="1"/>
  <c r="AE101" i="14"/>
  <c r="AC101" i="14"/>
  <c r="AB103" i="14"/>
  <c r="W103" i="14"/>
  <c r="X102" i="14"/>
  <c r="AB104" i="14" l="1"/>
  <c r="AE102" i="14"/>
  <c r="AA103" i="14"/>
  <c r="V104" i="14"/>
  <c r="Z103" i="14"/>
  <c r="AK102" i="14"/>
  <c r="AO102" i="14" s="1"/>
  <c r="AL103" i="14"/>
  <c r="AM101" i="14"/>
  <c r="AJ102" i="14"/>
  <c r="AF103" i="14"/>
  <c r="AH103" i="14" s="1"/>
  <c r="AG104" i="14"/>
  <c r="AH102" i="14"/>
  <c r="W104" i="14"/>
  <c r="X103" i="14"/>
  <c r="AM102" i="14" l="1"/>
  <c r="AG105" i="14"/>
  <c r="AJ103" i="14"/>
  <c r="AF104" i="14"/>
  <c r="Z104" i="14"/>
  <c r="V105" i="14"/>
  <c r="AL104" i="14"/>
  <c r="AK103" i="14"/>
  <c r="AO103" i="14" s="1"/>
  <c r="AE103" i="14"/>
  <c r="AA104" i="14"/>
  <c r="AC104" i="14" s="1"/>
  <c r="AB105" i="14"/>
  <c r="AC103" i="14"/>
  <c r="X104" i="14"/>
  <c r="W105" i="14"/>
  <c r="AB106" i="14" l="1"/>
  <c r="AE104" i="14"/>
  <c r="AA105" i="14"/>
  <c r="V106" i="14"/>
  <c r="Z105" i="14"/>
  <c r="AL105" i="14"/>
  <c r="AJ104" i="14"/>
  <c r="AF105" i="14"/>
  <c r="AH105" i="14" s="1"/>
  <c r="AK104" i="14"/>
  <c r="AO104" i="14" s="1"/>
  <c r="AM103" i="14"/>
  <c r="AH104" i="14"/>
  <c r="AG106" i="14"/>
  <c r="W106" i="14"/>
  <c r="X105" i="14"/>
  <c r="AG107" i="14" l="1"/>
  <c r="AJ105" i="14"/>
  <c r="AF106" i="14"/>
  <c r="AM104" i="14"/>
  <c r="Z106" i="14"/>
  <c r="V107" i="14"/>
  <c r="AL106" i="14"/>
  <c r="AK105" i="14"/>
  <c r="AO105" i="14" s="1"/>
  <c r="AA106" i="14"/>
  <c r="AC106" i="14" s="1"/>
  <c r="AE105" i="14"/>
  <c r="AC105" i="14"/>
  <c r="AB107" i="14"/>
  <c r="W107" i="14"/>
  <c r="X106" i="14"/>
  <c r="AB108" i="14" l="1"/>
  <c r="AE106" i="14"/>
  <c r="AA107" i="14"/>
  <c r="Z107" i="14"/>
  <c r="V108" i="14"/>
  <c r="AK106" i="14"/>
  <c r="AO106" i="14" s="1"/>
  <c r="AL107" i="14"/>
  <c r="AM105" i="14"/>
  <c r="AJ106" i="14"/>
  <c r="AF107" i="14"/>
  <c r="AH107" i="14" s="1"/>
  <c r="AG108" i="14"/>
  <c r="AH106" i="14"/>
  <c r="W108" i="14"/>
  <c r="X107" i="14"/>
  <c r="AG109" i="14" l="1"/>
  <c r="AJ107" i="14"/>
  <c r="AF108" i="14"/>
  <c r="Z108" i="14"/>
  <c r="V109" i="14"/>
  <c r="AK107" i="14"/>
  <c r="AO107" i="14" s="1"/>
  <c r="AL108" i="14"/>
  <c r="AM106" i="14"/>
  <c r="AE107" i="14"/>
  <c r="AA108" i="14"/>
  <c r="AC108" i="14" s="1"/>
  <c r="AB109" i="14"/>
  <c r="AC107" i="14"/>
  <c r="W109" i="14"/>
  <c r="X108" i="14"/>
  <c r="AB110" i="14" l="1"/>
  <c r="AE108" i="14"/>
  <c r="AA109" i="14"/>
  <c r="V110" i="14"/>
  <c r="Z109" i="14"/>
  <c r="AL109" i="14"/>
  <c r="AK108" i="14"/>
  <c r="AO108" i="14" s="1"/>
  <c r="AM107" i="14"/>
  <c r="AJ108" i="14"/>
  <c r="AF109" i="14"/>
  <c r="AH109" i="14" s="1"/>
  <c r="AG110" i="14"/>
  <c r="AH108" i="14"/>
  <c r="W110" i="14"/>
  <c r="X109" i="14"/>
  <c r="AG111" i="14" l="1"/>
  <c r="AJ109" i="14"/>
  <c r="AF110" i="14"/>
  <c r="V111" i="14"/>
  <c r="Z110" i="14"/>
  <c r="AK109" i="14"/>
  <c r="AO109" i="14" s="1"/>
  <c r="AL110" i="14"/>
  <c r="AM108" i="14"/>
  <c r="AA110" i="14"/>
  <c r="AC110" i="14" s="1"/>
  <c r="AE109" i="14"/>
  <c r="AC109" i="14"/>
  <c r="AB111" i="14"/>
  <c r="W111" i="14"/>
  <c r="X110" i="14"/>
  <c r="AB112" i="14" l="1"/>
  <c r="AE110" i="14"/>
  <c r="AA111" i="14"/>
  <c r="Z111" i="14"/>
  <c r="V112" i="14"/>
  <c r="AK110" i="14"/>
  <c r="AO110" i="14" s="1"/>
  <c r="AJ110" i="14"/>
  <c r="AF111" i="14"/>
  <c r="AH111" i="14" s="1"/>
  <c r="AL111" i="14"/>
  <c r="AM109" i="14"/>
  <c r="AH110" i="14"/>
  <c r="AG112" i="14"/>
  <c r="X111" i="14"/>
  <c r="W112" i="14"/>
  <c r="AG113" i="14" l="1"/>
  <c r="AJ111" i="14"/>
  <c r="AF112" i="14"/>
  <c r="V113" i="14"/>
  <c r="Z112" i="14"/>
  <c r="AL112" i="14"/>
  <c r="AK111" i="14"/>
  <c r="AO111" i="14" s="1"/>
  <c r="AM110" i="14"/>
  <c r="AE111" i="14"/>
  <c r="AA112" i="14"/>
  <c r="AC112" i="14" s="1"/>
  <c r="AB113" i="14"/>
  <c r="AC111" i="14"/>
  <c r="W113" i="14"/>
  <c r="X112" i="14"/>
  <c r="AE112" i="14" l="1"/>
  <c r="AA113" i="14"/>
  <c r="AC113" i="14" s="1"/>
  <c r="AB114" i="14"/>
  <c r="AL113" i="14"/>
  <c r="V114" i="14"/>
  <c r="Z113" i="14"/>
  <c r="AK112" i="14"/>
  <c r="AO112" i="14" s="1"/>
  <c r="AJ112" i="14"/>
  <c r="AF113" i="14"/>
  <c r="AH113" i="14" s="1"/>
  <c r="AM111" i="14"/>
  <c r="AH112" i="14"/>
  <c r="AG114" i="14"/>
  <c r="W114" i="14"/>
  <c r="X113" i="14"/>
  <c r="AG115" i="14" l="1"/>
  <c r="AJ113" i="14"/>
  <c r="AF114" i="14"/>
  <c r="AK113" i="14"/>
  <c r="AO113" i="14" s="1"/>
  <c r="V115" i="14"/>
  <c r="Z114" i="14"/>
  <c r="AL114" i="14"/>
  <c r="AM112" i="14"/>
  <c r="AB115" i="14"/>
  <c r="AA114" i="14"/>
  <c r="AE113" i="14"/>
  <c r="W115" i="14"/>
  <c r="X114" i="14"/>
  <c r="AM113" i="14" l="1"/>
  <c r="AE114" i="14"/>
  <c r="AA115" i="14"/>
  <c r="AC115" i="14" s="1"/>
  <c r="AB116" i="14"/>
  <c r="AC114" i="14"/>
  <c r="V116" i="14"/>
  <c r="Z115" i="14"/>
  <c r="AK114" i="14"/>
  <c r="AO114" i="14" s="1"/>
  <c r="AL115" i="14"/>
  <c r="AJ114" i="14"/>
  <c r="AF115" i="14"/>
  <c r="AH115" i="14" s="1"/>
  <c r="AH114" i="14"/>
  <c r="AG116" i="14"/>
  <c r="W116" i="14"/>
  <c r="X115" i="14"/>
  <c r="AG117" i="14" l="1"/>
  <c r="AJ115" i="14"/>
  <c r="AF116" i="14"/>
  <c r="V117" i="14"/>
  <c r="Z116" i="14"/>
  <c r="AK115" i="14"/>
  <c r="AO115" i="14" s="1"/>
  <c r="AM114" i="14"/>
  <c r="AL116" i="14"/>
  <c r="AB117" i="14"/>
  <c r="AE115" i="14"/>
  <c r="AA116" i="14"/>
  <c r="X116" i="14"/>
  <c r="W117" i="14"/>
  <c r="AE116" i="14" l="1"/>
  <c r="AA117" i="14"/>
  <c r="AC117" i="14" s="1"/>
  <c r="AB118" i="14"/>
  <c r="AC116" i="14"/>
  <c r="Z117" i="14"/>
  <c r="V118" i="14"/>
  <c r="AL117" i="14"/>
  <c r="AK116" i="14"/>
  <c r="AO116" i="14" s="1"/>
  <c r="AM115" i="14"/>
  <c r="AJ116" i="14"/>
  <c r="AF117" i="14"/>
  <c r="AH117" i="14" s="1"/>
  <c r="AH116" i="14"/>
  <c r="AG118" i="14"/>
  <c r="W118" i="14"/>
  <c r="X117" i="14"/>
  <c r="AG119" i="14" l="1"/>
  <c r="AJ117" i="14"/>
  <c r="AF118" i="14"/>
  <c r="V119" i="14"/>
  <c r="Z118" i="14"/>
  <c r="AK117" i="14"/>
  <c r="AO117" i="14" s="1"/>
  <c r="AL118" i="14"/>
  <c r="AM116" i="14"/>
  <c r="AB119" i="14"/>
  <c r="AA118" i="14"/>
  <c r="AE117" i="14"/>
  <c r="X118" i="14"/>
  <c r="W119" i="14"/>
  <c r="AE118" i="14" l="1"/>
  <c r="AA119" i="14"/>
  <c r="AC119" i="14" s="1"/>
  <c r="AB120" i="14"/>
  <c r="AC118" i="14"/>
  <c r="V120" i="14"/>
  <c r="Z119" i="14"/>
  <c r="AL119" i="14"/>
  <c r="AK118" i="14"/>
  <c r="AO118" i="14" s="1"/>
  <c r="AM117" i="14"/>
  <c r="AJ118" i="14"/>
  <c r="AF119" i="14"/>
  <c r="AH119" i="14" s="1"/>
  <c r="AG120" i="14"/>
  <c r="AH118" i="14"/>
  <c r="W120" i="14"/>
  <c r="X119" i="14"/>
  <c r="AG121" i="14" l="1"/>
  <c r="AJ119" i="14"/>
  <c r="AF120" i="14"/>
  <c r="Z120" i="14"/>
  <c r="V121" i="14"/>
  <c r="AK119" i="14"/>
  <c r="AO119" i="14" s="1"/>
  <c r="AL120" i="14"/>
  <c r="AM118" i="14"/>
  <c r="AB121" i="14"/>
  <c r="AE119" i="14"/>
  <c r="AA120" i="14"/>
  <c r="AC120" i="14" s="1"/>
  <c r="X120" i="14"/>
  <c r="W121" i="14"/>
  <c r="AE120" i="14" l="1"/>
  <c r="AA121" i="14"/>
  <c r="AC121" i="14" s="1"/>
  <c r="AB122" i="14"/>
  <c r="V122" i="14"/>
  <c r="Z121" i="14"/>
  <c r="AL121" i="14"/>
  <c r="AK120" i="14"/>
  <c r="AO120" i="14" s="1"/>
  <c r="AM119" i="14"/>
  <c r="AJ120" i="14"/>
  <c r="AF121" i="14"/>
  <c r="AH121" i="14" s="1"/>
  <c r="AG122" i="14"/>
  <c r="AH120" i="14"/>
  <c r="W122" i="14"/>
  <c r="X121" i="14"/>
  <c r="AG123" i="14" l="1"/>
  <c r="AJ121" i="14"/>
  <c r="AF122" i="14"/>
  <c r="V123" i="14"/>
  <c r="Z122" i="14"/>
  <c r="AK121" i="14"/>
  <c r="AO121" i="14" s="1"/>
  <c r="AL122" i="14"/>
  <c r="AM120" i="14"/>
  <c r="AB123" i="14"/>
  <c r="AA122" i="14"/>
  <c r="AE121" i="14"/>
  <c r="X122" i="14"/>
  <c r="W123" i="14"/>
  <c r="AE122" i="14" l="1"/>
  <c r="AA123" i="14"/>
  <c r="AC123" i="14" s="1"/>
  <c r="AB124" i="14"/>
  <c r="AC122" i="14"/>
  <c r="V124" i="14"/>
  <c r="Z123" i="14"/>
  <c r="AL123" i="14"/>
  <c r="AK122" i="14"/>
  <c r="AO122" i="14" s="1"/>
  <c r="AM121" i="14"/>
  <c r="AJ122" i="14"/>
  <c r="AF123" i="14"/>
  <c r="AH123" i="14" s="1"/>
  <c r="AG124" i="14"/>
  <c r="AH122" i="14"/>
  <c r="W124" i="14"/>
  <c r="X123" i="14"/>
  <c r="AG125" i="14" l="1"/>
  <c r="AJ123" i="14"/>
  <c r="AF124" i="14"/>
  <c r="V125" i="14"/>
  <c r="Z124" i="14"/>
  <c r="AK123" i="14"/>
  <c r="AO123" i="14" s="1"/>
  <c r="AL124" i="14"/>
  <c r="AM122" i="14"/>
  <c r="AB125" i="14"/>
  <c r="AE123" i="14"/>
  <c r="AA124" i="14"/>
  <c r="AC124" i="14" s="1"/>
  <c r="W125" i="14"/>
  <c r="X124" i="14"/>
  <c r="AL125" i="14" l="1"/>
  <c r="AK124" i="14"/>
  <c r="AO124" i="14" s="1"/>
  <c r="AB126" i="14"/>
  <c r="AE124" i="14"/>
  <c r="AA125" i="14"/>
  <c r="V126" i="14"/>
  <c r="Z125" i="14"/>
  <c r="AM123" i="14"/>
  <c r="AJ124" i="14"/>
  <c r="AF125" i="14"/>
  <c r="AH125" i="14" s="1"/>
  <c r="AG126" i="14"/>
  <c r="AH124" i="14"/>
  <c r="X125" i="14"/>
  <c r="W126" i="14"/>
  <c r="AM124" i="14" l="1"/>
  <c r="AG127" i="14"/>
  <c r="AJ125" i="14"/>
  <c r="AF126" i="14"/>
  <c r="AL126" i="14"/>
  <c r="V127" i="14"/>
  <c r="Z126" i="14"/>
  <c r="AA126" i="14"/>
  <c r="AC126" i="14" s="1"/>
  <c r="AE125" i="14"/>
  <c r="AK125" i="14"/>
  <c r="AB127" i="14"/>
  <c r="AC125" i="14"/>
  <c r="W127" i="14"/>
  <c r="X126" i="14"/>
  <c r="AB128" i="14" l="1"/>
  <c r="AO125" i="14"/>
  <c r="AM125" i="14"/>
  <c r="AE126" i="14"/>
  <c r="AA127" i="14"/>
  <c r="Z127" i="14"/>
  <c r="V128" i="14"/>
  <c r="AK126" i="14"/>
  <c r="AO126" i="14" s="1"/>
  <c r="AJ126" i="14"/>
  <c r="AF127" i="14"/>
  <c r="AH127" i="14" s="1"/>
  <c r="AL127" i="14"/>
  <c r="AG128" i="14"/>
  <c r="AH126" i="14"/>
  <c r="W128" i="14"/>
  <c r="X127" i="14"/>
  <c r="AM126" i="14" l="1"/>
  <c r="AG129" i="14"/>
  <c r="AJ127" i="14"/>
  <c r="AF128" i="14"/>
  <c r="V129" i="14"/>
  <c r="Z128" i="14"/>
  <c r="AL128" i="14"/>
  <c r="AK127" i="14"/>
  <c r="AO127" i="14" s="1"/>
  <c r="AE127" i="14"/>
  <c r="AA128" i="14"/>
  <c r="AC128" i="14" s="1"/>
  <c r="AB129" i="14"/>
  <c r="AC127" i="14"/>
  <c r="W129" i="14"/>
  <c r="X128" i="14"/>
  <c r="AL129" i="14" l="1"/>
  <c r="AB130" i="14"/>
  <c r="AE128" i="14"/>
  <c r="AA129" i="14"/>
  <c r="AK128" i="14"/>
  <c r="AO128" i="14" s="1"/>
  <c r="AG130" i="14"/>
  <c r="Z129" i="14"/>
  <c r="V130" i="14"/>
  <c r="AJ128" i="14"/>
  <c r="AF129" i="14"/>
  <c r="AM127" i="14"/>
  <c r="AH128" i="14"/>
  <c r="X129" i="14"/>
  <c r="W130" i="14"/>
  <c r="AL130" i="14" l="1"/>
  <c r="AJ129" i="14"/>
  <c r="AF130" i="14"/>
  <c r="AH130" i="14" s="1"/>
  <c r="V131" i="14"/>
  <c r="Z130" i="14"/>
  <c r="AK129" i="14"/>
  <c r="AG131" i="14"/>
  <c r="AH129" i="14"/>
  <c r="AM128" i="14"/>
  <c r="AA130" i="14"/>
  <c r="AC130" i="14" s="1"/>
  <c r="AE129" i="14"/>
  <c r="AC129" i="14"/>
  <c r="AB131" i="14"/>
  <c r="W131" i="14"/>
  <c r="X130" i="14"/>
  <c r="AL131" i="14" l="1"/>
  <c r="AB132" i="14"/>
  <c r="AB133" i="14" s="1"/>
  <c r="AE130" i="14"/>
  <c r="AA131" i="14"/>
  <c r="AG132" i="14"/>
  <c r="AG133" i="14" s="1"/>
  <c r="AO129" i="14"/>
  <c r="AM129" i="14"/>
  <c r="Z131" i="14"/>
  <c r="V132" i="14"/>
  <c r="V133" i="14" s="1"/>
  <c r="AK130" i="14"/>
  <c r="AJ130" i="14"/>
  <c r="AF131" i="14"/>
  <c r="W132" i="14"/>
  <c r="W133" i="14" s="1"/>
  <c r="X131" i="14"/>
  <c r="W134" i="14" l="1"/>
  <c r="X133" i="14"/>
  <c r="AL133" i="14"/>
  <c r="Z133" i="14"/>
  <c r="V134" i="14"/>
  <c r="AG134" i="14"/>
  <c r="AB134" i="14"/>
  <c r="X132" i="14"/>
  <c r="AL132" i="14"/>
  <c r="AJ131" i="14"/>
  <c r="AF132" i="14"/>
  <c r="AO130" i="14"/>
  <c r="AM130" i="14"/>
  <c r="Z132" i="14"/>
  <c r="AK131" i="14"/>
  <c r="AH131" i="14"/>
  <c r="AE131" i="14"/>
  <c r="AA132" i="14"/>
  <c r="AC131" i="14"/>
  <c r="AB135" i="14" l="1"/>
  <c r="Z134" i="14"/>
  <c r="V135" i="14"/>
  <c r="AL134" i="14"/>
  <c r="X134" i="14"/>
  <c r="W135" i="14"/>
  <c r="AE132" i="14"/>
  <c r="AA133" i="14"/>
  <c r="AJ132" i="14"/>
  <c r="AF133" i="14"/>
  <c r="AH133" i="14" s="1"/>
  <c r="AG135" i="14"/>
  <c r="AH132" i="14"/>
  <c r="AC132" i="14"/>
  <c r="AO131" i="14"/>
  <c r="AM131" i="14"/>
  <c r="AK132" i="14"/>
  <c r="AO132" i="14" s="1"/>
  <c r="AK133" i="14" l="1"/>
  <c r="AC133" i="14"/>
  <c r="W136" i="14"/>
  <c r="X135" i="14"/>
  <c r="AL135" i="14"/>
  <c r="V136" i="14"/>
  <c r="Z135" i="14"/>
  <c r="AB136" i="14"/>
  <c r="AG136" i="14"/>
  <c r="AF134" i="14"/>
  <c r="AH134" i="14" s="1"/>
  <c r="AJ133" i="14"/>
  <c r="AA134" i="14"/>
  <c r="AE133" i="14"/>
  <c r="AM132" i="14"/>
  <c r="AG137" i="14" l="1"/>
  <c r="AB137" i="14"/>
  <c r="V137" i="14"/>
  <c r="Z136" i="14"/>
  <c r="AA135" i="14"/>
  <c r="AE134" i="14"/>
  <c r="AC134" i="14"/>
  <c r="AK134" i="14"/>
  <c r="AL136" i="14"/>
  <c r="W137" i="14"/>
  <c r="X136" i="14"/>
  <c r="AO133" i="14"/>
  <c r="AM133" i="14"/>
  <c r="AF135" i="14"/>
  <c r="AH135" i="14" s="1"/>
  <c r="AJ134" i="14"/>
  <c r="X137" i="14" l="1"/>
  <c r="W138" i="14"/>
  <c r="AL137" i="14"/>
  <c r="AO134" i="14"/>
  <c r="AM134" i="14"/>
  <c r="AE135" i="14"/>
  <c r="AA136" i="14"/>
  <c r="AK135" i="14"/>
  <c r="AC135" i="14"/>
  <c r="V138" i="14"/>
  <c r="Z137" i="14"/>
  <c r="AB138" i="14"/>
  <c r="AG138" i="14"/>
  <c r="AJ135" i="14"/>
  <c r="AF136" i="14"/>
  <c r="AF137" i="14" l="1"/>
  <c r="AJ136" i="14"/>
  <c r="AH136" i="14"/>
  <c r="X138" i="14"/>
  <c r="AL138" i="14"/>
  <c r="W139" i="14"/>
  <c r="AG139" i="14"/>
  <c r="AB139" i="14"/>
  <c r="V139" i="14"/>
  <c r="Z138" i="14"/>
  <c r="AO135" i="14"/>
  <c r="AM135" i="14"/>
  <c r="AA137" i="14"/>
  <c r="AE136" i="14"/>
  <c r="AC136" i="14"/>
  <c r="AK136" i="14"/>
  <c r="AO136" i="14" l="1"/>
  <c r="AM136" i="14"/>
  <c r="AE137" i="14"/>
  <c r="AA138" i="14"/>
  <c r="AK137" i="14"/>
  <c r="AC137" i="14"/>
  <c r="V140" i="14"/>
  <c r="Z139" i="14"/>
  <c r="AB140" i="14"/>
  <c r="W140" i="14"/>
  <c r="AL139" i="14"/>
  <c r="X139" i="14"/>
  <c r="AG140" i="14"/>
  <c r="AF138" i="14"/>
  <c r="AJ137" i="14"/>
  <c r="AH137" i="14"/>
  <c r="AB141" i="14" l="1"/>
  <c r="AJ138" i="14"/>
  <c r="AF139" i="14"/>
  <c r="AH138" i="14"/>
  <c r="AG141" i="14"/>
  <c r="X140" i="14"/>
  <c r="AL140" i="14"/>
  <c r="W141" i="14"/>
  <c r="V141" i="14"/>
  <c r="Z140" i="14"/>
  <c r="AO137" i="14"/>
  <c r="AM137" i="14"/>
  <c r="AA139" i="14"/>
  <c r="AE138" i="14"/>
  <c r="AK138" i="14"/>
  <c r="AC138" i="14"/>
  <c r="AO138" i="14" l="1"/>
  <c r="AM138" i="14"/>
  <c r="AE139" i="14"/>
  <c r="AA140" i="14"/>
  <c r="AK139" i="14"/>
  <c r="AC139" i="14"/>
  <c r="X141" i="14"/>
  <c r="W142" i="14"/>
  <c r="AL141" i="14"/>
  <c r="V142" i="14"/>
  <c r="Z141" i="14"/>
  <c r="AG142" i="14"/>
  <c r="AJ139" i="14"/>
  <c r="AF140" i="14"/>
  <c r="AH139" i="14"/>
  <c r="AB142" i="14"/>
  <c r="AB143" i="14" l="1"/>
  <c r="AF141" i="14"/>
  <c r="AJ140" i="14"/>
  <c r="AH140" i="14"/>
  <c r="AG143" i="14"/>
  <c r="V143" i="14"/>
  <c r="Z142" i="14"/>
  <c r="W143" i="14"/>
  <c r="X142" i="14"/>
  <c r="AL142" i="14"/>
  <c r="AO139" i="14"/>
  <c r="AM139" i="14"/>
  <c r="AE140" i="14"/>
  <c r="AA141" i="14"/>
  <c r="AC140" i="14"/>
  <c r="AK140" i="14"/>
  <c r="Z143" i="14" l="1"/>
  <c r="V144" i="14"/>
  <c r="AO140" i="14"/>
  <c r="AM140" i="14"/>
  <c r="AE141" i="14"/>
  <c r="AA142" i="14"/>
  <c r="AK141" i="14"/>
  <c r="AC141" i="14"/>
  <c r="X143" i="14"/>
  <c r="W144" i="14"/>
  <c r="AL143" i="14"/>
  <c r="AG144" i="14"/>
  <c r="AF142" i="14"/>
  <c r="AJ141" i="14"/>
  <c r="AH141" i="14"/>
  <c r="AB144" i="14"/>
  <c r="AB145" i="14" l="1"/>
  <c r="AO141" i="14"/>
  <c r="AM141" i="14"/>
  <c r="AF143" i="14"/>
  <c r="AJ142" i="14"/>
  <c r="AH142" i="14"/>
  <c r="AG145" i="14"/>
  <c r="W145" i="14"/>
  <c r="X144" i="14"/>
  <c r="AL144" i="14"/>
  <c r="AA143" i="14"/>
  <c r="AE142" i="14"/>
  <c r="AC142" i="14"/>
  <c r="AK142" i="14"/>
  <c r="V145" i="14"/>
  <c r="Z144" i="14"/>
  <c r="AE143" i="14" l="1"/>
  <c r="AA144" i="14"/>
  <c r="AK143" i="14"/>
  <c r="AC143" i="14"/>
  <c r="V146" i="14"/>
  <c r="Z145" i="14"/>
  <c r="AO142" i="14"/>
  <c r="AM142" i="14"/>
  <c r="X145" i="14"/>
  <c r="AL145" i="14"/>
  <c r="W146" i="14"/>
  <c r="AG146" i="14"/>
  <c r="AF144" i="14"/>
  <c r="AJ143" i="14"/>
  <c r="AH143" i="14"/>
  <c r="AB146" i="14"/>
  <c r="AB147" i="14" l="1"/>
  <c r="AF145" i="14"/>
  <c r="AJ144" i="14"/>
  <c r="AH144" i="14"/>
  <c r="AG147" i="14"/>
  <c r="W147" i="14"/>
  <c r="AL146" i="14"/>
  <c r="X146" i="14"/>
  <c r="V147" i="14"/>
  <c r="Z146" i="14"/>
  <c r="AO143" i="14"/>
  <c r="AM143" i="14"/>
  <c r="AE144" i="14"/>
  <c r="AA145" i="14"/>
  <c r="AC144" i="14"/>
  <c r="AK144" i="14"/>
  <c r="AO144" i="14" l="1"/>
  <c r="AM144" i="14"/>
  <c r="AA146" i="14"/>
  <c r="AE145" i="14"/>
  <c r="AK145" i="14"/>
  <c r="AC145" i="14"/>
  <c r="W148" i="14"/>
  <c r="AL147" i="14"/>
  <c r="X147" i="14"/>
  <c r="AG148" i="14"/>
  <c r="V148" i="14"/>
  <c r="Z147" i="14"/>
  <c r="AF146" i="14"/>
  <c r="AJ145" i="14"/>
  <c r="AH145" i="14"/>
  <c r="AB148" i="14"/>
  <c r="AB149" i="14" l="1"/>
  <c r="AJ146" i="14"/>
  <c r="AF147" i="14"/>
  <c r="AH146" i="14"/>
  <c r="X148" i="14"/>
  <c r="AL148" i="14"/>
  <c r="W149" i="14"/>
  <c r="V149" i="14"/>
  <c r="Z148" i="14"/>
  <c r="AG149" i="14"/>
  <c r="AO145" i="14"/>
  <c r="AM145" i="14"/>
  <c r="AE146" i="14"/>
  <c r="AA147" i="14"/>
  <c r="AC146" i="14"/>
  <c r="AK146" i="14"/>
  <c r="AG150" i="14" l="1"/>
  <c r="X149" i="14"/>
  <c r="W150" i="14"/>
  <c r="AL149" i="14"/>
  <c r="AO146" i="14"/>
  <c r="AM146" i="14"/>
  <c r="AE147" i="14"/>
  <c r="AA148" i="14"/>
  <c r="AK147" i="14"/>
  <c r="AC147" i="14"/>
  <c r="Z149" i="14"/>
  <c r="V150" i="14"/>
  <c r="AJ147" i="14"/>
  <c r="AF148" i="14"/>
  <c r="AH147" i="14"/>
  <c r="AB150" i="14"/>
  <c r="AB151" i="14" l="1"/>
  <c r="AJ148" i="14"/>
  <c r="AF149" i="14"/>
  <c r="AH148" i="14"/>
  <c r="Z150" i="14"/>
  <c r="V151" i="14"/>
  <c r="AO147" i="14"/>
  <c r="AM147" i="14"/>
  <c r="AE148" i="14"/>
  <c r="AA149" i="14"/>
  <c r="AC148" i="14"/>
  <c r="AK148" i="14"/>
  <c r="AL150" i="14"/>
  <c r="W151" i="14"/>
  <c r="X150" i="14"/>
  <c r="AG151" i="14"/>
  <c r="AG152" i="14" l="1"/>
  <c r="W152" i="14"/>
  <c r="X151" i="14"/>
  <c r="AL151" i="14"/>
  <c r="AO148" i="14"/>
  <c r="AM148" i="14"/>
  <c r="AA150" i="14"/>
  <c r="AE149" i="14"/>
  <c r="AK149" i="14"/>
  <c r="AC149" i="14"/>
  <c r="V152" i="14"/>
  <c r="Z151" i="14"/>
  <c r="AF150" i="14"/>
  <c r="AJ149" i="14"/>
  <c r="AH149" i="14"/>
  <c r="AB152" i="14"/>
  <c r="AB153" i="14" l="1"/>
  <c r="AF151" i="14"/>
  <c r="AJ150" i="14"/>
  <c r="AH150" i="14"/>
  <c r="V153" i="14"/>
  <c r="Z152" i="14"/>
  <c r="AO149" i="14"/>
  <c r="AM149" i="14"/>
  <c r="AA151" i="14"/>
  <c r="AE150" i="14"/>
  <c r="AC150" i="14"/>
  <c r="AK150" i="14"/>
  <c r="X152" i="14"/>
  <c r="AL152" i="14"/>
  <c r="W153" i="14"/>
  <c r="AG153" i="14"/>
  <c r="AG154" i="14" l="1"/>
  <c r="W154" i="14"/>
  <c r="AL153" i="14"/>
  <c r="X153" i="14"/>
  <c r="AO150" i="14"/>
  <c r="AM150" i="14"/>
  <c r="AA152" i="14"/>
  <c r="AE151" i="14"/>
  <c r="AK151" i="14"/>
  <c r="AC151" i="14"/>
  <c r="V154" i="14"/>
  <c r="Z153" i="14"/>
  <c r="AF152" i="14"/>
  <c r="AJ151" i="14"/>
  <c r="AH151" i="14"/>
  <c r="AB154" i="14"/>
  <c r="AB155" i="14" l="1"/>
  <c r="AF153" i="14"/>
  <c r="AJ152" i="14"/>
  <c r="AH152" i="14"/>
  <c r="AG155" i="14"/>
  <c r="V155" i="14"/>
  <c r="Z154" i="14"/>
  <c r="AO151" i="14"/>
  <c r="AM151" i="14"/>
  <c r="AA153" i="14"/>
  <c r="AE152" i="14"/>
  <c r="AC152" i="14"/>
  <c r="AK152" i="14"/>
  <c r="W155" i="14"/>
  <c r="AL154" i="14"/>
  <c r="X154" i="14"/>
  <c r="X155" i="14" l="1"/>
  <c r="W156" i="14"/>
  <c r="AL155" i="14"/>
  <c r="AO152" i="14"/>
  <c r="AM152" i="14"/>
  <c r="AE153" i="14"/>
  <c r="AA154" i="14"/>
  <c r="AK153" i="14"/>
  <c r="AC153" i="14"/>
  <c r="Z155" i="14"/>
  <c r="V156" i="14"/>
  <c r="AG156" i="14"/>
  <c r="AJ153" i="14"/>
  <c r="AF154" i="14"/>
  <c r="AH153" i="14"/>
  <c r="AB156" i="14"/>
  <c r="AB157" i="14" l="1"/>
  <c r="AF155" i="14"/>
  <c r="AJ154" i="14"/>
  <c r="AH154" i="14"/>
  <c r="AG157" i="14"/>
  <c r="V157" i="14"/>
  <c r="Z156" i="14"/>
  <c r="AO153" i="14"/>
  <c r="AM153" i="14"/>
  <c r="AA155" i="14"/>
  <c r="AE154" i="14"/>
  <c r="AC154" i="14"/>
  <c r="AK154" i="14"/>
  <c r="X156" i="14"/>
  <c r="W157" i="14"/>
  <c r="AL156" i="14"/>
  <c r="AL157" i="14" l="1"/>
  <c r="W158" i="14"/>
  <c r="X157" i="14"/>
  <c r="AO154" i="14"/>
  <c r="AM154" i="14"/>
  <c r="AE155" i="14"/>
  <c r="AA156" i="14"/>
  <c r="AK155" i="14"/>
  <c r="AC155" i="14"/>
  <c r="Z157" i="14"/>
  <c r="V158" i="14"/>
  <c r="AG158" i="14"/>
  <c r="AJ155" i="14"/>
  <c r="AF156" i="14"/>
  <c r="AH155" i="14"/>
  <c r="AB158" i="14"/>
  <c r="AB159" i="14" l="1"/>
  <c r="AF157" i="14"/>
  <c r="AJ156" i="14"/>
  <c r="AH156" i="14"/>
  <c r="AG159" i="14"/>
  <c r="V159" i="14"/>
  <c r="Z158" i="14"/>
  <c r="AO155" i="14"/>
  <c r="AM155" i="14"/>
  <c r="AA157" i="14"/>
  <c r="AE156" i="14"/>
  <c r="AC156" i="14"/>
  <c r="AK156" i="14"/>
  <c r="W159" i="14"/>
  <c r="X158" i="14"/>
  <c r="AL158" i="14"/>
  <c r="AL159" i="14" l="1"/>
  <c r="X159" i="14"/>
  <c r="W160" i="14"/>
  <c r="AO156" i="14"/>
  <c r="AM156" i="14"/>
  <c r="AE157" i="14"/>
  <c r="AA158" i="14"/>
  <c r="AK157" i="14"/>
  <c r="AC157" i="14"/>
  <c r="V160" i="14"/>
  <c r="Z159" i="14"/>
  <c r="AG160" i="14"/>
  <c r="AB160" i="14"/>
  <c r="AJ157" i="14"/>
  <c r="AF158" i="14"/>
  <c r="AH157" i="14"/>
  <c r="AF159" i="14" l="1"/>
  <c r="AJ158" i="14"/>
  <c r="AH158" i="14"/>
  <c r="AB161" i="14"/>
  <c r="AG161" i="14"/>
  <c r="V161" i="14"/>
  <c r="Z160" i="14"/>
  <c r="AO157" i="14"/>
  <c r="AM157" i="14"/>
  <c r="AA159" i="14"/>
  <c r="AE158" i="14"/>
  <c r="AC158" i="14"/>
  <c r="AK158" i="14"/>
  <c r="W161" i="14"/>
  <c r="AL160" i="14"/>
  <c r="X160" i="14"/>
  <c r="X161" i="14" l="1"/>
  <c r="W162" i="14"/>
  <c r="AL161" i="14"/>
  <c r="AO158" i="14"/>
  <c r="AM158" i="14"/>
  <c r="AE159" i="14"/>
  <c r="AA160" i="14"/>
  <c r="AK159" i="14"/>
  <c r="AC159" i="14"/>
  <c r="Z161" i="14"/>
  <c r="V162" i="14"/>
  <c r="AG162" i="14"/>
  <c r="AB162" i="14"/>
  <c r="AJ159" i="14"/>
  <c r="AF160" i="14"/>
  <c r="AH159" i="14"/>
  <c r="AJ160" i="14" l="1"/>
  <c r="AF161" i="14"/>
  <c r="AH160" i="14"/>
  <c r="AB163" i="14"/>
  <c r="AG163" i="14"/>
  <c r="Z162" i="14"/>
  <c r="V163" i="14"/>
  <c r="AO159" i="14"/>
  <c r="AM159" i="14"/>
  <c r="AE160" i="14"/>
  <c r="AA161" i="14"/>
  <c r="AC160" i="14"/>
  <c r="AK160" i="14"/>
  <c r="X162" i="14"/>
  <c r="AL162" i="14"/>
  <c r="W163" i="14"/>
  <c r="X163" i="14" l="1"/>
  <c r="W164" i="14"/>
  <c r="AL163" i="14"/>
  <c r="AO160" i="14"/>
  <c r="AM160" i="14"/>
  <c r="AE161" i="14"/>
  <c r="AA162" i="14"/>
  <c r="AK161" i="14"/>
  <c r="AC161" i="14"/>
  <c r="Z163" i="14"/>
  <c r="V164" i="14"/>
  <c r="AG164" i="14"/>
  <c r="AB164" i="14"/>
  <c r="AF162" i="14"/>
  <c r="AJ161" i="14"/>
  <c r="AH161" i="14"/>
  <c r="AB165" i="14" l="1"/>
  <c r="AJ162" i="14"/>
  <c r="AF163" i="14"/>
  <c r="AH162" i="14"/>
  <c r="AG165" i="14"/>
  <c r="Z164" i="14"/>
  <c r="V165" i="14"/>
  <c r="AO161" i="14"/>
  <c r="AM161" i="14"/>
  <c r="AA163" i="14"/>
  <c r="AE162" i="14"/>
  <c r="AC162" i="14"/>
  <c r="AK162" i="14"/>
  <c r="AL164" i="14"/>
  <c r="W165" i="14"/>
  <c r="X164" i="14"/>
  <c r="W166" i="14" l="1"/>
  <c r="X165" i="14"/>
  <c r="AL165" i="14"/>
  <c r="AO162" i="14"/>
  <c r="AM162" i="14"/>
  <c r="AA164" i="14"/>
  <c r="AE163" i="14"/>
  <c r="AC163" i="14"/>
  <c r="AK163" i="14"/>
  <c r="V166" i="14"/>
  <c r="Z165" i="14"/>
  <c r="AG166" i="14"/>
  <c r="AF164" i="14"/>
  <c r="AJ163" i="14"/>
  <c r="AH163" i="14"/>
  <c r="AB166" i="14"/>
  <c r="AB167" i="14" l="1"/>
  <c r="AF165" i="14"/>
  <c r="AJ164" i="14"/>
  <c r="AH164" i="14"/>
  <c r="AG167" i="14"/>
  <c r="Z166" i="14"/>
  <c r="V167" i="14"/>
  <c r="AO163" i="14"/>
  <c r="AM163" i="14"/>
  <c r="AA165" i="14"/>
  <c r="AE164" i="14"/>
  <c r="AC164" i="14"/>
  <c r="AK164" i="14"/>
  <c r="AL166" i="14"/>
  <c r="W167" i="14"/>
  <c r="X166" i="14"/>
  <c r="W168" i="14" l="1"/>
  <c r="AL167" i="14"/>
  <c r="X167" i="14"/>
  <c r="AO164" i="14"/>
  <c r="AM164" i="14"/>
  <c r="AA166" i="14"/>
  <c r="AE165" i="14"/>
  <c r="AK165" i="14"/>
  <c r="AC165" i="14"/>
  <c r="V168" i="14"/>
  <c r="Z167" i="14"/>
  <c r="AG168" i="14"/>
  <c r="AJ165" i="14"/>
  <c r="AF166" i="14"/>
  <c r="AH165" i="14"/>
  <c r="AB168" i="14"/>
  <c r="AB169" i="14" l="1"/>
  <c r="AJ166" i="14"/>
  <c r="AF167" i="14"/>
  <c r="AH166" i="14"/>
  <c r="AG169" i="14"/>
  <c r="V169" i="14"/>
  <c r="Z168" i="14"/>
  <c r="AO165" i="14"/>
  <c r="AM165" i="14"/>
  <c r="AA167" i="14"/>
  <c r="AE166" i="14"/>
  <c r="AC166" i="14"/>
  <c r="AK166" i="14"/>
  <c r="W169" i="14"/>
  <c r="X168" i="14"/>
  <c r="AL168" i="14"/>
  <c r="W170" i="14" l="1"/>
  <c r="X169" i="14"/>
  <c r="AL169" i="14"/>
  <c r="AO166" i="14"/>
  <c r="AM166" i="14"/>
  <c r="AE167" i="14"/>
  <c r="AA168" i="14"/>
  <c r="AK167" i="14"/>
  <c r="AC167" i="14"/>
  <c r="V170" i="14"/>
  <c r="Z169" i="14"/>
  <c r="AG170" i="14"/>
  <c r="AJ167" i="14"/>
  <c r="AF168" i="14"/>
  <c r="AH167" i="14"/>
  <c r="AB170" i="14"/>
  <c r="AB171" i="14" l="1"/>
  <c r="AF169" i="14"/>
  <c r="AJ168" i="14"/>
  <c r="AH168" i="14"/>
  <c r="AG171" i="14"/>
  <c r="V171" i="14"/>
  <c r="Z170" i="14"/>
  <c r="AO167" i="14"/>
  <c r="AM167" i="14"/>
  <c r="AA169" i="14"/>
  <c r="AE168" i="14"/>
  <c r="AC168" i="14"/>
  <c r="AK168" i="14"/>
  <c r="X170" i="14"/>
  <c r="W171" i="14"/>
  <c r="AL170" i="14"/>
  <c r="AL171" i="14" l="1"/>
  <c r="W172" i="14"/>
  <c r="X171" i="14"/>
  <c r="AO168" i="14"/>
  <c r="AM168" i="14"/>
  <c r="AA170" i="14"/>
  <c r="AE169" i="14"/>
  <c r="AK169" i="14"/>
  <c r="AC169" i="14"/>
  <c r="V172" i="14"/>
  <c r="Z171" i="14"/>
  <c r="AG172" i="14"/>
  <c r="AF170" i="14"/>
  <c r="AJ169" i="14"/>
  <c r="AH169" i="14"/>
  <c r="AB172" i="14"/>
  <c r="AB173" i="14" l="1"/>
  <c r="AF171" i="14"/>
  <c r="AJ170" i="14"/>
  <c r="AH170" i="14"/>
  <c r="AG173" i="14"/>
  <c r="V173" i="14"/>
  <c r="Z172" i="14"/>
  <c r="AO169" i="14"/>
  <c r="AM169" i="14"/>
  <c r="AA171" i="14"/>
  <c r="AE170" i="14"/>
  <c r="AC170" i="14"/>
  <c r="AK170" i="14"/>
  <c r="W173" i="14"/>
  <c r="X172" i="14"/>
  <c r="AL172" i="14"/>
  <c r="AL173" i="14" l="1"/>
  <c r="W174" i="14"/>
  <c r="X173" i="14"/>
  <c r="AO170" i="14"/>
  <c r="AM170" i="14"/>
  <c r="AE171" i="14"/>
  <c r="AA172" i="14"/>
  <c r="AK171" i="14"/>
  <c r="AC171" i="14"/>
  <c r="V174" i="14"/>
  <c r="Z173" i="14"/>
  <c r="AG174" i="14"/>
  <c r="AF172" i="14"/>
  <c r="AJ171" i="14"/>
  <c r="AH171" i="14"/>
  <c r="AB174" i="14"/>
  <c r="AB175" i="14" l="1"/>
  <c r="AF173" i="14"/>
  <c r="AJ172" i="14"/>
  <c r="AH172" i="14"/>
  <c r="AG175" i="14"/>
  <c r="V175" i="14"/>
  <c r="Z174" i="14"/>
  <c r="AO171" i="14"/>
  <c r="AM171" i="14"/>
  <c r="AA173" i="14"/>
  <c r="AE172" i="14"/>
  <c r="AC172" i="14"/>
  <c r="AK172" i="14"/>
  <c r="W175" i="14"/>
  <c r="AL174" i="14"/>
  <c r="X174" i="14"/>
  <c r="X175" i="14" l="1"/>
  <c r="W176" i="14"/>
  <c r="AL175" i="14"/>
  <c r="AO172" i="14"/>
  <c r="AM172" i="14"/>
  <c r="AE173" i="14"/>
  <c r="AA174" i="14"/>
  <c r="AK173" i="14"/>
  <c r="AC173" i="14"/>
  <c r="Z175" i="14"/>
  <c r="V176" i="14"/>
  <c r="AG176" i="14"/>
  <c r="AF174" i="14"/>
  <c r="AJ173" i="14"/>
  <c r="AH173" i="14"/>
  <c r="AB176" i="14"/>
  <c r="AB177" i="14" l="1"/>
  <c r="AJ174" i="14"/>
  <c r="AF175" i="14"/>
  <c r="AH174" i="14"/>
  <c r="AG177" i="14"/>
  <c r="V177" i="14"/>
  <c r="Z176" i="14"/>
  <c r="AO173" i="14"/>
  <c r="AM173" i="14"/>
  <c r="AE174" i="14"/>
  <c r="AA175" i="14"/>
  <c r="AC174" i="14"/>
  <c r="AK174" i="14"/>
  <c r="W177" i="14"/>
  <c r="X176" i="14"/>
  <c r="AL176" i="14"/>
  <c r="X177" i="14" l="1"/>
  <c r="W178" i="14"/>
  <c r="AL177" i="14"/>
  <c r="AO174" i="14"/>
  <c r="AM174" i="14"/>
  <c r="AA176" i="14"/>
  <c r="AE175" i="14"/>
  <c r="AK175" i="14"/>
  <c r="AC175" i="14"/>
  <c r="V178" i="14"/>
  <c r="Z177" i="14"/>
  <c r="AG178" i="14"/>
  <c r="AF176" i="14"/>
  <c r="AJ175" i="14"/>
  <c r="AH175" i="14"/>
  <c r="AB178" i="14"/>
  <c r="AB179" i="14" l="1"/>
  <c r="AG179" i="14"/>
  <c r="AJ176" i="14"/>
  <c r="AF177" i="14"/>
  <c r="AH176" i="14"/>
  <c r="AO175" i="14"/>
  <c r="AM175" i="14"/>
  <c r="AE176" i="14"/>
  <c r="AA177" i="14"/>
  <c r="AC176" i="14"/>
  <c r="AK176" i="14"/>
  <c r="AL178" i="14"/>
  <c r="X178" i="14"/>
  <c r="W179" i="14"/>
  <c r="Z178" i="14"/>
  <c r="V179" i="14"/>
  <c r="V180" i="14" l="1"/>
  <c r="Z179" i="14"/>
  <c r="W180" i="14"/>
  <c r="X179" i="14"/>
  <c r="AL179" i="14"/>
  <c r="AO176" i="14"/>
  <c r="AM176" i="14"/>
  <c r="AA178" i="14"/>
  <c r="AE177" i="14"/>
  <c r="AK177" i="14"/>
  <c r="AC177" i="14"/>
  <c r="AF178" i="14"/>
  <c r="AJ177" i="14"/>
  <c r="AH177" i="14"/>
  <c r="AG180" i="14"/>
  <c r="AB180" i="14"/>
  <c r="AB181" i="14" l="1"/>
  <c r="AG181" i="14"/>
  <c r="AJ178" i="14"/>
  <c r="AF179" i="14"/>
  <c r="AH178" i="14"/>
  <c r="AO177" i="14"/>
  <c r="AM177" i="14"/>
  <c r="AA179" i="14"/>
  <c r="AE178" i="14"/>
  <c r="AC178" i="14"/>
  <c r="AK178" i="14"/>
  <c r="W181" i="14"/>
  <c r="X180" i="14"/>
  <c r="AL180" i="14"/>
  <c r="V181" i="14"/>
  <c r="Z180" i="14"/>
  <c r="V182" i="14" l="1"/>
  <c r="Z181" i="14"/>
  <c r="W182" i="14"/>
  <c r="X181" i="14"/>
  <c r="AL181" i="14"/>
  <c r="AO178" i="14"/>
  <c r="AM178" i="14"/>
  <c r="AA180" i="14"/>
  <c r="AE179" i="14"/>
  <c r="AK179" i="14"/>
  <c r="AC179" i="14"/>
  <c r="AJ179" i="14"/>
  <c r="AF180" i="14"/>
  <c r="AH179" i="14"/>
  <c r="AG182" i="14"/>
  <c r="AB182" i="14"/>
  <c r="AB183" i="14" l="1"/>
  <c r="AG183" i="14"/>
  <c r="AF181" i="14"/>
  <c r="AJ180" i="14"/>
  <c r="AH180" i="14"/>
  <c r="AO179" i="14"/>
  <c r="AM179" i="14"/>
  <c r="AE180" i="14"/>
  <c r="AA181" i="14"/>
  <c r="AC180" i="14"/>
  <c r="AK180" i="14"/>
  <c r="W183" i="14"/>
  <c r="X182" i="14"/>
  <c r="AL182" i="14"/>
  <c r="V183" i="14"/>
  <c r="Z182" i="14"/>
  <c r="Z183" i="14" l="1"/>
  <c r="V184" i="14"/>
  <c r="X183" i="14"/>
  <c r="W184" i="14"/>
  <c r="AL183" i="14"/>
  <c r="AO180" i="14"/>
  <c r="AM180" i="14"/>
  <c r="AE181" i="14"/>
  <c r="AA182" i="14"/>
  <c r="AK181" i="14"/>
  <c r="AC181" i="14"/>
  <c r="AJ181" i="14"/>
  <c r="AF182" i="14"/>
  <c r="AH181" i="14"/>
  <c r="AG184" i="14"/>
  <c r="AB184" i="14"/>
  <c r="AB185" i="14" l="1"/>
  <c r="AG185" i="14"/>
  <c r="AF183" i="14"/>
  <c r="AJ182" i="14"/>
  <c r="AH182" i="14"/>
  <c r="AO181" i="14"/>
  <c r="AM181" i="14"/>
  <c r="AE182" i="14"/>
  <c r="AA183" i="14"/>
  <c r="AC182" i="14"/>
  <c r="AK182" i="14"/>
  <c r="X184" i="14"/>
  <c r="AL184" i="14"/>
  <c r="W185" i="14"/>
  <c r="V185" i="14"/>
  <c r="Z184" i="14"/>
  <c r="AL185" i="14" l="1"/>
  <c r="W186" i="14"/>
  <c r="X185" i="14"/>
  <c r="V186" i="14"/>
  <c r="Z185" i="14"/>
  <c r="AO182" i="14"/>
  <c r="AM182" i="14"/>
  <c r="AE183" i="14"/>
  <c r="AA184" i="14"/>
  <c r="AK183" i="14"/>
  <c r="AC183" i="14"/>
  <c r="AF184" i="14"/>
  <c r="AJ183" i="14"/>
  <c r="AH183" i="14"/>
  <c r="AG186" i="14"/>
  <c r="AB186" i="14"/>
  <c r="AB187" i="14" l="1"/>
  <c r="AG187" i="14"/>
  <c r="AO183" i="14"/>
  <c r="AM183" i="14"/>
  <c r="AF185" i="14"/>
  <c r="AJ184" i="14"/>
  <c r="AH184" i="14"/>
  <c r="AA185" i="14"/>
  <c r="AE184" i="14"/>
  <c r="AC184" i="14"/>
  <c r="AK184" i="14"/>
  <c r="Z186" i="14"/>
  <c r="V187" i="14"/>
  <c r="W187" i="14"/>
  <c r="X186" i="14"/>
  <c r="AL186" i="14"/>
  <c r="Z187" i="14" l="1"/>
  <c r="V188" i="14"/>
  <c r="AL187" i="14"/>
  <c r="W188" i="14"/>
  <c r="X187" i="14"/>
  <c r="AO184" i="14"/>
  <c r="AM184" i="14"/>
  <c r="AF186" i="14"/>
  <c r="AJ185" i="14"/>
  <c r="AH185" i="14"/>
  <c r="AE185" i="14"/>
  <c r="AA186" i="14"/>
  <c r="AK185" i="14"/>
  <c r="AC185" i="14"/>
  <c r="AB188" i="14"/>
  <c r="AG188" i="14"/>
  <c r="AG189" i="14" l="1"/>
  <c r="AB189" i="14"/>
  <c r="AA187" i="14"/>
  <c r="AE186" i="14"/>
  <c r="AC186" i="14"/>
  <c r="AK186" i="14"/>
  <c r="AO185" i="14"/>
  <c r="AM185" i="14"/>
  <c r="AJ186" i="14"/>
  <c r="AF187" i="14"/>
  <c r="AH186" i="14"/>
  <c r="W189" i="14"/>
  <c r="AL188" i="14"/>
  <c r="X188" i="14"/>
  <c r="V189" i="14"/>
  <c r="Z188" i="14"/>
  <c r="AF188" i="14" l="1"/>
  <c r="AJ187" i="14"/>
  <c r="AH187" i="14"/>
  <c r="AO186" i="14"/>
  <c r="AM186" i="14"/>
  <c r="V190" i="14"/>
  <c r="Z189" i="14"/>
  <c r="W190" i="14"/>
  <c r="X189" i="14"/>
  <c r="AL189" i="14"/>
  <c r="AA188" i="14"/>
  <c r="AE187" i="14"/>
  <c r="AK187" i="14"/>
  <c r="AC187" i="14"/>
  <c r="AB190" i="14"/>
  <c r="AG190" i="14"/>
  <c r="AE188" i="14" l="1"/>
  <c r="AA189" i="14"/>
  <c r="AC188" i="14"/>
  <c r="AK188" i="14"/>
  <c r="AG191" i="14"/>
  <c r="AB191" i="14"/>
  <c r="AO187" i="14"/>
  <c r="AM187" i="14"/>
  <c r="AL190" i="14"/>
  <c r="W191" i="14"/>
  <c r="X190" i="14"/>
  <c r="Z190" i="14"/>
  <c r="V191" i="14"/>
  <c r="AJ188" i="14"/>
  <c r="AF189" i="14"/>
  <c r="AH188" i="14"/>
  <c r="AF190" i="14" l="1"/>
  <c r="AJ189" i="14"/>
  <c r="AH189" i="14"/>
  <c r="Z191" i="14"/>
  <c r="V192" i="14"/>
  <c r="X191" i="14"/>
  <c r="W192" i="14"/>
  <c r="AL191" i="14"/>
  <c r="AB192" i="14"/>
  <c r="AG192" i="14"/>
  <c r="AO188" i="14"/>
  <c r="AM188" i="14"/>
  <c r="AE189" i="14"/>
  <c r="AA190" i="14"/>
  <c r="AK189" i="14"/>
  <c r="AC189" i="14"/>
  <c r="AO189" i="14" l="1"/>
  <c r="AM189" i="14"/>
  <c r="AB193" i="14"/>
  <c r="AA191" i="14"/>
  <c r="AE190" i="14"/>
  <c r="AC190" i="14"/>
  <c r="AK190" i="14"/>
  <c r="AG193" i="14"/>
  <c r="X192" i="14"/>
  <c r="AL192" i="14"/>
  <c r="W193" i="14"/>
  <c r="V193" i="14"/>
  <c r="Z192" i="14"/>
  <c r="AJ190" i="14"/>
  <c r="AF191" i="14"/>
  <c r="AH190" i="14"/>
  <c r="AE191" i="14" l="1"/>
  <c r="AA192" i="14"/>
  <c r="AK191" i="14"/>
  <c r="AC191" i="14"/>
  <c r="AF192" i="14"/>
  <c r="AJ191" i="14"/>
  <c r="AH191" i="14"/>
  <c r="V194" i="14"/>
  <c r="Z193" i="14"/>
  <c r="W194" i="14"/>
  <c r="X193" i="14"/>
  <c r="AL193" i="14"/>
  <c r="AG194" i="14"/>
  <c r="AO190" i="14"/>
  <c r="AM190" i="14"/>
  <c r="AB194" i="14"/>
  <c r="AL194" i="14" l="1"/>
  <c r="X194" i="14"/>
  <c r="W195" i="14"/>
  <c r="AB195" i="14"/>
  <c r="V195" i="14"/>
  <c r="Z194" i="14"/>
  <c r="AG195" i="14"/>
  <c r="AF193" i="14"/>
  <c r="AJ192" i="14"/>
  <c r="AH192" i="14"/>
  <c r="AO191" i="14"/>
  <c r="AM191" i="14"/>
  <c r="AE192" i="14"/>
  <c r="AA193" i="14"/>
  <c r="AC192" i="14"/>
  <c r="AK192" i="14"/>
  <c r="AO192" i="14" l="1"/>
  <c r="AM192" i="14"/>
  <c r="AA194" i="14"/>
  <c r="AE193" i="14"/>
  <c r="AK193" i="14"/>
  <c r="AC193" i="14"/>
  <c r="V196" i="14"/>
  <c r="Z195" i="14"/>
  <c r="W196" i="14"/>
  <c r="AL195" i="14"/>
  <c r="X195" i="14"/>
  <c r="AF194" i="14"/>
  <c r="AJ193" i="14"/>
  <c r="AH193" i="14"/>
  <c r="AG196" i="14"/>
  <c r="AB196" i="14"/>
  <c r="W197" i="14" l="1"/>
  <c r="AL196" i="14"/>
  <c r="X196" i="14"/>
  <c r="AB197" i="14"/>
  <c r="AG197" i="14"/>
  <c r="AF195" i="14"/>
  <c r="AJ194" i="14"/>
  <c r="AH194" i="14"/>
  <c r="V197" i="14"/>
  <c r="Z196" i="14"/>
  <c r="AO193" i="14"/>
  <c r="AM193" i="14"/>
  <c r="AE194" i="14"/>
  <c r="AA195" i="14"/>
  <c r="AC194" i="14"/>
  <c r="AK194" i="14"/>
  <c r="AE195" i="14" l="1"/>
  <c r="AA196" i="14"/>
  <c r="AK195" i="14"/>
  <c r="AC195" i="14"/>
  <c r="AO194" i="14"/>
  <c r="AM194" i="14"/>
  <c r="AB198" i="14"/>
  <c r="AG198" i="14"/>
  <c r="V198" i="14"/>
  <c r="Z197" i="14"/>
  <c r="AJ195" i="14"/>
  <c r="AF196" i="14"/>
  <c r="AH195" i="14"/>
  <c r="W198" i="14"/>
  <c r="X197" i="14"/>
  <c r="AL197" i="14"/>
  <c r="W199" i="14" l="1"/>
  <c r="X198" i="14"/>
  <c r="AL198" i="14"/>
  <c r="V199" i="14"/>
  <c r="Z198" i="14"/>
  <c r="AG199" i="14"/>
  <c r="AO195" i="14"/>
  <c r="AM195" i="14"/>
  <c r="AF197" i="14"/>
  <c r="AJ196" i="14"/>
  <c r="AH196" i="14"/>
  <c r="AB199" i="14"/>
  <c r="AA197" i="14"/>
  <c r="AE196" i="14"/>
  <c r="AC196" i="14"/>
  <c r="AK196" i="14"/>
  <c r="AO196" i="14" l="1"/>
  <c r="AM196" i="14"/>
  <c r="Z199" i="14"/>
  <c r="V200" i="14"/>
  <c r="AE197" i="14"/>
  <c r="AA198" i="14"/>
  <c r="AC197" i="14"/>
  <c r="AK197" i="14"/>
  <c r="AB200" i="14"/>
  <c r="AF198" i="14"/>
  <c r="AJ197" i="14"/>
  <c r="AH197" i="14"/>
  <c r="AG200" i="14"/>
  <c r="X199" i="14"/>
  <c r="AL199" i="14"/>
  <c r="W200" i="14"/>
  <c r="X200" i="14" l="1"/>
  <c r="AL200" i="14"/>
  <c r="W201" i="14"/>
  <c r="AG201" i="14"/>
  <c r="AF199" i="14"/>
  <c r="AJ198" i="14"/>
  <c r="AH198" i="14"/>
  <c r="AA199" i="14"/>
  <c r="AE198" i="14"/>
  <c r="AK198" i="14"/>
  <c r="AC198" i="14"/>
  <c r="AO197" i="14"/>
  <c r="AM197" i="14"/>
  <c r="AB201" i="14"/>
  <c r="V201" i="14"/>
  <c r="Z200" i="14"/>
  <c r="AF200" i="14" l="1"/>
  <c r="AJ199" i="14"/>
  <c r="AH199" i="14"/>
  <c r="AE199" i="14"/>
  <c r="AA200" i="14"/>
  <c r="AK199" i="14"/>
  <c r="AC199" i="14"/>
  <c r="W202" i="14"/>
  <c r="AL201" i="14"/>
  <c r="X201" i="14"/>
  <c r="Z201" i="14"/>
  <c r="V202" i="14"/>
  <c r="AB202" i="14"/>
  <c r="AO198" i="14"/>
  <c r="AM198" i="14"/>
  <c r="AG202" i="14"/>
  <c r="AA201" i="14" l="1"/>
  <c r="AE200" i="14"/>
  <c r="AC200" i="14"/>
  <c r="AK200" i="14"/>
  <c r="AG203" i="14"/>
  <c r="AB203" i="14"/>
  <c r="V203" i="14"/>
  <c r="Z202" i="14"/>
  <c r="W203" i="14"/>
  <c r="AL202" i="14"/>
  <c r="X202" i="14"/>
  <c r="AO199" i="14"/>
  <c r="AM199" i="14"/>
  <c r="AJ200" i="14"/>
  <c r="AF201" i="14"/>
  <c r="AH200" i="14"/>
  <c r="AF202" i="14" l="1"/>
  <c r="AJ201" i="14"/>
  <c r="AH201" i="14"/>
  <c r="W204" i="14"/>
  <c r="X203" i="14"/>
  <c r="AL203" i="14"/>
  <c r="V204" i="14"/>
  <c r="Z203" i="14"/>
  <c r="AO200" i="14"/>
  <c r="AM200" i="14"/>
  <c r="AB204" i="14"/>
  <c r="AG204" i="14"/>
  <c r="AE201" i="14"/>
  <c r="AA202" i="14"/>
  <c r="AC201" i="14"/>
  <c r="AK201" i="14"/>
  <c r="AO201" i="14" l="1"/>
  <c r="AM201" i="14"/>
  <c r="AE202" i="14"/>
  <c r="AA203" i="14"/>
  <c r="AK202" i="14"/>
  <c r="AC202" i="14"/>
  <c r="AG205" i="14"/>
  <c r="AB205" i="14"/>
  <c r="Z204" i="14"/>
  <c r="V205" i="14"/>
  <c r="X204" i="14"/>
  <c r="W205" i="14"/>
  <c r="AL204" i="14"/>
  <c r="AJ202" i="14"/>
  <c r="AF203" i="14"/>
  <c r="AH202" i="14"/>
  <c r="AF204" i="14" l="1"/>
  <c r="AJ203" i="14"/>
  <c r="AH203" i="14"/>
  <c r="AG206" i="14"/>
  <c r="AO202" i="14"/>
  <c r="AM202" i="14"/>
  <c r="X205" i="14"/>
  <c r="AL205" i="14"/>
  <c r="W206" i="14"/>
  <c r="V206" i="14"/>
  <c r="Z205" i="14"/>
  <c r="AB206" i="14"/>
  <c r="AA204" i="14"/>
  <c r="AE203" i="14"/>
  <c r="AK203" i="14"/>
  <c r="AC203" i="14"/>
  <c r="V207" i="14" l="1"/>
  <c r="Z206" i="14"/>
  <c r="AG207" i="14"/>
  <c r="AO203" i="14"/>
  <c r="AM203" i="14"/>
  <c r="AA205" i="14"/>
  <c r="AE204" i="14"/>
  <c r="AC204" i="14"/>
  <c r="AK204" i="14"/>
  <c r="AB207" i="14"/>
  <c r="AL206" i="14"/>
  <c r="W207" i="14"/>
  <c r="X206" i="14"/>
  <c r="AF205" i="14"/>
  <c r="AJ204" i="14"/>
  <c r="AH204" i="14"/>
  <c r="AJ205" i="14" l="1"/>
  <c r="AF206" i="14"/>
  <c r="AH205" i="14"/>
  <c r="AB208" i="14"/>
  <c r="AG208" i="14"/>
  <c r="AO204" i="14"/>
  <c r="AM204" i="14"/>
  <c r="W208" i="14"/>
  <c r="X207" i="14"/>
  <c r="AL207" i="14"/>
  <c r="AA206" i="14"/>
  <c r="AE205" i="14"/>
  <c r="AK205" i="14"/>
  <c r="AC205" i="14"/>
  <c r="V208" i="14"/>
  <c r="Z207" i="14"/>
  <c r="AL208" i="14" l="1"/>
  <c r="X208" i="14"/>
  <c r="W209" i="14"/>
  <c r="AG209" i="14"/>
  <c r="Z208" i="14"/>
  <c r="V209" i="14"/>
  <c r="AO205" i="14"/>
  <c r="AM205" i="14"/>
  <c r="AE206" i="14"/>
  <c r="AA207" i="14"/>
  <c r="AK206" i="14"/>
  <c r="AC206" i="14"/>
  <c r="AB209" i="14"/>
  <c r="AF207" i="14"/>
  <c r="AJ206" i="14"/>
  <c r="AH206" i="14"/>
  <c r="AO206" i="14" l="1"/>
  <c r="AM206" i="14"/>
  <c r="AA208" i="14"/>
  <c r="AE207" i="14"/>
  <c r="AC207" i="14"/>
  <c r="AK207" i="14"/>
  <c r="AJ207" i="14"/>
  <c r="AF208" i="14"/>
  <c r="AH207" i="14"/>
  <c r="AB210" i="14"/>
  <c r="V210" i="14"/>
  <c r="Z209" i="14"/>
  <c r="AG210" i="14"/>
  <c r="W210" i="14"/>
  <c r="AL209" i="14"/>
  <c r="X209" i="14"/>
  <c r="W211" i="14" l="1"/>
  <c r="AL210" i="14"/>
  <c r="X210" i="14"/>
  <c r="Z210" i="14"/>
  <c r="V211" i="14"/>
  <c r="AG211" i="14"/>
  <c r="AB211" i="14"/>
  <c r="AF209" i="14"/>
  <c r="AJ208" i="14"/>
  <c r="AH208" i="14"/>
  <c r="AO207" i="14"/>
  <c r="AM207" i="14"/>
  <c r="AE208" i="14"/>
  <c r="AA209" i="14"/>
  <c r="AK208" i="14"/>
  <c r="AC208" i="14"/>
  <c r="AE209" i="14" l="1"/>
  <c r="AA210" i="14"/>
  <c r="AC209" i="14"/>
  <c r="AK209" i="14"/>
  <c r="AB212" i="14"/>
  <c r="AG212" i="14"/>
  <c r="AO208" i="14"/>
  <c r="AM208" i="14"/>
  <c r="V212" i="14"/>
  <c r="Z211" i="14"/>
  <c r="AJ209" i="14"/>
  <c r="AF210" i="14"/>
  <c r="AH209" i="14"/>
  <c r="X211" i="14"/>
  <c r="AL211" i="14"/>
  <c r="W212" i="14"/>
  <c r="X212" i="14" l="1"/>
  <c r="W213" i="14"/>
  <c r="AL212" i="14"/>
  <c r="AF211" i="14"/>
  <c r="AJ210" i="14"/>
  <c r="AH210" i="14"/>
  <c r="AB213" i="14"/>
  <c r="V213" i="14"/>
  <c r="Z212" i="14"/>
  <c r="AG213" i="14"/>
  <c r="AO209" i="14"/>
  <c r="AM209" i="14"/>
  <c r="AE210" i="14"/>
  <c r="AA211" i="14"/>
  <c r="AC210" i="14"/>
  <c r="AK210" i="14"/>
  <c r="AE211" i="14" l="1"/>
  <c r="AA212" i="14"/>
  <c r="AC211" i="14"/>
  <c r="AK211" i="14"/>
  <c r="AO210" i="14"/>
  <c r="AM210" i="14"/>
  <c r="AG214" i="14"/>
  <c r="AJ211" i="14"/>
  <c r="AF212" i="14"/>
  <c r="AH211" i="14"/>
  <c r="X213" i="14"/>
  <c r="AL213" i="14"/>
  <c r="W214" i="14"/>
  <c r="V214" i="14"/>
  <c r="Z213" i="14"/>
  <c r="AB214" i="14"/>
  <c r="AB215" i="14" l="1"/>
  <c r="V215" i="14"/>
  <c r="Z214" i="14"/>
  <c r="W215" i="14"/>
  <c r="X214" i="14"/>
  <c r="AL214" i="14"/>
  <c r="AF213" i="14"/>
  <c r="AJ212" i="14"/>
  <c r="AH212" i="14"/>
  <c r="AG215" i="14"/>
  <c r="AO211" i="14"/>
  <c r="AM211" i="14"/>
  <c r="AA213" i="14"/>
  <c r="AE212" i="14"/>
  <c r="AC212" i="14"/>
  <c r="AK212" i="14"/>
  <c r="AO212" i="14" l="1"/>
  <c r="AM212" i="14"/>
  <c r="AE213" i="14"/>
  <c r="AA214" i="14"/>
  <c r="AK213" i="14"/>
  <c r="AC213" i="14"/>
  <c r="AG216" i="14"/>
  <c r="AB216" i="14"/>
  <c r="AJ213" i="14"/>
  <c r="AF214" i="14"/>
  <c r="AH213" i="14"/>
  <c r="AL215" i="14"/>
  <c r="W216" i="14"/>
  <c r="X215" i="14"/>
  <c r="V216" i="14"/>
  <c r="Z215" i="14"/>
  <c r="V217" i="14" l="1"/>
  <c r="Z216" i="14"/>
  <c r="AJ214" i="14"/>
  <c r="AF215" i="14"/>
  <c r="AH214" i="14"/>
  <c r="AB217" i="14"/>
  <c r="AO213" i="14"/>
  <c r="AM213" i="14"/>
  <c r="AA215" i="14"/>
  <c r="AE214" i="14"/>
  <c r="AC214" i="14"/>
  <c r="AK214" i="14"/>
  <c r="W217" i="14"/>
  <c r="X216" i="14"/>
  <c r="AL216" i="14"/>
  <c r="AG217" i="14"/>
  <c r="AG218" i="14" l="1"/>
  <c r="AO214" i="14"/>
  <c r="AM214" i="14"/>
  <c r="AE215" i="14"/>
  <c r="AA216" i="14"/>
  <c r="AC215" i="14"/>
  <c r="AK215" i="14"/>
  <c r="W218" i="14"/>
  <c r="X217" i="14"/>
  <c r="AL217" i="14"/>
  <c r="AB218" i="14"/>
  <c r="AF216" i="14"/>
  <c r="AJ215" i="14"/>
  <c r="AH215" i="14"/>
  <c r="Z217" i="14"/>
  <c r="V218" i="14"/>
  <c r="V219" i="14" l="1"/>
  <c r="Z218" i="14"/>
  <c r="W219" i="14"/>
  <c r="X218" i="14"/>
  <c r="AL218" i="14"/>
  <c r="AJ216" i="14"/>
  <c r="AF217" i="14"/>
  <c r="AH216" i="14"/>
  <c r="AB219" i="14"/>
  <c r="AO215" i="14"/>
  <c r="AM215" i="14"/>
  <c r="AE216" i="14"/>
  <c r="AA217" i="14"/>
  <c r="AK216" i="14"/>
  <c r="AC216" i="14"/>
  <c r="AG219" i="14"/>
  <c r="AG220" i="14" l="1"/>
  <c r="AO216" i="14"/>
  <c r="AM216" i="14"/>
  <c r="AE217" i="14"/>
  <c r="AA218" i="14"/>
  <c r="AC217" i="14"/>
  <c r="AK217" i="14"/>
  <c r="AB220" i="14"/>
  <c r="AF218" i="14"/>
  <c r="AJ217" i="14"/>
  <c r="AH217" i="14"/>
  <c r="X219" i="14"/>
  <c r="W220" i="14"/>
  <c r="AL219" i="14"/>
  <c r="V220" i="14"/>
  <c r="Z219" i="14"/>
  <c r="V221" i="14" l="1"/>
  <c r="Z220" i="14"/>
  <c r="AL220" i="14"/>
  <c r="W221" i="14"/>
  <c r="X220" i="14"/>
  <c r="AF219" i="14"/>
  <c r="AJ218" i="14"/>
  <c r="AH218" i="14"/>
  <c r="AB221" i="14"/>
  <c r="AO217" i="14"/>
  <c r="AM217" i="14"/>
  <c r="AE218" i="14"/>
  <c r="AA219" i="14"/>
  <c r="AK218" i="14"/>
  <c r="AC218" i="14"/>
  <c r="AG221" i="14"/>
  <c r="AO218" i="14" l="1"/>
  <c r="AM218" i="14"/>
  <c r="AG222" i="14"/>
  <c r="AE219" i="14"/>
  <c r="AA220" i="14"/>
  <c r="AC219" i="14"/>
  <c r="AK219" i="14"/>
  <c r="AF220" i="14"/>
  <c r="AJ219" i="14"/>
  <c r="AH219" i="14"/>
  <c r="AB222" i="14"/>
  <c r="X221" i="14"/>
  <c r="AL221" i="14"/>
  <c r="W222" i="14"/>
  <c r="V222" i="14"/>
  <c r="Z221" i="14"/>
  <c r="V223" i="14" l="1"/>
  <c r="Z222" i="14"/>
  <c r="AL222" i="14"/>
  <c r="W223" i="14"/>
  <c r="X222" i="14"/>
  <c r="AB223" i="14"/>
  <c r="AG223" i="14"/>
  <c r="AF221" i="14"/>
  <c r="AJ220" i="14"/>
  <c r="AH220" i="14"/>
  <c r="AO219" i="14"/>
  <c r="AM219" i="14"/>
  <c r="AE220" i="14"/>
  <c r="AA221" i="14"/>
  <c r="AK220" i="14"/>
  <c r="AC220" i="14"/>
  <c r="AO220" i="14" l="1"/>
  <c r="AM220" i="14"/>
  <c r="AA222" i="14"/>
  <c r="AE221" i="14"/>
  <c r="AC221" i="14"/>
  <c r="AK221" i="14"/>
  <c r="AG224" i="14"/>
  <c r="AB224" i="14"/>
  <c r="W224" i="14"/>
  <c r="X223" i="14"/>
  <c r="AL223" i="14"/>
  <c r="V224" i="14"/>
  <c r="Z223" i="14"/>
  <c r="AJ221" i="14"/>
  <c r="AF222" i="14"/>
  <c r="AH221" i="14"/>
  <c r="AF223" i="14" l="1"/>
  <c r="AJ222" i="14"/>
  <c r="AH222" i="14"/>
  <c r="V225" i="14"/>
  <c r="Z224" i="14"/>
  <c r="AG225" i="14"/>
  <c r="AL224" i="14"/>
  <c r="X224" i="14"/>
  <c r="W225" i="14"/>
  <c r="AB225" i="14"/>
  <c r="AO221" i="14"/>
  <c r="AM221" i="14"/>
  <c r="AE222" i="14"/>
  <c r="AA223" i="14"/>
  <c r="AK222" i="14"/>
  <c r="AC222" i="14"/>
  <c r="AO222" i="14" l="1"/>
  <c r="AM222" i="14"/>
  <c r="AE223" i="14"/>
  <c r="AA224" i="14"/>
  <c r="AK223" i="14"/>
  <c r="AC223" i="14"/>
  <c r="AB226" i="14"/>
  <c r="W226" i="14"/>
  <c r="X225" i="14"/>
  <c r="AL225" i="14"/>
  <c r="AG226" i="14"/>
  <c r="V226" i="14"/>
  <c r="Z225" i="14"/>
  <c r="AJ223" i="14"/>
  <c r="AF224" i="14"/>
  <c r="AH223" i="14"/>
  <c r="V227" i="14" l="1"/>
  <c r="Z226" i="14"/>
  <c r="AF225" i="14"/>
  <c r="AJ224" i="14"/>
  <c r="AH224" i="14"/>
  <c r="AB227" i="14"/>
  <c r="AG227" i="14"/>
  <c r="X226" i="14"/>
  <c r="W227" i="14"/>
  <c r="AL226" i="14"/>
  <c r="AO223" i="14"/>
  <c r="AM223" i="14"/>
  <c r="AA225" i="14"/>
  <c r="AE224" i="14"/>
  <c r="AK224" i="14"/>
  <c r="AC224" i="14"/>
  <c r="AO224" i="14" l="1"/>
  <c r="AM224" i="14"/>
  <c r="W228" i="14"/>
  <c r="X227" i="14"/>
  <c r="AL227" i="14"/>
  <c r="AE225" i="14"/>
  <c r="AA226" i="14"/>
  <c r="AC225" i="14"/>
  <c r="AK225" i="14"/>
  <c r="AG228" i="14"/>
  <c r="AB228" i="14"/>
  <c r="AJ225" i="14"/>
  <c r="AF226" i="14"/>
  <c r="AH225" i="14"/>
  <c r="V228" i="14"/>
  <c r="Z227" i="14"/>
  <c r="V229" i="14" l="1"/>
  <c r="Z228" i="14"/>
  <c r="AF227" i="14"/>
  <c r="AJ226" i="14"/>
  <c r="AH226" i="14"/>
  <c r="AB229" i="14"/>
  <c r="AG229" i="14"/>
  <c r="AO225" i="14"/>
  <c r="AM225" i="14"/>
  <c r="AE226" i="14"/>
  <c r="AA227" i="14"/>
  <c r="AK226" i="14"/>
  <c r="AC226" i="14"/>
  <c r="W229" i="14"/>
  <c r="X228" i="14"/>
  <c r="AL228" i="14"/>
  <c r="AL229" i="14" l="1"/>
  <c r="W230" i="14"/>
  <c r="X229" i="14"/>
  <c r="AO226" i="14"/>
  <c r="AM226" i="14"/>
  <c r="AA228" i="14"/>
  <c r="AE227" i="14"/>
  <c r="AC227" i="14"/>
  <c r="AK227" i="14"/>
  <c r="AG230" i="14"/>
  <c r="AB230" i="14"/>
  <c r="AF228" i="14"/>
  <c r="AJ227" i="14"/>
  <c r="AH227" i="14"/>
  <c r="Z229" i="14"/>
  <c r="V230" i="14"/>
  <c r="V231" i="14" l="1"/>
  <c r="Z230" i="14"/>
  <c r="AJ228" i="14"/>
  <c r="AF229" i="14"/>
  <c r="AH228" i="14"/>
  <c r="AB231" i="14"/>
  <c r="AG231" i="14"/>
  <c r="AO227" i="14"/>
  <c r="AM227" i="14"/>
  <c r="AE228" i="14"/>
  <c r="AA229" i="14"/>
  <c r="AK228" i="14"/>
  <c r="AC228" i="14"/>
  <c r="W231" i="14"/>
  <c r="AL230" i="14"/>
  <c r="X230" i="14"/>
  <c r="AO228" i="14" l="1"/>
  <c r="AM228" i="14"/>
  <c r="W232" i="14"/>
  <c r="AL231" i="14"/>
  <c r="X231" i="14"/>
  <c r="AA230" i="14"/>
  <c r="AE229" i="14"/>
  <c r="AC229" i="14"/>
  <c r="AK229" i="14"/>
  <c r="AG232" i="14"/>
  <c r="AB232" i="14"/>
  <c r="AF230" i="14"/>
  <c r="AJ229" i="14"/>
  <c r="AH229" i="14"/>
  <c r="Z231" i="14"/>
  <c r="V232" i="14"/>
  <c r="V233" i="14" l="1"/>
  <c r="Z232" i="14"/>
  <c r="AO229" i="14"/>
  <c r="AM229" i="14"/>
  <c r="AE230" i="14"/>
  <c r="AA231" i="14"/>
  <c r="AK230" i="14"/>
  <c r="AC230" i="14"/>
  <c r="AJ230" i="14"/>
  <c r="AF231" i="14"/>
  <c r="AH230" i="14"/>
  <c r="AB233" i="14"/>
  <c r="AG233" i="14"/>
  <c r="X232" i="14"/>
  <c r="W233" i="14"/>
  <c r="AL232" i="14"/>
  <c r="AA232" i="14" l="1"/>
  <c r="AE231" i="14"/>
  <c r="AC231" i="14"/>
  <c r="AK231" i="14"/>
  <c r="AL233" i="14"/>
  <c r="X233" i="14"/>
  <c r="W234" i="14"/>
  <c r="AG234" i="14"/>
  <c r="AB234" i="14"/>
  <c r="AF232" i="14"/>
  <c r="AJ231" i="14"/>
  <c r="AH231" i="14"/>
  <c r="AO230" i="14"/>
  <c r="AM230" i="14"/>
  <c r="V234" i="14"/>
  <c r="Z233" i="14"/>
  <c r="AL234" i="14" l="1"/>
  <c r="W235" i="14"/>
  <c r="X234" i="14"/>
  <c r="V235" i="14"/>
  <c r="Z234" i="14"/>
  <c r="AF233" i="14"/>
  <c r="AJ232" i="14"/>
  <c r="AH232" i="14"/>
  <c r="AB235" i="14"/>
  <c r="AG235" i="14"/>
  <c r="AO231" i="14"/>
  <c r="AM231" i="14"/>
  <c r="AE232" i="14"/>
  <c r="AA233" i="14"/>
  <c r="AC232" i="14"/>
  <c r="AK232" i="14"/>
  <c r="AO232" i="14" l="1"/>
  <c r="AM232" i="14"/>
  <c r="AA234" i="14"/>
  <c r="AE233" i="14"/>
  <c r="AC233" i="14"/>
  <c r="AK233" i="14"/>
  <c r="AG236" i="14"/>
  <c r="AB236" i="14"/>
  <c r="AF234" i="14"/>
  <c r="AJ233" i="14"/>
  <c r="AH233" i="14"/>
  <c r="W236" i="14"/>
  <c r="X235" i="14"/>
  <c r="AL235" i="14"/>
  <c r="V236" i="14"/>
  <c r="Z235" i="14"/>
  <c r="Z236" i="14" l="1"/>
  <c r="V237" i="14"/>
  <c r="AL236" i="14"/>
  <c r="W237" i="14"/>
  <c r="X236" i="14"/>
  <c r="AF235" i="14"/>
  <c r="AJ234" i="14"/>
  <c r="AH234" i="14"/>
  <c r="AB237" i="14"/>
  <c r="AG237" i="14"/>
  <c r="AO233" i="14"/>
  <c r="AM233" i="14"/>
  <c r="AE234" i="14"/>
  <c r="AA235" i="14"/>
  <c r="AK234" i="14"/>
  <c r="AC234" i="14"/>
  <c r="AG238" i="14" l="1"/>
  <c r="V238" i="14"/>
  <c r="Z237" i="14"/>
  <c r="AO234" i="14"/>
  <c r="AM234" i="14"/>
  <c r="AA236" i="14"/>
  <c r="AE235" i="14"/>
  <c r="AC235" i="14"/>
  <c r="AK235" i="14"/>
  <c r="AB238" i="14"/>
  <c r="AJ235" i="14"/>
  <c r="AF236" i="14"/>
  <c r="AH235" i="14"/>
  <c r="W238" i="14"/>
  <c r="AL237" i="14"/>
  <c r="X237" i="14"/>
  <c r="W239" i="14" l="1"/>
  <c r="AL238" i="14"/>
  <c r="X238" i="14"/>
  <c r="AF237" i="14"/>
  <c r="AJ236" i="14"/>
  <c r="AH236" i="14"/>
  <c r="AB239" i="14"/>
  <c r="AO235" i="14"/>
  <c r="AM235" i="14"/>
  <c r="AE236" i="14"/>
  <c r="AA237" i="14"/>
  <c r="AK236" i="14"/>
  <c r="AC236" i="14"/>
  <c r="AG239" i="14"/>
  <c r="V239" i="14"/>
  <c r="Z238" i="14"/>
  <c r="AB240" i="14" l="1"/>
  <c r="AJ237" i="14"/>
  <c r="AF238" i="14"/>
  <c r="AH237" i="14"/>
  <c r="X239" i="14"/>
  <c r="W240" i="14"/>
  <c r="AL239" i="14"/>
  <c r="V240" i="14"/>
  <c r="Z239" i="14"/>
  <c r="AG240" i="14"/>
  <c r="AO236" i="14"/>
  <c r="AM236" i="14"/>
  <c r="AE237" i="14"/>
  <c r="AA238" i="14"/>
  <c r="AK237" i="14"/>
  <c r="AC237" i="14"/>
  <c r="AO237" i="14" l="1"/>
  <c r="AM237" i="14"/>
  <c r="AA239" i="14"/>
  <c r="AE238" i="14"/>
  <c r="AC238" i="14"/>
  <c r="AK238" i="14"/>
  <c r="AG241" i="14"/>
  <c r="V241" i="14"/>
  <c r="Z240" i="14"/>
  <c r="X240" i="14"/>
  <c r="AL240" i="14"/>
  <c r="W241" i="14"/>
  <c r="AF239" i="14"/>
  <c r="AJ238" i="14"/>
  <c r="AH238" i="14"/>
  <c r="AB241" i="14"/>
  <c r="AB242" i="14" l="1"/>
  <c r="AF240" i="14"/>
  <c r="AJ239" i="14"/>
  <c r="AH239" i="14"/>
  <c r="AL241" i="14"/>
  <c r="W242" i="14"/>
  <c r="X241" i="14"/>
  <c r="Z241" i="14"/>
  <c r="V242" i="14"/>
  <c r="AG242" i="14"/>
  <c r="AO238" i="14"/>
  <c r="AM238" i="14"/>
  <c r="AE239" i="14"/>
  <c r="AA240" i="14"/>
  <c r="AC239" i="14"/>
  <c r="AK239" i="14"/>
  <c r="AO239" i="14" l="1"/>
  <c r="AM239" i="14"/>
  <c r="AA241" i="14"/>
  <c r="AE240" i="14"/>
  <c r="AK240" i="14"/>
  <c r="AC240" i="14"/>
  <c r="W243" i="14"/>
  <c r="X242" i="14"/>
  <c r="AL242" i="14"/>
  <c r="AB243" i="14"/>
  <c r="AG243" i="14"/>
  <c r="V243" i="14"/>
  <c r="Z242" i="14"/>
  <c r="AF241" i="14"/>
  <c r="AJ240" i="14"/>
  <c r="AH240" i="14"/>
  <c r="AF242" i="14" l="1"/>
  <c r="AJ241" i="14"/>
  <c r="AH241" i="14"/>
  <c r="Z243" i="14"/>
  <c r="V244" i="14"/>
  <c r="AG244" i="14"/>
  <c r="AB244" i="14"/>
  <c r="AL243" i="14"/>
  <c r="W244" i="14"/>
  <c r="X243" i="14"/>
  <c r="AO240" i="14"/>
  <c r="AM240" i="14"/>
  <c r="AE241" i="14"/>
  <c r="AA242" i="14"/>
  <c r="AC241" i="14"/>
  <c r="AK241" i="14"/>
  <c r="W245" i="14" l="1"/>
  <c r="AL244" i="14"/>
  <c r="X244" i="14"/>
  <c r="AO241" i="14"/>
  <c r="AM241" i="14"/>
  <c r="AA243" i="14"/>
  <c r="AE242" i="14"/>
  <c r="AC242" i="14"/>
  <c r="AK242" i="14"/>
  <c r="AB245" i="14"/>
  <c r="AG245" i="14"/>
  <c r="V245" i="14"/>
  <c r="Z244" i="14"/>
  <c r="AJ242" i="14"/>
  <c r="AF243" i="14"/>
  <c r="AH242" i="14"/>
  <c r="AF244" i="14" l="1"/>
  <c r="AJ243" i="14"/>
  <c r="AH243" i="14"/>
  <c r="AG246" i="14"/>
  <c r="Z245" i="14"/>
  <c r="V246" i="14"/>
  <c r="AB246" i="14"/>
  <c r="AO242" i="14"/>
  <c r="AM242" i="14"/>
  <c r="AE243" i="14"/>
  <c r="AA244" i="14"/>
  <c r="AK243" i="14"/>
  <c r="AC243" i="14"/>
  <c r="W246" i="14"/>
  <c r="AL245" i="14"/>
  <c r="X245" i="14"/>
  <c r="X246" i="14" l="1"/>
  <c r="W247" i="14"/>
  <c r="AL246" i="14"/>
  <c r="AO243" i="14"/>
  <c r="AM243" i="14"/>
  <c r="AE244" i="14"/>
  <c r="AA245" i="14"/>
  <c r="AC244" i="14"/>
  <c r="AK244" i="14"/>
  <c r="AB247" i="14"/>
  <c r="V247" i="14"/>
  <c r="Z246" i="14"/>
  <c r="AG247" i="14"/>
  <c r="AJ244" i="14"/>
  <c r="AF245" i="14"/>
  <c r="AH244" i="14"/>
  <c r="AB248" i="14" l="1"/>
  <c r="AF246" i="14"/>
  <c r="AJ245" i="14"/>
  <c r="AH245" i="14"/>
  <c r="AG248" i="14"/>
  <c r="V248" i="14"/>
  <c r="Z247" i="14"/>
  <c r="AO244" i="14"/>
  <c r="AM244" i="14"/>
  <c r="AA246" i="14"/>
  <c r="AE245" i="14"/>
  <c r="AK245" i="14"/>
  <c r="AC245" i="14"/>
  <c r="AL247" i="14"/>
  <c r="X247" i="14"/>
  <c r="W248" i="14"/>
  <c r="AL248" i="14" l="1"/>
  <c r="W249" i="14"/>
  <c r="X248" i="14"/>
  <c r="AO245" i="14"/>
  <c r="AM245" i="14"/>
  <c r="AA247" i="14"/>
  <c r="AE246" i="14"/>
  <c r="AC246" i="14"/>
  <c r="AK246" i="14"/>
  <c r="V249" i="14"/>
  <c r="Z248" i="14"/>
  <c r="AG249" i="14"/>
  <c r="AJ246" i="14"/>
  <c r="AF247" i="14"/>
  <c r="AH246" i="14"/>
  <c r="AB249" i="14"/>
  <c r="AB250" i="14" l="1"/>
  <c r="AF248" i="14"/>
  <c r="AJ247" i="14"/>
  <c r="AH247" i="14"/>
  <c r="AG250" i="14"/>
  <c r="V250" i="14"/>
  <c r="Z249" i="14"/>
  <c r="AO246" i="14"/>
  <c r="AM246" i="14"/>
  <c r="AE247" i="14"/>
  <c r="AA248" i="14"/>
  <c r="AC247" i="14"/>
  <c r="AK247" i="14"/>
  <c r="W250" i="14"/>
  <c r="X249" i="14"/>
  <c r="AL249" i="14"/>
  <c r="AL250" i="14" l="1"/>
  <c r="W251" i="14"/>
  <c r="X250" i="14"/>
  <c r="AO247" i="14"/>
  <c r="AM247" i="14"/>
  <c r="AA249" i="14"/>
  <c r="AE248" i="14"/>
  <c r="AK248" i="14"/>
  <c r="AC248" i="14"/>
  <c r="V251" i="14"/>
  <c r="Z250" i="14"/>
  <c r="AG251" i="14"/>
  <c r="AF249" i="14"/>
  <c r="AJ248" i="14"/>
  <c r="AH248" i="14"/>
  <c r="AB251" i="14"/>
  <c r="AB252" i="14" l="1"/>
  <c r="AJ249" i="14"/>
  <c r="AF250" i="14"/>
  <c r="AH249" i="14"/>
  <c r="AG252" i="14"/>
  <c r="V252" i="14"/>
  <c r="Z251" i="14"/>
  <c r="AO248" i="14"/>
  <c r="AM248" i="14"/>
  <c r="AA250" i="14"/>
  <c r="AE249" i="14"/>
  <c r="AC249" i="14"/>
  <c r="AK249" i="14"/>
  <c r="W252" i="14"/>
  <c r="AL251" i="14"/>
  <c r="X251" i="14"/>
  <c r="W253" i="14" l="1"/>
  <c r="X252" i="14"/>
  <c r="AL252" i="14"/>
  <c r="AO249" i="14"/>
  <c r="AM249" i="14"/>
  <c r="V253" i="14"/>
  <c r="Z252" i="14"/>
  <c r="AG253" i="14"/>
  <c r="AE250" i="14"/>
  <c r="AA251" i="14"/>
  <c r="AK250" i="14"/>
  <c r="AC250" i="14"/>
  <c r="AF251" i="14"/>
  <c r="AJ250" i="14"/>
  <c r="AH250" i="14"/>
  <c r="AB253" i="14"/>
  <c r="AB254" i="14" l="1"/>
  <c r="AJ251" i="14"/>
  <c r="AF252" i="14"/>
  <c r="AH251" i="14"/>
  <c r="AO250" i="14"/>
  <c r="AM250" i="14"/>
  <c r="AA252" i="14"/>
  <c r="AE251" i="14"/>
  <c r="AC251" i="14"/>
  <c r="AK251" i="14"/>
  <c r="AG254" i="14"/>
  <c r="V254" i="14"/>
  <c r="Z253" i="14"/>
  <c r="AL253" i="14"/>
  <c r="X253" i="14"/>
  <c r="W254" i="14"/>
  <c r="X254" i="14" l="1"/>
  <c r="AL254" i="14"/>
  <c r="W255" i="14"/>
  <c r="AO251" i="14"/>
  <c r="AM251" i="14"/>
  <c r="V255" i="14"/>
  <c r="Z254" i="14"/>
  <c r="AG255" i="14"/>
  <c r="AE252" i="14"/>
  <c r="AA253" i="14"/>
  <c r="AK252" i="14"/>
  <c r="AC252" i="14"/>
  <c r="AF253" i="14"/>
  <c r="AJ252" i="14"/>
  <c r="AH252" i="14"/>
  <c r="AB255" i="14"/>
  <c r="AB256" i="14" l="1"/>
  <c r="AJ253" i="14"/>
  <c r="AF254" i="14"/>
  <c r="AH253" i="14"/>
  <c r="AE253" i="14"/>
  <c r="AA254" i="14"/>
  <c r="AC253" i="14"/>
  <c r="AK253" i="14"/>
  <c r="AO252" i="14"/>
  <c r="AM252" i="14"/>
  <c r="AG256" i="14"/>
  <c r="V256" i="14"/>
  <c r="Z255" i="14"/>
  <c r="AL255" i="14"/>
  <c r="W256" i="14"/>
  <c r="X255" i="14"/>
  <c r="V257" i="14" l="1"/>
  <c r="Z256" i="14"/>
  <c r="AG257" i="14"/>
  <c r="W257" i="14"/>
  <c r="X256" i="14"/>
  <c r="AL256" i="14"/>
  <c r="AO253" i="14"/>
  <c r="AM253" i="14"/>
  <c r="AA255" i="14"/>
  <c r="AE254" i="14"/>
  <c r="AK254" i="14"/>
  <c r="AC254" i="14"/>
  <c r="AJ254" i="14"/>
  <c r="AF255" i="14"/>
  <c r="AH254" i="14"/>
  <c r="AB257" i="14"/>
  <c r="AB258" i="14" l="1"/>
  <c r="AF256" i="14"/>
  <c r="AJ255" i="14"/>
  <c r="AH255" i="14"/>
  <c r="AO254" i="14"/>
  <c r="AM254" i="14"/>
  <c r="AA256" i="14"/>
  <c r="AE255" i="14"/>
  <c r="AC255" i="14"/>
  <c r="AK255" i="14"/>
  <c r="AL257" i="14"/>
  <c r="W258" i="14"/>
  <c r="X257" i="14"/>
  <c r="AG258" i="14"/>
  <c r="Z257" i="14"/>
  <c r="V258" i="14"/>
  <c r="V259" i="14" l="1"/>
  <c r="Z258" i="14"/>
  <c r="AG259" i="14"/>
  <c r="W259" i="14"/>
  <c r="AL258" i="14"/>
  <c r="X258" i="14"/>
  <c r="AO255" i="14"/>
  <c r="AM255" i="14"/>
  <c r="AA257" i="14"/>
  <c r="AE256" i="14"/>
  <c r="AK256" i="14"/>
  <c r="AC256" i="14"/>
  <c r="AF257" i="14"/>
  <c r="AJ256" i="14"/>
  <c r="AH256" i="14"/>
  <c r="AB259" i="14"/>
  <c r="AB260" i="14" l="1"/>
  <c r="AF258" i="14"/>
  <c r="AJ257" i="14"/>
  <c r="AH257" i="14"/>
  <c r="AO256" i="14"/>
  <c r="AM256" i="14"/>
  <c r="AA258" i="14"/>
  <c r="AE257" i="14"/>
  <c r="AC257" i="14"/>
  <c r="AK257" i="14"/>
  <c r="X259" i="14"/>
  <c r="AL259" i="14"/>
  <c r="W260" i="14"/>
  <c r="AG260" i="14"/>
  <c r="V260" i="14"/>
  <c r="Z259" i="14"/>
  <c r="V261" i="14" l="1"/>
  <c r="Z260" i="14"/>
  <c r="AG261" i="14"/>
  <c r="AL260" i="14"/>
  <c r="X260" i="14"/>
  <c r="W261" i="14"/>
  <c r="AO257" i="14"/>
  <c r="AM257" i="14"/>
  <c r="AB261" i="14"/>
  <c r="AE258" i="14"/>
  <c r="AA259" i="14"/>
  <c r="AK258" i="14"/>
  <c r="AC258" i="14"/>
  <c r="AJ258" i="14"/>
  <c r="AF259" i="14"/>
  <c r="AH258" i="14"/>
  <c r="AF260" i="14" l="1"/>
  <c r="AJ259" i="14"/>
  <c r="AH259" i="14"/>
  <c r="AO258" i="14"/>
  <c r="AM258" i="14"/>
  <c r="AB262" i="14"/>
  <c r="AA260" i="14"/>
  <c r="AE259" i="14"/>
  <c r="AC259" i="14"/>
  <c r="AK259" i="14"/>
  <c r="X261" i="14"/>
  <c r="W262" i="14"/>
  <c r="AL261" i="14"/>
  <c r="AG262" i="14"/>
  <c r="V262" i="14"/>
  <c r="Z261" i="14"/>
  <c r="AG263" i="14" l="1"/>
  <c r="V263" i="14"/>
  <c r="Z262" i="14"/>
  <c r="AL262" i="14"/>
  <c r="W263" i="14"/>
  <c r="X262" i="14"/>
  <c r="AO259" i="14"/>
  <c r="AM259" i="14"/>
  <c r="AE260" i="14"/>
  <c r="AA261" i="14"/>
  <c r="AK260" i="14"/>
  <c r="AC260" i="14"/>
  <c r="AB263" i="14"/>
  <c r="AJ260" i="14"/>
  <c r="AF261" i="14"/>
  <c r="AH260" i="14"/>
  <c r="AJ261" i="14" l="1"/>
  <c r="AF262" i="14"/>
  <c r="AH261" i="14"/>
  <c r="W264" i="14"/>
  <c r="X263" i="14"/>
  <c r="AL263" i="14"/>
  <c r="AB264" i="14"/>
  <c r="AO260" i="14"/>
  <c r="AM260" i="14"/>
  <c r="AA262" i="14"/>
  <c r="AE261" i="14"/>
  <c r="AC261" i="14"/>
  <c r="AK261" i="14"/>
  <c r="V264" i="14"/>
  <c r="Z263" i="14"/>
  <c r="AG264" i="14"/>
  <c r="AG265" i="14" l="1"/>
  <c r="V265" i="14"/>
  <c r="Z264" i="14"/>
  <c r="AO261" i="14"/>
  <c r="AM261" i="14"/>
  <c r="AE262" i="14"/>
  <c r="AA263" i="14"/>
  <c r="AC262" i="14"/>
  <c r="AK262" i="14"/>
  <c r="AB265" i="14"/>
  <c r="AL264" i="14"/>
  <c r="W265" i="14"/>
  <c r="X264" i="14"/>
  <c r="AF263" i="14"/>
  <c r="AJ262" i="14"/>
  <c r="AH262" i="14"/>
  <c r="AJ263" i="14" l="1"/>
  <c r="AF264" i="14"/>
  <c r="AH263" i="14"/>
  <c r="W266" i="14"/>
  <c r="X265" i="14"/>
  <c r="AL265" i="14"/>
  <c r="AB266" i="14"/>
  <c r="AO262" i="14"/>
  <c r="AM262" i="14"/>
  <c r="AA264" i="14"/>
  <c r="AE263" i="14"/>
  <c r="AC263" i="14"/>
  <c r="AK263" i="14"/>
  <c r="V266" i="14"/>
  <c r="Z265" i="14"/>
  <c r="AG266" i="14"/>
  <c r="AG267" i="14" l="1"/>
  <c r="Z266" i="14"/>
  <c r="V267" i="14"/>
  <c r="AO263" i="14"/>
  <c r="AM263" i="14"/>
  <c r="AE264" i="14"/>
  <c r="AA265" i="14"/>
  <c r="AK264" i="14"/>
  <c r="AC264" i="14"/>
  <c r="AB267" i="14"/>
  <c r="X266" i="14"/>
  <c r="AL266" i="14"/>
  <c r="W267" i="14"/>
  <c r="AF265" i="14"/>
  <c r="AJ264" i="14"/>
  <c r="AH264" i="14"/>
  <c r="AJ265" i="14" l="1"/>
  <c r="AF266" i="14"/>
  <c r="AH265" i="14"/>
  <c r="X267" i="14"/>
  <c r="AL267" i="14"/>
  <c r="W268" i="14"/>
  <c r="AB268" i="14"/>
  <c r="AO264" i="14"/>
  <c r="AM264" i="14"/>
  <c r="AE265" i="14"/>
  <c r="AA266" i="14"/>
  <c r="AC265" i="14"/>
  <c r="AK265" i="14"/>
  <c r="AG268" i="14"/>
  <c r="V268" i="14"/>
  <c r="Z267" i="14"/>
  <c r="AG269" i="14" l="1"/>
  <c r="AB269" i="14"/>
  <c r="V269" i="14"/>
  <c r="Z268" i="14"/>
  <c r="AO265" i="14"/>
  <c r="AM265" i="14"/>
  <c r="AA267" i="14"/>
  <c r="AE266" i="14"/>
  <c r="AK266" i="14"/>
  <c r="AC266" i="14"/>
  <c r="X268" i="14"/>
  <c r="W269" i="14"/>
  <c r="AL268" i="14"/>
  <c r="AF267" i="14"/>
  <c r="AJ266" i="14"/>
  <c r="AH266" i="14"/>
  <c r="AJ267" i="14" l="1"/>
  <c r="AF268" i="14"/>
  <c r="AH267" i="14"/>
  <c r="AE267" i="14"/>
  <c r="AA268" i="14"/>
  <c r="AC267" i="14"/>
  <c r="AK267" i="14"/>
  <c r="AL269" i="14"/>
  <c r="W270" i="14"/>
  <c r="X269" i="14"/>
  <c r="AO266" i="14"/>
  <c r="AM266" i="14"/>
  <c r="V270" i="14"/>
  <c r="Z269" i="14"/>
  <c r="AB270" i="14"/>
  <c r="AG270" i="14"/>
  <c r="AG271" i="14" l="1"/>
  <c r="AB271" i="14"/>
  <c r="V271" i="14"/>
  <c r="Z270" i="14"/>
  <c r="W271" i="14"/>
  <c r="X270" i="14"/>
  <c r="AL270" i="14"/>
  <c r="AO267" i="14"/>
  <c r="AM267" i="14"/>
  <c r="AA269" i="14"/>
  <c r="AE268" i="14"/>
  <c r="AC268" i="14"/>
  <c r="AK268" i="14"/>
  <c r="AF269" i="14"/>
  <c r="AJ268" i="14"/>
  <c r="AH268" i="14"/>
  <c r="AF270" i="14" l="1"/>
  <c r="AJ269" i="14"/>
  <c r="AH269" i="14"/>
  <c r="AO268" i="14"/>
  <c r="AM268" i="14"/>
  <c r="AE269" i="14"/>
  <c r="AA270" i="14"/>
  <c r="AK269" i="14"/>
  <c r="AC269" i="14"/>
  <c r="AL271" i="14"/>
  <c r="W272" i="14"/>
  <c r="X271" i="14"/>
  <c r="Z271" i="14"/>
  <c r="V272" i="14"/>
  <c r="AB272" i="14"/>
  <c r="AG272" i="14"/>
  <c r="AG273" i="14" l="1"/>
  <c r="AB273" i="14"/>
  <c r="V273" i="14"/>
  <c r="Z272" i="14"/>
  <c r="W273" i="14"/>
  <c r="AL272" i="14"/>
  <c r="X272" i="14"/>
  <c r="AO269" i="14"/>
  <c r="AM269" i="14"/>
  <c r="AE270" i="14"/>
  <c r="AA271" i="14"/>
  <c r="AC270" i="14"/>
  <c r="AK270" i="14"/>
  <c r="AJ270" i="14"/>
  <c r="AF271" i="14"/>
  <c r="AH270" i="14"/>
  <c r="AF272" i="14" l="1"/>
  <c r="AJ271" i="14"/>
  <c r="AH271" i="14"/>
  <c r="AE271" i="14"/>
  <c r="AA272" i="14"/>
  <c r="AK271" i="14"/>
  <c r="AC271" i="14"/>
  <c r="AO270" i="14"/>
  <c r="AM270" i="14"/>
  <c r="X273" i="14"/>
  <c r="AL273" i="14"/>
  <c r="W274" i="14"/>
  <c r="AB274" i="14"/>
  <c r="V274" i="14"/>
  <c r="Z273" i="14"/>
  <c r="AG274" i="14"/>
  <c r="AL274" i="14" l="1"/>
  <c r="W275" i="14"/>
  <c r="X274" i="14"/>
  <c r="AG275" i="14"/>
  <c r="V275" i="14"/>
  <c r="Z274" i="14"/>
  <c r="AB275" i="14"/>
  <c r="AO271" i="14"/>
  <c r="AM271" i="14"/>
  <c r="AE272" i="14"/>
  <c r="AA273" i="14"/>
  <c r="AC272" i="14"/>
  <c r="AK272" i="14"/>
  <c r="AJ272" i="14"/>
  <c r="AF273" i="14"/>
  <c r="AH272" i="14"/>
  <c r="AF274" i="14" l="1"/>
  <c r="AJ273" i="14"/>
  <c r="AH273" i="14"/>
  <c r="AO272" i="14"/>
  <c r="AM272" i="14"/>
  <c r="AE273" i="14"/>
  <c r="AA274" i="14"/>
  <c r="AC273" i="14"/>
  <c r="AK273" i="14"/>
  <c r="Z275" i="14"/>
  <c r="V276" i="14"/>
  <c r="AG276" i="14"/>
  <c r="X275" i="14"/>
  <c r="AL275" i="14"/>
  <c r="W276" i="14"/>
  <c r="AB276" i="14"/>
  <c r="AG277" i="14" l="1"/>
  <c r="AB277" i="14"/>
  <c r="AL276" i="14"/>
  <c r="W277" i="14"/>
  <c r="X276" i="14"/>
  <c r="V277" i="14"/>
  <c r="Z276" i="14"/>
  <c r="AO273" i="14"/>
  <c r="AM273" i="14"/>
  <c r="AE274" i="14"/>
  <c r="AA275" i="14"/>
  <c r="AK274" i="14"/>
  <c r="AC274" i="14"/>
  <c r="AJ274" i="14"/>
  <c r="AF275" i="14"/>
  <c r="AH274" i="14"/>
  <c r="AF276" i="14" l="1"/>
  <c r="AJ275" i="14"/>
  <c r="AH275" i="14"/>
  <c r="AE275" i="14"/>
  <c r="AA276" i="14"/>
  <c r="AK275" i="14"/>
  <c r="AC275" i="14"/>
  <c r="AO274" i="14"/>
  <c r="AM274" i="14"/>
  <c r="W278" i="14"/>
  <c r="X277" i="14"/>
  <c r="AL277" i="14"/>
  <c r="AG278" i="14"/>
  <c r="V278" i="14"/>
  <c r="Z277" i="14"/>
  <c r="AB278" i="14"/>
  <c r="AB279" i="14" l="1"/>
  <c r="AG279" i="14"/>
  <c r="V279" i="14"/>
  <c r="Z278" i="14"/>
  <c r="W279" i="14"/>
  <c r="AL278" i="14"/>
  <c r="X278" i="14"/>
  <c r="AO275" i="14"/>
  <c r="AM275" i="14"/>
  <c r="AE276" i="14"/>
  <c r="AA277" i="14"/>
  <c r="AC276" i="14"/>
  <c r="AK276" i="14"/>
  <c r="AF277" i="14"/>
  <c r="AJ276" i="14"/>
  <c r="AH276" i="14"/>
  <c r="AF278" i="14" l="1"/>
  <c r="AJ277" i="14"/>
  <c r="AH277" i="14"/>
  <c r="AO276" i="14"/>
  <c r="AM276" i="14"/>
  <c r="AE277" i="14"/>
  <c r="AA278" i="14"/>
  <c r="AK277" i="14"/>
  <c r="AC277" i="14"/>
  <c r="AB280" i="14"/>
  <c r="W280" i="14"/>
  <c r="AL279" i="14"/>
  <c r="X279" i="14"/>
  <c r="V280" i="14"/>
  <c r="Z279" i="14"/>
  <c r="AG280" i="14"/>
  <c r="AG281" i="14" l="1"/>
  <c r="Z280" i="14"/>
  <c r="V281" i="14"/>
  <c r="W281" i="14"/>
  <c r="AL280" i="14"/>
  <c r="X280" i="14"/>
  <c r="AB281" i="14"/>
  <c r="AO277" i="14"/>
  <c r="AM277" i="14"/>
  <c r="AE278" i="14"/>
  <c r="AA279" i="14"/>
  <c r="AC278" i="14"/>
  <c r="AK278" i="14"/>
  <c r="AF279" i="14"/>
  <c r="AJ278" i="14"/>
  <c r="AH278" i="14"/>
  <c r="AJ279" i="14" l="1"/>
  <c r="AF280" i="14"/>
  <c r="AH279" i="14"/>
  <c r="AE279" i="14"/>
  <c r="AA280" i="14"/>
  <c r="AC279" i="14"/>
  <c r="AK279" i="14"/>
  <c r="AO278" i="14"/>
  <c r="AM278" i="14"/>
  <c r="V282" i="14"/>
  <c r="Z281" i="14"/>
  <c r="AB282" i="14"/>
  <c r="AL281" i="14"/>
  <c r="X281" i="14"/>
  <c r="W282" i="14"/>
  <c r="AG282" i="14"/>
  <c r="AG283" i="14" l="1"/>
  <c r="X282" i="14"/>
  <c r="W283" i="14"/>
  <c r="AL282" i="14"/>
  <c r="AB283" i="14"/>
  <c r="V283" i="14"/>
  <c r="Z282" i="14"/>
  <c r="AO279" i="14"/>
  <c r="AM279" i="14"/>
  <c r="AE280" i="14"/>
  <c r="AA281" i="14"/>
  <c r="AK280" i="14"/>
  <c r="AC280" i="14"/>
  <c r="AF281" i="14"/>
  <c r="AJ280" i="14"/>
  <c r="AH280" i="14"/>
  <c r="AJ281" i="14" l="1"/>
  <c r="AF282" i="14"/>
  <c r="AH281" i="14"/>
  <c r="AO280" i="14"/>
  <c r="AM280" i="14"/>
  <c r="AE281" i="14"/>
  <c r="AA282" i="14"/>
  <c r="AK281" i="14"/>
  <c r="AC281" i="14"/>
  <c r="V284" i="14"/>
  <c r="Z283" i="14"/>
  <c r="X283" i="14"/>
  <c r="AL283" i="14"/>
  <c r="W284" i="14"/>
  <c r="AG284" i="14"/>
  <c r="AB284" i="14"/>
  <c r="AB285" i="14" l="1"/>
  <c r="W285" i="14"/>
  <c r="X284" i="14"/>
  <c r="AL284" i="14"/>
  <c r="AG285" i="14"/>
  <c r="V285" i="14"/>
  <c r="Z284" i="14"/>
  <c r="AO281" i="14"/>
  <c r="AM281" i="14"/>
  <c r="AA283" i="14"/>
  <c r="AE282" i="14"/>
  <c r="AC282" i="14"/>
  <c r="AK282" i="14"/>
  <c r="AF283" i="14"/>
  <c r="AJ282" i="14"/>
  <c r="AH282" i="14"/>
  <c r="AF284" i="14" l="1"/>
  <c r="AJ283" i="14"/>
  <c r="AH283" i="14"/>
  <c r="AO282" i="14"/>
  <c r="AM282" i="14"/>
  <c r="AA284" i="14"/>
  <c r="AE283" i="14"/>
  <c r="AK283" i="14"/>
  <c r="AC283" i="14"/>
  <c r="V286" i="14"/>
  <c r="Z285" i="14"/>
  <c r="AG286" i="14"/>
  <c r="X285" i="14"/>
  <c r="AL285" i="14"/>
  <c r="W286" i="14"/>
  <c r="AB286" i="14"/>
  <c r="AB287" i="14" l="1"/>
  <c r="W287" i="14"/>
  <c r="AL286" i="14"/>
  <c r="X286" i="14"/>
  <c r="AG287" i="14"/>
  <c r="V287" i="14"/>
  <c r="Z286" i="14"/>
  <c r="AO283" i="14"/>
  <c r="AM283" i="14"/>
  <c r="AE284" i="14"/>
  <c r="AA285" i="14"/>
  <c r="AC284" i="14"/>
  <c r="AK284" i="14"/>
  <c r="AF285" i="14"/>
  <c r="AJ284" i="14"/>
  <c r="AH284" i="14"/>
  <c r="V288" i="14" l="1"/>
  <c r="Z287" i="14"/>
  <c r="AG288" i="14"/>
  <c r="AB288" i="14"/>
  <c r="AF286" i="14"/>
  <c r="AJ285" i="14"/>
  <c r="AH285" i="14"/>
  <c r="AO284" i="14"/>
  <c r="AM284" i="14"/>
  <c r="AE285" i="14"/>
  <c r="AA286" i="14"/>
  <c r="AK285" i="14"/>
  <c r="AC285" i="14"/>
  <c r="W288" i="14"/>
  <c r="AL287" i="14"/>
  <c r="X287" i="14"/>
  <c r="AB289" i="14" l="1"/>
  <c r="W289" i="14"/>
  <c r="X288" i="14"/>
  <c r="AL288" i="14"/>
  <c r="AO285" i="14"/>
  <c r="AM285" i="14"/>
  <c r="AE286" i="14"/>
  <c r="AA287" i="14"/>
  <c r="AC286" i="14"/>
  <c r="AK286" i="14"/>
  <c r="AG289" i="14"/>
  <c r="AJ286" i="14"/>
  <c r="AF287" i="14"/>
  <c r="AH286" i="14"/>
  <c r="V289" i="14"/>
  <c r="Z288" i="14"/>
  <c r="V290" i="14" l="1"/>
  <c r="Z289" i="14"/>
  <c r="AF288" i="14"/>
  <c r="AJ287" i="14"/>
  <c r="AH287" i="14"/>
  <c r="AG290" i="14"/>
  <c r="AO286" i="14"/>
  <c r="AM286" i="14"/>
  <c r="AA288" i="14"/>
  <c r="AE287" i="14"/>
  <c r="AK287" i="14"/>
  <c r="AC287" i="14"/>
  <c r="X289" i="14"/>
  <c r="W290" i="14"/>
  <c r="AL289" i="14"/>
  <c r="AB290" i="14"/>
  <c r="AB291" i="14" l="1"/>
  <c r="AL290" i="14"/>
  <c r="W291" i="14"/>
  <c r="X290" i="14"/>
  <c r="AO287" i="14"/>
  <c r="AM287" i="14"/>
  <c r="AA289" i="14"/>
  <c r="AE288" i="14"/>
  <c r="AC288" i="14"/>
  <c r="AK288" i="14"/>
  <c r="AG291" i="14"/>
  <c r="AF289" i="14"/>
  <c r="AJ288" i="14"/>
  <c r="AH288" i="14"/>
  <c r="V291" i="14"/>
  <c r="Z290" i="14"/>
  <c r="V292" i="14" l="1"/>
  <c r="Z291" i="14"/>
  <c r="AO288" i="14"/>
  <c r="AM288" i="14"/>
  <c r="AA290" i="14"/>
  <c r="AE289" i="14"/>
  <c r="AK289" i="14"/>
  <c r="AC289" i="14"/>
  <c r="AF290" i="14"/>
  <c r="AJ289" i="14"/>
  <c r="AH289" i="14"/>
  <c r="AG292" i="14"/>
  <c r="AL291" i="14"/>
  <c r="W292" i="14"/>
  <c r="X291" i="14"/>
  <c r="AB292" i="14"/>
  <c r="AB293" i="14" l="1"/>
  <c r="AL292" i="14"/>
  <c r="W293" i="14"/>
  <c r="X292" i="14"/>
  <c r="AG293" i="14"/>
  <c r="AF291" i="14"/>
  <c r="AJ290" i="14"/>
  <c r="AH290" i="14"/>
  <c r="AO289" i="14"/>
  <c r="AM289" i="14"/>
  <c r="AE290" i="14"/>
  <c r="AA291" i="14"/>
  <c r="AC290" i="14"/>
  <c r="AK290" i="14"/>
  <c r="V293" i="14"/>
  <c r="Z292" i="14"/>
  <c r="AA292" i="14" l="1"/>
  <c r="AE291" i="14"/>
  <c r="AK291" i="14"/>
  <c r="AC291" i="14"/>
  <c r="V294" i="14"/>
  <c r="Z293" i="14"/>
  <c r="AO290" i="14"/>
  <c r="AM290" i="14"/>
  <c r="AG294" i="14"/>
  <c r="W294" i="14"/>
  <c r="AL293" i="14"/>
  <c r="X293" i="14"/>
  <c r="AJ291" i="14"/>
  <c r="AF292" i="14"/>
  <c r="AH291" i="14"/>
  <c r="AB294" i="14"/>
  <c r="AB295" i="14" l="1"/>
  <c r="AF293" i="14"/>
  <c r="AJ292" i="14"/>
  <c r="AH292" i="14"/>
  <c r="Z294" i="14"/>
  <c r="V295" i="14"/>
  <c r="X294" i="14"/>
  <c r="W295" i="14"/>
  <c r="AL294" i="14"/>
  <c r="AG295" i="14"/>
  <c r="AO291" i="14"/>
  <c r="AM291" i="14"/>
  <c r="AE292" i="14"/>
  <c r="AA293" i="14"/>
  <c r="AC292" i="14"/>
  <c r="AK292" i="14"/>
  <c r="AO292" i="14" l="1"/>
  <c r="AM292" i="14"/>
  <c r="AE293" i="14"/>
  <c r="AA294" i="14"/>
  <c r="AK293" i="14"/>
  <c r="AC293" i="14"/>
  <c r="W296" i="14"/>
  <c r="X295" i="14"/>
  <c r="AL295" i="14"/>
  <c r="AB296" i="14"/>
  <c r="AG296" i="14"/>
  <c r="V296" i="14"/>
  <c r="Z295" i="14"/>
  <c r="AJ293" i="14"/>
  <c r="AF294" i="14"/>
  <c r="AH293" i="14"/>
  <c r="AF295" i="14" l="1"/>
  <c r="AJ294" i="14"/>
  <c r="AH294" i="14"/>
  <c r="Z296" i="14"/>
  <c r="V297" i="14"/>
  <c r="AG297" i="14"/>
  <c r="AB297" i="14"/>
  <c r="X296" i="14"/>
  <c r="W297" i="14"/>
  <c r="AL296" i="14"/>
  <c r="AO293" i="14"/>
  <c r="AM293" i="14"/>
  <c r="AA295" i="14"/>
  <c r="AE294" i="14"/>
  <c r="AC294" i="14"/>
  <c r="AK294" i="14"/>
  <c r="AO294" i="14" l="1"/>
  <c r="AM294" i="14"/>
  <c r="AA296" i="14"/>
  <c r="AE295" i="14"/>
  <c r="AC295" i="14"/>
  <c r="AK295" i="14"/>
  <c r="AL297" i="14"/>
  <c r="W298" i="14"/>
  <c r="X297" i="14"/>
  <c r="AB298" i="14"/>
  <c r="AG298" i="14"/>
  <c r="V298" i="14"/>
  <c r="Z297" i="14"/>
  <c r="AF296" i="14"/>
  <c r="AJ295" i="14"/>
  <c r="AH295" i="14"/>
  <c r="AG299" i="14" l="1"/>
  <c r="AB299" i="14"/>
  <c r="AF297" i="14"/>
  <c r="AJ296" i="14"/>
  <c r="AH296" i="14"/>
  <c r="W299" i="14"/>
  <c r="X298" i="14"/>
  <c r="AL298" i="14"/>
  <c r="AO295" i="14"/>
  <c r="AM295" i="14"/>
  <c r="V299" i="14"/>
  <c r="Z298" i="14"/>
  <c r="AA297" i="14"/>
  <c r="AE296" i="14"/>
  <c r="AK296" i="14"/>
  <c r="AC296" i="14"/>
  <c r="AO296" i="14" l="1"/>
  <c r="AM296" i="14"/>
  <c r="AB300" i="14"/>
  <c r="AE297" i="14"/>
  <c r="AA298" i="14"/>
  <c r="AC297" i="14"/>
  <c r="AK297" i="14"/>
  <c r="Z299" i="14"/>
  <c r="V300" i="14"/>
  <c r="W300" i="14"/>
  <c r="X299" i="14"/>
  <c r="AL299" i="14"/>
  <c r="AF298" i="14"/>
  <c r="AJ297" i="14"/>
  <c r="AH297" i="14"/>
  <c r="AG300" i="14"/>
  <c r="W301" i="14" l="1"/>
  <c r="X300" i="14"/>
  <c r="AL300" i="14"/>
  <c r="AO297" i="14"/>
  <c r="AM297" i="14"/>
  <c r="AA299" i="14"/>
  <c r="AE298" i="14"/>
  <c r="AC298" i="14"/>
  <c r="AK298" i="14"/>
  <c r="AB301" i="14"/>
  <c r="AG301" i="14"/>
  <c r="AJ298" i="14"/>
  <c r="AF299" i="14"/>
  <c r="AH298" i="14"/>
  <c r="V301" i="14"/>
  <c r="Z300" i="14"/>
  <c r="V302" i="14" l="1"/>
  <c r="Z301" i="14"/>
  <c r="AF300" i="14"/>
  <c r="AJ299" i="14"/>
  <c r="AH299" i="14"/>
  <c r="AO298" i="14"/>
  <c r="AM298" i="14"/>
  <c r="W302" i="14"/>
  <c r="AL301" i="14"/>
  <c r="X301" i="14"/>
  <c r="AG302" i="14"/>
  <c r="AB302" i="14"/>
  <c r="AE299" i="14"/>
  <c r="AA300" i="14"/>
  <c r="AC299" i="14"/>
  <c r="AK299" i="14"/>
  <c r="AO299" i="14" l="1"/>
  <c r="AM299" i="14"/>
  <c r="AE300" i="14"/>
  <c r="AA301" i="14"/>
  <c r="AC300" i="14"/>
  <c r="AK300" i="14"/>
  <c r="AB303" i="14"/>
  <c r="AG303" i="14"/>
  <c r="W303" i="14"/>
  <c r="X302" i="14"/>
  <c r="AL302" i="14"/>
  <c r="AJ300" i="14"/>
  <c r="AF301" i="14"/>
  <c r="AH300" i="14"/>
  <c r="V303" i="14"/>
  <c r="Z302" i="14"/>
  <c r="AF302" i="14" l="1"/>
  <c r="AJ301" i="14"/>
  <c r="AH301" i="14"/>
  <c r="AG304" i="14"/>
  <c r="V304" i="14"/>
  <c r="Z303" i="14"/>
  <c r="X303" i="14"/>
  <c r="AL303" i="14"/>
  <c r="W304" i="14"/>
  <c r="AB304" i="14"/>
  <c r="AO300" i="14"/>
  <c r="AM300" i="14"/>
  <c r="AA302" i="14"/>
  <c r="AE301" i="14"/>
  <c r="AK301" i="14"/>
  <c r="AC301" i="14"/>
  <c r="AA303" i="14" l="1"/>
  <c r="AE302" i="14"/>
  <c r="AC302" i="14"/>
  <c r="AK302" i="14"/>
  <c r="AO301" i="14"/>
  <c r="AM301" i="14"/>
  <c r="AB305" i="14"/>
  <c r="X304" i="14"/>
  <c r="AL304" i="14"/>
  <c r="W305" i="14"/>
  <c r="V305" i="14"/>
  <c r="Z304" i="14"/>
  <c r="AG305" i="14"/>
  <c r="AJ302" i="14"/>
  <c r="AF303" i="14"/>
  <c r="AH302" i="14"/>
  <c r="AG306" i="14" l="1"/>
  <c r="W306" i="14"/>
  <c r="X305" i="14"/>
  <c r="AL305" i="14"/>
  <c r="AF304" i="14"/>
  <c r="AJ303" i="14"/>
  <c r="AH303" i="14"/>
  <c r="V306" i="14"/>
  <c r="Z305" i="14"/>
  <c r="AB306" i="14"/>
  <c r="AO302" i="14"/>
  <c r="AM302" i="14"/>
  <c r="AA304" i="14"/>
  <c r="AE303" i="14"/>
  <c r="AK303" i="14"/>
  <c r="AC303" i="14"/>
  <c r="AE304" i="14" l="1"/>
  <c r="AA305" i="14"/>
  <c r="AC304" i="14"/>
  <c r="AK304" i="14"/>
  <c r="AO303" i="14"/>
  <c r="AM303" i="14"/>
  <c r="AB307" i="14"/>
  <c r="AF305" i="14"/>
  <c r="AJ304" i="14"/>
  <c r="AH304" i="14"/>
  <c r="AG307" i="14"/>
  <c r="V307" i="14"/>
  <c r="Z306" i="14"/>
  <c r="AL306" i="14"/>
  <c r="X306" i="14"/>
  <c r="W307" i="14"/>
  <c r="W308" i="14" l="1"/>
  <c r="AL307" i="14"/>
  <c r="X307" i="14"/>
  <c r="V308" i="14"/>
  <c r="Z307" i="14"/>
  <c r="AG308" i="14"/>
  <c r="AF306" i="14"/>
  <c r="AJ305" i="14"/>
  <c r="AH305" i="14"/>
  <c r="AB308" i="14"/>
  <c r="AO304" i="14"/>
  <c r="AM304" i="14"/>
  <c r="AA306" i="14"/>
  <c r="AE305" i="14"/>
  <c r="AK305" i="14"/>
  <c r="AC305" i="14"/>
  <c r="AO305" i="14" l="1"/>
  <c r="AM305" i="14"/>
  <c r="AE306" i="14"/>
  <c r="AA307" i="14"/>
  <c r="AC306" i="14"/>
  <c r="AK306" i="14"/>
  <c r="AB309" i="14"/>
  <c r="AG309" i="14"/>
  <c r="AF307" i="14"/>
  <c r="AJ306" i="14"/>
  <c r="AH306" i="14"/>
  <c r="V309" i="14"/>
  <c r="Z308" i="14"/>
  <c r="W309" i="14"/>
  <c r="AL308" i="14"/>
  <c r="X308" i="14"/>
  <c r="W310" i="14" l="1"/>
  <c r="X309" i="14"/>
  <c r="AL309" i="14"/>
  <c r="V310" i="14"/>
  <c r="Z309" i="14"/>
  <c r="AG310" i="14"/>
  <c r="AJ307" i="14"/>
  <c r="AF308" i="14"/>
  <c r="AH307" i="14"/>
  <c r="AB310" i="14"/>
  <c r="AO306" i="14"/>
  <c r="AM306" i="14"/>
  <c r="AE307" i="14"/>
  <c r="AA308" i="14"/>
  <c r="AK307" i="14"/>
  <c r="AC307" i="14"/>
  <c r="AO307" i="14" l="1"/>
  <c r="AM307" i="14"/>
  <c r="AE308" i="14"/>
  <c r="AA309" i="14"/>
  <c r="AC308" i="14"/>
  <c r="AK308" i="14"/>
  <c r="AB311" i="14"/>
  <c r="AF309" i="14"/>
  <c r="AJ308" i="14"/>
  <c r="AH308" i="14"/>
  <c r="X310" i="14"/>
  <c r="W311" i="14"/>
  <c r="AL310" i="14"/>
  <c r="AG311" i="14"/>
  <c r="V311" i="14"/>
  <c r="Z310" i="14"/>
  <c r="AB312" i="14" l="1"/>
  <c r="AJ309" i="14"/>
  <c r="AF310" i="14"/>
  <c r="AH309" i="14"/>
  <c r="AE309" i="14"/>
  <c r="AA310" i="14"/>
  <c r="AK309" i="14"/>
  <c r="AC309" i="14"/>
  <c r="Z311" i="14"/>
  <c r="V312" i="14"/>
  <c r="AG312" i="14"/>
  <c r="AL311" i="14"/>
  <c r="W312" i="14"/>
  <c r="X311" i="14"/>
  <c r="AO308" i="14"/>
  <c r="AM308" i="14"/>
  <c r="V313" i="14" l="1"/>
  <c r="Z312" i="14"/>
  <c r="W313" i="14"/>
  <c r="X312" i="14"/>
  <c r="AL312" i="14"/>
  <c r="AG313" i="14"/>
  <c r="AO309" i="14"/>
  <c r="AM309" i="14"/>
  <c r="AA311" i="14"/>
  <c r="AE310" i="14"/>
  <c r="AC310" i="14"/>
  <c r="AK310" i="14"/>
  <c r="AF311" i="14"/>
  <c r="AJ310" i="14"/>
  <c r="AH310" i="14"/>
  <c r="AB313" i="14"/>
  <c r="AB314" i="14" l="1"/>
  <c r="AF312" i="14"/>
  <c r="AJ311" i="14"/>
  <c r="AH311" i="14"/>
  <c r="AO310" i="14"/>
  <c r="AM310" i="14"/>
  <c r="AE311" i="14"/>
  <c r="AA312" i="14"/>
  <c r="AC311" i="14"/>
  <c r="AK311" i="14"/>
  <c r="AG314" i="14"/>
  <c r="AL313" i="14"/>
  <c r="X313" i="14"/>
  <c r="W314" i="14"/>
  <c r="Z313" i="14"/>
  <c r="V314" i="14"/>
  <c r="V315" i="14" l="1"/>
  <c r="Z314" i="14"/>
  <c r="W315" i="14"/>
  <c r="X314" i="14"/>
  <c r="AL314" i="14"/>
  <c r="AG315" i="14"/>
  <c r="AO311" i="14"/>
  <c r="AM311" i="14"/>
  <c r="AA313" i="14"/>
  <c r="AE312" i="14"/>
  <c r="AK312" i="14"/>
  <c r="AC312" i="14"/>
  <c r="AB315" i="14"/>
  <c r="AJ312" i="14"/>
  <c r="AF313" i="14"/>
  <c r="AH312" i="14"/>
  <c r="AF314" i="14" l="1"/>
  <c r="AJ313" i="14"/>
  <c r="AH313" i="14"/>
  <c r="AB316" i="14"/>
  <c r="AO312" i="14"/>
  <c r="AM312" i="14"/>
  <c r="AE313" i="14"/>
  <c r="AA314" i="14"/>
  <c r="AC313" i="14"/>
  <c r="AK313" i="14"/>
  <c r="AG316" i="14"/>
  <c r="W316" i="14"/>
  <c r="X315" i="14"/>
  <c r="AL315" i="14"/>
  <c r="V316" i="14"/>
  <c r="Z315" i="14"/>
  <c r="V317" i="14" l="1"/>
  <c r="Z316" i="14"/>
  <c r="W317" i="14"/>
  <c r="X316" i="14"/>
  <c r="AL316" i="14"/>
  <c r="AG317" i="14"/>
  <c r="AO313" i="14"/>
  <c r="AM313" i="14"/>
  <c r="AE314" i="14"/>
  <c r="AA315" i="14"/>
  <c r="AK314" i="14"/>
  <c r="AC314" i="14"/>
  <c r="AB317" i="14"/>
  <c r="AJ314" i="14"/>
  <c r="AF315" i="14"/>
  <c r="AH314" i="14"/>
  <c r="AF316" i="14" l="1"/>
  <c r="AJ315" i="14"/>
  <c r="AH315" i="14"/>
  <c r="AB318" i="14"/>
  <c r="AO314" i="14"/>
  <c r="AM314" i="14"/>
  <c r="AA316" i="14"/>
  <c r="AE315" i="14"/>
  <c r="AC315" i="14"/>
  <c r="AK315" i="14"/>
  <c r="AG318" i="14"/>
  <c r="AL317" i="14"/>
  <c r="X317" i="14"/>
  <c r="W318" i="14"/>
  <c r="Z317" i="14"/>
  <c r="V318" i="14"/>
  <c r="V319" i="14" l="1"/>
  <c r="Z318" i="14"/>
  <c r="AL318" i="14"/>
  <c r="W319" i="14"/>
  <c r="X318" i="14"/>
  <c r="AG319" i="14"/>
  <c r="AO315" i="14"/>
  <c r="AM315" i="14"/>
  <c r="AE316" i="14"/>
  <c r="AA317" i="14"/>
  <c r="AK316" i="14"/>
  <c r="AC316" i="14"/>
  <c r="AB319" i="14"/>
  <c r="AJ316" i="14"/>
  <c r="AF317" i="14"/>
  <c r="AH316" i="14"/>
  <c r="AF318" i="14" l="1"/>
  <c r="AJ317" i="14"/>
  <c r="AH317" i="14"/>
  <c r="AO316" i="14"/>
  <c r="AM316" i="14"/>
  <c r="AG320" i="14"/>
  <c r="AB320" i="14"/>
  <c r="AA318" i="14"/>
  <c r="AE317" i="14"/>
  <c r="AC317" i="14"/>
  <c r="AK317" i="14"/>
  <c r="W320" i="14"/>
  <c r="X319" i="14"/>
  <c r="AL319" i="14"/>
  <c r="V320" i="14"/>
  <c r="Z319" i="14"/>
  <c r="V321" i="14" l="1"/>
  <c r="Z320" i="14"/>
  <c r="AL320" i="14"/>
  <c r="X320" i="14"/>
  <c r="W321" i="14"/>
  <c r="AO317" i="14"/>
  <c r="AM317" i="14"/>
  <c r="AE318" i="14"/>
  <c r="AA319" i="14"/>
  <c r="AK318" i="14"/>
  <c r="AC318" i="14"/>
  <c r="AG321" i="14"/>
  <c r="AB321" i="14"/>
  <c r="AF319" i="14"/>
  <c r="AJ318" i="14"/>
  <c r="AH318" i="14"/>
  <c r="AB322" i="14" l="1"/>
  <c r="AF320" i="14"/>
  <c r="AJ319" i="14"/>
  <c r="AH319" i="14"/>
  <c r="AG322" i="14"/>
  <c r="AO318" i="14"/>
  <c r="AM318" i="14"/>
  <c r="AA320" i="14"/>
  <c r="AE319" i="14"/>
  <c r="AC319" i="14"/>
  <c r="AK319" i="14"/>
  <c r="W322" i="14"/>
  <c r="AL321" i="14"/>
  <c r="X321" i="14"/>
  <c r="V322" i="14"/>
  <c r="Z321" i="14"/>
  <c r="V323" i="14" l="1"/>
  <c r="Z322" i="14"/>
  <c r="AO319" i="14"/>
  <c r="AM319" i="14"/>
  <c r="W323" i="14"/>
  <c r="X322" i="14"/>
  <c r="AL322" i="14"/>
  <c r="AB323" i="14"/>
  <c r="AE320" i="14"/>
  <c r="AA321" i="14"/>
  <c r="AK320" i="14"/>
  <c r="AC320" i="14"/>
  <c r="AG323" i="14"/>
  <c r="AF321" i="14"/>
  <c r="AJ320" i="14"/>
  <c r="AH320" i="14"/>
  <c r="AB324" i="14" l="1"/>
  <c r="X323" i="14"/>
  <c r="AL323" i="14"/>
  <c r="W324" i="14"/>
  <c r="AJ321" i="14"/>
  <c r="AF322" i="14"/>
  <c r="AH321" i="14"/>
  <c r="AG324" i="14"/>
  <c r="AO320" i="14"/>
  <c r="AM320" i="14"/>
  <c r="AE321" i="14"/>
  <c r="AA322" i="14"/>
  <c r="AC321" i="14"/>
  <c r="AK321" i="14"/>
  <c r="V324" i="14"/>
  <c r="Z323" i="14"/>
  <c r="V325" i="14" l="1"/>
  <c r="Z324" i="14"/>
  <c r="AO321" i="14"/>
  <c r="AM321" i="14"/>
  <c r="AE322" i="14"/>
  <c r="AA323" i="14"/>
  <c r="AK322" i="14"/>
  <c r="AC322" i="14"/>
  <c r="AG325" i="14"/>
  <c r="AF323" i="14"/>
  <c r="AJ322" i="14"/>
  <c r="AH322" i="14"/>
  <c r="X324" i="14"/>
  <c r="W325" i="14"/>
  <c r="AL324" i="14"/>
  <c r="AB325" i="14"/>
  <c r="AF324" i="14" l="1"/>
  <c r="AJ323" i="14"/>
  <c r="AH323" i="14"/>
  <c r="AG326" i="14"/>
  <c r="AO322" i="14"/>
  <c r="AM322" i="14"/>
  <c r="AB326" i="14"/>
  <c r="X325" i="14"/>
  <c r="AL325" i="14"/>
  <c r="W326" i="14"/>
  <c r="AA324" i="14"/>
  <c r="AE323" i="14"/>
  <c r="AC323" i="14"/>
  <c r="AK323" i="14"/>
  <c r="Z325" i="14"/>
  <c r="V326" i="14"/>
  <c r="V327" i="14" l="1"/>
  <c r="Z326" i="14"/>
  <c r="AO323" i="14"/>
  <c r="AM323" i="14"/>
  <c r="AL326" i="14"/>
  <c r="W327" i="14"/>
  <c r="X326" i="14"/>
  <c r="AA325" i="14"/>
  <c r="AE324" i="14"/>
  <c r="AK324" i="14"/>
  <c r="AC324" i="14"/>
  <c r="AB327" i="14"/>
  <c r="AG327" i="14"/>
  <c r="AF325" i="14"/>
  <c r="AJ324" i="14"/>
  <c r="AH324" i="14"/>
  <c r="AB328" i="14" l="1"/>
  <c r="AF326" i="14"/>
  <c r="AJ325" i="14"/>
  <c r="AH325" i="14"/>
  <c r="AG328" i="14"/>
  <c r="AO324" i="14"/>
  <c r="AM324" i="14"/>
  <c r="AE325" i="14"/>
  <c r="AA326" i="14"/>
  <c r="AC325" i="14"/>
  <c r="AK325" i="14"/>
  <c r="AL327" i="14"/>
  <c r="W328" i="14"/>
  <c r="X327" i="14"/>
  <c r="V328" i="14"/>
  <c r="Z327" i="14"/>
  <c r="V329" i="14" l="1"/>
  <c r="Z328" i="14"/>
  <c r="W329" i="14"/>
  <c r="AL328" i="14"/>
  <c r="X328" i="14"/>
  <c r="AO325" i="14"/>
  <c r="AM325" i="14"/>
  <c r="AE326" i="14"/>
  <c r="AA327" i="14"/>
  <c r="AK326" i="14"/>
  <c r="AC326" i="14"/>
  <c r="AG329" i="14"/>
  <c r="AJ326" i="14"/>
  <c r="AF327" i="14"/>
  <c r="AH326" i="14"/>
  <c r="AB329" i="14"/>
  <c r="AB330" i="14" l="1"/>
  <c r="AF328" i="14"/>
  <c r="AJ327" i="14"/>
  <c r="AH327" i="14"/>
  <c r="AG330" i="14"/>
  <c r="AO326" i="14"/>
  <c r="AM326" i="14"/>
  <c r="AE327" i="14"/>
  <c r="AA328" i="14"/>
  <c r="AC327" i="14"/>
  <c r="AK327" i="14"/>
  <c r="W330" i="14"/>
  <c r="X329" i="14"/>
  <c r="AL329" i="14"/>
  <c r="V330" i="14"/>
  <c r="Z329" i="14"/>
  <c r="V331" i="14" l="1"/>
  <c r="Z330" i="14"/>
  <c r="W331" i="14"/>
  <c r="X330" i="14"/>
  <c r="AL330" i="14"/>
  <c r="AO327" i="14"/>
  <c r="AM327" i="14"/>
  <c r="AE328" i="14"/>
  <c r="AA329" i="14"/>
  <c r="AK328" i="14"/>
  <c r="AC328" i="14"/>
  <c r="AG331" i="14"/>
  <c r="AJ328" i="14"/>
  <c r="AF329" i="14"/>
  <c r="AH328" i="14"/>
  <c r="AB331" i="14"/>
  <c r="AB332" i="14" l="1"/>
  <c r="AF330" i="14"/>
  <c r="AJ329" i="14"/>
  <c r="AH329" i="14"/>
  <c r="AG332" i="14"/>
  <c r="AO328" i="14"/>
  <c r="AM328" i="14"/>
  <c r="AA330" i="14"/>
  <c r="AE329" i="14"/>
  <c r="AC329" i="14"/>
  <c r="AK329" i="14"/>
  <c r="X331" i="14"/>
  <c r="W332" i="14"/>
  <c r="AL331" i="14"/>
  <c r="Z331" i="14"/>
  <c r="V332" i="14"/>
  <c r="Z332" i="14" l="1"/>
  <c r="V333" i="14"/>
  <c r="AL332" i="14"/>
  <c r="W333" i="14"/>
  <c r="X332" i="14"/>
  <c r="AO329" i="14"/>
  <c r="AM329" i="14"/>
  <c r="AE330" i="14"/>
  <c r="AA331" i="14"/>
  <c r="AK330" i="14"/>
  <c r="AC330" i="14"/>
  <c r="AG333" i="14"/>
  <c r="AF331" i="14"/>
  <c r="AJ330" i="14"/>
  <c r="AH330" i="14"/>
  <c r="AB333" i="14"/>
  <c r="AB334" i="14" l="1"/>
  <c r="AO330" i="14"/>
  <c r="AM330" i="14"/>
  <c r="AF332" i="14"/>
  <c r="AJ331" i="14"/>
  <c r="AH331" i="14"/>
  <c r="AG334" i="14"/>
  <c r="AA332" i="14"/>
  <c r="AE331" i="14"/>
  <c r="AC331" i="14"/>
  <c r="AK331" i="14"/>
  <c r="W334" i="14"/>
  <c r="X333" i="14"/>
  <c r="AL333" i="14"/>
  <c r="V334" i="14"/>
  <c r="Z333" i="14"/>
  <c r="AE332" i="14" l="1"/>
  <c r="AA333" i="14"/>
  <c r="AK332" i="14"/>
  <c r="AC332" i="14"/>
  <c r="AG335" i="14"/>
  <c r="V335" i="14"/>
  <c r="Z334" i="14"/>
  <c r="AL334" i="14"/>
  <c r="W335" i="14"/>
  <c r="X334" i="14"/>
  <c r="AO331" i="14"/>
  <c r="AM331" i="14"/>
  <c r="AF333" i="14"/>
  <c r="AJ332" i="14"/>
  <c r="AH332" i="14"/>
  <c r="AB335" i="14"/>
  <c r="AB336" i="14" l="1"/>
  <c r="AJ333" i="14"/>
  <c r="AF334" i="14"/>
  <c r="AH333" i="14"/>
  <c r="V336" i="14"/>
  <c r="Z335" i="14"/>
  <c r="AG336" i="14"/>
  <c r="AO332" i="14"/>
  <c r="AM332" i="14"/>
  <c r="W336" i="14"/>
  <c r="AL335" i="14"/>
  <c r="X335" i="14"/>
  <c r="AE333" i="14"/>
  <c r="AA334" i="14"/>
  <c r="AC333" i="14"/>
  <c r="AK333" i="14"/>
  <c r="AO333" i="14" l="1"/>
  <c r="AM333" i="14"/>
  <c r="AE334" i="14"/>
  <c r="AA335" i="14"/>
  <c r="AK334" i="14"/>
  <c r="AC334" i="14"/>
  <c r="AG337" i="14"/>
  <c r="AL336" i="14"/>
  <c r="W337" i="14"/>
  <c r="X336" i="14"/>
  <c r="V337" i="14"/>
  <c r="Z336" i="14"/>
  <c r="AF335" i="14"/>
  <c r="AJ334" i="14"/>
  <c r="AH334" i="14"/>
  <c r="AB337" i="14"/>
  <c r="AG338" i="14" l="1"/>
  <c r="AB338" i="14"/>
  <c r="AJ335" i="14"/>
  <c r="AF336" i="14"/>
  <c r="AH335" i="14"/>
  <c r="V338" i="14"/>
  <c r="Z337" i="14"/>
  <c r="W338" i="14"/>
  <c r="X337" i="14"/>
  <c r="AL337" i="14"/>
  <c r="AO334" i="14"/>
  <c r="AM334" i="14"/>
  <c r="AE335" i="14"/>
  <c r="AA336" i="14"/>
  <c r="AC335" i="14"/>
  <c r="AK335" i="14"/>
  <c r="AO335" i="14" l="1"/>
  <c r="AM335" i="14"/>
  <c r="AA337" i="14"/>
  <c r="AE336" i="14"/>
  <c r="AK336" i="14"/>
  <c r="AC336" i="14"/>
  <c r="X338" i="14"/>
  <c r="W339" i="14"/>
  <c r="AL338" i="14"/>
  <c r="Z338" i="14"/>
  <c r="V339" i="14"/>
  <c r="AG339" i="14"/>
  <c r="AF337" i="14"/>
  <c r="AJ336" i="14"/>
  <c r="AH336" i="14"/>
  <c r="AB339" i="14"/>
  <c r="AB340" i="14" l="1"/>
  <c r="AJ337" i="14"/>
  <c r="AF338" i="14"/>
  <c r="AH337" i="14"/>
  <c r="AG340" i="14"/>
  <c r="V340" i="14"/>
  <c r="Z339" i="14"/>
  <c r="AL339" i="14"/>
  <c r="W340" i="14"/>
  <c r="X339" i="14"/>
  <c r="AO336" i="14"/>
  <c r="AM336" i="14"/>
  <c r="AE337" i="14"/>
  <c r="AA338" i="14"/>
  <c r="AC337" i="14"/>
  <c r="AK337" i="14"/>
  <c r="AO337" i="14" l="1"/>
  <c r="AM337" i="14"/>
  <c r="AE338" i="14"/>
  <c r="AA339" i="14"/>
  <c r="AC338" i="14"/>
  <c r="AK338" i="14"/>
  <c r="W341" i="14"/>
  <c r="X340" i="14"/>
  <c r="AL340" i="14"/>
  <c r="V341" i="14"/>
  <c r="Z340" i="14"/>
  <c r="AG341" i="14"/>
  <c r="AF339" i="14"/>
  <c r="AJ338" i="14"/>
  <c r="AH338" i="14"/>
  <c r="AB341" i="14"/>
  <c r="AB342" i="14" l="1"/>
  <c r="AJ339" i="14"/>
  <c r="AF340" i="14"/>
  <c r="AH339" i="14"/>
  <c r="AG342" i="14"/>
  <c r="Z341" i="14"/>
  <c r="V342" i="14"/>
  <c r="X341" i="14"/>
  <c r="AL341" i="14"/>
  <c r="W342" i="14"/>
  <c r="AO338" i="14"/>
  <c r="AM338" i="14"/>
  <c r="AE339" i="14"/>
  <c r="AA340" i="14"/>
  <c r="AC339" i="14"/>
  <c r="AK339" i="14"/>
  <c r="AO339" i="14" l="1"/>
  <c r="AM339" i="14"/>
  <c r="AA341" i="14"/>
  <c r="AE340" i="14"/>
  <c r="AK340" i="14"/>
  <c r="AC340" i="14"/>
  <c r="W343" i="14"/>
  <c r="AL342" i="14"/>
  <c r="X342" i="14"/>
  <c r="V343" i="14"/>
  <c r="Z342" i="14"/>
  <c r="AG343" i="14"/>
  <c r="AF341" i="14"/>
  <c r="AJ340" i="14"/>
  <c r="AH340" i="14"/>
  <c r="AB343" i="14"/>
  <c r="AB344" i="14" l="1"/>
  <c r="AF342" i="14"/>
  <c r="AJ341" i="14"/>
  <c r="AH341" i="14"/>
  <c r="AG344" i="14"/>
  <c r="V344" i="14"/>
  <c r="Z343" i="14"/>
  <c r="W344" i="14"/>
  <c r="AL343" i="14"/>
  <c r="X343" i="14"/>
  <c r="AO340" i="14"/>
  <c r="AM340" i="14"/>
  <c r="AE341" i="14"/>
  <c r="AA342" i="14"/>
  <c r="AC341" i="14"/>
  <c r="AK341" i="14"/>
  <c r="AO341" i="14" l="1"/>
  <c r="AM341" i="14"/>
  <c r="AE342" i="14"/>
  <c r="AA343" i="14"/>
  <c r="AK342" i="14"/>
  <c r="AC342" i="14"/>
  <c r="W345" i="14"/>
  <c r="X344" i="14"/>
  <c r="AL344" i="14"/>
  <c r="V345" i="14"/>
  <c r="Z344" i="14"/>
  <c r="AG345" i="14"/>
  <c r="AJ342" i="14"/>
  <c r="AF343" i="14"/>
  <c r="AH342" i="14"/>
  <c r="AB345" i="14"/>
  <c r="AB346" i="14" l="1"/>
  <c r="AF344" i="14"/>
  <c r="AJ343" i="14"/>
  <c r="AH343" i="14"/>
  <c r="AG346" i="14"/>
  <c r="V346" i="14"/>
  <c r="Z345" i="14"/>
  <c r="X345" i="14"/>
  <c r="W346" i="14"/>
  <c r="AL345" i="14"/>
  <c r="AO342" i="14"/>
  <c r="AM342" i="14"/>
  <c r="AE343" i="14"/>
  <c r="AA344" i="14"/>
  <c r="AC343" i="14"/>
  <c r="AK343" i="14"/>
  <c r="AO343" i="14" l="1"/>
  <c r="AM343" i="14"/>
  <c r="AA345" i="14"/>
  <c r="AE344" i="14"/>
  <c r="AK344" i="14"/>
  <c r="AC344" i="14"/>
  <c r="AL346" i="14"/>
  <c r="W347" i="14"/>
  <c r="X346" i="14"/>
  <c r="AG347" i="14"/>
  <c r="AJ344" i="14"/>
  <c r="AF345" i="14"/>
  <c r="AH344" i="14"/>
  <c r="Z346" i="14"/>
  <c r="V347" i="14"/>
  <c r="AB347" i="14"/>
  <c r="AB348" i="14" l="1"/>
  <c r="V348" i="14"/>
  <c r="Z347" i="14"/>
  <c r="AF346" i="14"/>
  <c r="AJ345" i="14"/>
  <c r="AH345" i="14"/>
  <c r="W348" i="14"/>
  <c r="X347" i="14"/>
  <c r="AL347" i="14"/>
  <c r="AG348" i="14"/>
  <c r="AO344" i="14"/>
  <c r="AM344" i="14"/>
  <c r="AA346" i="14"/>
  <c r="AE345" i="14"/>
  <c r="AC345" i="14"/>
  <c r="AK345" i="14"/>
  <c r="AO345" i="14" l="1"/>
  <c r="AM345" i="14"/>
  <c r="AE346" i="14"/>
  <c r="AA347" i="14"/>
  <c r="AC346" i="14"/>
  <c r="AK346" i="14"/>
  <c r="AG349" i="14"/>
  <c r="AL348" i="14"/>
  <c r="W349" i="14"/>
  <c r="X348" i="14"/>
  <c r="AB349" i="14"/>
  <c r="AF347" i="14"/>
  <c r="AJ346" i="14"/>
  <c r="AH346" i="14"/>
  <c r="Z348" i="14"/>
  <c r="V349" i="14"/>
  <c r="AJ347" i="14" l="1"/>
  <c r="AF348" i="14"/>
  <c r="AH347" i="14"/>
  <c r="AB350" i="14"/>
  <c r="W350" i="14"/>
  <c r="AL349" i="14"/>
  <c r="X349" i="14"/>
  <c r="V350" i="14"/>
  <c r="Z349" i="14"/>
  <c r="AG350" i="14"/>
  <c r="AO346" i="14"/>
  <c r="AM346" i="14"/>
  <c r="AA348" i="14"/>
  <c r="AE347" i="14"/>
  <c r="AC347" i="14"/>
  <c r="AK347" i="14"/>
  <c r="AO347" i="14" l="1"/>
  <c r="AM347" i="14"/>
  <c r="AE348" i="14"/>
  <c r="AA349" i="14"/>
  <c r="AC348" i="14"/>
  <c r="AK348" i="14"/>
  <c r="X350" i="14"/>
  <c r="AL350" i="14"/>
  <c r="W351" i="14"/>
  <c r="AG351" i="14"/>
  <c r="Z350" i="14"/>
  <c r="V351" i="14"/>
  <c r="AB351" i="14"/>
  <c r="AF349" i="14"/>
  <c r="AJ348" i="14"/>
  <c r="AH348" i="14"/>
  <c r="V352" i="14" l="1"/>
  <c r="Z351" i="14"/>
  <c r="AJ349" i="14"/>
  <c r="AF350" i="14"/>
  <c r="AH349" i="14"/>
  <c r="AB352" i="14"/>
  <c r="AG352" i="14"/>
  <c r="W352" i="14"/>
  <c r="X351" i="14"/>
  <c r="AL351" i="14"/>
  <c r="AO348" i="14"/>
  <c r="AM348" i="14"/>
  <c r="AE349" i="14"/>
  <c r="AA350" i="14"/>
  <c r="AC349" i="14"/>
  <c r="AK349" i="14"/>
  <c r="AO349" i="14" l="1"/>
  <c r="AM349" i="14"/>
  <c r="AE350" i="14"/>
  <c r="AA351" i="14"/>
  <c r="AK350" i="14"/>
  <c r="AC350" i="14"/>
  <c r="AG353" i="14"/>
  <c r="AB353" i="14"/>
  <c r="W353" i="14"/>
  <c r="X352" i="14"/>
  <c r="AL352" i="14"/>
  <c r="AF351" i="14"/>
  <c r="AJ350" i="14"/>
  <c r="AH350" i="14"/>
  <c r="V353" i="14"/>
  <c r="Z352" i="14"/>
  <c r="Z353" i="14" l="1"/>
  <c r="V354" i="14"/>
  <c r="AG354" i="14"/>
  <c r="AJ351" i="14"/>
  <c r="AF352" i="14"/>
  <c r="AH351" i="14"/>
  <c r="AL353" i="14"/>
  <c r="W354" i="14"/>
  <c r="X353" i="14"/>
  <c r="AB354" i="14"/>
  <c r="AO350" i="14"/>
  <c r="AM350" i="14"/>
  <c r="AE351" i="14"/>
  <c r="AA352" i="14"/>
  <c r="AK351" i="14"/>
  <c r="AC351" i="14"/>
  <c r="AO351" i="14" l="1"/>
  <c r="AM351" i="14"/>
  <c r="AA353" i="14"/>
  <c r="AE352" i="14"/>
  <c r="AC352" i="14"/>
  <c r="AK352" i="14"/>
  <c r="AB355" i="14"/>
  <c r="W355" i="14"/>
  <c r="X354" i="14"/>
  <c r="AL354" i="14"/>
  <c r="AF353" i="14"/>
  <c r="AJ352" i="14"/>
  <c r="AH352" i="14"/>
  <c r="AG355" i="14"/>
  <c r="V355" i="14"/>
  <c r="Z354" i="14"/>
  <c r="AG356" i="14" l="1"/>
  <c r="Z355" i="14"/>
  <c r="V356" i="14"/>
  <c r="AF354" i="14"/>
  <c r="AJ353" i="14"/>
  <c r="AH353" i="14"/>
  <c r="AL355" i="14"/>
  <c r="W356" i="14"/>
  <c r="X355" i="14"/>
  <c r="AB356" i="14"/>
  <c r="AO352" i="14"/>
  <c r="AM352" i="14"/>
  <c r="AE353" i="14"/>
  <c r="AA354" i="14"/>
  <c r="AK353" i="14"/>
  <c r="AC353" i="14"/>
  <c r="AO353" i="14" l="1"/>
  <c r="AM353" i="14"/>
  <c r="AE354" i="14"/>
  <c r="AA355" i="14"/>
  <c r="AC354" i="14"/>
  <c r="AK354" i="14"/>
  <c r="W357" i="14"/>
  <c r="X356" i="14"/>
  <c r="AL356" i="14"/>
  <c r="AB357" i="14"/>
  <c r="AJ354" i="14"/>
  <c r="AF355" i="14"/>
  <c r="AH354" i="14"/>
  <c r="V357" i="14"/>
  <c r="Z356" i="14"/>
  <c r="AG357" i="14"/>
  <c r="AG358" i="14" l="1"/>
  <c r="Z357" i="14"/>
  <c r="V358" i="14"/>
  <c r="AF356" i="14"/>
  <c r="AJ355" i="14"/>
  <c r="AH355" i="14"/>
  <c r="AB358" i="14"/>
  <c r="W358" i="14"/>
  <c r="AL357" i="14"/>
  <c r="X357" i="14"/>
  <c r="AO354" i="14"/>
  <c r="AM354" i="14"/>
  <c r="AA356" i="14"/>
  <c r="AE355" i="14"/>
  <c r="AK355" i="14"/>
  <c r="AC355" i="14"/>
  <c r="AE356" i="14" l="1"/>
  <c r="AA357" i="14"/>
  <c r="AC356" i="14"/>
  <c r="AK356" i="14"/>
  <c r="AO355" i="14"/>
  <c r="AM355" i="14"/>
  <c r="W359" i="14"/>
  <c r="X358" i="14"/>
  <c r="AL358" i="14"/>
  <c r="AB359" i="14"/>
  <c r="AJ356" i="14"/>
  <c r="AF357" i="14"/>
  <c r="AH356" i="14"/>
  <c r="Z358" i="14"/>
  <c r="V359" i="14"/>
  <c r="AG359" i="14"/>
  <c r="AG360" i="14" l="1"/>
  <c r="V360" i="14"/>
  <c r="Z359" i="14"/>
  <c r="AF358" i="14"/>
  <c r="AJ357" i="14"/>
  <c r="AH357" i="14"/>
  <c r="AB360" i="14"/>
  <c r="X359" i="14"/>
  <c r="W360" i="14"/>
  <c r="AL359" i="14"/>
  <c r="AO356" i="14"/>
  <c r="AM356" i="14"/>
  <c r="AE357" i="14"/>
  <c r="AA358" i="14"/>
  <c r="AK357" i="14"/>
  <c r="AC357" i="14"/>
  <c r="AO357" i="14" l="1"/>
  <c r="AM357" i="14"/>
  <c r="AA359" i="14"/>
  <c r="AE358" i="14"/>
  <c r="AC358" i="14"/>
  <c r="AK358" i="14"/>
  <c r="X360" i="14"/>
  <c r="AL360" i="14"/>
  <c r="W361" i="14"/>
  <c r="AB361" i="14"/>
  <c r="V361" i="14"/>
  <c r="Z360" i="14"/>
  <c r="AG361" i="14"/>
  <c r="AJ358" i="14"/>
  <c r="AF359" i="14"/>
  <c r="AH358" i="14"/>
  <c r="AJ359" i="14" l="1"/>
  <c r="AF360" i="14"/>
  <c r="AH359" i="14"/>
  <c r="AG362" i="14"/>
  <c r="V362" i="14"/>
  <c r="Z361" i="14"/>
  <c r="AB362" i="14"/>
  <c r="W362" i="14"/>
  <c r="X361" i="14"/>
  <c r="AL361" i="14"/>
  <c r="AO358" i="14"/>
  <c r="AM358" i="14"/>
  <c r="AA360" i="14"/>
  <c r="AE359" i="14"/>
  <c r="AC359" i="14"/>
  <c r="AK359" i="14"/>
  <c r="AO359" i="14" l="1"/>
  <c r="AM359" i="14"/>
  <c r="AE360" i="14"/>
  <c r="AA361" i="14"/>
  <c r="AK360" i="14"/>
  <c r="AC360" i="14"/>
  <c r="AL362" i="14"/>
  <c r="W363" i="14"/>
  <c r="X362" i="14"/>
  <c r="AB363" i="14"/>
  <c r="V363" i="14"/>
  <c r="Z362" i="14"/>
  <c r="AG363" i="14"/>
  <c r="AF361" i="14"/>
  <c r="AJ360" i="14"/>
  <c r="AH360" i="14"/>
  <c r="AB364" i="14" l="1"/>
  <c r="W364" i="14"/>
  <c r="AL363" i="14"/>
  <c r="X363" i="14"/>
  <c r="AF362" i="14"/>
  <c r="AJ361" i="14"/>
  <c r="AH361" i="14"/>
  <c r="AG364" i="14"/>
  <c r="V364" i="14"/>
  <c r="Z363" i="14"/>
  <c r="AO360" i="14"/>
  <c r="AM360" i="14"/>
  <c r="AE361" i="14"/>
  <c r="AA362" i="14"/>
  <c r="AK361" i="14"/>
  <c r="AC361" i="14"/>
  <c r="AO361" i="14" l="1"/>
  <c r="AM361" i="14"/>
  <c r="AE362" i="14"/>
  <c r="AA363" i="14"/>
  <c r="AC362" i="14"/>
  <c r="AK362" i="14"/>
  <c r="AJ362" i="14"/>
  <c r="AF363" i="14"/>
  <c r="AH362" i="14"/>
  <c r="AB365" i="14"/>
  <c r="Z364" i="14"/>
  <c r="V365" i="14"/>
  <c r="AG365" i="14"/>
  <c r="X364" i="14"/>
  <c r="W365" i="14"/>
  <c r="AL364" i="14"/>
  <c r="AG366" i="14" l="1"/>
  <c r="AB366" i="14"/>
  <c r="W366" i="14"/>
  <c r="X365" i="14"/>
  <c r="AL365" i="14"/>
  <c r="V366" i="14"/>
  <c r="Z365" i="14"/>
  <c r="AJ363" i="14"/>
  <c r="AF364" i="14"/>
  <c r="AH363" i="14"/>
  <c r="AO362" i="14"/>
  <c r="AM362" i="14"/>
  <c r="AE363" i="14"/>
  <c r="AA364" i="14"/>
  <c r="AC363" i="14"/>
  <c r="AK363" i="14"/>
  <c r="AO363" i="14" l="1"/>
  <c r="AM363" i="14"/>
  <c r="AE364" i="14"/>
  <c r="AA365" i="14"/>
  <c r="AC364" i="14"/>
  <c r="AK364" i="14"/>
  <c r="AF365" i="14"/>
  <c r="AJ364" i="14"/>
  <c r="AH364" i="14"/>
  <c r="V367" i="14"/>
  <c r="Z366" i="14"/>
  <c r="W367" i="14"/>
  <c r="X366" i="14"/>
  <c r="AL366" i="14"/>
  <c r="AB367" i="14"/>
  <c r="AG367" i="14"/>
  <c r="AG368" i="14" l="1"/>
  <c r="AB368" i="14"/>
  <c r="AL367" i="14"/>
  <c r="W368" i="14"/>
  <c r="X367" i="14"/>
  <c r="Z367" i="14"/>
  <c r="V368" i="14"/>
  <c r="AJ365" i="14"/>
  <c r="AF366" i="14"/>
  <c r="AH365" i="14"/>
  <c r="AO364" i="14"/>
  <c r="AM364" i="14"/>
  <c r="AE365" i="14"/>
  <c r="AA366" i="14"/>
  <c r="AC365" i="14"/>
  <c r="AK365" i="14"/>
  <c r="AO365" i="14" l="1"/>
  <c r="AM365" i="14"/>
  <c r="AA367" i="14"/>
  <c r="AE366" i="14"/>
  <c r="AK366" i="14"/>
  <c r="AC366" i="14"/>
  <c r="V369" i="14"/>
  <c r="Z368" i="14"/>
  <c r="W369" i="14"/>
  <c r="X368" i="14"/>
  <c r="AL368" i="14"/>
  <c r="AF367" i="14"/>
  <c r="AJ366" i="14"/>
  <c r="AH366" i="14"/>
  <c r="AB369" i="14"/>
  <c r="AG369" i="14"/>
  <c r="AG370" i="14" l="1"/>
  <c r="AB370" i="14"/>
  <c r="AF368" i="14"/>
  <c r="AJ367" i="14"/>
  <c r="AH367" i="14"/>
  <c r="W370" i="14"/>
  <c r="AL369" i="14"/>
  <c r="X369" i="14"/>
  <c r="V370" i="14"/>
  <c r="Z369" i="14"/>
  <c r="AO366" i="14"/>
  <c r="AM366" i="14"/>
  <c r="AE367" i="14"/>
  <c r="AA368" i="14"/>
  <c r="AK367" i="14"/>
  <c r="AC367" i="14"/>
  <c r="AO367" i="14" l="1"/>
  <c r="AM367" i="14"/>
  <c r="AA369" i="14"/>
  <c r="AE368" i="14"/>
  <c r="AK368" i="14"/>
  <c r="AC368" i="14"/>
  <c r="W371" i="14"/>
  <c r="AL370" i="14"/>
  <c r="X370" i="14"/>
  <c r="V371" i="14"/>
  <c r="Z370" i="14"/>
  <c r="AF369" i="14"/>
  <c r="AJ368" i="14"/>
  <c r="AH368" i="14"/>
  <c r="AB371" i="14"/>
  <c r="AG371" i="14"/>
  <c r="V372" i="14" l="1"/>
  <c r="Z371" i="14"/>
  <c r="AG372" i="14"/>
  <c r="AB372" i="14"/>
  <c r="AF370" i="14"/>
  <c r="AJ369" i="14"/>
  <c r="AH369" i="14"/>
  <c r="AL371" i="14"/>
  <c r="W372" i="14"/>
  <c r="X371" i="14"/>
  <c r="AO368" i="14"/>
  <c r="AM368" i="14"/>
  <c r="AE369" i="14"/>
  <c r="AA370" i="14"/>
  <c r="AC369" i="14"/>
  <c r="AK369" i="14"/>
  <c r="AO369" i="14" l="1"/>
  <c r="AM369" i="14"/>
  <c r="AA371" i="14"/>
  <c r="AE370" i="14"/>
  <c r="AC370" i="14"/>
  <c r="AK370" i="14"/>
  <c r="W373" i="14"/>
  <c r="X372" i="14"/>
  <c r="AL372" i="14"/>
  <c r="AB373" i="14"/>
  <c r="AJ370" i="14"/>
  <c r="AF371" i="14"/>
  <c r="AH370" i="14"/>
  <c r="AG373" i="14"/>
  <c r="V373" i="14"/>
  <c r="Z372" i="14"/>
  <c r="V374" i="14" l="1"/>
  <c r="Z373" i="14"/>
  <c r="X373" i="14"/>
  <c r="W374" i="14"/>
  <c r="AL373" i="14"/>
  <c r="AG374" i="14"/>
  <c r="AF372" i="14"/>
  <c r="AJ371" i="14"/>
  <c r="AH371" i="14"/>
  <c r="AB374" i="14"/>
  <c r="AO370" i="14"/>
  <c r="AM370" i="14"/>
  <c r="AE371" i="14"/>
  <c r="AA372" i="14"/>
  <c r="AK371" i="14"/>
  <c r="AC371" i="14"/>
  <c r="AO371" i="14" l="1"/>
  <c r="AM371" i="14"/>
  <c r="AE372" i="14"/>
  <c r="AA373" i="14"/>
  <c r="AC372" i="14"/>
  <c r="AK372" i="14"/>
  <c r="AB375" i="14"/>
  <c r="AJ372" i="14"/>
  <c r="AF373" i="14"/>
  <c r="AH372" i="14"/>
  <c r="AG375" i="14"/>
  <c r="AL374" i="14"/>
  <c r="W375" i="14"/>
  <c r="X374" i="14"/>
  <c r="Z374" i="14"/>
  <c r="V375" i="14"/>
  <c r="V376" i="14" l="1"/>
  <c r="Z375" i="14"/>
  <c r="W376" i="14"/>
  <c r="X375" i="14"/>
  <c r="AL375" i="14"/>
  <c r="AG376" i="14"/>
  <c r="AF374" i="14"/>
  <c r="AJ373" i="14"/>
  <c r="AH373" i="14"/>
  <c r="AB376" i="14"/>
  <c r="AO372" i="14"/>
  <c r="AM372" i="14"/>
  <c r="AA374" i="14"/>
  <c r="AE373" i="14"/>
  <c r="AK373" i="14"/>
  <c r="AC373" i="14"/>
  <c r="AO373" i="14" l="1"/>
  <c r="AM373" i="14"/>
  <c r="AE374" i="14"/>
  <c r="AA375" i="14"/>
  <c r="AC374" i="14"/>
  <c r="AK374" i="14"/>
  <c r="AB377" i="14"/>
  <c r="AF375" i="14"/>
  <c r="AJ374" i="14"/>
  <c r="AH374" i="14"/>
  <c r="AG377" i="14"/>
  <c r="W377" i="14"/>
  <c r="X376" i="14"/>
  <c r="AL376" i="14"/>
  <c r="V377" i="14"/>
  <c r="Z376" i="14"/>
  <c r="V378" i="14" l="1"/>
  <c r="Z377" i="14"/>
  <c r="W378" i="14"/>
  <c r="AL377" i="14"/>
  <c r="X377" i="14"/>
  <c r="AG378" i="14"/>
  <c r="AF376" i="14"/>
  <c r="AJ375" i="14"/>
  <c r="AH375" i="14"/>
  <c r="AB378" i="14"/>
  <c r="AO374" i="14"/>
  <c r="AM374" i="14"/>
  <c r="AA376" i="14"/>
  <c r="AE375" i="14"/>
  <c r="AK375" i="14"/>
  <c r="AC375" i="14"/>
  <c r="AO375" i="14" l="1"/>
  <c r="AM375" i="14"/>
  <c r="AE376" i="14"/>
  <c r="AA377" i="14"/>
  <c r="AC376" i="14"/>
  <c r="AK376" i="14"/>
  <c r="AB379" i="14"/>
  <c r="AF377" i="14"/>
  <c r="AJ376" i="14"/>
  <c r="AH376" i="14"/>
  <c r="AG379" i="14"/>
  <c r="X378" i="14"/>
  <c r="AL378" i="14"/>
  <c r="W379" i="14"/>
  <c r="V379" i="14"/>
  <c r="Z378" i="14"/>
  <c r="W380" i="14" l="1"/>
  <c r="X379" i="14"/>
  <c r="AL379" i="14"/>
  <c r="V380" i="14"/>
  <c r="Z379" i="14"/>
  <c r="AG380" i="14"/>
  <c r="AJ377" i="14"/>
  <c r="AF378" i="14"/>
  <c r="AH377" i="14"/>
  <c r="AB380" i="14"/>
  <c r="AO376" i="14"/>
  <c r="AM376" i="14"/>
  <c r="AE377" i="14"/>
  <c r="AA378" i="14"/>
  <c r="AK377" i="14"/>
  <c r="AC377" i="14"/>
  <c r="AO377" i="14" l="1"/>
  <c r="AM377" i="14"/>
  <c r="AA379" i="14"/>
  <c r="AE378" i="14"/>
  <c r="AC378" i="14"/>
  <c r="AK378" i="14"/>
  <c r="AG381" i="14"/>
  <c r="AB381" i="14"/>
  <c r="AF379" i="14"/>
  <c r="AJ378" i="14"/>
  <c r="AH378" i="14"/>
  <c r="V381" i="14"/>
  <c r="Z380" i="14"/>
  <c r="X380" i="14"/>
  <c r="W381" i="14"/>
  <c r="AL380" i="14"/>
  <c r="AL381" i="14" l="1"/>
  <c r="W382" i="14"/>
  <c r="X381" i="14"/>
  <c r="V382" i="14"/>
  <c r="Z381" i="14"/>
  <c r="AB382" i="14"/>
  <c r="AJ379" i="14"/>
  <c r="AF380" i="14"/>
  <c r="AH379" i="14"/>
  <c r="AG382" i="14"/>
  <c r="AO378" i="14"/>
  <c r="AM378" i="14"/>
  <c r="AE379" i="14"/>
  <c r="AA380" i="14"/>
  <c r="AK379" i="14"/>
  <c r="AC379" i="14"/>
  <c r="AO379" i="14" l="1"/>
  <c r="AM379" i="14"/>
  <c r="AA381" i="14"/>
  <c r="AE380" i="14"/>
  <c r="AC380" i="14"/>
  <c r="AK380" i="14"/>
  <c r="AG383" i="14"/>
  <c r="AF381" i="14"/>
  <c r="AJ380" i="14"/>
  <c r="AH380" i="14"/>
  <c r="AB383" i="14"/>
  <c r="V383" i="14"/>
  <c r="Z382" i="14"/>
  <c r="X382" i="14"/>
  <c r="AL382" i="14"/>
  <c r="W383" i="14"/>
  <c r="AL383" i="14" l="1"/>
  <c r="W384" i="14"/>
  <c r="X383" i="14"/>
  <c r="V384" i="14"/>
  <c r="Z383" i="14"/>
  <c r="AB384" i="14"/>
  <c r="AF382" i="14"/>
  <c r="AJ381" i="14"/>
  <c r="AH381" i="14"/>
  <c r="AG384" i="14"/>
  <c r="AO380" i="14"/>
  <c r="AM380" i="14"/>
  <c r="AE381" i="14"/>
  <c r="AA382" i="14"/>
  <c r="AK381" i="14"/>
  <c r="AC381" i="14"/>
  <c r="AO381" i="14" l="1"/>
  <c r="AM381" i="14"/>
  <c r="AE382" i="14"/>
  <c r="AA383" i="14"/>
  <c r="AC382" i="14"/>
  <c r="AK382" i="14"/>
  <c r="AG385" i="14"/>
  <c r="AF383" i="14"/>
  <c r="AJ382" i="14"/>
  <c r="AH382" i="14"/>
  <c r="AB385" i="14"/>
  <c r="V385" i="14"/>
  <c r="Z384" i="14"/>
  <c r="W385" i="14"/>
  <c r="X384" i="14"/>
  <c r="AL384" i="14"/>
  <c r="AL385" i="14" l="1"/>
  <c r="X385" i="14"/>
  <c r="W386" i="14"/>
  <c r="Z385" i="14"/>
  <c r="V386" i="14"/>
  <c r="AB386" i="14"/>
  <c r="AF384" i="14"/>
  <c r="AJ383" i="14"/>
  <c r="AH383" i="14"/>
  <c r="AG386" i="14"/>
  <c r="AO382" i="14"/>
  <c r="AM382" i="14"/>
  <c r="AE383" i="14"/>
  <c r="AA384" i="14"/>
  <c r="AK383" i="14"/>
  <c r="AC383" i="14"/>
  <c r="AO383" i="14" l="1"/>
  <c r="AM383" i="14"/>
  <c r="AE384" i="14"/>
  <c r="AA385" i="14"/>
  <c r="AK384" i="14"/>
  <c r="AC384" i="14"/>
  <c r="AG387" i="14"/>
  <c r="AJ384" i="14"/>
  <c r="AF385" i="14"/>
  <c r="AH384" i="14"/>
  <c r="AB387" i="14"/>
  <c r="Z386" i="14"/>
  <c r="V387" i="14"/>
  <c r="W387" i="14"/>
  <c r="X386" i="14"/>
  <c r="AL386" i="14"/>
  <c r="X387" i="14" l="1"/>
  <c r="W388" i="14"/>
  <c r="AL387" i="14"/>
  <c r="V388" i="14"/>
  <c r="Z387" i="14"/>
  <c r="AB388" i="14"/>
  <c r="AF386" i="14"/>
  <c r="AJ385" i="14"/>
  <c r="AH385" i="14"/>
  <c r="AG388" i="14"/>
  <c r="AO384" i="14"/>
  <c r="AM384" i="14"/>
  <c r="AA386" i="14"/>
  <c r="AE385" i="14"/>
  <c r="AK385" i="14"/>
  <c r="AC385" i="14"/>
  <c r="AO385" i="14" l="1"/>
  <c r="AM385" i="14"/>
  <c r="AE386" i="14"/>
  <c r="AA387" i="14"/>
  <c r="AC386" i="14"/>
  <c r="AK386" i="14"/>
  <c r="AG389" i="14"/>
  <c r="AJ386" i="14"/>
  <c r="AF387" i="14"/>
  <c r="AH386" i="14"/>
  <c r="AB389" i="14"/>
  <c r="AL388" i="14"/>
  <c r="W389" i="14"/>
  <c r="X388" i="14"/>
  <c r="Z388" i="14"/>
  <c r="V389" i="14"/>
  <c r="W390" i="14" l="1"/>
  <c r="X389" i="14"/>
  <c r="AL389" i="14"/>
  <c r="AB390" i="14"/>
  <c r="V390" i="14"/>
  <c r="Z389" i="14"/>
  <c r="AF388" i="14"/>
  <c r="AJ387" i="14"/>
  <c r="AH387" i="14"/>
  <c r="AG390" i="14"/>
  <c r="AO386" i="14"/>
  <c r="AM386" i="14"/>
  <c r="AA388" i="14"/>
  <c r="AE387" i="14"/>
  <c r="AC387" i="14"/>
  <c r="AK387" i="14"/>
  <c r="AO387" i="14" l="1"/>
  <c r="AM387" i="14"/>
  <c r="AG391" i="14"/>
  <c r="Z390" i="14"/>
  <c r="V391" i="14"/>
  <c r="AB391" i="14"/>
  <c r="AE388" i="14"/>
  <c r="AA389" i="14"/>
  <c r="AC388" i="14"/>
  <c r="AK388" i="14"/>
  <c r="AF389" i="14"/>
  <c r="AJ388" i="14"/>
  <c r="AH388" i="14"/>
  <c r="X390" i="14"/>
  <c r="AL390" i="14"/>
  <c r="W391" i="14"/>
  <c r="W392" i="14" l="1"/>
  <c r="AL391" i="14"/>
  <c r="X391" i="14"/>
  <c r="AJ389" i="14"/>
  <c r="AF390" i="14"/>
  <c r="AH389" i="14"/>
  <c r="AO388" i="14"/>
  <c r="AM388" i="14"/>
  <c r="AE389" i="14"/>
  <c r="AA390" i="14"/>
  <c r="AK389" i="14"/>
  <c r="AC389" i="14"/>
  <c r="AB392" i="14"/>
  <c r="V392" i="14"/>
  <c r="Z391" i="14"/>
  <c r="AG392" i="14"/>
  <c r="AG393" i="14" l="1"/>
  <c r="Z392" i="14"/>
  <c r="V393" i="14"/>
  <c r="AB393" i="14"/>
  <c r="AO389" i="14"/>
  <c r="AM389" i="14"/>
  <c r="AE390" i="14"/>
  <c r="AA391" i="14"/>
  <c r="AK390" i="14"/>
  <c r="AC390" i="14"/>
  <c r="AF391" i="14"/>
  <c r="AJ390" i="14"/>
  <c r="AH390" i="14"/>
  <c r="W393" i="14"/>
  <c r="X392" i="14"/>
  <c r="AL392" i="14"/>
  <c r="W394" i="14" l="1"/>
  <c r="X393" i="14"/>
  <c r="AL393" i="14"/>
  <c r="AJ391" i="14"/>
  <c r="AF392" i="14"/>
  <c r="AH391" i="14"/>
  <c r="AO390" i="14"/>
  <c r="AM390" i="14"/>
  <c r="AE391" i="14"/>
  <c r="AA392" i="14"/>
  <c r="AC391" i="14"/>
  <c r="AK391" i="14"/>
  <c r="AB394" i="14"/>
  <c r="V394" i="14"/>
  <c r="Z393" i="14"/>
  <c r="AG394" i="14"/>
  <c r="AG395" i="14" l="1"/>
  <c r="V395" i="14"/>
  <c r="Z394" i="14"/>
  <c r="AB395" i="14"/>
  <c r="AO391" i="14"/>
  <c r="AM391" i="14"/>
  <c r="AA393" i="14"/>
  <c r="AE392" i="14"/>
  <c r="AK392" i="14"/>
  <c r="AC392" i="14"/>
  <c r="AF393" i="14"/>
  <c r="AJ392" i="14"/>
  <c r="AH392" i="14"/>
  <c r="X394" i="14"/>
  <c r="W395" i="14"/>
  <c r="AL394" i="14"/>
  <c r="AL395" i="14" l="1"/>
  <c r="W396" i="14"/>
  <c r="X395" i="14"/>
  <c r="AJ393" i="14"/>
  <c r="AF394" i="14"/>
  <c r="AH393" i="14"/>
  <c r="AO392" i="14"/>
  <c r="AM392" i="14"/>
  <c r="AE393" i="14"/>
  <c r="AA394" i="14"/>
  <c r="AC393" i="14"/>
  <c r="AK393" i="14"/>
  <c r="AB396" i="14"/>
  <c r="V396" i="14"/>
  <c r="Z395" i="14"/>
  <c r="AG396" i="14"/>
  <c r="AG397" i="14" l="1"/>
  <c r="V397" i="14"/>
  <c r="Z396" i="14"/>
  <c r="AB397" i="14"/>
  <c r="AO393" i="14"/>
  <c r="AM393" i="14"/>
  <c r="AA395" i="14"/>
  <c r="AE394" i="14"/>
  <c r="AK394" i="14"/>
  <c r="AC394" i="14"/>
  <c r="AF395" i="14"/>
  <c r="AJ394" i="14"/>
  <c r="AH394" i="14"/>
  <c r="X396" i="14"/>
  <c r="AL396" i="14"/>
  <c r="W397" i="14"/>
  <c r="AL397" i="14" l="1"/>
  <c r="W398" i="14"/>
  <c r="X397" i="14"/>
  <c r="AF396" i="14"/>
  <c r="AJ395" i="14"/>
  <c r="AH395" i="14"/>
  <c r="AO394" i="14"/>
  <c r="AM394" i="14"/>
  <c r="AE395" i="14"/>
  <c r="AA396" i="14"/>
  <c r="AC395" i="14"/>
  <c r="AK395" i="14"/>
  <c r="AB398" i="14"/>
  <c r="Z397" i="14"/>
  <c r="V398" i="14"/>
  <c r="AG398" i="14"/>
  <c r="V399" i="14" l="1"/>
  <c r="Z398" i="14"/>
  <c r="AG399" i="14"/>
  <c r="AO395" i="14"/>
  <c r="AM395" i="14"/>
  <c r="AB399" i="14"/>
  <c r="AA397" i="14"/>
  <c r="AE396" i="14"/>
  <c r="AK396" i="14"/>
  <c r="AC396" i="14"/>
  <c r="AF397" i="14"/>
  <c r="AJ396" i="14"/>
  <c r="AH396" i="14"/>
  <c r="W399" i="14"/>
  <c r="X398" i="14"/>
  <c r="AL398" i="14"/>
  <c r="X399" i="14" l="1"/>
  <c r="AL399" i="14"/>
  <c r="W400" i="14"/>
  <c r="AF398" i="14"/>
  <c r="AJ397" i="14"/>
  <c r="AH397" i="14"/>
  <c r="AO396" i="14"/>
  <c r="AM396" i="14"/>
  <c r="AB400" i="14"/>
  <c r="AE397" i="14"/>
  <c r="AA398" i="14"/>
  <c r="AC397" i="14"/>
  <c r="AK397" i="14"/>
  <c r="AG400" i="14"/>
  <c r="V400" i="14"/>
  <c r="Z399" i="14"/>
  <c r="V401" i="14" l="1"/>
  <c r="Z400" i="14"/>
  <c r="AG401" i="14"/>
  <c r="AO397" i="14"/>
  <c r="AM397" i="14"/>
  <c r="AE398" i="14"/>
  <c r="AA399" i="14"/>
  <c r="AK398" i="14"/>
  <c r="AC398" i="14"/>
  <c r="AL400" i="14"/>
  <c r="W401" i="14"/>
  <c r="X400" i="14"/>
  <c r="AB401" i="14"/>
  <c r="AJ398" i="14"/>
  <c r="AF399" i="14"/>
  <c r="AH398" i="14"/>
  <c r="AF400" i="14" l="1"/>
  <c r="AJ399" i="14"/>
  <c r="AH399" i="14"/>
  <c r="X401" i="14"/>
  <c r="W402" i="14"/>
  <c r="AL401" i="14"/>
  <c r="AB402" i="14"/>
  <c r="AE399" i="14"/>
  <c r="AA400" i="14"/>
  <c r="AC399" i="14"/>
  <c r="AK399" i="14"/>
  <c r="AO398" i="14"/>
  <c r="AM398" i="14"/>
  <c r="AG402" i="14"/>
  <c r="V402" i="14"/>
  <c r="Z401" i="14"/>
  <c r="AG403" i="14" l="1"/>
  <c r="Z402" i="14"/>
  <c r="V403" i="14"/>
  <c r="AO399" i="14"/>
  <c r="AM399" i="14"/>
  <c r="AE400" i="14"/>
  <c r="AA401" i="14"/>
  <c r="AK400" i="14"/>
  <c r="AC400" i="14"/>
  <c r="AB403" i="14"/>
  <c r="AL402" i="14"/>
  <c r="W403" i="14"/>
  <c r="X402" i="14"/>
  <c r="AJ400" i="14"/>
  <c r="AF401" i="14"/>
  <c r="AH400" i="14"/>
  <c r="W404" i="14" l="1"/>
  <c r="X403" i="14"/>
  <c r="AL403" i="14"/>
  <c r="AJ401" i="14"/>
  <c r="AF402" i="14"/>
  <c r="AH401" i="14"/>
  <c r="AB404" i="14"/>
  <c r="AO400" i="14"/>
  <c r="AM400" i="14"/>
  <c r="AA402" i="14"/>
  <c r="AE401" i="14"/>
  <c r="AC401" i="14"/>
  <c r="AK401" i="14"/>
  <c r="V404" i="14"/>
  <c r="Z403" i="14"/>
  <c r="AG404" i="14"/>
  <c r="AG405" i="14" l="1"/>
  <c r="Z404" i="14"/>
  <c r="V405" i="14"/>
  <c r="AO401" i="14"/>
  <c r="AM401" i="14"/>
  <c r="AE402" i="14"/>
  <c r="AA403" i="14"/>
  <c r="AK402" i="14"/>
  <c r="AC402" i="14"/>
  <c r="AB405" i="14"/>
  <c r="AF403" i="14"/>
  <c r="AJ402" i="14"/>
  <c r="AH402" i="14"/>
  <c r="AL404" i="14"/>
  <c r="W405" i="14"/>
  <c r="X404" i="14"/>
  <c r="W406" i="14" l="1"/>
  <c r="X405" i="14"/>
  <c r="AL405" i="14"/>
  <c r="AJ403" i="14"/>
  <c r="AF404" i="14"/>
  <c r="AH403" i="14"/>
  <c r="AB406" i="14"/>
  <c r="AO402" i="14"/>
  <c r="AM402" i="14"/>
  <c r="AA404" i="14"/>
  <c r="AE403" i="14"/>
  <c r="AC403" i="14"/>
  <c r="AK403" i="14"/>
  <c r="V406" i="14"/>
  <c r="Z405" i="14"/>
  <c r="AG406" i="14"/>
  <c r="AG407" i="14" l="1"/>
  <c r="V407" i="14"/>
  <c r="Z406" i="14"/>
  <c r="AO403" i="14"/>
  <c r="AM403" i="14"/>
  <c r="AB407" i="14"/>
  <c r="AE404" i="14"/>
  <c r="AA405" i="14"/>
  <c r="AK404" i="14"/>
  <c r="AC404" i="14"/>
  <c r="AF405" i="14"/>
  <c r="AJ404" i="14"/>
  <c r="AH404" i="14"/>
  <c r="W407" i="14"/>
  <c r="X406" i="14"/>
  <c r="AL406" i="14"/>
  <c r="W408" i="14" l="1"/>
  <c r="X407" i="14"/>
  <c r="AL407" i="14"/>
  <c r="AJ405" i="14"/>
  <c r="AF406" i="14"/>
  <c r="AH405" i="14"/>
  <c r="AO404" i="14"/>
  <c r="AM404" i="14"/>
  <c r="AE405" i="14"/>
  <c r="AA406" i="14"/>
  <c r="AC405" i="14"/>
  <c r="AK405" i="14"/>
  <c r="AB408" i="14"/>
  <c r="V408" i="14"/>
  <c r="Z407" i="14"/>
  <c r="AG408" i="14"/>
  <c r="AG409" i="14" l="1"/>
  <c r="V409" i="14"/>
  <c r="Z408" i="14"/>
  <c r="AB409" i="14"/>
  <c r="AO405" i="14"/>
  <c r="AM405" i="14"/>
  <c r="AA407" i="14"/>
  <c r="AE406" i="14"/>
  <c r="AK406" i="14"/>
  <c r="AC406" i="14"/>
  <c r="AF407" i="14"/>
  <c r="AJ406" i="14"/>
  <c r="AH406" i="14"/>
  <c r="X408" i="14"/>
  <c r="W409" i="14"/>
  <c r="AL408" i="14"/>
  <c r="AL409" i="14" l="1"/>
  <c r="W410" i="14"/>
  <c r="X409" i="14"/>
  <c r="AJ407" i="14"/>
  <c r="AF408" i="14"/>
  <c r="AH407" i="14"/>
  <c r="AO406" i="14"/>
  <c r="AM406" i="14"/>
  <c r="AA408" i="14"/>
  <c r="AE407" i="14"/>
  <c r="AC407" i="14"/>
  <c r="AK407" i="14"/>
  <c r="AB410" i="14"/>
  <c r="Z409" i="14"/>
  <c r="V410" i="14"/>
  <c r="AG410" i="14"/>
  <c r="AG411" i="14" l="1"/>
  <c r="V411" i="14"/>
  <c r="Z410" i="14"/>
  <c r="AB411" i="14"/>
  <c r="AO407" i="14"/>
  <c r="AM407" i="14"/>
  <c r="AA409" i="14"/>
  <c r="AE408" i="14"/>
  <c r="AK408" i="14"/>
  <c r="AC408" i="14"/>
  <c r="AF409" i="14"/>
  <c r="AJ408" i="14"/>
  <c r="AH408" i="14"/>
  <c r="W411" i="14"/>
  <c r="X410" i="14"/>
  <c r="AL410" i="14"/>
  <c r="AL411" i="14" l="1"/>
  <c r="W412" i="14"/>
  <c r="X411" i="14"/>
  <c r="AF410" i="14"/>
  <c r="AJ409" i="14"/>
  <c r="AH409" i="14"/>
  <c r="AO408" i="14"/>
  <c r="AM408" i="14"/>
  <c r="AA410" i="14"/>
  <c r="AE409" i="14"/>
  <c r="AC409" i="14"/>
  <c r="AK409" i="14"/>
  <c r="AB412" i="14"/>
  <c r="V412" i="14"/>
  <c r="Z411" i="14"/>
  <c r="AG412" i="14"/>
  <c r="AG413" i="14" l="1"/>
  <c r="V413" i="14"/>
  <c r="Z412" i="14"/>
  <c r="AB413" i="14"/>
  <c r="AO409" i="14"/>
  <c r="AM409" i="14"/>
  <c r="AE410" i="14"/>
  <c r="AA411" i="14"/>
  <c r="AK410" i="14"/>
  <c r="AC410" i="14"/>
  <c r="AF411" i="14"/>
  <c r="AJ410" i="14"/>
  <c r="AH410" i="14"/>
  <c r="W413" i="14"/>
  <c r="AL412" i="14"/>
  <c r="X412" i="14"/>
  <c r="X413" i="14" l="1"/>
  <c r="W414" i="14"/>
  <c r="AL413" i="14"/>
  <c r="AF412" i="14"/>
  <c r="AJ411" i="14"/>
  <c r="AH411" i="14"/>
  <c r="AO410" i="14"/>
  <c r="AM410" i="14"/>
  <c r="AE411" i="14"/>
  <c r="AA412" i="14"/>
  <c r="AC411" i="14"/>
  <c r="AK411" i="14"/>
  <c r="AB414" i="14"/>
  <c r="V414" i="14"/>
  <c r="Z413" i="14"/>
  <c r="AG414" i="14"/>
  <c r="V415" i="14" l="1"/>
  <c r="Z414" i="14"/>
  <c r="AG415" i="14"/>
  <c r="AB415" i="14"/>
  <c r="AO411" i="14"/>
  <c r="AM411" i="14"/>
  <c r="AE412" i="14"/>
  <c r="AA413" i="14"/>
  <c r="AK412" i="14"/>
  <c r="AC412" i="14"/>
  <c r="W415" i="14"/>
  <c r="X414" i="14"/>
  <c r="AL414" i="14"/>
  <c r="AJ412" i="14"/>
  <c r="AF413" i="14"/>
  <c r="AH412" i="14"/>
  <c r="AF414" i="14" l="1"/>
  <c r="AJ413" i="14"/>
  <c r="AH413" i="14"/>
  <c r="X415" i="14"/>
  <c r="W416" i="14"/>
  <c r="AL415" i="14"/>
  <c r="AO412" i="14"/>
  <c r="AM412" i="14"/>
  <c r="AA414" i="14"/>
  <c r="AE413" i="14"/>
  <c r="AC413" i="14"/>
  <c r="AK413" i="14"/>
  <c r="V416" i="14"/>
  <c r="Z415" i="14"/>
  <c r="AB416" i="14"/>
  <c r="AG416" i="14"/>
  <c r="AG417" i="14" l="1"/>
  <c r="AB417" i="14"/>
  <c r="V417" i="14"/>
  <c r="Z416" i="14"/>
  <c r="AO413" i="14"/>
  <c r="AM413" i="14"/>
  <c r="AE414" i="14"/>
  <c r="AA415" i="14"/>
  <c r="AK414" i="14"/>
  <c r="AC414" i="14"/>
  <c r="AL416" i="14"/>
  <c r="W417" i="14"/>
  <c r="X416" i="14"/>
  <c r="AJ414" i="14"/>
  <c r="AF415" i="14"/>
  <c r="AH414" i="14"/>
  <c r="AJ415" i="14" l="1"/>
  <c r="AF416" i="14"/>
  <c r="AH415" i="14"/>
  <c r="W418" i="14"/>
  <c r="X417" i="14"/>
  <c r="AL417" i="14"/>
  <c r="AO414" i="14"/>
  <c r="AM414" i="14"/>
  <c r="AA416" i="14"/>
  <c r="AE415" i="14"/>
  <c r="AK415" i="14"/>
  <c r="AC415" i="14"/>
  <c r="V418" i="14"/>
  <c r="Z417" i="14"/>
  <c r="AB418" i="14"/>
  <c r="AG418" i="14"/>
  <c r="AB419" i="14" l="1"/>
  <c r="AG419" i="14"/>
  <c r="AL418" i="14"/>
  <c r="W419" i="14"/>
  <c r="X418" i="14"/>
  <c r="AF417" i="14"/>
  <c r="AJ416" i="14"/>
  <c r="AH416" i="14"/>
  <c r="Z418" i="14"/>
  <c r="V419" i="14"/>
  <c r="AO415" i="14"/>
  <c r="AM415" i="14"/>
  <c r="AE416" i="14"/>
  <c r="AA417" i="14"/>
  <c r="AC416" i="14"/>
  <c r="AK416" i="14"/>
  <c r="AO416" i="14" l="1"/>
  <c r="AM416" i="14"/>
  <c r="AE417" i="14"/>
  <c r="AA418" i="14"/>
  <c r="AK417" i="14"/>
  <c r="AC417" i="14"/>
  <c r="V420" i="14"/>
  <c r="Z419" i="14"/>
  <c r="W420" i="14"/>
  <c r="AL419" i="14"/>
  <c r="X419" i="14"/>
  <c r="AB420" i="14"/>
  <c r="AF418" i="14"/>
  <c r="AJ417" i="14"/>
  <c r="AH417" i="14"/>
  <c r="AG420" i="14"/>
  <c r="AG421" i="14" l="1"/>
  <c r="AB421" i="14"/>
  <c r="AF419" i="14"/>
  <c r="AJ418" i="14"/>
  <c r="AH418" i="14"/>
  <c r="W421" i="14"/>
  <c r="X420" i="14"/>
  <c r="AL420" i="14"/>
  <c r="V421" i="14"/>
  <c r="Z420" i="14"/>
  <c r="AO417" i="14"/>
  <c r="AM417" i="14"/>
  <c r="AA419" i="14"/>
  <c r="AE418" i="14"/>
  <c r="AC418" i="14"/>
  <c r="AK418" i="14"/>
  <c r="AO418" i="14" l="1"/>
  <c r="AM418" i="14"/>
  <c r="AE419" i="14"/>
  <c r="AA420" i="14"/>
  <c r="AK419" i="14"/>
  <c r="AC419" i="14"/>
  <c r="V422" i="14"/>
  <c r="Z421" i="14"/>
  <c r="W422" i="14"/>
  <c r="X421" i="14"/>
  <c r="AL421" i="14"/>
  <c r="AJ419" i="14"/>
  <c r="AF420" i="14"/>
  <c r="AH419" i="14"/>
  <c r="AB422" i="14"/>
  <c r="AG422" i="14"/>
  <c r="AG423" i="14" l="1"/>
  <c r="AB423" i="14"/>
  <c r="AF421" i="14"/>
  <c r="AJ420" i="14"/>
  <c r="AH420" i="14"/>
  <c r="X422" i="14"/>
  <c r="W423" i="14"/>
  <c r="AL422" i="14"/>
  <c r="V423" i="14"/>
  <c r="Z422" i="14"/>
  <c r="AO419" i="14"/>
  <c r="AM419" i="14"/>
  <c r="AE420" i="14"/>
  <c r="AA421" i="14"/>
  <c r="AC420" i="14"/>
  <c r="AK420" i="14"/>
  <c r="AO420" i="14" l="1"/>
  <c r="AM420" i="14"/>
  <c r="AA422" i="14"/>
  <c r="AE421" i="14"/>
  <c r="AK421" i="14"/>
  <c r="AC421" i="14"/>
  <c r="V424" i="14"/>
  <c r="Z423" i="14"/>
  <c r="AL423" i="14"/>
  <c r="W424" i="14"/>
  <c r="X423" i="14"/>
  <c r="AJ421" i="14"/>
  <c r="AF422" i="14"/>
  <c r="AH421" i="14"/>
  <c r="AB424" i="14"/>
  <c r="AG424" i="14"/>
  <c r="AB425" i="14" l="1"/>
  <c r="AG425" i="14"/>
  <c r="AF423" i="14"/>
  <c r="AJ422" i="14"/>
  <c r="AH422" i="14"/>
  <c r="W425" i="14"/>
  <c r="X424" i="14"/>
  <c r="AL424" i="14"/>
  <c r="V425" i="14"/>
  <c r="Z424" i="14"/>
  <c r="AO421" i="14"/>
  <c r="AM421" i="14"/>
  <c r="AA423" i="14"/>
  <c r="AE422" i="14"/>
  <c r="AK422" i="14"/>
  <c r="AC422" i="14"/>
  <c r="AO422" i="14" l="1"/>
  <c r="AM422" i="14"/>
  <c r="AB426" i="14"/>
  <c r="AE423" i="14"/>
  <c r="AA424" i="14"/>
  <c r="AK423" i="14"/>
  <c r="AC423" i="14"/>
  <c r="Z425" i="14"/>
  <c r="V426" i="14"/>
  <c r="AL425" i="14"/>
  <c r="W426" i="14"/>
  <c r="X425" i="14"/>
  <c r="AF424" i="14"/>
  <c r="AJ423" i="14"/>
  <c r="AH423" i="14"/>
  <c r="AG426" i="14"/>
  <c r="AJ424" i="14" l="1"/>
  <c r="AF425" i="14"/>
  <c r="AH424" i="14"/>
  <c r="W427" i="14"/>
  <c r="AL426" i="14"/>
  <c r="X426" i="14"/>
  <c r="AO423" i="14"/>
  <c r="AM423" i="14"/>
  <c r="AG427" i="14"/>
  <c r="V427" i="14"/>
  <c r="Z426" i="14"/>
  <c r="AA425" i="14"/>
  <c r="AE424" i="14"/>
  <c r="AC424" i="14"/>
  <c r="AK424" i="14"/>
  <c r="AB427" i="14"/>
  <c r="AB428" i="14" l="1"/>
  <c r="AO424" i="14"/>
  <c r="AM424" i="14"/>
  <c r="AE425" i="14"/>
  <c r="AA426" i="14"/>
  <c r="AC425" i="14"/>
  <c r="AK425" i="14"/>
  <c r="Z427" i="14"/>
  <c r="V428" i="14"/>
  <c r="AG428" i="14"/>
  <c r="AL427" i="14"/>
  <c r="X427" i="14"/>
  <c r="W428" i="14"/>
  <c r="AF426" i="14"/>
  <c r="AJ425" i="14"/>
  <c r="AH425" i="14"/>
  <c r="AO425" i="14" l="1"/>
  <c r="AM425" i="14"/>
  <c r="AE426" i="14"/>
  <c r="AA427" i="14"/>
  <c r="AK426" i="14"/>
  <c r="AC426" i="14"/>
  <c r="AJ426" i="14"/>
  <c r="AF427" i="14"/>
  <c r="AH426" i="14"/>
  <c r="W429" i="14"/>
  <c r="X428" i="14"/>
  <c r="AL428" i="14"/>
  <c r="AG429" i="14"/>
  <c r="V429" i="14"/>
  <c r="Z428" i="14"/>
  <c r="AB429" i="14"/>
  <c r="AB430" i="14" l="1"/>
  <c r="Z429" i="14"/>
  <c r="V430" i="14"/>
  <c r="AG430" i="14"/>
  <c r="X429" i="14"/>
  <c r="AL429" i="14"/>
  <c r="W430" i="14"/>
  <c r="AF428" i="14"/>
  <c r="AJ427" i="14"/>
  <c r="AH427" i="14"/>
  <c r="AO426" i="14"/>
  <c r="AM426" i="14"/>
  <c r="AE427" i="14"/>
  <c r="AA428" i="14"/>
  <c r="AC427" i="14"/>
  <c r="AK427" i="14"/>
  <c r="AE428" i="14" l="1"/>
  <c r="AA429" i="14"/>
  <c r="AK428" i="14"/>
  <c r="AC428" i="14"/>
  <c r="AO427" i="14"/>
  <c r="AM427" i="14"/>
  <c r="AF429" i="14"/>
  <c r="AJ428" i="14"/>
  <c r="AH428" i="14"/>
  <c r="AL430" i="14"/>
  <c r="X430" i="14"/>
  <c r="W431" i="14"/>
  <c r="Z430" i="14"/>
  <c r="V431" i="14"/>
  <c r="AG431" i="14"/>
  <c r="AB431" i="14"/>
  <c r="AB432" i="14" l="1"/>
  <c r="AG432" i="14"/>
  <c r="V432" i="14"/>
  <c r="Z431" i="14"/>
  <c r="W432" i="14"/>
  <c r="X431" i="14"/>
  <c r="AL431" i="14"/>
  <c r="AF430" i="14"/>
  <c r="AJ429" i="14"/>
  <c r="AH429" i="14"/>
  <c r="AO428" i="14"/>
  <c r="AM428" i="14"/>
  <c r="AA430" i="14"/>
  <c r="AE429" i="14"/>
  <c r="AC429" i="14"/>
  <c r="AK429" i="14"/>
  <c r="AE430" i="14" l="1"/>
  <c r="AA431" i="14"/>
  <c r="AK430" i="14"/>
  <c r="AC430" i="14"/>
  <c r="AO429" i="14"/>
  <c r="AM429" i="14"/>
  <c r="AJ430" i="14"/>
  <c r="AF431" i="14"/>
  <c r="AH430" i="14"/>
  <c r="AL432" i="14"/>
  <c r="X432" i="14"/>
  <c r="W433" i="14"/>
  <c r="V433" i="14"/>
  <c r="Z432" i="14"/>
  <c r="AG433" i="14"/>
  <c r="AB433" i="14"/>
  <c r="V434" i="14" l="1"/>
  <c r="Z433" i="14"/>
  <c r="W434" i="14"/>
  <c r="AL433" i="14"/>
  <c r="X433" i="14"/>
  <c r="AB434" i="14"/>
  <c r="AG434" i="14"/>
  <c r="AF432" i="14"/>
  <c r="AJ431" i="14"/>
  <c r="AH431" i="14"/>
  <c r="AO430" i="14"/>
  <c r="AM430" i="14"/>
  <c r="AA432" i="14"/>
  <c r="AE431" i="14"/>
  <c r="AC431" i="14"/>
  <c r="AK431" i="14"/>
  <c r="AO431" i="14" l="1"/>
  <c r="AM431" i="14"/>
  <c r="AE432" i="14"/>
  <c r="AA433" i="14"/>
  <c r="AK432" i="14"/>
  <c r="AC432" i="14"/>
  <c r="AF433" i="14"/>
  <c r="AJ432" i="14"/>
  <c r="AH432" i="14"/>
  <c r="AG435" i="14"/>
  <c r="AB435" i="14"/>
  <c r="X434" i="14"/>
  <c r="W435" i="14"/>
  <c r="AL434" i="14"/>
  <c r="V435" i="14"/>
  <c r="Z434" i="14"/>
  <c r="V436" i="14" l="1"/>
  <c r="Z435" i="14"/>
  <c r="W436" i="14"/>
  <c r="X435" i="14"/>
  <c r="AL435" i="14"/>
  <c r="AB436" i="14"/>
  <c r="AG436" i="14"/>
  <c r="AJ433" i="14"/>
  <c r="AF434" i="14"/>
  <c r="AH433" i="14"/>
  <c r="AO432" i="14"/>
  <c r="AM432" i="14"/>
  <c r="AE433" i="14"/>
  <c r="AA434" i="14"/>
  <c r="AC433" i="14"/>
  <c r="AK433" i="14"/>
  <c r="AB437" i="14" l="1"/>
  <c r="AF435" i="14"/>
  <c r="AJ434" i="14"/>
  <c r="AH434" i="14"/>
  <c r="AG437" i="14"/>
  <c r="AO433" i="14"/>
  <c r="AM433" i="14"/>
  <c r="AE434" i="14"/>
  <c r="AA435" i="14"/>
  <c r="AC434" i="14"/>
  <c r="AK434" i="14"/>
  <c r="X436" i="14"/>
  <c r="W437" i="14"/>
  <c r="AL436" i="14"/>
  <c r="V437" i="14"/>
  <c r="Z436" i="14"/>
  <c r="AL437" i="14" l="1"/>
  <c r="W438" i="14"/>
  <c r="X437" i="14"/>
  <c r="AO434" i="14"/>
  <c r="AM434" i="14"/>
  <c r="Z437" i="14"/>
  <c r="V438" i="14"/>
  <c r="AA436" i="14"/>
  <c r="AE435" i="14"/>
  <c r="AK435" i="14"/>
  <c r="AC435" i="14"/>
  <c r="AG438" i="14"/>
  <c r="AF436" i="14"/>
  <c r="AJ435" i="14"/>
  <c r="AH435" i="14"/>
  <c r="AB438" i="14"/>
  <c r="AB439" i="14" l="1"/>
  <c r="AF437" i="14"/>
  <c r="AJ436" i="14"/>
  <c r="AH436" i="14"/>
  <c r="AG439" i="14"/>
  <c r="AO435" i="14"/>
  <c r="AM435" i="14"/>
  <c r="AA437" i="14"/>
  <c r="AE436" i="14"/>
  <c r="AC436" i="14"/>
  <c r="AK436" i="14"/>
  <c r="V439" i="14"/>
  <c r="Z438" i="14"/>
  <c r="W439" i="14"/>
  <c r="X438" i="14"/>
  <c r="AL438" i="14"/>
  <c r="AL439" i="14" l="1"/>
  <c r="X439" i="14"/>
  <c r="W440" i="14"/>
  <c r="V440" i="14"/>
  <c r="Z439" i="14"/>
  <c r="AO436" i="14"/>
  <c r="AM436" i="14"/>
  <c r="AA438" i="14"/>
  <c r="AE437" i="14"/>
  <c r="AK437" i="14"/>
  <c r="AC437" i="14"/>
  <c r="AG440" i="14"/>
  <c r="AB440" i="14"/>
  <c r="AF438" i="14"/>
  <c r="AJ437" i="14"/>
  <c r="AH437" i="14"/>
  <c r="AF439" i="14" l="1"/>
  <c r="AJ438" i="14"/>
  <c r="AH438" i="14"/>
  <c r="AO437" i="14"/>
  <c r="AM437" i="14"/>
  <c r="AE438" i="14"/>
  <c r="AA439" i="14"/>
  <c r="AC438" i="14"/>
  <c r="AK438" i="14"/>
  <c r="Z440" i="14"/>
  <c r="AL440" i="14"/>
  <c r="X440" i="14"/>
  <c r="AO438" i="14" l="1"/>
  <c r="AM438" i="14"/>
  <c r="AE439" i="14"/>
  <c r="AA440" i="14"/>
  <c r="AK439" i="14"/>
  <c r="AC439" i="14"/>
  <c r="AF440" i="14"/>
  <c r="AJ439" i="14"/>
  <c r="AH439" i="14"/>
  <c r="AJ440" i="14" l="1"/>
  <c r="AH440" i="14"/>
  <c r="AO439" i="14"/>
  <c r="AM439" i="14"/>
  <c r="AE440" i="14"/>
  <c r="AC440" i="14"/>
  <c r="AK440" i="14"/>
  <c r="AO440" i="14" l="1"/>
  <c r="AM440" i="14"/>
</calcChain>
</file>

<file path=xl/sharedStrings.xml><?xml version="1.0" encoding="utf-8"?>
<sst xmlns="http://schemas.openxmlformats.org/spreadsheetml/2006/main" count="16790" uniqueCount="8434">
  <si>
    <t>Date Solved</t>
  </si>
  <si>
    <t>Problem No</t>
  </si>
  <si>
    <t>Problem Title</t>
  </si>
  <si>
    <t>Difficulty</t>
  </si>
  <si>
    <t>Notes</t>
  </si>
  <si>
    <t>Solved First Time? (Y/N)</t>
  </si>
  <si>
    <t>Next Solve Date</t>
  </si>
  <si>
    <t>Next Solved Date</t>
  </si>
  <si>
    <t>IsProblemCompetent</t>
  </si>
  <si>
    <t>Average of Levels in Binary Tree</t>
  </si>
  <si>
    <t>Easy</t>
  </si>
  <si>
    <t>Y</t>
  </si>
  <si>
    <t>Minimum Depth of Binary Tree</t>
  </si>
  <si>
    <t>Clone Graph</t>
  </si>
  <si>
    <t>Medium</t>
  </si>
  <si>
    <t>Pacific Atlantic Water Flow</t>
  </si>
  <si>
    <t>Product of Array Except Self</t>
  </si>
  <si>
    <t>Number of Islands</t>
  </si>
  <si>
    <t>Graph Valid Tree</t>
  </si>
  <si>
    <t>Number of Connected Components in an Undirected Graph</t>
  </si>
  <si>
    <t>Course Schedule</t>
  </si>
  <si>
    <t>Minimum Height Trees</t>
  </si>
  <si>
    <t>Binary Tree Level Order Traversal II</t>
  </si>
  <si>
    <t>Binary Tree Level Order Traversal</t>
  </si>
  <si>
    <t>Binary Tree Zigzag Level Order Traversal</t>
  </si>
  <si>
    <t>Populating Next Right Pointers in Each Node</t>
  </si>
  <si>
    <t>Populating Next Right Pointers in Each Node II</t>
  </si>
  <si>
    <t>Binary Tree Right Side View</t>
  </si>
  <si>
    <t>All Nodes Distance K in Binary Tree</t>
  </si>
  <si>
    <t>BFS</t>
  </si>
  <si>
    <t>Backtracking</t>
  </si>
  <si>
    <t>Word Search</t>
  </si>
  <si>
    <t>Letter Case Permutation</t>
  </si>
  <si>
    <t>Subsets</t>
  </si>
  <si>
    <t>Subsets II</t>
  </si>
  <si>
    <t>Permutations</t>
  </si>
  <si>
    <t>Combinations</t>
  </si>
  <si>
    <t>Combination Sum</t>
  </si>
  <si>
    <t>Combination Sum II</t>
  </si>
  <si>
    <t>Combination Sum III</t>
  </si>
  <si>
    <t>Generate Parentheses</t>
  </si>
  <si>
    <t>Palindrome Partitioning</t>
  </si>
  <si>
    <t>Letter Combinations Of A Phone Number</t>
  </si>
  <si>
    <t>Generalized Abbreviation</t>
  </si>
  <si>
    <t xml:space="preserve">Sudoku Solver </t>
  </si>
  <si>
    <t>Hard</t>
  </si>
  <si>
    <t>N-Queens</t>
  </si>
  <si>
    <t>Binary Search</t>
  </si>
  <si>
    <t>Find Smallest Letter Greater Than Target</t>
  </si>
  <si>
    <t>Peak Index in a Mountain Array</t>
  </si>
  <si>
    <t>Find the Duplicate Number</t>
  </si>
  <si>
    <t>Kth Smallest Element in a Sorted Matrix</t>
  </si>
  <si>
    <t>Find Minimum in Rotated Sorted Array</t>
  </si>
  <si>
    <t>Find Peak Element</t>
  </si>
  <si>
    <t>Search in Rotated Sorted Array</t>
  </si>
  <si>
    <t>Search in Rotated Sorted Array II</t>
  </si>
  <si>
    <t>Search a 2D Matrix</t>
  </si>
  <si>
    <t>Search a 2D Matrix II</t>
  </si>
  <si>
    <t>Find K Closest Elements</t>
  </si>
  <si>
    <t>Count of Range Sum</t>
  </si>
  <si>
    <t>Median of Two Sorted Arrays</t>
  </si>
  <si>
    <t>Bit Manipulation</t>
  </si>
  <si>
    <t>Missing Number</t>
  </si>
  <si>
    <t>Single Number</t>
  </si>
  <si>
    <t>Bucket Sort</t>
  </si>
  <si>
    <t>Maximum Frequency Stack</t>
  </si>
  <si>
    <t>DFS</t>
  </si>
  <si>
    <t>Same Tree</t>
  </si>
  <si>
    <t>Diameter of Binary Tree</t>
  </si>
  <si>
    <t>Maximum Depth of Binary Tree</t>
  </si>
  <si>
    <t>Lowest Common Ancestor of a Binary Search Tree</t>
  </si>
  <si>
    <t>Subtree of Another Tree</t>
  </si>
  <si>
    <t>Invert Binary Tree</t>
  </si>
  <si>
    <t>Target Sum</t>
  </si>
  <si>
    <t>Kth Smallest Element in a BST</t>
  </si>
  <si>
    <t>Path Sum II</t>
  </si>
  <si>
    <t>Path Sum III</t>
  </si>
  <si>
    <t>Lowest Common Ancestor of a Binary Tree</t>
  </si>
  <si>
    <t>Maximum Binary Tree</t>
  </si>
  <si>
    <t>Maximum Width Of Binary Tree</t>
  </si>
  <si>
    <t>Construct Binary Tree from Preorder and Inorder Traversal</t>
  </si>
  <si>
    <t>Validate Binary Search Tree</t>
  </si>
  <si>
    <t>Binary Tree Maximum Path Sum</t>
  </si>
  <si>
    <t>Word Search II</t>
  </si>
  <si>
    <t>Sort Items by Groups Respecting Dependencies</t>
  </si>
  <si>
    <t>Design</t>
  </si>
  <si>
    <t>Implement Trie (Prefix Tree)</t>
  </si>
  <si>
    <t>Serialize and Deserialize Binary Tree</t>
  </si>
  <si>
    <t>Climbing Stairs</t>
  </si>
  <si>
    <t>Best Time to Buy and Sell Stock</t>
  </si>
  <si>
    <t>Maximum Subarray</t>
  </si>
  <si>
    <t>Range Sum Query - Immutable</t>
  </si>
  <si>
    <t>House Robber</t>
  </si>
  <si>
    <t>House Robber II</t>
  </si>
  <si>
    <t>Coin Change</t>
  </si>
  <si>
    <t>Maximum Product Subarray</t>
  </si>
  <si>
    <t>Longest Increasing Subsequence</t>
  </si>
  <si>
    <t>Longest Palindromic Substring</t>
  </si>
  <si>
    <t>Word Break</t>
  </si>
  <si>
    <t>Combination Sum IV</t>
  </si>
  <si>
    <t>Decode Ways</t>
  </si>
  <si>
    <t>Unique Paths</t>
  </si>
  <si>
    <t>Jump Game</t>
  </si>
  <si>
    <t>Palindromic Substrings</t>
  </si>
  <si>
    <t>Number of Longest Increasing Subsequence</t>
  </si>
  <si>
    <t>Partition Equal Subset Sum</t>
  </si>
  <si>
    <t>Partition to K Equal Sum Subsets</t>
  </si>
  <si>
    <t>Best Time to Buy and Sell Stock with Cooldown</t>
  </si>
  <si>
    <t>Counting Bits</t>
  </si>
  <si>
    <t>DP</t>
  </si>
  <si>
    <t>Fast_Slow Pointers</t>
  </si>
  <si>
    <t>Linked List Cycle</t>
  </si>
  <si>
    <t>Middle of the Linked List</t>
  </si>
  <si>
    <t>Palindrome Linked List</t>
  </si>
  <si>
    <t>Remove Linked List Elements</t>
  </si>
  <si>
    <t>Remove Duplicates from Sorted List</t>
  </si>
  <si>
    <t>Linked List Cycle II</t>
  </si>
  <si>
    <t>Add Two Numbers</t>
  </si>
  <si>
    <t>Remove Nth Node From End Of List</t>
  </si>
  <si>
    <t>Sort List</t>
  </si>
  <si>
    <t>Reorder List</t>
  </si>
  <si>
    <t>Graph</t>
  </si>
  <si>
    <t>Course Schedule II</t>
  </si>
  <si>
    <t>Sequence Reconstruction</t>
  </si>
  <si>
    <t>Alien Dictionary</t>
  </si>
  <si>
    <t>Greedy</t>
  </si>
  <si>
    <t>Task Scheduler</t>
  </si>
  <si>
    <t>Minimum Number of Arrows to Burst Balloons</t>
  </si>
  <si>
    <t>Reorganize String</t>
  </si>
  <si>
    <t>Employee Free Time</t>
  </si>
  <si>
    <t>Rearrange String k Distance Apart</t>
  </si>
  <si>
    <t>Course Schedule III</t>
  </si>
  <si>
    <t>Heap</t>
  </si>
  <si>
    <t>Find K Pairs with Smallest Sums</t>
  </si>
  <si>
    <t>Meeting Rooms II</t>
  </si>
  <si>
    <t>K Closest Points to Origin</t>
  </si>
  <si>
    <t>Top K Frequent Elements</t>
  </si>
  <si>
    <t>Sort Characters By Frequency</t>
  </si>
  <si>
    <t>Kth Largest Element in an Array</t>
  </si>
  <si>
    <t>Merge k Sorted Lists</t>
  </si>
  <si>
    <t>Smallest Range Covering Elements from K Lists</t>
  </si>
  <si>
    <t>Find Median from Data Stream</t>
  </si>
  <si>
    <t>Sliding Window Mean</t>
  </si>
  <si>
    <t>In-Place Reversal of LinkedList</t>
  </si>
  <si>
    <t>Reverse Linked List</t>
  </si>
  <si>
    <t>Reverse Linked List II</t>
  </si>
  <si>
    <t>Rotate List</t>
  </si>
  <si>
    <t>Swap Nodes in Pairs</t>
  </si>
  <si>
    <t>Odd Even Linked List</t>
  </si>
  <si>
    <t>Reverse Nodes in k-Group</t>
  </si>
  <si>
    <t>Intervals</t>
  </si>
  <si>
    <t>Meeting Rooms</t>
  </si>
  <si>
    <t>Merge Intervals</t>
  </si>
  <si>
    <t>Interval List Intersections</t>
  </si>
  <si>
    <t>Non-overlapping Intervals</t>
  </si>
  <si>
    <t>Insert Interval</t>
  </si>
  <si>
    <t>Sliding Window</t>
  </si>
  <si>
    <t>Minimum Size Subarray Sum</t>
  </si>
  <si>
    <t>Fruit Into Baskets</t>
  </si>
  <si>
    <t>Permutation in String</t>
  </si>
  <si>
    <t>Longest Repeating Character Replacement</t>
  </si>
  <si>
    <t>Longest Substring Without Repeating Characters</t>
  </si>
  <si>
    <t>Sliding Window Maximum</t>
  </si>
  <si>
    <t>Minimum Number of K Consecutive Bit Flips</t>
  </si>
  <si>
    <t>Count Unique Characters of All Substrings of a Given String</t>
  </si>
  <si>
    <t>Minimum Window Substring</t>
  </si>
  <si>
    <t>Substring with Concatenation of All Words</t>
  </si>
  <si>
    <t>Sorting</t>
  </si>
  <si>
    <t>Majority Element</t>
  </si>
  <si>
    <t>Trie</t>
  </si>
  <si>
    <t>Longest Word in Dictionary</t>
  </si>
  <si>
    <t>Index Pairs of a String</t>
  </si>
  <si>
    <t>Maximum XOR of Two Numbers in an Array</t>
  </si>
  <si>
    <t>Concatenated Words</t>
  </si>
  <si>
    <t>Prefix and Suffix Search</t>
  </si>
  <si>
    <t>Palindrome Pairs</t>
  </si>
  <si>
    <t>Word Squares</t>
  </si>
  <si>
    <t>Design AutoComplete System</t>
  </si>
  <si>
    <t xml:space="preserve">Two Pointers </t>
  </si>
  <si>
    <t>Merge Two Sorted Lists</t>
  </si>
  <si>
    <t>Two Sum</t>
  </si>
  <si>
    <t>Squares of a Sorted Array</t>
  </si>
  <si>
    <t>Backspace String Compare</t>
  </si>
  <si>
    <t>3 Sum</t>
  </si>
  <si>
    <t>3 Sum Closest</t>
  </si>
  <si>
    <t>Subarrays with Product Less than K</t>
  </si>
  <si>
    <t>Sort Colours</t>
  </si>
  <si>
    <t>Container With Most Water</t>
  </si>
  <si>
    <t>Trapping Rain Water</t>
  </si>
  <si>
    <t>Arrays</t>
  </si>
  <si>
    <t>Contains Duplicate</t>
  </si>
  <si>
    <t>Find All Numbers Disappeard in an Array</t>
  </si>
  <si>
    <t>Find All Duplicates in an Array</t>
  </si>
  <si>
    <t>Set Matrix Zeroes</t>
  </si>
  <si>
    <t>Spiral Matrix</t>
  </si>
  <si>
    <t>Rotate Image</t>
  </si>
  <si>
    <t>First Missing Positive</t>
  </si>
  <si>
    <t>Longest Consecutive Sequence</t>
  </si>
  <si>
    <t>Read N Characters Given Read4</t>
  </si>
  <si>
    <t>Read N Characters Given read4 II - Call Multiple Times</t>
  </si>
  <si>
    <t>Longest Substring with At Most Two Distinct Characters</t>
  </si>
  <si>
    <t>One Edit Distance</t>
  </si>
  <si>
    <t>Missing Ranges</t>
  </si>
  <si>
    <t>Two Sum III - Data structure design</t>
  </si>
  <si>
    <t>Reverse Words in a String II</t>
  </si>
  <si>
    <t>Shortest Word Distance</t>
  </si>
  <si>
    <t>Shortest Word Distance II</t>
  </si>
  <si>
    <t>Shortest Word Distance III</t>
  </si>
  <si>
    <t>Strobogrammatic Number II</t>
  </si>
  <si>
    <t>Group Shifted Strings</t>
  </si>
  <si>
    <t>Count Univalue Subtrees</t>
  </si>
  <si>
    <t>Flatten 2D Vector</t>
  </si>
  <si>
    <t>Factor Combinations</t>
  </si>
  <si>
    <t>Verify Preorder Sequence in Binary Search Tree</t>
  </si>
  <si>
    <t>Paint House</t>
  </si>
  <si>
    <t>3Sum Smaller</t>
  </si>
  <si>
    <t>Paint House II</t>
  </si>
  <si>
    <t>Palindrome Permutation</t>
  </si>
  <si>
    <t>Palindrome Permutation II</t>
  </si>
  <si>
    <t>Closest Binary Search Tree Value</t>
  </si>
  <si>
    <t>Encode and Decode Strings</t>
  </si>
  <si>
    <t>Closest Binary Search Tree Value II</t>
  </si>
  <si>
    <t>Paint Fence</t>
  </si>
  <si>
    <t>Find the Celebrity</t>
  </si>
  <si>
    <t>Wiggle Sort</t>
  </si>
  <si>
    <t>Zigzag Iterator</t>
  </si>
  <si>
    <t>Inorder Successor in BST</t>
  </si>
  <si>
    <t>Walls and Gates</t>
  </si>
  <si>
    <t>Word Pattern II</t>
  </si>
  <si>
    <t>Best Meeting Point</t>
  </si>
  <si>
    <t>Binary Tree Longest Consecutive Sequence</t>
  </si>
  <si>
    <t>Smallest Rectangle Enclosing Black Pixels</t>
  </si>
  <si>
    <t>Number of Islands II</t>
  </si>
  <si>
    <t>Range Sum Query 2D - Mutable</t>
  </si>
  <si>
    <t>Sparse Matrix Multiplication</t>
  </si>
  <si>
    <t>Binary Tree Vertical Order Traversal</t>
  </si>
  <si>
    <t>Shortest Distance from All Buildings</t>
  </si>
  <si>
    <t>Maximum Size Subarray Sum Equals k</t>
  </si>
  <si>
    <t>Largest BST Subtree</t>
  </si>
  <si>
    <t>Nested List Weight Sum</t>
  </si>
  <si>
    <t>Longest Substring with At Most K Distinct Characters</t>
  </si>
  <si>
    <t>Moving Average from Data Stream</t>
  </si>
  <si>
    <t>Design Tic-Tac-Toe</t>
  </si>
  <si>
    <t>Design Snake Game</t>
  </si>
  <si>
    <t>Logger Rate Limiter</t>
  </si>
  <si>
    <t>Sort Transformed Array</t>
  </si>
  <si>
    <t>Bomb Enemy</t>
  </si>
  <si>
    <t>Design Hit Counter</t>
  </si>
  <si>
    <t>Nested List Weight Sum II</t>
  </si>
  <si>
    <t>Find Leaves of Binary Tree</t>
  </si>
  <si>
    <t>Plus One Linked List</t>
  </si>
  <si>
    <t>Range Addition</t>
  </si>
  <si>
    <t>Valid Word Square</t>
  </si>
  <si>
    <t>Convert Binary Search Tree to Sorted Doubly Linked List</t>
  </si>
  <si>
    <t>Serialize and Deserialize N-ary Tree</t>
  </si>
  <si>
    <t>Encode N-ary Tree to Binary Tree</t>
  </si>
  <si>
    <t>Ternary Expression Parser</t>
  </si>
  <si>
    <t>Optimal Account Balancing</t>
  </si>
  <si>
    <t>Encode String with Shortest Length</t>
  </si>
  <si>
    <t>Find Permutation</t>
  </si>
  <si>
    <t>Max Consecutive Ones II</t>
  </si>
  <si>
    <t>Robot Room Cleaner</t>
  </si>
  <si>
    <t>The Maze</t>
  </si>
  <si>
    <t>The Maze III</t>
  </si>
  <si>
    <t>The Maze II</t>
  </si>
  <si>
    <t>Inorder Successor in BST II</t>
  </si>
  <si>
    <t>Word Abbreviation</t>
  </si>
  <si>
    <t>Lonely Pixel I</t>
  </si>
  <si>
    <t>Construct Binary Tree from String</t>
  </si>
  <si>
    <t>Boundary of Binary Tree</t>
  </si>
  <si>
    <t>Binary Tree Longest Consecutive Sequence II</t>
  </si>
  <si>
    <t>Longest Line of Consecutive One in Matrix</t>
  </si>
  <si>
    <t>Maximum Vacation Days</t>
  </si>
  <si>
    <t>Kill Process</t>
  </si>
  <si>
    <t>Design In-Memory File System</t>
  </si>
  <si>
    <t>Design Compressed String Iterator</t>
  </si>
  <si>
    <t>Add Bold Tag in String</t>
  </si>
  <si>
    <t>Maximum Distance in Arrays</t>
  </si>
  <si>
    <t>Design Excel Sum Formula</t>
  </si>
  <si>
    <t>Design Log Storage System</t>
  </si>
  <si>
    <t>Design Search Autocomplete System</t>
  </si>
  <si>
    <t>Maximum Average Subarray II</t>
  </si>
  <si>
    <t>4 Keys Keyboard</t>
  </si>
  <si>
    <t>Coin Path</t>
  </si>
  <si>
    <t>Number of Distinct Islands</t>
  </si>
  <si>
    <t>Search in a Sorted Array of Unknown Size</t>
  </si>
  <si>
    <t>Insert into a Sorted Circular Linked List</t>
  </si>
  <si>
    <t>Max Stack</t>
  </si>
  <si>
    <t>Candy Crush</t>
  </si>
  <si>
    <t>Minimum Window Subsequence</t>
  </si>
  <si>
    <t/>
  </si>
  <si>
    <t>Find All Numbers Disappeared in an Array</t>
  </si>
  <si>
    <t>Dynamic Programming</t>
  </si>
  <si>
    <t>Two Pointers</t>
  </si>
  <si>
    <t>Path Sum</t>
  </si>
  <si>
    <t>Merge Two Binary Trees</t>
  </si>
  <si>
    <t>Convert 1D Array Into 2D Array</t>
  </si>
  <si>
    <t>Move Zeroes</t>
  </si>
  <si>
    <t>Is Subsequence</t>
  </si>
  <si>
    <t>Binary Tree Paths</t>
  </si>
  <si>
    <t>Maximum Average Subarray I</t>
  </si>
  <si>
    <t>Permutations II</t>
  </si>
  <si>
    <t>Letter Combinations of a Phone Number</t>
  </si>
  <si>
    <t>Remove Nth Node From End of List</t>
  </si>
  <si>
    <t>Maximum Width of Binary Tree</t>
  </si>
  <si>
    <t>3Sum</t>
  </si>
  <si>
    <t>3Sum Closest</t>
  </si>
  <si>
    <t>Subarray Product Less Than K</t>
  </si>
  <si>
    <t>Sort Colors</t>
  </si>
  <si>
    <t>Split a String Into the Max Number of Unique Substrings</t>
  </si>
  <si>
    <t>Maximum Number of Vowels in a Substring of Given Length</t>
  </si>
  <si>
    <t>Max Consecutive Ones III</t>
  </si>
  <si>
    <t>Longest Subarray of 1's After Deleting One Element</t>
  </si>
  <si>
    <t>Sudoku Solver</t>
  </si>
  <si>
    <t>Sliding Window Median</t>
  </si>
  <si>
    <t>Math</t>
  </si>
  <si>
    <t>String</t>
  </si>
  <si>
    <t>Array</t>
  </si>
  <si>
    <t>Question Number</t>
  </si>
  <si>
    <t>Question title</t>
  </si>
  <si>
    <t>Question Link</t>
  </si>
  <si>
    <t>Accuracy</t>
  </si>
  <si>
    <t>Topics</t>
  </si>
  <si>
    <t>Premium</t>
  </si>
  <si>
    <t>Solution Available</t>
  </si>
  <si>
    <t>Has Video Solution</t>
  </si>
  <si>
    <t>https://leetcode.com/problems/two-sum</t>
  </si>
  <si>
    <t>48.795</t>
  </si>
  <si>
    <t>Array, Hash Table</t>
  </si>
  <si>
    <t>https://leetcode.com/problems/add-two-numbers</t>
  </si>
  <si>
    <t>39.001</t>
  </si>
  <si>
    <t>Linked List, Math, Recursion</t>
  </si>
  <si>
    <t>https://leetcode.com/problems/longest-substring-without-repeating-characters</t>
  </si>
  <si>
    <t>33.477</t>
  </si>
  <si>
    <t>Hash Table, String, Sliding Window</t>
  </si>
  <si>
    <t>https://leetcode.com/problems/median-of-two-sorted-arrays</t>
  </si>
  <si>
    <t>34.477</t>
  </si>
  <si>
    <t>Array, Binary Search, Divide and Conquer</t>
  </si>
  <si>
    <t>https://leetcode.com/problems/longest-palindromic-substring</t>
  </si>
  <si>
    <t>32.216</t>
  </si>
  <si>
    <t>String, Dynamic Programming</t>
  </si>
  <si>
    <t>Zigzag Conversion</t>
  </si>
  <si>
    <t>https://leetcode.com/problems/zigzag-conversion</t>
  </si>
  <si>
    <t>42.054</t>
  </si>
  <si>
    <t>Reverse Integer</t>
  </si>
  <si>
    <t>https://leetcode.com/problems/reverse-integer</t>
  </si>
  <si>
    <t>26.869</t>
  </si>
  <si>
    <t>String to Integer (atoi)</t>
  </si>
  <si>
    <t>https://leetcode.com/problems/string-to-integer-atoi</t>
  </si>
  <si>
    <t>16.567</t>
  </si>
  <si>
    <t>Palindrome Number</t>
  </si>
  <si>
    <t>https://leetcode.com/problems/palindrome-number</t>
  </si>
  <si>
    <t>52.584</t>
  </si>
  <si>
    <t>Regular Expression Matching</t>
  </si>
  <si>
    <t>https://leetcode.com/problems/regular-expression-matching</t>
  </si>
  <si>
    <t>28.269</t>
  </si>
  <si>
    <t>String, Dynamic Programming, Recursion</t>
  </si>
  <si>
    <t>https://leetcode.com/problems/container-with-most-water</t>
  </si>
  <si>
    <t>54.070</t>
  </si>
  <si>
    <t>Array, Two Pointers, Greedy</t>
  </si>
  <si>
    <t>Integer to Roman</t>
  </si>
  <si>
    <t>https://leetcode.com/problems/integer-to-roman</t>
  </si>
  <si>
    <t>59.857</t>
  </si>
  <si>
    <t>Hash Table, Math, String</t>
  </si>
  <si>
    <t>Roman to Integer</t>
  </si>
  <si>
    <t>https://leetcode.com/problems/roman-to-integer</t>
  </si>
  <si>
    <t>57.883</t>
  </si>
  <si>
    <t>Longest Common Prefix</t>
  </si>
  <si>
    <t>https://leetcode.com/problems/longest-common-prefix</t>
  </si>
  <si>
    <t>39.898</t>
  </si>
  <si>
    <t>https://leetcode.com/problems/3sum</t>
  </si>
  <si>
    <t>31.494</t>
  </si>
  <si>
    <t>Array, Two Pointers, Sorting</t>
  </si>
  <si>
    <t>https://leetcode.com/problems/3sum-closest</t>
  </si>
  <si>
    <t>46.772</t>
  </si>
  <si>
    <t>https://leetcode.com/problems/letter-combinations-of-a-phone-number</t>
  </si>
  <si>
    <t>54.678</t>
  </si>
  <si>
    <t>Hash Table, String, Backtracking</t>
  </si>
  <si>
    <t>4Sum</t>
  </si>
  <si>
    <t>https://leetcode.com/problems/4sum</t>
  </si>
  <si>
    <t>37.253</t>
  </si>
  <si>
    <t>https://leetcode.com/problems/remove-nth-node-from-end-of-list</t>
  </si>
  <si>
    <t>38.712</t>
  </si>
  <si>
    <t>Linked List, Two Pointers</t>
  </si>
  <si>
    <t>Valid Parentheses</t>
  </si>
  <si>
    <t>https://leetcode.com/problems/valid-parentheses</t>
  </si>
  <si>
    <t>40.852</t>
  </si>
  <si>
    <t>String, Stack</t>
  </si>
  <si>
    <t>https://leetcode.com/problems/merge-two-sorted-lists</t>
  </si>
  <si>
    <t>60.883</t>
  </si>
  <si>
    <t>Linked List, Recursion</t>
  </si>
  <si>
    <t>https://leetcode.com/problems/generate-parentheses</t>
  </si>
  <si>
    <t>70.734</t>
  </si>
  <si>
    <t>String, Dynamic Programming, Backtracking</t>
  </si>
  <si>
    <t>https://leetcode.com/problems/merge-k-sorted-lists</t>
  </si>
  <si>
    <t>47.536</t>
  </si>
  <si>
    <t>Linked List, Divide and Conquer, Heap (Priority Queue), Merge Sort</t>
  </si>
  <si>
    <t>https://leetcode.com/problems/swap-nodes-in-pairs</t>
  </si>
  <si>
    <t>59.317</t>
  </si>
  <si>
    <t>https://leetcode.com/problems/reverse-nodes-in-k-group</t>
  </si>
  <si>
    <t>51.949</t>
  </si>
  <si>
    <t>Remove Duplicates from Sorted Array</t>
  </si>
  <si>
    <t>https://leetcode.com/problems/remove-duplicates-from-sorted-array</t>
  </si>
  <si>
    <t>49.412</t>
  </si>
  <si>
    <t>Array, Two Pointers</t>
  </si>
  <si>
    <t>Remove Element</t>
  </si>
  <si>
    <t>https://leetcode.com/problems/remove-element</t>
  </si>
  <si>
    <t>51.533</t>
  </si>
  <si>
    <t>https://leetcode.com/problems/implement-strstr</t>
  </si>
  <si>
    <t>36.489</t>
  </si>
  <si>
    <t>Two Pointers, String, String Matching</t>
  </si>
  <si>
    <t>Divide Two Integers</t>
  </si>
  <si>
    <t>https://leetcode.com/problems/divide-two-integers</t>
  </si>
  <si>
    <t>17.486</t>
  </si>
  <si>
    <t>Math, Bit Manipulation</t>
  </si>
  <si>
    <t>https://leetcode.com/problems/substring-with-concatenation-of-all-words</t>
  </si>
  <si>
    <t>28.408</t>
  </si>
  <si>
    <t>Next Permutation</t>
  </si>
  <si>
    <t>https://leetcode.com/problems/next-permutation</t>
  </si>
  <si>
    <t>36.649</t>
  </si>
  <si>
    <t>Longest Valid Parentheses</t>
  </si>
  <si>
    <t>https://leetcode.com/problems/longest-valid-parentheses</t>
  </si>
  <si>
    <t>32.390</t>
  </si>
  <si>
    <t>String, Dynamic Programming, Stack</t>
  </si>
  <si>
    <t>https://leetcode.com/problems/search-in-rotated-sorted-array</t>
  </si>
  <si>
    <t>38.103</t>
  </si>
  <si>
    <t>Array, Binary Search</t>
  </si>
  <si>
    <t>Find First and Last Position of Element in Sorted Array</t>
  </si>
  <si>
    <t>https://leetcode.com/problems/find-first-and-last-position-of-element-in-sorted-array</t>
  </si>
  <si>
    <t>40.398</t>
  </si>
  <si>
    <t>Search Insert Position</t>
  </si>
  <si>
    <t>https://leetcode.com/problems/search-insert-position</t>
  </si>
  <si>
    <t>42.250</t>
  </si>
  <si>
    <t>Valid Sudoku</t>
  </si>
  <si>
    <t>https://leetcode.com/problems/valid-sudoku</t>
  </si>
  <si>
    <t>55.721</t>
  </si>
  <si>
    <t>Array, Hash Table, Matrix</t>
  </si>
  <si>
    <t>https://leetcode.com/problems/sudoku-solver</t>
  </si>
  <si>
    <t>55.027</t>
  </si>
  <si>
    <t>Array, Backtracking, Matrix</t>
  </si>
  <si>
    <t>Count and Say</t>
  </si>
  <si>
    <t>https://leetcode.com/problems/count-and-say</t>
  </si>
  <si>
    <t>49.097</t>
  </si>
  <si>
    <t>https://leetcode.com/problems/combination-sum</t>
  </si>
  <si>
    <t>66.309</t>
  </si>
  <si>
    <t>Array, Backtracking</t>
  </si>
  <si>
    <t>https://leetcode.com/problems/combination-sum-ii</t>
  </si>
  <si>
    <t>52.712</t>
  </si>
  <si>
    <t>https://leetcode.com/problems/first-missing-positive</t>
  </si>
  <si>
    <t>36.209</t>
  </si>
  <si>
    <t>https://leetcode.com/problems/trapping-rain-water</t>
  </si>
  <si>
    <t>57.196</t>
  </si>
  <si>
    <t>Array, Two Pointers, Dynamic Programming, Stack, Monotonic Stack</t>
  </si>
  <si>
    <t>Multiply Strings</t>
  </si>
  <si>
    <t>https://leetcode.com/problems/multiply-strings</t>
  </si>
  <si>
    <t>38.088</t>
  </si>
  <si>
    <t>Math, String, Simulation</t>
  </si>
  <si>
    <t>Wildcard Matching</t>
  </si>
  <si>
    <t>https://leetcode.com/problems/wildcard-matching</t>
  </si>
  <si>
    <t>26.661</t>
  </si>
  <si>
    <t>String, Dynamic Programming, Greedy, Recursion</t>
  </si>
  <si>
    <t>Jump Game II</t>
  </si>
  <si>
    <t>https://leetcode.com/problems/jump-game-ii</t>
  </si>
  <si>
    <t>37.700</t>
  </si>
  <si>
    <t>Array, Dynamic Programming, Greedy</t>
  </si>
  <si>
    <t>https://leetcode.com/problems/permutations</t>
  </si>
  <si>
    <t>73.193</t>
  </si>
  <si>
    <t>https://leetcode.com/problems/permutations-ii</t>
  </si>
  <si>
    <t>55.804</t>
  </si>
  <si>
    <t>https://leetcode.com/problems/rotate-image</t>
  </si>
  <si>
    <t>67.548</t>
  </si>
  <si>
    <t>Array, Math, Matrix</t>
  </si>
  <si>
    <t>Group Anagrams</t>
  </si>
  <si>
    <t>https://leetcode.com/problems/group-anagrams</t>
  </si>
  <si>
    <t>64.813</t>
  </si>
  <si>
    <t>Array, Hash Table, String, Sorting</t>
  </si>
  <si>
    <t>Pow(x, n)</t>
  </si>
  <si>
    <t>https://leetcode.com/problems/powx-n</t>
  </si>
  <si>
    <t>32.549</t>
  </si>
  <si>
    <t>Math, Recursion</t>
  </si>
  <si>
    <t>https://leetcode.com/problems/n-queens</t>
  </si>
  <si>
    <t>60.960</t>
  </si>
  <si>
    <t>N-Queens II</t>
  </si>
  <si>
    <t>https://leetcode.com/problems/n-queens-ii</t>
  </si>
  <si>
    <t>69.959</t>
  </si>
  <si>
    <t>https://leetcode.com/problems/maximum-subarray</t>
  </si>
  <si>
    <t>49.660</t>
  </si>
  <si>
    <t>Array, Divide and Conquer, Dynamic Programming</t>
  </si>
  <si>
    <t>https://leetcode.com/problems/spiral-matrix</t>
  </si>
  <si>
    <t>42.192</t>
  </si>
  <si>
    <t>Array, Matrix, Simulation</t>
  </si>
  <si>
    <t>https://leetcode.com/problems/jump-game</t>
  </si>
  <si>
    <t>38.078</t>
  </si>
  <si>
    <t>https://leetcode.com/problems/merge-intervals</t>
  </si>
  <si>
    <t>45.275</t>
  </si>
  <si>
    <t>Array, Sorting</t>
  </si>
  <si>
    <t>https://leetcode.com/problems/insert-interval</t>
  </si>
  <si>
    <t>37.629</t>
  </si>
  <si>
    <t>Length of Last Word</t>
  </si>
  <si>
    <t>https://leetcode.com/problems/length-of-last-word</t>
  </si>
  <si>
    <t>38.560</t>
  </si>
  <si>
    <t>Spiral Matrix II</t>
  </si>
  <si>
    <t>https://leetcode.com/problems/spiral-matrix-ii</t>
  </si>
  <si>
    <t>65.484</t>
  </si>
  <si>
    <t>Permutation Sequence</t>
  </si>
  <si>
    <t>https://leetcode.com/problems/permutation-sequence</t>
  </si>
  <si>
    <t>42.710</t>
  </si>
  <si>
    <t>https://leetcode.com/problems/rotate-list</t>
  </si>
  <si>
    <t>35.221</t>
  </si>
  <si>
    <t>https://leetcode.com/problems/unique-paths</t>
  </si>
  <si>
    <t>60.592</t>
  </si>
  <si>
    <t>Math, Dynamic Programming, Combinatorics</t>
  </si>
  <si>
    <t>Unique Paths II</t>
  </si>
  <si>
    <t>https://leetcode.com/problems/unique-paths-ii</t>
  </si>
  <si>
    <t>38.643</t>
  </si>
  <si>
    <t>Array, Dynamic Programming, Matrix</t>
  </si>
  <si>
    <t>Minimum Path Sum</t>
  </si>
  <si>
    <t>https://leetcode.com/problems/minimum-path-sum</t>
  </si>
  <si>
    <t>59.819</t>
  </si>
  <si>
    <t>Valid Number</t>
  </si>
  <si>
    <t>https://leetcode.com/problems/valid-number</t>
  </si>
  <si>
    <t>18.350</t>
  </si>
  <si>
    <t>Plus One</t>
  </si>
  <si>
    <t>https://leetcode.com/problems/plus-one</t>
  </si>
  <si>
    <t>43.078</t>
  </si>
  <si>
    <t>Array, Math</t>
  </si>
  <si>
    <t>Add Binary</t>
  </si>
  <si>
    <t>https://leetcode.com/problems/add-binary</t>
  </si>
  <si>
    <t>50.787</t>
  </si>
  <si>
    <t>Math, String, Bit Manipulation, Simulation</t>
  </si>
  <si>
    <t>Text Justification</t>
  </si>
  <si>
    <t>https://leetcode.com/problems/text-justification</t>
  </si>
  <si>
    <t>35.774</t>
  </si>
  <si>
    <t>Array, String, Simulation</t>
  </si>
  <si>
    <t>Sqrt(x)</t>
  </si>
  <si>
    <t>https://leetcode.com/problems/sqrtx</t>
  </si>
  <si>
    <t>36.690</t>
  </si>
  <si>
    <t>Math, Binary Search</t>
  </si>
  <si>
    <t>https://leetcode.com/problems/climbing-stairs</t>
  </si>
  <si>
    <t>51.349</t>
  </si>
  <si>
    <t>Math, Dynamic Programming, Memoization</t>
  </si>
  <si>
    <t>Simplify Path</t>
  </si>
  <si>
    <t>https://leetcode.com/problems/simplify-path</t>
  </si>
  <si>
    <t>38.985</t>
  </si>
  <si>
    <t>Edit Distance</t>
  </si>
  <si>
    <t>https://leetcode.com/problems/edit-distance</t>
  </si>
  <si>
    <t>51.506</t>
  </si>
  <si>
    <t>https://leetcode.com/problems/set-matrix-zeroes</t>
  </si>
  <si>
    <t>48.944</t>
  </si>
  <si>
    <t>https://leetcode.com/problems/search-a-2d-matrix</t>
  </si>
  <si>
    <t>45.368</t>
  </si>
  <si>
    <t>Array, Binary Search, Matrix</t>
  </si>
  <si>
    <t>https://leetcode.com/problems/sort-colors</t>
  </si>
  <si>
    <t>55.695</t>
  </si>
  <si>
    <t>https://leetcode.com/problems/minimum-window-substring</t>
  </si>
  <si>
    <t>39.375</t>
  </si>
  <si>
    <t>https://leetcode.com/problems/combinations</t>
  </si>
  <si>
    <t>64.790</t>
  </si>
  <si>
    <t>https://leetcode.com/problems/subsets</t>
  </si>
  <si>
    <t>72.296</t>
  </si>
  <si>
    <t>Array, Backtracking, Bit Manipulation</t>
  </si>
  <si>
    <t>https://leetcode.com/problems/word-search</t>
  </si>
  <si>
    <t>39.874</t>
  </si>
  <si>
    <t>Remove Duplicates from Sorted Array II</t>
  </si>
  <si>
    <t>https://leetcode.com/problems/remove-duplicates-from-sorted-array-ii</t>
  </si>
  <si>
    <t>50.872</t>
  </si>
  <si>
    <t>https://leetcode.com/problems/search-in-rotated-sorted-array-ii</t>
  </si>
  <si>
    <t>35.658</t>
  </si>
  <si>
    <t>Remove Duplicates from Sorted List II</t>
  </si>
  <si>
    <t>https://leetcode.com/problems/remove-duplicates-from-sorted-list-ii</t>
  </si>
  <si>
    <t>44.762</t>
  </si>
  <si>
    <t>https://leetcode.com/problems/remove-duplicates-from-sorted-list</t>
  </si>
  <si>
    <t>49.353</t>
  </si>
  <si>
    <t>Linked List</t>
  </si>
  <si>
    <t>Largest Rectangle in Histogram</t>
  </si>
  <si>
    <t>https://leetcode.com/problems/largest-rectangle-in-histogram</t>
  </si>
  <si>
    <t>41.268</t>
  </si>
  <si>
    <t>Array, Stack, Monotonic Stack</t>
  </si>
  <si>
    <t>Maximal Rectangle</t>
  </si>
  <si>
    <t>https://leetcode.com/problems/maximal-rectangle</t>
  </si>
  <si>
    <t>43.242</t>
  </si>
  <si>
    <t>Array, Dynamic Programming, Stack, Matrix, Monotonic Stack</t>
  </si>
  <si>
    <t>Partition List</t>
  </si>
  <si>
    <t>https://leetcode.com/problems/partition-list</t>
  </si>
  <si>
    <t>48.410</t>
  </si>
  <si>
    <t>Scramble String</t>
  </si>
  <si>
    <t>https://leetcode.com/problems/scramble-string</t>
  </si>
  <si>
    <t>35.789</t>
  </si>
  <si>
    <t>Merge Sorted Array</t>
  </si>
  <si>
    <t>https://leetcode.com/problems/merge-sorted-array</t>
  </si>
  <si>
    <t>44.992</t>
  </si>
  <si>
    <t>Gray Code</t>
  </si>
  <si>
    <t>https://leetcode.com/problems/gray-code</t>
  </si>
  <si>
    <t>55.709</t>
  </si>
  <si>
    <t>Math, Backtracking, Bit Manipulation</t>
  </si>
  <si>
    <t>https://leetcode.com/problems/subsets-ii</t>
  </si>
  <si>
    <t>54.050</t>
  </si>
  <si>
    <t>https://leetcode.com/problems/decode-ways</t>
  </si>
  <si>
    <t>30.694</t>
  </si>
  <si>
    <t>https://leetcode.com/problems/reverse-linked-list-ii</t>
  </si>
  <si>
    <t>43.715</t>
  </si>
  <si>
    <t>Restore IP Addresses</t>
  </si>
  <si>
    <t>https://leetcode.com/problems/restore-ip-addresses</t>
  </si>
  <si>
    <t>42.418</t>
  </si>
  <si>
    <t>String, Backtracking</t>
  </si>
  <si>
    <t>Binary Tree Inorder Traversal</t>
  </si>
  <si>
    <t>https://leetcode.com/problems/binary-tree-inorder-traversal</t>
  </si>
  <si>
    <t>71.380</t>
  </si>
  <si>
    <t>Stack, Tree, Depth-First Search, Binary Tree</t>
  </si>
  <si>
    <t>Unique Binary Search Trees II</t>
  </si>
  <si>
    <t>https://leetcode.com/problems/unique-binary-search-trees-ii</t>
  </si>
  <si>
    <t>50.225</t>
  </si>
  <si>
    <t>Dynamic Programming, Backtracking, Tree, Binary Search Tree, Binary Tree</t>
  </si>
  <si>
    <t>Unique Binary Search Trees</t>
  </si>
  <si>
    <t>https://leetcode.com/problems/unique-binary-search-trees</t>
  </si>
  <si>
    <t>58.653</t>
  </si>
  <si>
    <t>Math, Dynamic Programming, Tree, Binary Search Tree, Binary Tree</t>
  </si>
  <si>
    <t>Interleaving String</t>
  </si>
  <si>
    <t>https://leetcode.com/problems/interleaving-string</t>
  </si>
  <si>
    <t>35.070</t>
  </si>
  <si>
    <t>https://leetcode.com/problems/validate-binary-search-tree</t>
  </si>
  <si>
    <t>30.821</t>
  </si>
  <si>
    <t>Tree, Depth-First Search, Binary Search Tree, Binary Tree</t>
  </si>
  <si>
    <t>Recover Binary Search Tree</t>
  </si>
  <si>
    <t>https://leetcode.com/problems/recover-binary-search-tree</t>
  </si>
  <si>
    <t>49.252</t>
  </si>
  <si>
    <t>https://leetcode.com/problems/same-tree</t>
  </si>
  <si>
    <t>55.812</t>
  </si>
  <si>
    <t>Tree, Depth-First Search, Breadth-First Search, Binary Tree</t>
  </si>
  <si>
    <t>Symmetric Tree</t>
  </si>
  <si>
    <t>https://leetcode.com/problems/symmetric-tree</t>
  </si>
  <si>
    <t>52.061</t>
  </si>
  <si>
    <t>https://leetcode.com/problems/binary-tree-level-order-traversal</t>
  </si>
  <si>
    <t>61.553</t>
  </si>
  <si>
    <t>Tree, Breadth-First Search, Binary Tree</t>
  </si>
  <si>
    <t>https://leetcode.com/problems/binary-tree-zigzag-level-order-traversal</t>
  </si>
  <si>
    <t>54.158</t>
  </si>
  <si>
    <t>https://leetcode.com/problems/maximum-depth-of-binary-tree</t>
  </si>
  <si>
    <t>72.325</t>
  </si>
  <si>
    <t>https://leetcode.com/problems/construct-binary-tree-from-preorder-and-inorder-traversal</t>
  </si>
  <si>
    <t>58.453</t>
  </si>
  <si>
    <t>Array, Hash Table, Divide and Conquer, Tree, Binary Tree</t>
  </si>
  <si>
    <t>Construct Binary Tree from Inorder and Postorder Traversal</t>
  </si>
  <si>
    <t>https://leetcode.com/problems/construct-binary-tree-from-inorder-and-postorder-traversal</t>
  </si>
  <si>
    <t>56.082</t>
  </si>
  <si>
    <t>https://leetcode.com/problems/binary-tree-level-order-traversal-ii</t>
  </si>
  <si>
    <t>59.252</t>
  </si>
  <si>
    <t>Convert Sorted Array to Binary Search Tree</t>
  </si>
  <si>
    <t>https://leetcode.com/problems/convert-sorted-array-to-binary-search-tree</t>
  </si>
  <si>
    <t>66.738</t>
  </si>
  <si>
    <t>Array, Divide and Conquer, Tree, Binary Search Tree, Binary Tree</t>
  </si>
  <si>
    <t>Convert Sorted List to Binary Search Tree</t>
  </si>
  <si>
    <t>https://leetcode.com/problems/convert-sorted-list-to-binary-search-tree</t>
  </si>
  <si>
    <t>56.164</t>
  </si>
  <si>
    <t>Linked List, Divide and Conquer, Tree, Binary Search Tree, Binary Tree</t>
  </si>
  <si>
    <t>Balanced Binary Tree</t>
  </si>
  <si>
    <t>https://leetcode.com/problems/balanced-binary-tree</t>
  </si>
  <si>
    <t>47.275</t>
  </si>
  <si>
    <t>Tree, Depth-First Search, Binary Tree</t>
  </si>
  <si>
    <t>https://leetcode.com/problems/minimum-depth-of-binary-tree</t>
  </si>
  <si>
    <t>42.883</t>
  </si>
  <si>
    <t>https://leetcode.com/problems/path-sum</t>
  </si>
  <si>
    <t>45.993</t>
  </si>
  <si>
    <t>https://leetcode.com/problems/path-sum-ii</t>
  </si>
  <si>
    <t>54.584</t>
  </si>
  <si>
    <t>Backtracking, Tree, Depth-First Search, Binary Tree</t>
  </si>
  <si>
    <t>Flatten Binary Tree to Linked List</t>
  </si>
  <si>
    <t>https://leetcode.com/problems/flatten-binary-tree-to-linked-list</t>
  </si>
  <si>
    <t>58.541</t>
  </si>
  <si>
    <t>Linked List, Stack, Tree, Depth-First Search, Binary Tree</t>
  </si>
  <si>
    <t>Distinct Subsequences</t>
  </si>
  <si>
    <t>https://leetcode.com/problems/distinct-subsequences</t>
  </si>
  <si>
    <t>42.763</t>
  </si>
  <si>
    <t>https://leetcode.com/problems/populating-next-right-pointers-in-each-node</t>
  </si>
  <si>
    <t>58.021</t>
  </si>
  <si>
    <t>Linked List, Tree, Depth-First Search, Breadth-First Search, Binary Tree</t>
  </si>
  <si>
    <t>https://leetcode.com/problems/populating-next-right-pointers-in-each-node-ii</t>
  </si>
  <si>
    <t>48.805</t>
  </si>
  <si>
    <t>Pascal's Triangle</t>
  </si>
  <si>
    <t>https://leetcode.com/problems/pascals-triangle</t>
  </si>
  <si>
    <t>65.950</t>
  </si>
  <si>
    <t>Array, Dynamic Programming</t>
  </si>
  <si>
    <t>Pascal's Triangle II</t>
  </si>
  <si>
    <t>https://leetcode.com/problems/pascals-triangle-ii</t>
  </si>
  <si>
    <t>58.277</t>
  </si>
  <si>
    <t>Triangle</t>
  </si>
  <si>
    <t>https://leetcode.com/problems/triangle</t>
  </si>
  <si>
    <t>52.925</t>
  </si>
  <si>
    <t>https://leetcode.com/problems/best-time-to-buy-and-sell-stock</t>
  </si>
  <si>
    <t>54.297</t>
  </si>
  <si>
    <t>Best Time to Buy and Sell Stock II</t>
  </si>
  <si>
    <t>https://leetcode.com/problems/best-time-to-buy-and-sell-stock-ii</t>
  </si>
  <si>
    <t>62.466</t>
  </si>
  <si>
    <t>Best Time to Buy and Sell Stock III</t>
  </si>
  <si>
    <t>https://leetcode.com/problems/best-time-to-buy-and-sell-stock-iii</t>
  </si>
  <si>
    <t>43.711</t>
  </si>
  <si>
    <t>https://leetcode.com/problems/binary-tree-maximum-path-sum</t>
  </si>
  <si>
    <t>37.922</t>
  </si>
  <si>
    <t>Dynamic Programming, Tree, Depth-First Search, Binary Tree</t>
  </si>
  <si>
    <t>Valid Palindrome</t>
  </si>
  <si>
    <t>https://leetcode.com/problems/valid-palindrome</t>
  </si>
  <si>
    <t>42.375</t>
  </si>
  <si>
    <t>Two Pointers, String</t>
  </si>
  <si>
    <t>Word Ladder II</t>
  </si>
  <si>
    <t>https://leetcode.com/problems/word-ladder-ii</t>
  </si>
  <si>
    <t>27.143</t>
  </si>
  <si>
    <t>Hash Table, String, Backtracking, Breadth-First Search</t>
  </si>
  <si>
    <t>Word Ladder</t>
  </si>
  <si>
    <t>https://leetcode.com/problems/word-ladder</t>
  </si>
  <si>
    <t>35.840</t>
  </si>
  <si>
    <t>Hash Table, String, Breadth-First Search</t>
  </si>
  <si>
    <t>https://leetcode.com/problems/longest-consecutive-sequence</t>
  </si>
  <si>
    <t>49.053</t>
  </si>
  <si>
    <t>Array, Hash Table, Union Find</t>
  </si>
  <si>
    <t>Sum Root to Leaf Numbers</t>
  </si>
  <si>
    <t>https://leetcode.com/problems/sum-root-to-leaf-numbers</t>
  </si>
  <si>
    <t>57.573</t>
  </si>
  <si>
    <t>Surrounded Regions</t>
  </si>
  <si>
    <t>https://leetcode.com/problems/surrounded-regions</t>
  </si>
  <si>
    <t>34.670</t>
  </si>
  <si>
    <t>Array, Depth-First Search, Breadth-First Search, Union Find, Matrix</t>
  </si>
  <si>
    <t>https://leetcode.com/problems/palindrome-partitioning</t>
  </si>
  <si>
    <t>60.571</t>
  </si>
  <si>
    <t>Palindrome Partitioning II</t>
  </si>
  <si>
    <t>https://leetcode.com/problems/palindrome-partitioning-ii</t>
  </si>
  <si>
    <t>33.323</t>
  </si>
  <si>
    <t>https://leetcode.com/problems/clone-graph</t>
  </si>
  <si>
    <t>48.813</t>
  </si>
  <si>
    <t>Hash Table, Depth-First Search, Breadth-First Search, Graph</t>
  </si>
  <si>
    <t>Gas Station</t>
  </si>
  <si>
    <t>https://leetcode.com/problems/gas-station</t>
  </si>
  <si>
    <t>44.625</t>
  </si>
  <si>
    <t>Array, Greedy</t>
  </si>
  <si>
    <t>Candy</t>
  </si>
  <si>
    <t>https://leetcode.com/problems/candy</t>
  </si>
  <si>
    <t>40.005</t>
  </si>
  <si>
    <t>https://leetcode.com/problems/single-number</t>
  </si>
  <si>
    <t>69.653</t>
  </si>
  <si>
    <t>Array, Bit Manipulation</t>
  </si>
  <si>
    <t>Single Number II</t>
  </si>
  <si>
    <t>https://leetcode.com/problems/single-number-ii</t>
  </si>
  <si>
    <t>56.988</t>
  </si>
  <si>
    <t>Copy List with Random Pointer</t>
  </si>
  <si>
    <t>https://leetcode.com/problems/copy-list-with-random-pointer</t>
  </si>
  <si>
    <t>48.991</t>
  </si>
  <si>
    <t>Hash Table, Linked List</t>
  </si>
  <si>
    <t>https://leetcode.com/problems/word-break</t>
  </si>
  <si>
    <t>44.867</t>
  </si>
  <si>
    <t>Hash Table, String, Dynamic Programming, Trie, Memoization</t>
  </si>
  <si>
    <t>Word Break II</t>
  </si>
  <si>
    <t>https://leetcode.com/problems/word-break-ii</t>
  </si>
  <si>
    <t>42.887</t>
  </si>
  <si>
    <t>Hash Table, String, Dynamic Programming, Backtracking, Trie, Memoization</t>
  </si>
  <si>
    <t>https://leetcode.com/problems/linked-list-cycle</t>
  </si>
  <si>
    <t>46.254</t>
  </si>
  <si>
    <t>Hash Table, Linked List, Two Pointers</t>
  </si>
  <si>
    <t>https://leetcode.com/problems/linked-list-cycle-ii</t>
  </si>
  <si>
    <t>44.922</t>
  </si>
  <si>
    <t>https://leetcode.com/problems/reorder-list</t>
  </si>
  <si>
    <t>49.072</t>
  </si>
  <si>
    <t>Linked List, Two Pointers, Stack, Recursion</t>
  </si>
  <si>
    <t>Binary Tree Preorder Traversal</t>
  </si>
  <si>
    <t>https://leetcode.com/problems/binary-tree-preorder-traversal</t>
  </si>
  <si>
    <t>63.283</t>
  </si>
  <si>
    <t>Binary Tree Postorder Traversal</t>
  </si>
  <si>
    <t>https://leetcode.com/problems/binary-tree-postorder-traversal</t>
  </si>
  <si>
    <t>65.004</t>
  </si>
  <si>
    <t>LRU Cache</t>
  </si>
  <si>
    <t>https://leetcode.com/problems/lru-cache</t>
  </si>
  <si>
    <t>40.221</t>
  </si>
  <si>
    <t>Hash Table, Linked List, Design, Doubly-Linked List</t>
  </si>
  <si>
    <t>Insertion Sort List</t>
  </si>
  <si>
    <t>https://leetcode.com/problems/insertion-sort-list</t>
  </si>
  <si>
    <t>49.300</t>
  </si>
  <si>
    <t>Linked List, Sorting</t>
  </si>
  <si>
    <t>https://leetcode.com/problems/sort-list</t>
  </si>
  <si>
    <t>52.752</t>
  </si>
  <si>
    <t>Linked List, Two Pointers, Divide and Conquer, Sorting, Merge Sort</t>
  </si>
  <si>
    <t>Max Points on a Line</t>
  </si>
  <si>
    <t>https://leetcode.com/problems/max-points-on-a-line</t>
  </si>
  <si>
    <t>20.966</t>
  </si>
  <si>
    <t>Array, Hash Table, Math, Geometry</t>
  </si>
  <si>
    <t>Evaluate Reverse Polish Notation</t>
  </si>
  <si>
    <t>https://leetcode.com/problems/evaluate-reverse-polish-notation</t>
  </si>
  <si>
    <t>43.339</t>
  </si>
  <si>
    <t>Array, Math, Stack</t>
  </si>
  <si>
    <t>Reverse Words in a String</t>
  </si>
  <si>
    <t>https://leetcode.com/problems/reverse-words-in-a-string</t>
  </si>
  <si>
    <t>29.138</t>
  </si>
  <si>
    <t>https://leetcode.com/problems/maximum-product-subarray</t>
  </si>
  <si>
    <t>34.673</t>
  </si>
  <si>
    <t>https://leetcode.com/problems/find-minimum-in-rotated-sorted-array</t>
  </si>
  <si>
    <t>48.140</t>
  </si>
  <si>
    <t>Find Minimum in Rotated Sorted Array II</t>
  </si>
  <si>
    <t>https://leetcode.com/problems/find-minimum-in-rotated-sorted-array-ii</t>
  </si>
  <si>
    <t>43.295</t>
  </si>
  <si>
    <t>Min Stack</t>
  </si>
  <si>
    <t>https://leetcode.com/problems/min-stack</t>
  </si>
  <si>
    <t>50.817</t>
  </si>
  <si>
    <t>Stack, Design</t>
  </si>
  <si>
    <t>Binary Tree Upside Down</t>
  </si>
  <si>
    <t>https://leetcode.com/problems/binary-tree-upside-down</t>
  </si>
  <si>
    <t>61.039</t>
  </si>
  <si>
    <t>https://leetcode.com/problems/read-n-characters-given-read4</t>
  </si>
  <si>
    <t>40.509</t>
  </si>
  <si>
    <t>String, Simulation, Interactive</t>
  </si>
  <si>
    <t>https://leetcode.com/problems/read-n-characters-given-read4-ii-call-multiple-times</t>
  </si>
  <si>
    <t>41.124</t>
  </si>
  <si>
    <t>https://leetcode.com/problems/longest-substring-with-at-most-two-distinct-characters</t>
  </si>
  <si>
    <t>52.916</t>
  </si>
  <si>
    <t>Intersection of Two Linked Lists</t>
  </si>
  <si>
    <t>https://leetcode.com/problems/intersection-of-two-linked-lists</t>
  </si>
  <si>
    <t>51.831</t>
  </si>
  <si>
    <t>https://leetcode.com/problems/one-edit-distance</t>
  </si>
  <si>
    <t>34.015</t>
  </si>
  <si>
    <t>https://leetcode.com/problems/find-peak-element</t>
  </si>
  <si>
    <t>46.055</t>
  </si>
  <si>
    <t>https://leetcode.com/problems/missing-ranges</t>
  </si>
  <si>
    <t>31.498</t>
  </si>
  <si>
    <t>Maximum Gap</t>
  </si>
  <si>
    <t>https://leetcode.com/problems/maximum-gap</t>
  </si>
  <si>
    <t>41.835</t>
  </si>
  <si>
    <t>Array, Sorting, Bucket Sort, Radix Sort</t>
  </si>
  <si>
    <t>Compare Version Numbers</t>
  </si>
  <si>
    <t>https://leetcode.com/problems/compare-version-numbers</t>
  </si>
  <si>
    <t>34.841</t>
  </si>
  <si>
    <t>Fraction to Recurring Decimal</t>
  </si>
  <si>
    <t>https://leetcode.com/problems/fraction-to-recurring-decimal</t>
  </si>
  <si>
    <t>23.762</t>
  </si>
  <si>
    <t>Two Sum II - Input Array Is Sorted</t>
  </si>
  <si>
    <t>https://leetcode.com/problems/two-sum-ii-input-array-is-sorted</t>
  </si>
  <si>
    <t>59.697</t>
  </si>
  <si>
    <t>Array, Two Pointers, Binary Search</t>
  </si>
  <si>
    <t>Excel Sheet Column Title</t>
  </si>
  <si>
    <t>https://leetcode.com/problems/excel-sheet-column-title</t>
  </si>
  <si>
    <t>34.239</t>
  </si>
  <si>
    <t>Math, String</t>
  </si>
  <si>
    <t>https://leetcode.com/problems/majority-element</t>
  </si>
  <si>
    <t>63.308</t>
  </si>
  <si>
    <t>Array, Hash Table, Divide and Conquer, Sorting, Counting</t>
  </si>
  <si>
    <t>https://leetcode.com/problems/two-sum-iii-data-structure-design</t>
  </si>
  <si>
    <t>36.946</t>
  </si>
  <si>
    <t>Array, Hash Table, Two Pointers, Design, Data Stream</t>
  </si>
  <si>
    <t>Excel Sheet Column Number</t>
  </si>
  <si>
    <t>https://leetcode.com/problems/excel-sheet-column-number</t>
  </si>
  <si>
    <t>60.898</t>
  </si>
  <si>
    <t>Factorial Trailing Zeroes</t>
  </si>
  <si>
    <t>https://leetcode.com/problems/factorial-trailing-zeroes</t>
  </si>
  <si>
    <t>41.104</t>
  </si>
  <si>
    <t>Binary Search Tree Iterator</t>
  </si>
  <si>
    <t>https://leetcode.com/problems/binary-search-tree-iterator</t>
  </si>
  <si>
    <t>67.880</t>
  </si>
  <si>
    <t>Stack, Tree, Design, Binary Search Tree, Binary Tree, Iterator</t>
  </si>
  <si>
    <t>Dungeon Game</t>
  </si>
  <si>
    <t>https://leetcode.com/problems/dungeon-game</t>
  </si>
  <si>
    <t>36.790</t>
  </si>
  <si>
    <t>Combine Two Tables</t>
  </si>
  <si>
    <t>https://leetcode.com/problems/combine-two-tables</t>
  </si>
  <si>
    <t>71.121</t>
  </si>
  <si>
    <t>Database</t>
  </si>
  <si>
    <t>Second Highest Salary</t>
  </si>
  <si>
    <t>https://leetcode.com/problems/second-highest-salary</t>
  </si>
  <si>
    <t>35.688</t>
  </si>
  <si>
    <t>Nth Highest Salary</t>
  </si>
  <si>
    <t>https://leetcode.com/problems/nth-highest-salary</t>
  </si>
  <si>
    <t>36.505</t>
  </si>
  <si>
    <t>Rank Scores</t>
  </si>
  <si>
    <t>https://leetcode.com/problems/rank-scores</t>
  </si>
  <si>
    <t>58.252</t>
  </si>
  <si>
    <t>Largest Number</t>
  </si>
  <si>
    <t>https://leetcode.com/problems/largest-number</t>
  </si>
  <si>
    <t>33.275</t>
  </si>
  <si>
    <t>String, Greedy, Sorting</t>
  </si>
  <si>
    <t>Consecutive Numbers</t>
  </si>
  <si>
    <t>https://leetcode.com/problems/consecutive-numbers</t>
  </si>
  <si>
    <t>46.001</t>
  </si>
  <si>
    <t>Employees Earning More Than Their Managers</t>
  </si>
  <si>
    <t>https://leetcode.com/problems/employees-earning-more-than-their-managers</t>
  </si>
  <si>
    <t>67.085</t>
  </si>
  <si>
    <t>Duplicate Emails</t>
  </si>
  <si>
    <t>https://leetcode.com/problems/duplicate-emails</t>
  </si>
  <si>
    <t>69.533</t>
  </si>
  <si>
    <t>Customers Who Never Order</t>
  </si>
  <si>
    <t>https://leetcode.com/problems/customers-who-never-order</t>
  </si>
  <si>
    <t>65.125</t>
  </si>
  <si>
    <t>Department Highest Salary</t>
  </si>
  <si>
    <t>https://leetcode.com/problems/department-highest-salary</t>
  </si>
  <si>
    <t>47.887</t>
  </si>
  <si>
    <t>Department Top Three Salaries</t>
  </si>
  <si>
    <t>https://leetcode.com/problems/department-top-three-salaries</t>
  </si>
  <si>
    <t>48.202</t>
  </si>
  <si>
    <t>https://leetcode.com/problems/reverse-words-in-a-string-ii</t>
  </si>
  <si>
    <t>51.544</t>
  </si>
  <si>
    <t>Repeated DNA Sequences</t>
  </si>
  <si>
    <t>https://leetcode.com/problems/repeated-dna-sequences</t>
  </si>
  <si>
    <t>45.278</t>
  </si>
  <si>
    <t>Hash Table, String, Bit Manipulation, Sliding Window, Rolling Hash, Hash Function</t>
  </si>
  <si>
    <t>Best Time to Buy and Sell Stock IV</t>
  </si>
  <si>
    <t>https://leetcode.com/problems/best-time-to-buy-and-sell-stock-iv</t>
  </si>
  <si>
    <t>34.390</t>
  </si>
  <si>
    <t>Rotate Array</t>
  </si>
  <si>
    <t>https://leetcode.com/problems/rotate-array</t>
  </si>
  <si>
    <t>38.792</t>
  </si>
  <si>
    <t>Array, Math, Two Pointers</t>
  </si>
  <si>
    <t>Reverse Bits</t>
  </si>
  <si>
    <t>https://leetcode.com/problems/reverse-bits</t>
  </si>
  <si>
    <t>50.091</t>
  </si>
  <si>
    <t>Divide and Conquer, Bit Manipulation</t>
  </si>
  <si>
    <t>Number of 1 Bits</t>
  </si>
  <si>
    <t>https://leetcode.com/problems/number-of-1-bits</t>
  </si>
  <si>
    <t>62.761</t>
  </si>
  <si>
    <t>Word Frequency</t>
  </si>
  <si>
    <t>https://leetcode.com/problems/word-frequency</t>
  </si>
  <si>
    <t>25.640</t>
  </si>
  <si>
    <t>Shell</t>
  </si>
  <si>
    <t>Valid Phone Numbers</t>
  </si>
  <si>
    <t>https://leetcode.com/problems/valid-phone-numbers</t>
  </si>
  <si>
    <t>25.815</t>
  </si>
  <si>
    <t>Transpose File</t>
  </si>
  <si>
    <t>https://leetcode.com/problems/transpose-file</t>
  </si>
  <si>
    <t>25.135</t>
  </si>
  <si>
    <t>Tenth Line</t>
  </si>
  <si>
    <t>https://leetcode.com/problems/tenth-line</t>
  </si>
  <si>
    <t>32.843</t>
  </si>
  <si>
    <t>Delete Duplicate Emails</t>
  </si>
  <si>
    <t>https://leetcode.com/problems/delete-duplicate-emails</t>
  </si>
  <si>
    <t>54.854</t>
  </si>
  <si>
    <t>Rising Temperature</t>
  </si>
  <si>
    <t>https://leetcode.com/problems/rising-temperature</t>
  </si>
  <si>
    <t>43.256</t>
  </si>
  <si>
    <t>https://leetcode.com/problems/house-robber</t>
  </si>
  <si>
    <t>47.746</t>
  </si>
  <si>
    <t>https://leetcode.com/problems/binary-tree-right-side-view</t>
  </si>
  <si>
    <t>59.979</t>
  </si>
  <si>
    <t>https://leetcode.com/problems/number-of-islands</t>
  </si>
  <si>
    <t>54.603</t>
  </si>
  <si>
    <t>Bitwise AND of Numbers Range</t>
  </si>
  <si>
    <t>https://leetcode.com/problems/bitwise-and-of-numbers-range</t>
  </si>
  <si>
    <t>41.970</t>
  </si>
  <si>
    <t>Happy Number</t>
  </si>
  <si>
    <t>https://leetcode.com/problems/happy-number</t>
  </si>
  <si>
    <t>53.645</t>
  </si>
  <si>
    <t>Hash Table, Math, Two Pointers</t>
  </si>
  <si>
    <t>https://leetcode.com/problems/remove-linked-list-elements</t>
  </si>
  <si>
    <t>43.962</t>
  </si>
  <si>
    <t>Count Primes</t>
  </si>
  <si>
    <t>https://leetcode.com/problems/count-primes</t>
  </si>
  <si>
    <t>33.021</t>
  </si>
  <si>
    <t>Array, Math, Enumeration, Number Theory</t>
  </si>
  <si>
    <t>Isomorphic Strings</t>
  </si>
  <si>
    <t>https://leetcode.com/problems/isomorphic-strings</t>
  </si>
  <si>
    <t>42.252</t>
  </si>
  <si>
    <t>Hash Table, String</t>
  </si>
  <si>
    <t>https://leetcode.com/problems/reverse-linked-list</t>
  </si>
  <si>
    <t>71.042</t>
  </si>
  <si>
    <t>https://leetcode.com/problems/course-schedule</t>
  </si>
  <si>
    <t>45.167</t>
  </si>
  <si>
    <t>Depth-First Search, Breadth-First Search, Graph, Topological Sort</t>
  </si>
  <si>
    <t>https://leetcode.com/problems/implement-trie-prefix-tree</t>
  </si>
  <si>
    <t>59.158</t>
  </si>
  <si>
    <t>Hash Table, String, Design, Trie</t>
  </si>
  <si>
    <t>https://leetcode.com/problems/minimum-size-subarray-sum</t>
  </si>
  <si>
    <t>43.871</t>
  </si>
  <si>
    <t>Array, Binary Search, Sliding Window, Prefix Sum</t>
  </si>
  <si>
    <t>https://leetcode.com/problems/course-schedule-ii</t>
  </si>
  <si>
    <t>47.074</t>
  </si>
  <si>
    <t>Design Add and Search Words Data Structure</t>
  </si>
  <si>
    <t>https://leetcode.com/problems/design-add-and-search-words-data-structure</t>
  </si>
  <si>
    <t>43.791</t>
  </si>
  <si>
    <t>String, Depth-First Search, Design, Trie</t>
  </si>
  <si>
    <t>https://leetcode.com/problems/word-search-ii</t>
  </si>
  <si>
    <t>37.537</t>
  </si>
  <si>
    <t>Array, String, Backtracking, Trie, Matrix</t>
  </si>
  <si>
    <t>https://leetcode.com/problems/house-robber-ii</t>
  </si>
  <si>
    <t>40.199</t>
  </si>
  <si>
    <t>Shortest Palindrome</t>
  </si>
  <si>
    <t>https://leetcode.com/problems/shortest-palindrome</t>
  </si>
  <si>
    <t>31.916</t>
  </si>
  <si>
    <t>String, Rolling Hash, String Matching, Hash Function</t>
  </si>
  <si>
    <t>https://leetcode.com/problems/kth-largest-element-in-an-array</t>
  </si>
  <si>
    <t>64.859</t>
  </si>
  <si>
    <t>Array, Divide and Conquer, Sorting, Heap (Priority Queue), Quickselect</t>
  </si>
  <si>
    <t>https://leetcode.com/problems/combination-sum-iii</t>
  </si>
  <si>
    <t>66.360</t>
  </si>
  <si>
    <t>https://leetcode.com/problems/contains-duplicate</t>
  </si>
  <si>
    <t>61.029</t>
  </si>
  <si>
    <t>Array, Hash Table, Sorting</t>
  </si>
  <si>
    <t>The Skyline Problem</t>
  </si>
  <si>
    <t>https://leetcode.com/problems/the-skyline-problem</t>
  </si>
  <si>
    <t>39.003</t>
  </si>
  <si>
    <t>Array, Divide and Conquer, Binary Indexed Tree, Segment Tree, Line Sweep, Heap (Priority Queue), Ordered Set</t>
  </si>
  <si>
    <t>Contains Duplicate II</t>
  </si>
  <si>
    <t>https://leetcode.com/problems/contains-duplicate-ii</t>
  </si>
  <si>
    <t>40.781</t>
  </si>
  <si>
    <t>Array, Hash Table, Sliding Window</t>
  </si>
  <si>
    <t>Contains Duplicate III</t>
  </si>
  <si>
    <t>https://leetcode.com/problems/contains-duplicate-iii</t>
  </si>
  <si>
    <t>21.713</t>
  </si>
  <si>
    <t>Array, Sliding Window, Sorting, Bucket Sort, Ordered Set</t>
  </si>
  <si>
    <t>Maximal Square</t>
  </si>
  <si>
    <t>https://leetcode.com/problems/maximal-square</t>
  </si>
  <si>
    <t>43.809</t>
  </si>
  <si>
    <t>Count Complete Tree Nodes</t>
  </si>
  <si>
    <t>https://leetcode.com/problems/count-complete-tree-nodes</t>
  </si>
  <si>
    <t>56.083</t>
  </si>
  <si>
    <t>Binary Search, Tree, Depth-First Search, Binary Tree</t>
  </si>
  <si>
    <t>Rectangle Area</t>
  </si>
  <si>
    <t>https://leetcode.com/problems/rectangle-area</t>
  </si>
  <si>
    <t>40.370</t>
  </si>
  <si>
    <t>Math, Geometry</t>
  </si>
  <si>
    <t>Basic Calculator</t>
  </si>
  <si>
    <t>https://leetcode.com/problems/basic-calculator</t>
  </si>
  <si>
    <t>40.739</t>
  </si>
  <si>
    <t>Math, String, Stack, Recursion</t>
  </si>
  <si>
    <t>Implement Stack using Queues</t>
  </si>
  <si>
    <t>https://leetcode.com/problems/implement-stack-using-queues</t>
  </si>
  <si>
    <t>56.059</t>
  </si>
  <si>
    <t>Stack, Design, Queue</t>
  </si>
  <si>
    <t>https://leetcode.com/problems/invert-binary-tree</t>
  </si>
  <si>
    <t>72.198</t>
  </si>
  <si>
    <t>Basic Calculator II</t>
  </si>
  <si>
    <t>https://leetcode.com/problems/basic-calculator-ii</t>
  </si>
  <si>
    <t>41.806</t>
  </si>
  <si>
    <t>Math, String, Stack</t>
  </si>
  <si>
    <t>Summary Ranges</t>
  </si>
  <si>
    <t>https://leetcode.com/problems/summary-ranges</t>
  </si>
  <si>
    <t>46.517</t>
  </si>
  <si>
    <t>Majority Element II</t>
  </si>
  <si>
    <t>https://leetcode.com/problems/majority-element-ii</t>
  </si>
  <si>
    <t>42.977</t>
  </si>
  <si>
    <t>Array, Hash Table, Sorting, Counting</t>
  </si>
  <si>
    <t>https://leetcode.com/problems/kth-smallest-element-in-a-bst</t>
  </si>
  <si>
    <t>68.240</t>
  </si>
  <si>
    <t>Power of Two</t>
  </si>
  <si>
    <t>https://leetcode.com/problems/power-of-two</t>
  </si>
  <si>
    <t>45.173</t>
  </si>
  <si>
    <t>Math, Bit Manipulation, Recursion</t>
  </si>
  <si>
    <t>Implement Queue using Stacks</t>
  </si>
  <si>
    <t>https://leetcode.com/problems/implement-queue-using-stacks</t>
  </si>
  <si>
    <t>59.376</t>
  </si>
  <si>
    <t>Number of Digit One</t>
  </si>
  <si>
    <t>https://leetcode.com/problems/number-of-digit-one</t>
  </si>
  <si>
    <t>33.837</t>
  </si>
  <si>
    <t>Math, Dynamic Programming, Recursion</t>
  </si>
  <si>
    <t>https://leetcode.com/problems/palindrome-linked-list</t>
  </si>
  <si>
    <t>47.314</t>
  </si>
  <si>
    <t>https://leetcode.com/problems/lowest-common-ancestor-of-a-binary-search-tree</t>
  </si>
  <si>
    <t>57.886</t>
  </si>
  <si>
    <t>https://leetcode.com/problems/lowest-common-ancestor-of-a-binary-tree</t>
  </si>
  <si>
    <t>56.077</t>
  </si>
  <si>
    <t>Delete Node in a Linked List</t>
  </si>
  <si>
    <t>https://leetcode.com/problems/delete-node-in-a-linked-list</t>
  </si>
  <si>
    <t>72.679</t>
  </si>
  <si>
    <t>https://leetcode.com/problems/product-of-array-except-self</t>
  </si>
  <si>
    <t>64.247</t>
  </si>
  <si>
    <t>Array, Prefix Sum</t>
  </si>
  <si>
    <t>https://leetcode.com/problems/sliding-window-maximum</t>
  </si>
  <si>
    <t>46.366</t>
  </si>
  <si>
    <t>Array, Queue, Sliding Window, Heap (Priority Queue), Monotonic Queue</t>
  </si>
  <si>
    <t>https://leetcode.com/problems/search-a-2d-matrix-ii</t>
  </si>
  <si>
    <t>48.900</t>
  </si>
  <si>
    <t>Array, Binary Search, Divide and Conquer, Matrix</t>
  </si>
  <si>
    <t>Different Ways to Add Parentheses</t>
  </si>
  <si>
    <t>https://leetcode.com/problems/different-ways-to-add-parentheses</t>
  </si>
  <si>
    <t>62.261</t>
  </si>
  <si>
    <t>Math, String, Dynamic Programming, Recursion, Memoization</t>
  </si>
  <si>
    <t>Valid Anagram</t>
  </si>
  <si>
    <t>https://leetcode.com/problems/valid-anagram</t>
  </si>
  <si>
    <t>61.783</t>
  </si>
  <si>
    <t>Hash Table, String, Sorting</t>
  </si>
  <si>
    <t>https://leetcode.com/problems/shortest-word-distance</t>
  </si>
  <si>
    <t>64.660</t>
  </si>
  <si>
    <t>Array, String</t>
  </si>
  <si>
    <t>https://leetcode.com/problems/shortest-word-distance-ii</t>
  </si>
  <si>
    <t>60.137</t>
  </si>
  <si>
    <t>Array, Hash Table, Two Pointers, String, Design</t>
  </si>
  <si>
    <t>https://leetcode.com/problems/shortest-word-distance-iii</t>
  </si>
  <si>
    <t>57.344</t>
  </si>
  <si>
    <t>Strobogrammatic Number</t>
  </si>
  <si>
    <t>https://leetcode.com/problems/strobogrammatic-number</t>
  </si>
  <si>
    <t>47.585</t>
  </si>
  <si>
    <t>Hash Table, Two Pointers, String</t>
  </si>
  <si>
    <t>https://leetcode.com/problems/strobogrammatic-number-ii</t>
  </si>
  <si>
    <t>51.188</t>
  </si>
  <si>
    <t>Array, String, Recursion</t>
  </si>
  <si>
    <t>Strobogrammatic Number III</t>
  </si>
  <si>
    <t>https://leetcode.com/problems/strobogrammatic-number-iii</t>
  </si>
  <si>
    <t>41.528</t>
  </si>
  <si>
    <t>https://leetcode.com/problems/group-shifted-strings</t>
  </si>
  <si>
    <t>63.876</t>
  </si>
  <si>
    <t>Array, Hash Table, String</t>
  </si>
  <si>
    <t>https://leetcode.com/problems/count-univalue-subtrees</t>
  </si>
  <si>
    <t>54.939</t>
  </si>
  <si>
    <t>https://leetcode.com/problems/flatten-2d-vector</t>
  </si>
  <si>
    <t>48.198</t>
  </si>
  <si>
    <t>Array, Two Pointers, Design, Iterator</t>
  </si>
  <si>
    <t>https://leetcode.com/problems/meeting-rooms</t>
  </si>
  <si>
    <t>56.828</t>
  </si>
  <si>
    <t>https://leetcode.com/problems/meeting-rooms-ii</t>
  </si>
  <si>
    <t>49.973</t>
  </si>
  <si>
    <t>Array, Two Pointers, Greedy, Sorting, Heap (Priority Queue)</t>
  </si>
  <si>
    <t>https://leetcode.com/problems/factor-combinations</t>
  </si>
  <si>
    <t>48.743</t>
  </si>
  <si>
    <t>https://leetcode.com/problems/verify-preorder-sequence-in-binary-search-tree</t>
  </si>
  <si>
    <t>Stack, Tree, Binary Search Tree, Recursion, Monotonic Stack, Binary Tree</t>
  </si>
  <si>
    <t>https://leetcode.com/problems/paint-house</t>
  </si>
  <si>
    <t>59.698</t>
  </si>
  <si>
    <t>https://leetcode.com/problems/binary-tree-paths</t>
  </si>
  <si>
    <t>59.341</t>
  </si>
  <si>
    <t>String, Backtracking, Tree, Depth-First Search, Binary Tree</t>
  </si>
  <si>
    <t>Add Digits</t>
  </si>
  <si>
    <t>https://leetcode.com/problems/add-digits</t>
  </si>
  <si>
    <t>62.769</t>
  </si>
  <si>
    <t>Math, Simulation, Number Theory</t>
  </si>
  <si>
    <t>https://leetcode.com/problems/3sum-smaller</t>
  </si>
  <si>
    <t>50.474</t>
  </si>
  <si>
    <t>Array, Two Pointers, Binary Search, Sorting</t>
  </si>
  <si>
    <t>Single Number III</t>
  </si>
  <si>
    <t>https://leetcode.com/problems/single-number-iii</t>
  </si>
  <si>
    <t>67.242</t>
  </si>
  <si>
    <t>https://leetcode.com/problems/graph-valid-tree</t>
  </si>
  <si>
    <t>46.221</t>
  </si>
  <si>
    <t>Depth-First Search, Breadth-First Search, Union Find, Graph</t>
  </si>
  <si>
    <t>Trips and Users</t>
  </si>
  <si>
    <t>https://leetcode.com/problems/trips-and-users</t>
  </si>
  <si>
    <t>38.106</t>
  </si>
  <si>
    <t>Ugly Number</t>
  </si>
  <si>
    <t>https://leetcode.com/problems/ugly-number</t>
  </si>
  <si>
    <t>41.829</t>
  </si>
  <si>
    <t>Ugly Number II</t>
  </si>
  <si>
    <t>https://leetcode.com/problems/ugly-number-ii</t>
  </si>
  <si>
    <t>45.607</t>
  </si>
  <si>
    <t>Hash Table, Math, Dynamic Programming, Heap (Priority Queue)</t>
  </si>
  <si>
    <t>https://leetcode.com/problems/paint-house-ii</t>
  </si>
  <si>
    <t>51.426</t>
  </si>
  <si>
    <t>https://leetcode.com/problems/palindrome-permutation</t>
  </si>
  <si>
    <t>65.601</t>
  </si>
  <si>
    <t>Hash Table, String, Bit Manipulation</t>
  </si>
  <si>
    <t>https://leetcode.com/problems/palindrome-permutation-ii</t>
  </si>
  <si>
    <t>40.019</t>
  </si>
  <si>
    <t>https://leetcode.com/problems/missing-number</t>
  </si>
  <si>
    <t>60.725</t>
  </si>
  <si>
    <t>Array, Hash Table, Math, Binary Search, Bit Manipulation, Sorting</t>
  </si>
  <si>
    <t>https://leetcode.com/problems/alien-dictionary</t>
  </si>
  <si>
    <t>35.019</t>
  </si>
  <si>
    <t>Array, String, Depth-First Search, Breadth-First Search, Graph, Topological Sort</t>
  </si>
  <si>
    <t>https://leetcode.com/problems/closest-binary-search-tree-value</t>
  </si>
  <si>
    <t>54.146</t>
  </si>
  <si>
    <t>Binary Search, Tree, Depth-First Search, Binary Search Tree, Binary Tree</t>
  </si>
  <si>
    <t>https://leetcode.com/problems/encode-and-decode-strings</t>
  </si>
  <si>
    <t>39.157</t>
  </si>
  <si>
    <t>Array, String, Design</t>
  </si>
  <si>
    <t>https://leetcode.com/problems/closest-binary-search-tree-value-ii</t>
  </si>
  <si>
    <t>57.614</t>
  </si>
  <si>
    <t>Two Pointers, Stack, Tree, Depth-First Search, Binary Search Tree, Heap (Priority Queue), Binary Tree</t>
  </si>
  <si>
    <t>Integer to English Words</t>
  </si>
  <si>
    <t>https://leetcode.com/problems/integer-to-english-words</t>
  </si>
  <si>
    <t>29.675</t>
  </si>
  <si>
    <t>Math, String, Recursion</t>
  </si>
  <si>
    <t>H-Index</t>
  </si>
  <si>
    <t>https://leetcode.com/problems/h-index</t>
  </si>
  <si>
    <t>37.845</t>
  </si>
  <si>
    <t>Array, Sorting, Counting Sort</t>
  </si>
  <si>
    <t>H-Index II</t>
  </si>
  <si>
    <t>https://leetcode.com/problems/h-index-ii</t>
  </si>
  <si>
    <t>37.180</t>
  </si>
  <si>
    <t>https://leetcode.com/problems/paint-fence</t>
  </si>
  <si>
    <t>43.369</t>
  </si>
  <si>
    <t>https://leetcode.com/problems/find-the-celebrity</t>
  </si>
  <si>
    <t>46.896</t>
  </si>
  <si>
    <t>Two Pointers, Greedy, Graph, Interactive</t>
  </si>
  <si>
    <t>First Bad Version</t>
  </si>
  <si>
    <t>https://leetcode.com/problems/first-bad-version</t>
  </si>
  <si>
    <t>42.215</t>
  </si>
  <si>
    <t>Binary Search, Interactive</t>
  </si>
  <si>
    <t>Perfect Squares</t>
  </si>
  <si>
    <t>https://leetcode.com/problems/perfect-squares</t>
  </si>
  <si>
    <t>52.048</t>
  </si>
  <si>
    <t>Math, Dynamic Programming, Breadth-First Search</t>
  </si>
  <si>
    <t>https://leetcode.com/problems/wiggle-sort</t>
  </si>
  <si>
    <t>66.130</t>
  </si>
  <si>
    <t>Array, Greedy, Sorting</t>
  </si>
  <si>
    <t>https://leetcode.com/problems/zigzag-iterator</t>
  </si>
  <si>
    <t>61.842</t>
  </si>
  <si>
    <t>Array, Design, Queue, Iterator</t>
  </si>
  <si>
    <t>Expression Add Operators</t>
  </si>
  <si>
    <t>https://leetcode.com/problems/expression-add-operators</t>
  </si>
  <si>
    <t>39.176</t>
  </si>
  <si>
    <t>Math, String, Backtracking</t>
  </si>
  <si>
    <t>https://leetcode.com/problems/move-zeroes</t>
  </si>
  <si>
    <t>60.915</t>
  </si>
  <si>
    <t>Peeking Iterator</t>
  </si>
  <si>
    <t>https://leetcode.com/problems/peeking-iterator</t>
  </si>
  <si>
    <t>57.796</t>
  </si>
  <si>
    <t>Array, Design, Iterator</t>
  </si>
  <si>
    <t>https://leetcode.com/problems/inorder-successor-in-bst</t>
  </si>
  <si>
    <t>47.579</t>
  </si>
  <si>
    <t>https://leetcode.com/problems/walls-and-gates</t>
  </si>
  <si>
    <t>59.660</t>
  </si>
  <si>
    <t>Array, Breadth-First Search, Matrix</t>
  </si>
  <si>
    <t>https://leetcode.com/problems/find-the-duplicate-number</t>
  </si>
  <si>
    <t>58.910</t>
  </si>
  <si>
    <t>Array, Two Pointers, Binary Search, Bit Manipulation</t>
  </si>
  <si>
    <t>Unique Word Abbreviation</t>
  </si>
  <si>
    <t>https://leetcode.com/problems/unique-word-abbreviation</t>
  </si>
  <si>
    <t>24.926</t>
  </si>
  <si>
    <t>Array, Hash Table, String, Design</t>
  </si>
  <si>
    <t>Game of Life</t>
  </si>
  <si>
    <t>https://leetcode.com/problems/game-of-life</t>
  </si>
  <si>
    <t>65.763</t>
  </si>
  <si>
    <t>Word Pattern</t>
  </si>
  <si>
    <t>https://leetcode.com/problems/word-pattern</t>
  </si>
  <si>
    <t>40.255</t>
  </si>
  <si>
    <t>https://leetcode.com/problems/word-pattern-ii</t>
  </si>
  <si>
    <t>46.587</t>
  </si>
  <si>
    <t>Nim Game</t>
  </si>
  <si>
    <t>https://leetcode.com/problems/nim-game</t>
  </si>
  <si>
    <t>55.627</t>
  </si>
  <si>
    <t>Math, Brainteaser, Game Theory</t>
  </si>
  <si>
    <t>Flip Game</t>
  </si>
  <si>
    <t>https://leetcode.com/problems/flip-game</t>
  </si>
  <si>
    <t>62.716</t>
  </si>
  <si>
    <t>Flip Game II</t>
  </si>
  <si>
    <t>https://leetcode.com/problems/flip-game-ii</t>
  </si>
  <si>
    <t>51.622</t>
  </si>
  <si>
    <t>Math, Dynamic Programming, Backtracking, Memoization, Game Theory</t>
  </si>
  <si>
    <t>https://leetcode.com/problems/find-median-from-data-stream</t>
  </si>
  <si>
    <t>50.621</t>
  </si>
  <si>
    <t>Two Pointers, Design, Sorting, Heap (Priority Queue), Data Stream</t>
  </si>
  <si>
    <t>https://leetcode.com/problems/best-meeting-point</t>
  </si>
  <si>
    <t>59.484</t>
  </si>
  <si>
    <t>Array, Math, Sorting, Matrix</t>
  </si>
  <si>
    <t>https://leetcode.com/problems/serialize-and-deserialize-binary-tree</t>
  </si>
  <si>
    <t>54.193</t>
  </si>
  <si>
    <t>String, Tree, Depth-First Search, Breadth-First Search, Design, Binary Tree</t>
  </si>
  <si>
    <t>https://leetcode.com/problems/binary-tree-longest-consecutive-sequence</t>
  </si>
  <si>
    <t>51.498</t>
  </si>
  <si>
    <t>Bulls and Cows</t>
  </si>
  <si>
    <t>https://leetcode.com/problems/bulls-and-cows</t>
  </si>
  <si>
    <t>47.667</t>
  </si>
  <si>
    <t>Hash Table, String, Counting</t>
  </si>
  <si>
    <t>https://leetcode.com/problems/longest-increasing-subsequence</t>
  </si>
  <si>
    <t>49.968</t>
  </si>
  <si>
    <t>Array, Binary Search, Dynamic Programming</t>
  </si>
  <si>
    <t>Remove Invalid Parentheses</t>
  </si>
  <si>
    <t>https://leetcode.com/problems/remove-invalid-parentheses</t>
  </si>
  <si>
    <t>46.945</t>
  </si>
  <si>
    <t>String, Backtracking, Breadth-First Search</t>
  </si>
  <si>
    <t>https://leetcode.com/problems/smallest-rectangle-enclosing-black-pixels</t>
  </si>
  <si>
    <t>57.631</t>
  </si>
  <si>
    <t>Array, Binary Search, Depth-First Search, Breadth-First Search, Matrix</t>
  </si>
  <si>
    <t>https://leetcode.com/problems/range-sum-query-immutable</t>
  </si>
  <si>
    <t>56.520</t>
  </si>
  <si>
    <t>Array, Design, Prefix Sum</t>
  </si>
  <si>
    <t>Range Sum Query 2D - Immutable</t>
  </si>
  <si>
    <t>https://leetcode.com/problems/range-sum-query-2d-immutable</t>
  </si>
  <si>
    <t>51.264</t>
  </si>
  <si>
    <t>Array, Design, Matrix, Prefix Sum</t>
  </si>
  <si>
    <t>https://leetcode.com/problems/number-of-islands-ii</t>
  </si>
  <si>
    <t>39.489</t>
  </si>
  <si>
    <t>Array, Union Find</t>
  </si>
  <si>
    <t>Additive Number</t>
  </si>
  <si>
    <t>https://leetcode.com/problems/additive-number</t>
  </si>
  <si>
    <t>30.663</t>
  </si>
  <si>
    <t>Range Sum Query - Mutable</t>
  </si>
  <si>
    <t>https://leetcode.com/problems/range-sum-query-mutable</t>
  </si>
  <si>
    <t>38.896</t>
  </si>
  <si>
    <t>Array, Design, Binary Indexed Tree, Segment Tree</t>
  </si>
  <si>
    <t>https://leetcode.com/problems/range-sum-query-2d-mutable</t>
  </si>
  <si>
    <t>41.591</t>
  </si>
  <si>
    <t>Array, Design, Binary Indexed Tree, Segment Tree, Matrix</t>
  </si>
  <si>
    <t>https://leetcode.com/problems/best-time-to-buy-and-sell-stock-with-cooldown</t>
  </si>
  <si>
    <t>53.166</t>
  </si>
  <si>
    <t>https://leetcode.com/problems/minimum-height-trees</t>
  </si>
  <si>
    <t>38.239</t>
  </si>
  <si>
    <t>https://leetcode.com/problems/sparse-matrix-multiplication</t>
  </si>
  <si>
    <t>66.591</t>
  </si>
  <si>
    <t>Burst Balloons</t>
  </si>
  <si>
    <t>https://leetcode.com/problems/burst-balloons</t>
  </si>
  <si>
    <t>56.598</t>
  </si>
  <si>
    <t>Super Ugly Number</t>
  </si>
  <si>
    <t>https://leetcode.com/problems/super-ugly-number</t>
  </si>
  <si>
    <t>45.848</t>
  </si>
  <si>
    <t>Array, Math, Dynamic Programming</t>
  </si>
  <si>
    <t>https://leetcode.com/problems/binary-tree-vertical-order-traversal</t>
  </si>
  <si>
    <t>51.488</t>
  </si>
  <si>
    <t>Hash Table, Tree, Depth-First Search, Breadth-First Search, Binary Tree</t>
  </si>
  <si>
    <t>Count of Smaller Numbers After Self</t>
  </si>
  <si>
    <t>https://leetcode.com/problems/count-of-smaller-numbers-after-self</t>
  </si>
  <si>
    <t>42.009</t>
  </si>
  <si>
    <t>Array, Binary Search, Divide and Conquer, Binary Indexed Tree, Segment Tree, Merge Sort, Ordered Set</t>
  </si>
  <si>
    <t>Remove Duplicate Letters</t>
  </si>
  <si>
    <t>https://leetcode.com/problems/remove-duplicate-letters</t>
  </si>
  <si>
    <t>44.099</t>
  </si>
  <si>
    <t>String, Stack, Greedy, Monotonic Stack</t>
  </si>
  <si>
    <t>https://leetcode.com/problems/shortest-distance-from-all-buildings</t>
  </si>
  <si>
    <t>43.203</t>
  </si>
  <si>
    <t>Maximum Product of Word Lengths</t>
  </si>
  <si>
    <t>https://leetcode.com/problems/maximum-product-of-word-lengths</t>
  </si>
  <si>
    <t>60.224</t>
  </si>
  <si>
    <t>Array, String, Bit Manipulation</t>
  </si>
  <si>
    <t>Bulb Switcher</t>
  </si>
  <si>
    <t>https://leetcode.com/problems/bulb-switcher</t>
  </si>
  <si>
    <t>47.556</t>
  </si>
  <si>
    <t>Math, Brainteaser</t>
  </si>
  <si>
    <t>https://leetcode.com/problems/generalized-abbreviation</t>
  </si>
  <si>
    <t>56.747</t>
  </si>
  <si>
    <t>String, Backtracking, Bit Manipulation</t>
  </si>
  <si>
    <t>Create Maximum Number</t>
  </si>
  <si>
    <t>https://leetcode.com/problems/create-maximum-number</t>
  </si>
  <si>
    <t>28.558</t>
  </si>
  <si>
    <t>Stack, Greedy, Monotonic Stack</t>
  </si>
  <si>
    <t>https://leetcode.com/problems/coin-change</t>
  </si>
  <si>
    <t>40.860</t>
  </si>
  <si>
    <t>Array, Dynamic Programming, Breadth-First Search</t>
  </si>
  <si>
    <t>https://leetcode.com/problems/number-of-connected-components-in-an-undirected-graph</t>
  </si>
  <si>
    <t>61.474</t>
  </si>
  <si>
    <t>Wiggle Sort II</t>
  </si>
  <si>
    <t>https://leetcode.com/problems/wiggle-sort-ii</t>
  </si>
  <si>
    <t>32.475</t>
  </si>
  <si>
    <t>Array, Divide and Conquer, Sorting, Quickselect</t>
  </si>
  <si>
    <t>https://leetcode.com/problems/maximum-size-subarray-sum-equals-k</t>
  </si>
  <si>
    <t>49.273</t>
  </si>
  <si>
    <t>Power of Three</t>
  </si>
  <si>
    <t>https://leetcode.com/problems/power-of-three</t>
  </si>
  <si>
    <t>43.693</t>
  </si>
  <si>
    <t>https://leetcode.com/problems/count-of-range-sum</t>
  </si>
  <si>
    <t>36.113</t>
  </si>
  <si>
    <t>https://leetcode.com/problems/odd-even-linked-list</t>
  </si>
  <si>
    <t>59.737</t>
  </si>
  <si>
    <t>Longest Increasing Path in a Matrix</t>
  </si>
  <si>
    <t>https://leetcode.com/problems/longest-increasing-path-in-a-matrix</t>
  </si>
  <si>
    <t>51.483</t>
  </si>
  <si>
    <t>Dynamic Programming, Depth-First Search, Breadth-First Search, Graph, Topological Sort, Memoization</t>
  </si>
  <si>
    <t>Patching Array</t>
  </si>
  <si>
    <t>https://leetcode.com/problems/patching-array</t>
  </si>
  <si>
    <t>39.692</t>
  </si>
  <si>
    <t>Verify Preorder Serialization of a Binary Tree</t>
  </si>
  <si>
    <t>https://leetcode.com/problems/verify-preorder-serialization-of-a-binary-tree</t>
  </si>
  <si>
    <t>43.845</t>
  </si>
  <si>
    <t>String, Stack, Tree, Binary Tree</t>
  </si>
  <si>
    <t>Reconstruct Itinerary</t>
  </si>
  <si>
    <t>https://leetcode.com/problems/reconstruct-itinerary</t>
  </si>
  <si>
    <t>40.446</t>
  </si>
  <si>
    <t>Depth-First Search, Graph, Eulerian Circuit</t>
  </si>
  <si>
    <t>https://leetcode.com/problems/largest-bst-subtree</t>
  </si>
  <si>
    <t>41.617</t>
  </si>
  <si>
    <t>Dynamic Programming, Tree, Depth-First Search, Binary Search Tree, Binary Tree</t>
  </si>
  <si>
    <t>Increasing Triplet Subsequence</t>
  </si>
  <si>
    <t>https://leetcode.com/problems/increasing-triplet-subsequence</t>
  </si>
  <si>
    <t>41.609</t>
  </si>
  <si>
    <t>Self Crossing</t>
  </si>
  <si>
    <t>https://leetcode.com/problems/self-crossing</t>
  </si>
  <si>
    <t>29.168</t>
  </si>
  <si>
    <t>Array, Math, Geometry</t>
  </si>
  <si>
    <t>https://leetcode.com/problems/palindrome-pairs</t>
  </si>
  <si>
    <t>35.485</t>
  </si>
  <si>
    <t>Array, Hash Table, String, Trie</t>
  </si>
  <si>
    <t>House Robber III</t>
  </si>
  <si>
    <t>https://leetcode.com/problems/house-robber-iii</t>
  </si>
  <si>
    <t>53.638</t>
  </si>
  <si>
    <t>https://leetcode.com/problems/counting-bits</t>
  </si>
  <si>
    <t>74.618</t>
  </si>
  <si>
    <t>Dynamic Programming, Bit Manipulation</t>
  </si>
  <si>
    <t>https://leetcode.com/problems/nested-list-weight-sum</t>
  </si>
  <si>
    <t>81.617</t>
  </si>
  <si>
    <t>Depth-First Search, Breadth-First Search</t>
  </si>
  <si>
    <t>https://leetcode.com/problems/longest-substring-with-at-most-k-distinct-characters</t>
  </si>
  <si>
    <t>47.518</t>
  </si>
  <si>
    <t>Flatten Nested List Iterator</t>
  </si>
  <si>
    <t>https://leetcode.com/problems/flatten-nested-list-iterator</t>
  </si>
  <si>
    <t>60.992</t>
  </si>
  <si>
    <t>Stack, Tree, Depth-First Search, Design, Queue, Iterator</t>
  </si>
  <si>
    <t>Power of Four</t>
  </si>
  <si>
    <t>https://leetcode.com/problems/power-of-four</t>
  </si>
  <si>
    <t>44.413</t>
  </si>
  <si>
    <t>Integer Break</t>
  </si>
  <si>
    <t>https://leetcode.com/problems/integer-break</t>
  </si>
  <si>
    <t>54.593</t>
  </si>
  <si>
    <t>Math, Dynamic Programming</t>
  </si>
  <si>
    <t>Reverse String</t>
  </si>
  <si>
    <t>https://leetcode.com/problems/reverse-string</t>
  </si>
  <si>
    <t>75.342</t>
  </si>
  <si>
    <t>Two Pointers, String, Recursion</t>
  </si>
  <si>
    <t>Reverse Vowels of a String</t>
  </si>
  <si>
    <t>https://leetcode.com/problems/reverse-vowels-of-a-string</t>
  </si>
  <si>
    <t>47.170</t>
  </si>
  <si>
    <t>https://leetcode.com/problems/moving-average-from-data-stream</t>
  </si>
  <si>
    <t>76.646</t>
  </si>
  <si>
    <t>Array, Design, Queue, Data Stream</t>
  </si>
  <si>
    <t>https://leetcode.com/problems/top-k-frequent-elements</t>
  </si>
  <si>
    <t>65.002</t>
  </si>
  <si>
    <t>Array, Hash Table, Divide and Conquer, Sorting, Heap (Priority Queue), Bucket Sort, Counting, Quickselect</t>
  </si>
  <si>
    <t>https://leetcode.com/problems/design-tic-tac-toe</t>
  </si>
  <si>
    <t>57.385</t>
  </si>
  <si>
    <t>Array, Hash Table, Design, Matrix</t>
  </si>
  <si>
    <t>Intersection of Two Arrays</t>
  </si>
  <si>
    <t>https://leetcode.com/problems/intersection-of-two-arrays</t>
  </si>
  <si>
    <t>69.510</t>
  </si>
  <si>
    <t>Array, Hash Table, Two Pointers, Binary Search, Sorting</t>
  </si>
  <si>
    <t>Intersection of Two Arrays II</t>
  </si>
  <si>
    <t>https://leetcode.com/problems/intersection-of-two-arrays-ii</t>
  </si>
  <si>
    <t>55.200</t>
  </si>
  <si>
    <t>Android Unlock Patterns</t>
  </si>
  <si>
    <t>https://leetcode.com/problems/android-unlock-patterns</t>
  </si>
  <si>
    <t>51.164</t>
  </si>
  <si>
    <t>Dynamic Programming, Backtracking</t>
  </si>
  <si>
    <t>Data Stream as Disjoint Intervals</t>
  </si>
  <si>
    <t>https://leetcode.com/problems/data-stream-as-disjoint-intervals</t>
  </si>
  <si>
    <t>50.963</t>
  </si>
  <si>
    <t>Binary Search, Design, Ordered Set</t>
  </si>
  <si>
    <t>https://leetcode.com/problems/design-snake-game</t>
  </si>
  <si>
    <t>38.482</t>
  </si>
  <si>
    <t>Array, Design, Queue, Matrix</t>
  </si>
  <si>
    <t>Russian Doll Envelopes</t>
  </si>
  <si>
    <t>https://leetcode.com/problems/russian-doll-envelopes</t>
  </si>
  <si>
    <t>38.733</t>
  </si>
  <si>
    <t>Array, Binary Search, Dynamic Programming, Sorting</t>
  </si>
  <si>
    <t>Design Twitter</t>
  </si>
  <si>
    <t>https://leetcode.com/problems/design-twitter</t>
  </si>
  <si>
    <t>35.291</t>
  </si>
  <si>
    <t>Hash Table, Linked List, Design, Heap (Priority Queue)</t>
  </si>
  <si>
    <t>Line Reflection</t>
  </si>
  <si>
    <t>https://leetcode.com/problems/line-reflection</t>
  </si>
  <si>
    <t>34.463</t>
  </si>
  <si>
    <t>Array, Hash Table, Math</t>
  </si>
  <si>
    <t>Count Numbers with Unique Digits</t>
  </si>
  <si>
    <t>https://leetcode.com/problems/count-numbers-with-unique-digits</t>
  </si>
  <si>
    <t>50.888</t>
  </si>
  <si>
    <t>Math, Dynamic Programming, Backtracking</t>
  </si>
  <si>
    <t>https://leetcode.com/problems/rearrange-string-k-distance-apart</t>
  </si>
  <si>
    <t>37.268</t>
  </si>
  <si>
    <t>Hash Table, String, Greedy, Sorting, Heap (Priority Queue), Counting</t>
  </si>
  <si>
    <t>https://leetcode.com/problems/logger-rate-limiter</t>
  </si>
  <si>
    <t>75.226</t>
  </si>
  <si>
    <t>Hash Table, Design</t>
  </si>
  <si>
    <t>https://leetcode.com/problems/sort-transformed-array</t>
  </si>
  <si>
    <t>54.242</t>
  </si>
  <si>
    <t>Array, Math, Two Pointers, Sorting</t>
  </si>
  <si>
    <t>https://leetcode.com/problems/bomb-enemy</t>
  </si>
  <si>
    <t>50.360</t>
  </si>
  <si>
    <t>https://leetcode.com/problems/design-hit-counter</t>
  </si>
  <si>
    <t>67.720</t>
  </si>
  <si>
    <t>Array, Hash Table, Binary Search, Design, Queue</t>
  </si>
  <si>
    <t>Max Sum of Rectangle No Larger Than K</t>
  </si>
  <si>
    <t>https://leetcode.com/problems/max-sum-of-rectangle-no-larger-than-k</t>
  </si>
  <si>
    <t>40.186</t>
  </si>
  <si>
    <t>Array, Binary Search, Dynamic Programming, Matrix, Ordered Set</t>
  </si>
  <si>
    <t>https://leetcode.com/problems/nested-list-weight-sum-ii</t>
  </si>
  <si>
    <t>68.945</t>
  </si>
  <si>
    <t>Stack, Depth-First Search, Breadth-First Search</t>
  </si>
  <si>
    <t>Water and Jug Problem</t>
  </si>
  <si>
    <t>https://leetcode.com/problems/water-and-jug-problem</t>
  </si>
  <si>
    <t>35.365</t>
  </si>
  <si>
    <t>Math, Depth-First Search, Breadth-First Search</t>
  </si>
  <si>
    <t>https://leetcode.com/problems/find-leaves-of-binary-tree</t>
  </si>
  <si>
    <t>79.253</t>
  </si>
  <si>
    <t>Valid Perfect Square</t>
  </si>
  <si>
    <t>https://leetcode.com/problems/valid-perfect-square</t>
  </si>
  <si>
    <t>43.152</t>
  </si>
  <si>
    <t>Largest Divisible Subset</t>
  </si>
  <si>
    <t>https://leetcode.com/problems/largest-divisible-subset</t>
  </si>
  <si>
    <t>40.814</t>
  </si>
  <si>
    <t>Array, Math, Dynamic Programming, Sorting</t>
  </si>
  <si>
    <t>https://leetcode.com/problems/plus-one-linked-list</t>
  </si>
  <si>
    <t>60.684</t>
  </si>
  <si>
    <t>Linked List, Math</t>
  </si>
  <si>
    <t>https://leetcode.com/problems/range-addition</t>
  </si>
  <si>
    <t>70.055</t>
  </si>
  <si>
    <t>Sum of Two Integers</t>
  </si>
  <si>
    <t>https://leetcode.com/problems/sum-of-two-integers</t>
  </si>
  <si>
    <t>50.600</t>
  </si>
  <si>
    <t>Super Pow</t>
  </si>
  <si>
    <t>https://leetcode.com/problems/super-pow</t>
  </si>
  <si>
    <t>37.486</t>
  </si>
  <si>
    <t>Math, Divide and Conquer</t>
  </si>
  <si>
    <t>https://leetcode.com/problems/find-k-pairs-with-smallest-sums</t>
  </si>
  <si>
    <t>38.573</t>
  </si>
  <si>
    <t>Array, Heap (Priority Queue)</t>
  </si>
  <si>
    <t>Guess Number Higher or Lower</t>
  </si>
  <si>
    <t>https://leetcode.com/problems/guess-number-higher-or-lower</t>
  </si>
  <si>
    <t>49.743</t>
  </si>
  <si>
    <t>Guess Number Higher or Lower II</t>
  </si>
  <si>
    <t>https://leetcode.com/problems/guess-number-higher-or-lower-ii</t>
  </si>
  <si>
    <t>45.725</t>
  </si>
  <si>
    <t>Math, Dynamic Programming, Game Theory</t>
  </si>
  <si>
    <t>Wiggle Subsequence</t>
  </si>
  <si>
    <t>https://leetcode.com/problems/wiggle-subsequence</t>
  </si>
  <si>
    <t>47.906</t>
  </si>
  <si>
    <t>https://leetcode.com/problems/combination-sum-iv</t>
  </si>
  <si>
    <t>49.771</t>
  </si>
  <si>
    <t>https://leetcode.com/problems/kth-smallest-element-in-a-sorted-matrix</t>
  </si>
  <si>
    <t>60.001</t>
  </si>
  <si>
    <t>Array, Binary Search, Sorting, Heap (Priority Queue), Matrix</t>
  </si>
  <si>
    <t>Design Phone Directory</t>
  </si>
  <si>
    <t>https://leetcode.com/problems/design-phone-directory</t>
  </si>
  <si>
    <t>50.580</t>
  </si>
  <si>
    <t>Array, Hash Table, Linked List, Design, Queue</t>
  </si>
  <si>
    <t>Insert Delete GetRandom O(1)</t>
  </si>
  <si>
    <t>https://leetcode.com/problems/insert-delete-getrandom-o1</t>
  </si>
  <si>
    <t>51.595</t>
  </si>
  <si>
    <t>Array, Hash Table, Math, Design, Randomized</t>
  </si>
  <si>
    <t>Insert Delete GetRandom O(1) - Duplicates allowed</t>
  </si>
  <si>
    <t>https://leetcode.com/problems/insert-delete-getrandom-o1-duplicates-allowed</t>
  </si>
  <si>
    <t>35.573</t>
  </si>
  <si>
    <t>Linked List Random Node</t>
  </si>
  <si>
    <t>https://leetcode.com/problems/linked-list-random-node</t>
  </si>
  <si>
    <t>59.145</t>
  </si>
  <si>
    <t>Linked List, Math, Reservoir Sampling, Randomized</t>
  </si>
  <si>
    <t>Ransom Note</t>
  </si>
  <si>
    <t>https://leetcode.com/problems/ransom-note</t>
  </si>
  <si>
    <t>56.165</t>
  </si>
  <si>
    <t>Shuffle an Array</t>
  </si>
  <si>
    <t>https://leetcode.com/problems/shuffle-an-array</t>
  </si>
  <si>
    <t>57.247</t>
  </si>
  <si>
    <t>Array, Math, Randomized</t>
  </si>
  <si>
    <t>Mini Parser</t>
  </si>
  <si>
    <t>https://leetcode.com/problems/mini-parser</t>
  </si>
  <si>
    <t>36.106</t>
  </si>
  <si>
    <t>String, Stack, Depth-First Search</t>
  </si>
  <si>
    <t>Lexicographical Numbers</t>
  </si>
  <si>
    <t>https://leetcode.com/problems/lexicographical-numbers</t>
  </si>
  <si>
    <t>59.531</t>
  </si>
  <si>
    <t>Depth-First Search, Trie</t>
  </si>
  <si>
    <t>First Unique Character in a String</t>
  </si>
  <si>
    <t>https://leetcode.com/problems/first-unique-character-in-a-string</t>
  </si>
  <si>
    <t>57.486</t>
  </si>
  <si>
    <t>Hash Table, String, Queue, Counting</t>
  </si>
  <si>
    <t>Longest Absolute File Path</t>
  </si>
  <si>
    <t>https://leetcode.com/problems/longest-absolute-file-path</t>
  </si>
  <si>
    <t>46.207</t>
  </si>
  <si>
    <t>Find the Difference</t>
  </si>
  <si>
    <t>https://leetcode.com/problems/find-the-difference</t>
  </si>
  <si>
    <t>60.540</t>
  </si>
  <si>
    <t>Hash Table, String, Bit Manipulation, Sorting</t>
  </si>
  <si>
    <t>Elimination Game</t>
  </si>
  <si>
    <t>https://leetcode.com/problems/elimination-game</t>
  </si>
  <si>
    <t>46.409</t>
  </si>
  <si>
    <t>Perfect Rectangle</t>
  </si>
  <si>
    <t>https://leetcode.com/problems/perfect-rectangle</t>
  </si>
  <si>
    <t>32.226</t>
  </si>
  <si>
    <t>Array, Line Sweep</t>
  </si>
  <si>
    <t>https://leetcode.com/problems/is-subsequence</t>
  </si>
  <si>
    <t>50.755</t>
  </si>
  <si>
    <t>Two Pointers, String, Dynamic Programming</t>
  </si>
  <si>
    <t>UTF-8 Validation</t>
  </si>
  <si>
    <t>https://leetcode.com/problems/utf-8-validation</t>
  </si>
  <si>
    <t>39.287</t>
  </si>
  <si>
    <t>Decode String</t>
  </si>
  <si>
    <t>https://leetcode.com/problems/decode-string</t>
  </si>
  <si>
    <t>56.688</t>
  </si>
  <si>
    <t>String, Stack, Recursion</t>
  </si>
  <si>
    <t>Longest Substring with At Least K Repeating Characters</t>
  </si>
  <si>
    <t>https://leetcode.com/problems/longest-substring-with-at-least-k-repeating-characters</t>
  </si>
  <si>
    <t>44.664</t>
  </si>
  <si>
    <t>Hash Table, String, Divide and Conquer, Sliding Window</t>
  </si>
  <si>
    <t>Rotate Function</t>
  </si>
  <si>
    <t>https://leetcode.com/problems/rotate-function</t>
  </si>
  <si>
    <t>39.691</t>
  </si>
  <si>
    <t>Integer Replacement</t>
  </si>
  <si>
    <t>https://leetcode.com/problems/integer-replacement</t>
  </si>
  <si>
    <t>34.846</t>
  </si>
  <si>
    <t>Dynamic Programming, Greedy, Bit Manipulation, Memoization</t>
  </si>
  <si>
    <t>Random Pick Index</t>
  </si>
  <si>
    <t>https://leetcode.com/problems/random-pick-index</t>
  </si>
  <si>
    <t>63.355</t>
  </si>
  <si>
    <t>Hash Table, Math, Reservoir Sampling, Randomized</t>
  </si>
  <si>
    <t>Evaluate Division</t>
  </si>
  <si>
    <t>https://leetcode.com/problems/evaluate-division</t>
  </si>
  <si>
    <t>58.932</t>
  </si>
  <si>
    <t>Array, Depth-First Search, Breadth-First Search, Union Find, Graph, Shortest Path</t>
  </si>
  <si>
    <t>Nth Digit</t>
  </si>
  <si>
    <t>https://leetcode.com/problems/nth-digit</t>
  </si>
  <si>
    <t>33.692</t>
  </si>
  <si>
    <t>Binary Watch</t>
  </si>
  <si>
    <t>https://leetcode.com/problems/binary-watch</t>
  </si>
  <si>
    <t>50.906</t>
  </si>
  <si>
    <t>Backtracking, Bit Manipulation</t>
  </si>
  <si>
    <t>Remove K Digits</t>
  </si>
  <si>
    <t>https://leetcode.com/problems/remove-k-digits</t>
  </si>
  <si>
    <t>30.489</t>
  </si>
  <si>
    <t>Frog Jump</t>
  </si>
  <si>
    <t>https://leetcode.com/problems/frog-jump</t>
  </si>
  <si>
    <t>43.072</t>
  </si>
  <si>
    <t>Sum of Left Leaves</t>
  </si>
  <si>
    <t>https://leetcode.com/problems/sum-of-left-leaves</t>
  </si>
  <si>
    <t>55.549</t>
  </si>
  <si>
    <t>Convert a Number to Hexadecimal</t>
  </si>
  <si>
    <t>https://leetcode.com/problems/convert-a-number-to-hexadecimal</t>
  </si>
  <si>
    <t>45.858</t>
  </si>
  <si>
    <t>Queue Reconstruction by Height</t>
  </si>
  <si>
    <t>https://leetcode.com/problems/queue-reconstruction-by-height</t>
  </si>
  <si>
    <t>72.495</t>
  </si>
  <si>
    <t>Array, Greedy, Binary Indexed Tree, Segment Tree, Sorting</t>
  </si>
  <si>
    <t>Trapping Rain Water II</t>
  </si>
  <si>
    <t>https://leetcode.com/problems/trapping-rain-water-ii</t>
  </si>
  <si>
    <t>47.231</t>
  </si>
  <si>
    <t>Array, Breadth-First Search, Heap (Priority Queue), Matrix</t>
  </si>
  <si>
    <t>Valid Word Abbreviation</t>
  </si>
  <si>
    <t>https://leetcode.com/problems/valid-word-abbreviation</t>
  </si>
  <si>
    <t>34.834</t>
  </si>
  <si>
    <t>Longest Palindrome</t>
  </si>
  <si>
    <t>https://leetcode.com/problems/longest-palindrome</t>
  </si>
  <si>
    <t>54.023</t>
  </si>
  <si>
    <t>Hash Table, String, Greedy</t>
  </si>
  <si>
    <t>Split Array Largest Sum</t>
  </si>
  <si>
    <t>https://leetcode.com/problems/split-array-largest-sum</t>
  </si>
  <si>
    <t>52.528</t>
  </si>
  <si>
    <t>Array, Binary Search, Dynamic Programming, Greedy</t>
  </si>
  <si>
    <t>Minimum Unique Word Abbreviation</t>
  </si>
  <si>
    <t>https://leetcode.com/problems/minimum-unique-word-abbreviation</t>
  </si>
  <si>
    <t>39.108</t>
  </si>
  <si>
    <t>Fizz Buzz</t>
  </si>
  <si>
    <t>https://leetcode.com/problems/fizz-buzz</t>
  </si>
  <si>
    <t>67.312</t>
  </si>
  <si>
    <t>Arithmetic Slices</t>
  </si>
  <si>
    <t>https://leetcode.com/problems/arithmetic-slices</t>
  </si>
  <si>
    <t>64.729</t>
  </si>
  <si>
    <t>Third Maximum Number</t>
  </si>
  <si>
    <t>https://leetcode.com/problems/third-maximum-number</t>
  </si>
  <si>
    <t>32.063</t>
  </si>
  <si>
    <t>Add Strings</t>
  </si>
  <si>
    <t>https://leetcode.com/problems/add-strings</t>
  </si>
  <si>
    <t>52.357</t>
  </si>
  <si>
    <t>https://leetcode.com/problems/partition-equal-subset-sum</t>
  </si>
  <si>
    <t>46.627</t>
  </si>
  <si>
    <t>https://leetcode.com/problems/pacific-atlantic-water-flow</t>
  </si>
  <si>
    <t>50.292</t>
  </si>
  <si>
    <t>Array, Depth-First Search, Breadth-First Search, Matrix</t>
  </si>
  <si>
    <t>Sentence Screen Fitting</t>
  </si>
  <si>
    <t>https://leetcode.com/problems/sentence-screen-fitting</t>
  </si>
  <si>
    <t>35.487</t>
  </si>
  <si>
    <t>String, Dynamic Programming, Simulation</t>
  </si>
  <si>
    <t>Battleships in a Board</t>
  </si>
  <si>
    <t>https://leetcode.com/problems/battleships-in-a-board</t>
  </si>
  <si>
    <t>74.082</t>
  </si>
  <si>
    <t>Array, Depth-First Search, Matrix</t>
  </si>
  <si>
    <t>Strong Password Checker</t>
  </si>
  <si>
    <t>https://leetcode.com/problems/strong-password-checker</t>
  </si>
  <si>
    <t>14.271</t>
  </si>
  <si>
    <t>String, Greedy, Heap (Priority Queue)</t>
  </si>
  <si>
    <t>https://leetcode.com/problems/maximum-xor-of-two-numbers-in-an-array</t>
  </si>
  <si>
    <t>54.462</t>
  </si>
  <si>
    <t>Array, Hash Table, Bit Manipulation, Trie</t>
  </si>
  <si>
    <t>https://leetcode.com/problems/valid-word-square</t>
  </si>
  <si>
    <t>38.687</t>
  </si>
  <si>
    <t>Array, Matrix</t>
  </si>
  <si>
    <t>Reconstruct Original Digits from English</t>
  </si>
  <si>
    <t>https://leetcode.com/problems/reconstruct-original-digits-from-english</t>
  </si>
  <si>
    <t>51.309</t>
  </si>
  <si>
    <t>https://leetcode.com/problems/longest-repeating-character-replacement</t>
  </si>
  <si>
    <t>51.131</t>
  </si>
  <si>
    <t>https://leetcode.com/problems/word-squares</t>
  </si>
  <si>
    <t>52.450</t>
  </si>
  <si>
    <t>Array, String, Backtracking, Trie</t>
  </si>
  <si>
    <t>https://leetcode.com/problems/convert-binary-search-tree-to-sorted-doubly-linked-list</t>
  </si>
  <si>
    <t>64.480</t>
  </si>
  <si>
    <t>Linked List, Stack, Tree, Depth-First Search, Binary Search Tree, Binary Tree, Doubly-Linked List</t>
  </si>
  <si>
    <t>Construct Quad Tree</t>
  </si>
  <si>
    <t>https://leetcode.com/problems/construct-quad-tree</t>
  </si>
  <si>
    <t>65.718</t>
  </si>
  <si>
    <t>Array, Divide and Conquer, Tree, Matrix</t>
  </si>
  <si>
    <t>https://leetcode.com/problems/serialize-and-deserialize-n-ary-tree</t>
  </si>
  <si>
    <t>64.703</t>
  </si>
  <si>
    <t>String, Tree, Depth-First Search, Breadth-First Search</t>
  </si>
  <si>
    <t>N-ary Tree Level Order Traversal</t>
  </si>
  <si>
    <t>https://leetcode.com/problems/n-ary-tree-level-order-traversal</t>
  </si>
  <si>
    <t>69.038</t>
  </si>
  <si>
    <t>Tree, Breadth-First Search</t>
  </si>
  <si>
    <t>Flatten a Multilevel Doubly Linked List</t>
  </si>
  <si>
    <t>https://leetcode.com/problems/flatten-a-multilevel-doubly-linked-list</t>
  </si>
  <si>
    <t>59.058</t>
  </si>
  <si>
    <t>Linked List, Depth-First Search, Doubly-Linked List</t>
  </si>
  <si>
    <t>https://leetcode.com/problems/encode-n-ary-tree-to-binary-tree</t>
  </si>
  <si>
    <t>78.243</t>
  </si>
  <si>
    <t>Tree, Depth-First Search, Breadth-First Search, Design, Binary Tree</t>
  </si>
  <si>
    <t>All O`one Data Structure</t>
  </si>
  <si>
    <t>https://leetcode.com/problems/all-oone-data-structure</t>
  </si>
  <si>
    <t>36.395</t>
  </si>
  <si>
    <t>Minimum Genetic Mutation</t>
  </si>
  <si>
    <t>https://leetcode.com/problems/minimum-genetic-mutation</t>
  </si>
  <si>
    <t>47.391</t>
  </si>
  <si>
    <t>Number of Segments in a String</t>
  </si>
  <si>
    <t>https://leetcode.com/problems/number-of-segments-in-a-string</t>
  </si>
  <si>
    <t>https://leetcode.com/problems/non-overlapping-intervals</t>
  </si>
  <si>
    <t>48.841</t>
  </si>
  <si>
    <t>Array, Dynamic Programming, Greedy, Sorting</t>
  </si>
  <si>
    <t>Find Right Interval</t>
  </si>
  <si>
    <t>https://leetcode.com/problems/find-right-interval</t>
  </si>
  <si>
    <t>49.943</t>
  </si>
  <si>
    <t>Array, Binary Search, Sorting</t>
  </si>
  <si>
    <t>https://leetcode.com/problems/path-sum-iii</t>
  </si>
  <si>
    <t>49.994</t>
  </si>
  <si>
    <t>Find All Anagrams in a String</t>
  </si>
  <si>
    <t>https://leetcode.com/problems/find-all-anagrams-in-a-string</t>
  </si>
  <si>
    <t>48.573</t>
  </si>
  <si>
    <t>https://leetcode.com/problems/ternary-expression-parser</t>
  </si>
  <si>
    <t>57.989</t>
  </si>
  <si>
    <t>K-th Smallest in Lexicographical Order</t>
  </si>
  <si>
    <t>https://leetcode.com/problems/k-th-smallest-in-lexicographical-order</t>
  </si>
  <si>
    <t>30.603</t>
  </si>
  <si>
    <t>Arranging Coins</t>
  </si>
  <si>
    <t>https://leetcode.com/problems/arranging-coins</t>
  </si>
  <si>
    <t>45.671</t>
  </si>
  <si>
    <t>https://leetcode.com/problems/find-all-duplicates-in-an-array</t>
  </si>
  <si>
    <t>72.772</t>
  </si>
  <si>
    <t>String Compression</t>
  </si>
  <si>
    <t>https://leetcode.com/problems/string-compression</t>
  </si>
  <si>
    <t>47.859</t>
  </si>
  <si>
    <t>https://leetcode.com/problems/sequence-reconstruction</t>
  </si>
  <si>
    <t>25.599</t>
  </si>
  <si>
    <t>Array, Graph, Topological Sort</t>
  </si>
  <si>
    <t>Add Two Numbers II</t>
  </si>
  <si>
    <t>https://leetcode.com/problems/add-two-numbers-ii</t>
  </si>
  <si>
    <t>58.944</t>
  </si>
  <si>
    <t>Linked List, Math, Stack</t>
  </si>
  <si>
    <t>Arithmetic Slices II - Subsequence</t>
  </si>
  <si>
    <t>https://leetcode.com/problems/arithmetic-slices-ii-subsequence</t>
  </si>
  <si>
    <t>39.549</t>
  </si>
  <si>
    <t>Number of Boomerangs</t>
  </si>
  <si>
    <t>https://leetcode.com/problems/number-of-boomerangs</t>
  </si>
  <si>
    <t>54.420</t>
  </si>
  <si>
    <t>https://leetcode.com/problems/find-all-numbers-disappeared-in-an-array</t>
  </si>
  <si>
    <t>59.270</t>
  </si>
  <si>
    <t>Serialize and Deserialize BST</t>
  </si>
  <si>
    <t>https://leetcode.com/problems/serialize-and-deserialize-bst</t>
  </si>
  <si>
    <t>56.430</t>
  </si>
  <si>
    <t>String, Tree, Depth-First Search, Breadth-First Search, Design, Binary Search Tree, Binary Tree</t>
  </si>
  <si>
    <t>Delete Node in a BST</t>
  </si>
  <si>
    <t>https://leetcode.com/problems/delete-node-in-a-bst</t>
  </si>
  <si>
    <t>49.351</t>
  </si>
  <si>
    <t>Tree, Binary Search Tree, Binary Tree</t>
  </si>
  <si>
    <t>https://leetcode.com/problems/sort-characters-by-frequency</t>
  </si>
  <si>
    <t>68.076</t>
  </si>
  <si>
    <t>Hash Table, String, Sorting, Heap (Priority Queue), Bucket Sort, Counting</t>
  </si>
  <si>
    <t>https://leetcode.com/problems/minimum-number-of-arrows-to-burst-balloons</t>
  </si>
  <si>
    <t>53.025</t>
  </si>
  <si>
    <t>Minimum Moves to Equal Array Elements</t>
  </si>
  <si>
    <t>https://leetcode.com/problems/minimum-moves-to-equal-array-elements</t>
  </si>
  <si>
    <t>54.855</t>
  </si>
  <si>
    <t>4Sum II</t>
  </si>
  <si>
    <t>https://leetcode.com/problems/4sum-ii</t>
  </si>
  <si>
    <t>57.166</t>
  </si>
  <si>
    <t>Assign Cookies</t>
  </si>
  <si>
    <t>https://leetcode.com/problems/assign-cookies</t>
  </si>
  <si>
    <t>50.690</t>
  </si>
  <si>
    <t>132 Pattern</t>
  </si>
  <si>
    <t>https://leetcode.com/problems/132-pattern</t>
  </si>
  <si>
    <t>32.406</t>
  </si>
  <si>
    <t>Array, Binary Search, Stack, Monotonic Stack, Ordered Set</t>
  </si>
  <si>
    <t>Circular Array Loop</t>
  </si>
  <si>
    <t>https://leetcode.com/problems/circular-array-loop</t>
  </si>
  <si>
    <t>31.845</t>
  </si>
  <si>
    <t>Array, Hash Table, Two Pointers</t>
  </si>
  <si>
    <t>Poor Pigs</t>
  </si>
  <si>
    <t>https://leetcode.com/problems/poor-pigs</t>
  </si>
  <si>
    <t>55.753</t>
  </si>
  <si>
    <t>Repeated Substring Pattern</t>
  </si>
  <si>
    <t>https://leetcode.com/problems/repeated-substring-pattern</t>
  </si>
  <si>
    <t>43.649</t>
  </si>
  <si>
    <t>String, String Matching</t>
  </si>
  <si>
    <t>LFU Cache</t>
  </si>
  <si>
    <t>https://leetcode.com/problems/lfu-cache</t>
  </si>
  <si>
    <t>39.798</t>
  </si>
  <si>
    <t>Hamming Distance</t>
  </si>
  <si>
    <t>https://leetcode.com/problems/hamming-distance</t>
  </si>
  <si>
    <t>74.625</t>
  </si>
  <si>
    <t>Minimum Moves to Equal Array Elements II</t>
  </si>
  <si>
    <t>https://leetcode.com/problems/minimum-moves-to-equal-array-elements-ii</t>
  </si>
  <si>
    <t>59.945</t>
  </si>
  <si>
    <t>Array, Math, Sorting</t>
  </si>
  <si>
    <t>Island Perimeter</t>
  </si>
  <si>
    <t>https://leetcode.com/problems/island-perimeter</t>
  </si>
  <si>
    <t>69.134</t>
  </si>
  <si>
    <t>Can I Win</t>
  </si>
  <si>
    <t>https://leetcode.com/problems/can-i-win</t>
  </si>
  <si>
    <t>29.839</t>
  </si>
  <si>
    <t>Math, Dynamic Programming, Bit Manipulation, Memoization, Game Theory, Bitmask</t>
  </si>
  <si>
    <t>https://leetcode.com/problems/optimal-account-balancing</t>
  </si>
  <si>
    <t>49.086</t>
  </si>
  <si>
    <t>Array, Dynamic Programming, Backtracking, Bit Manipulation, Bitmask</t>
  </si>
  <si>
    <t>Count The Repetitions</t>
  </si>
  <si>
    <t>https://leetcode.com/problems/count-the-repetitions</t>
  </si>
  <si>
    <t>29.122</t>
  </si>
  <si>
    <t>Unique Substrings in Wraparound String</t>
  </si>
  <si>
    <t>https://leetcode.com/problems/unique-substrings-in-wraparound-string</t>
  </si>
  <si>
    <t>37.847</t>
  </si>
  <si>
    <t>Validate IP Address</t>
  </si>
  <si>
    <t>https://leetcode.com/problems/validate-ip-address</t>
  </si>
  <si>
    <t>26.312</t>
  </si>
  <si>
    <t>Convex Polygon</t>
  </si>
  <si>
    <t>https://leetcode.com/problems/convex-polygon</t>
  </si>
  <si>
    <t>38.347</t>
  </si>
  <si>
    <t>Implement Rand10() Using Rand7()</t>
  </si>
  <si>
    <t>https://leetcode.com/problems/implement-rand10-using-rand7</t>
  </si>
  <si>
    <t>46.738</t>
  </si>
  <si>
    <t>Math, Rejection Sampling, Randomized, Probability and Statistics</t>
  </si>
  <si>
    <t>https://leetcode.com/problems/encode-string-with-shortest-length</t>
  </si>
  <si>
    <t>50.747</t>
  </si>
  <si>
    <t>https://leetcode.com/problems/concatenated-words</t>
  </si>
  <si>
    <t>43.737</t>
  </si>
  <si>
    <t>Array, String, Dynamic Programming, Depth-First Search, Trie</t>
  </si>
  <si>
    <t>Matchsticks to Square</t>
  </si>
  <si>
    <t>https://leetcode.com/problems/matchsticks-to-square</t>
  </si>
  <si>
    <t>40.246</t>
  </si>
  <si>
    <t>Ones and Zeroes</t>
  </si>
  <si>
    <t>https://leetcode.com/problems/ones-and-zeroes</t>
  </si>
  <si>
    <t>46.610</t>
  </si>
  <si>
    <t>Array, String, Dynamic Programming</t>
  </si>
  <si>
    <t>Heaters</t>
  </si>
  <si>
    <t>https://leetcode.com/problems/heaters</t>
  </si>
  <si>
    <t>35.642</t>
  </si>
  <si>
    <t>Number Complement</t>
  </si>
  <si>
    <t>https://leetcode.com/problems/number-complement</t>
  </si>
  <si>
    <t>66.897</t>
  </si>
  <si>
    <t>Total Hamming Distance</t>
  </si>
  <si>
    <t>https://leetcode.com/problems/total-hamming-distance</t>
  </si>
  <si>
    <t>52.053</t>
  </si>
  <si>
    <t>Array, Math, Bit Manipulation</t>
  </si>
  <si>
    <t>Generate Random Point in a Circle</t>
  </si>
  <si>
    <t>https://leetcode.com/problems/generate-random-point-in-a-circle</t>
  </si>
  <si>
    <t>39.464</t>
  </si>
  <si>
    <t>Math, Geometry, Rejection Sampling, Randomized</t>
  </si>
  <si>
    <t>Largest Palindrome Product</t>
  </si>
  <si>
    <t>https://leetcode.com/problems/largest-palindrome-product</t>
  </si>
  <si>
    <t>31.298</t>
  </si>
  <si>
    <t>https://leetcode.com/problems/sliding-window-median</t>
  </si>
  <si>
    <t>41.147</t>
  </si>
  <si>
    <t>Array, Hash Table, Sliding Window, Heap (Priority Queue)</t>
  </si>
  <si>
    <t>Magical String</t>
  </si>
  <si>
    <t>https://leetcode.com/problems/magical-string</t>
  </si>
  <si>
    <t>49.852</t>
  </si>
  <si>
    <t>License Key Formatting</t>
  </si>
  <si>
    <t>https://leetcode.com/problems/license-key-formatting</t>
  </si>
  <si>
    <t>43.046</t>
  </si>
  <si>
    <t>Smallest Good Base</t>
  </si>
  <si>
    <t>https://leetcode.com/problems/smallest-good-base</t>
  </si>
  <si>
    <t>38.059</t>
  </si>
  <si>
    <t>https://leetcode.com/problems/find-permutation</t>
  </si>
  <si>
    <t>65.570</t>
  </si>
  <si>
    <t>Array, Stack, Greedy</t>
  </si>
  <si>
    <t>Max Consecutive Ones</t>
  </si>
  <si>
    <t>https://leetcode.com/problems/max-consecutive-ones</t>
  </si>
  <si>
    <t>55.383</t>
  </si>
  <si>
    <t>Predict the Winner</t>
  </si>
  <si>
    <t>https://leetcode.com/problems/predict-the-winner</t>
  </si>
  <si>
    <t>50.483</t>
  </si>
  <si>
    <t>Array, Math, Dynamic Programming, Recursion, Game Theory</t>
  </si>
  <si>
    <t>https://leetcode.com/problems/max-consecutive-ones-ii</t>
  </si>
  <si>
    <t>49.037</t>
  </si>
  <si>
    <t>Array, Dynamic Programming, Sliding Window</t>
  </si>
  <si>
    <t>Zuma Game</t>
  </si>
  <si>
    <t>https://leetcode.com/problems/zuma-game</t>
  </si>
  <si>
    <t>35.608</t>
  </si>
  <si>
    <t>String, Dynamic Programming, Breadth-First Search, Memoization</t>
  </si>
  <si>
    <t>https://leetcode.com/problems/robot-room-cleaner</t>
  </si>
  <si>
    <t>76.225</t>
  </si>
  <si>
    <t>Backtracking, Interactive</t>
  </si>
  <si>
    <t>https://leetcode.com/problems/the-maze</t>
  </si>
  <si>
    <t>54.991</t>
  </si>
  <si>
    <t>Depth-First Search, Breadth-First Search, Graph</t>
  </si>
  <si>
    <t>Increasing Subsequences</t>
  </si>
  <si>
    <t>https://leetcode.com/problems/increasing-subsequences</t>
  </si>
  <si>
    <t>51.290</t>
  </si>
  <si>
    <t>Array, Hash Table, Backtracking, Bit Manipulation</t>
  </si>
  <si>
    <t>Construct the Rectangle</t>
  </si>
  <si>
    <t>https://leetcode.com/problems/construct-the-rectangle</t>
  </si>
  <si>
    <t>53.008</t>
  </si>
  <si>
    <t>Reverse Pairs</t>
  </si>
  <si>
    <t>https://leetcode.com/problems/reverse-pairs</t>
  </si>
  <si>
    <t>30.296</t>
  </si>
  <si>
    <t>https://leetcode.com/problems/target-sum</t>
  </si>
  <si>
    <t>45.363</t>
  </si>
  <si>
    <t>Array, Dynamic Programming, Backtracking</t>
  </si>
  <si>
    <t>Teemo Attacking</t>
  </si>
  <si>
    <t>https://leetcode.com/problems/teemo-attacking</t>
  </si>
  <si>
    <t>56.893</t>
  </si>
  <si>
    <t>Array, Simulation</t>
  </si>
  <si>
    <t>Next Greater Element I</t>
  </si>
  <si>
    <t>https://leetcode.com/problems/next-greater-element-i</t>
  </si>
  <si>
    <t>70.626</t>
  </si>
  <si>
    <t>Array, Hash Table, Stack, Monotonic Stack</t>
  </si>
  <si>
    <t>Random Point in Non-overlapping Rectangles</t>
  </si>
  <si>
    <t>https://leetcode.com/problems/random-point-in-non-overlapping-rectangles</t>
  </si>
  <si>
    <t>39.202</t>
  </si>
  <si>
    <t>Math, Binary Search, Reservoir Sampling, Prefix Sum, Ordered Set, Randomized</t>
  </si>
  <si>
    <t>Diagonal Traverse</t>
  </si>
  <si>
    <t>https://leetcode.com/problems/diagonal-traverse</t>
  </si>
  <si>
    <t>57.287</t>
  </si>
  <si>
    <t>https://leetcode.com/problems/the-maze-iii</t>
  </si>
  <si>
    <t>46.123</t>
  </si>
  <si>
    <t>Depth-First Search, Breadth-First Search, Graph, Heap (Priority Queue), Shortest Path</t>
  </si>
  <si>
    <t>Keyboard Row</t>
  </si>
  <si>
    <t>https://leetcode.com/problems/keyboard-row</t>
  </si>
  <si>
    <t>68.388</t>
  </si>
  <si>
    <t>Find Mode in Binary Search Tree</t>
  </si>
  <si>
    <t>https://leetcode.com/problems/find-mode-in-binary-search-tree</t>
  </si>
  <si>
    <t>47.714</t>
  </si>
  <si>
    <t>IPO</t>
  </si>
  <si>
    <t>https://leetcode.com/problems/ipo</t>
  </si>
  <si>
    <t>44.359</t>
  </si>
  <si>
    <t>Array, Greedy, Sorting, Heap (Priority Queue)</t>
  </si>
  <si>
    <t>Next Greater Element II</t>
  </si>
  <si>
    <t>https://leetcode.com/problems/next-greater-element-ii</t>
  </si>
  <si>
    <t>62.485</t>
  </si>
  <si>
    <t>Base 7</t>
  </si>
  <si>
    <t>https://leetcode.com/problems/base-7</t>
  </si>
  <si>
    <t>47.648</t>
  </si>
  <si>
    <t>https://leetcode.com/problems/the-maze-ii</t>
  </si>
  <si>
    <t>51.606</t>
  </si>
  <si>
    <t>Relative Ranks</t>
  </si>
  <si>
    <t>https://leetcode.com/problems/relative-ranks</t>
  </si>
  <si>
    <t>57.512</t>
  </si>
  <si>
    <t>Array, Sorting, Heap (Priority Queue)</t>
  </si>
  <si>
    <t>Perfect Number</t>
  </si>
  <si>
    <t>https://leetcode.com/problems/perfect-number</t>
  </si>
  <si>
    <t>37.652</t>
  </si>
  <si>
    <t>Most Frequent Subtree Sum</t>
  </si>
  <si>
    <t>https://leetcode.com/problems/most-frequent-subtree-sum</t>
  </si>
  <si>
    <t>63.379</t>
  </si>
  <si>
    <t>Hash Table, Tree, Depth-First Search, Binary Tree</t>
  </si>
  <si>
    <t>Fibonacci Number</t>
  </si>
  <si>
    <t>https://leetcode.com/problems/fibonacci-number</t>
  </si>
  <si>
    <t>68.345</t>
  </si>
  <si>
    <t>Math, Dynamic Programming, Recursion, Memoization</t>
  </si>
  <si>
    <t>https://leetcode.com/problems/inorder-successor-in-bst-ii</t>
  </si>
  <si>
    <t>61.301</t>
  </si>
  <si>
    <t>Game Play Analysis I</t>
  </si>
  <si>
    <t>https://leetcode.com/problems/game-play-analysis-i</t>
  </si>
  <si>
    <t>80.031</t>
  </si>
  <si>
    <t>Game Play Analysis II</t>
  </si>
  <si>
    <t>https://leetcode.com/problems/game-play-analysis-ii</t>
  </si>
  <si>
    <t>54.396</t>
  </si>
  <si>
    <t>Find Bottom Left Tree Value</t>
  </si>
  <si>
    <t>https://leetcode.com/problems/find-bottom-left-tree-value</t>
  </si>
  <si>
    <t>65.650</t>
  </si>
  <si>
    <t>Freedom Trail</t>
  </si>
  <si>
    <t>https://leetcode.com/problems/freedom-trail</t>
  </si>
  <si>
    <t>46.469</t>
  </si>
  <si>
    <t>String, Dynamic Programming, Depth-First Search, Breadth-First Search</t>
  </si>
  <si>
    <t>Find Largest Value in Each Tree Row</t>
  </si>
  <si>
    <t>https://leetcode.com/problems/find-largest-value-in-each-tree-row</t>
  </si>
  <si>
    <t>64.560</t>
  </si>
  <si>
    <t>Longest Palindromic Subsequence</t>
  </si>
  <si>
    <t>https://leetcode.com/problems/longest-palindromic-subsequence</t>
  </si>
  <si>
    <t>59.908</t>
  </si>
  <si>
    <t>Super Washing Machines</t>
  </si>
  <si>
    <t>https://leetcode.com/problems/super-washing-machines</t>
  </si>
  <si>
    <t>39.646</t>
  </si>
  <si>
    <t>Coin Change 2</t>
  </si>
  <si>
    <t>https://leetcode.com/problems/coin-change-2</t>
  </si>
  <si>
    <t>58.389</t>
  </si>
  <si>
    <t>Random Flip Matrix</t>
  </si>
  <si>
    <t>https://leetcode.com/problems/random-flip-matrix</t>
  </si>
  <si>
    <t>39.417</t>
  </si>
  <si>
    <t>Detect Capital</t>
  </si>
  <si>
    <t>https://leetcode.com/problems/detect-capital</t>
  </si>
  <si>
    <t>55.682</t>
  </si>
  <si>
    <t>Longest Uncommon Subsequence I</t>
  </si>
  <si>
    <t>https://leetcode.com/problems/longest-uncommon-subsequence-i</t>
  </si>
  <si>
    <t>60.186</t>
  </si>
  <si>
    <t>Longest Uncommon Subsequence II</t>
  </si>
  <si>
    <t>https://leetcode.com/problems/longest-uncommon-subsequence-ii</t>
  </si>
  <si>
    <t>40.227</t>
  </si>
  <si>
    <t>Array, Hash Table, Two Pointers, String, Sorting</t>
  </si>
  <si>
    <t>Continuous Subarray Sum</t>
  </si>
  <si>
    <t>https://leetcode.com/problems/continuous-subarray-sum</t>
  </si>
  <si>
    <t>27.422</t>
  </si>
  <si>
    <t>Array, Hash Table, Math, Prefix Sum</t>
  </si>
  <si>
    <t>Longest Word in Dictionary through Deleting</t>
  </si>
  <si>
    <t>https://leetcode.com/problems/longest-word-in-dictionary-through-deleting</t>
  </si>
  <si>
    <t>51.006</t>
  </si>
  <si>
    <t>Array, Two Pointers, String, Sorting</t>
  </si>
  <si>
    <t>Contiguous Array</t>
  </si>
  <si>
    <t>https://leetcode.com/problems/contiguous-array</t>
  </si>
  <si>
    <t>46.529</t>
  </si>
  <si>
    <t>Array, Hash Table, Prefix Sum</t>
  </si>
  <si>
    <t>Beautiful Arrangement</t>
  </si>
  <si>
    <t>https://leetcode.com/problems/beautiful-arrangement</t>
  </si>
  <si>
    <t>64.483</t>
  </si>
  <si>
    <t>https://leetcode.com/problems/word-abbreviation</t>
  </si>
  <si>
    <t>59.929</t>
  </si>
  <si>
    <t>Array, String, Greedy, Trie, Sorting</t>
  </si>
  <si>
    <t>Random Pick with Weight</t>
  </si>
  <si>
    <t>https://leetcode.com/problems/random-pick-with-weight</t>
  </si>
  <si>
    <t>46.170</t>
  </si>
  <si>
    <t>Math, Binary Search, Prefix Sum, Randomized</t>
  </si>
  <si>
    <t>Minesweeper</t>
  </si>
  <si>
    <t>https://leetcode.com/problems/minesweeper</t>
  </si>
  <si>
    <t>64.989</t>
  </si>
  <si>
    <t>Minimum Absolute Difference in BST</t>
  </si>
  <si>
    <t>https://leetcode.com/problems/minimum-absolute-difference-in-bst</t>
  </si>
  <si>
    <t>56.380</t>
  </si>
  <si>
    <t>Tree, Depth-First Search, Breadth-First Search, Binary Search Tree, Binary Tree</t>
  </si>
  <si>
    <t>https://leetcode.com/problems/lonely-pixel-i</t>
  </si>
  <si>
    <t>60.722</t>
  </si>
  <si>
    <t>K-diff Pairs in an Array</t>
  </si>
  <si>
    <t>https://leetcode.com/problems/k-diff-pairs-in-an-array</t>
  </si>
  <si>
    <t>40.373</t>
  </si>
  <si>
    <t>Lonely Pixel II</t>
  </si>
  <si>
    <t>https://leetcode.com/problems/lonely-pixel-ii</t>
  </si>
  <si>
    <t>48.331</t>
  </si>
  <si>
    <t>Game Play Analysis III</t>
  </si>
  <si>
    <t>https://leetcode.com/problems/game-play-analysis-iii</t>
  </si>
  <si>
    <t>82.266</t>
  </si>
  <si>
    <t>Encode and Decode TinyURL</t>
  </si>
  <si>
    <t>https://leetcode.com/problems/encode-and-decode-tinyurl</t>
  </si>
  <si>
    <t>85.532</t>
  </si>
  <si>
    <t>Hash Table, String, Design, Hash Function</t>
  </si>
  <si>
    <t>https://leetcode.com/problems/construct-binary-tree-from-string</t>
  </si>
  <si>
    <t>55.925</t>
  </si>
  <si>
    <t>String, Tree, Depth-First Search, Binary Tree</t>
  </si>
  <si>
    <t>Complex Number Multiplication</t>
  </si>
  <si>
    <t>https://leetcode.com/problems/complex-number-multiplication</t>
  </si>
  <si>
    <t>71.193</t>
  </si>
  <si>
    <t>Convert BST to Greater Tree</t>
  </si>
  <si>
    <t>https://leetcode.com/problems/convert-bst-to-greater-tree</t>
  </si>
  <si>
    <t>66.667</t>
  </si>
  <si>
    <t>Minimum Time Difference</t>
  </si>
  <si>
    <t>https://leetcode.com/problems/minimum-time-difference</t>
  </si>
  <si>
    <t>55.771</t>
  </si>
  <si>
    <t>Array, Math, String, Sorting</t>
  </si>
  <si>
    <t>Single Element in a Sorted Array</t>
  </si>
  <si>
    <t>https://leetcode.com/problems/single-element-in-a-sorted-array</t>
  </si>
  <si>
    <t>58.629</t>
  </si>
  <si>
    <t>Reverse String II</t>
  </si>
  <si>
    <t>https://leetcode.com/problems/reverse-string-ii</t>
  </si>
  <si>
    <t>50.216</t>
  </si>
  <si>
    <t>01 Matrix</t>
  </si>
  <si>
    <t>https://leetcode.com/problems/01-matrix</t>
  </si>
  <si>
    <t>43.979</t>
  </si>
  <si>
    <t>Array, Dynamic Programming, Breadth-First Search, Matrix</t>
  </si>
  <si>
    <t>https://leetcode.com/problems/diameter-of-binary-tree</t>
  </si>
  <si>
    <t>54.870</t>
  </si>
  <si>
    <t>Output Contest Matches</t>
  </si>
  <si>
    <t>https://leetcode.com/problems/output-contest-matches</t>
  </si>
  <si>
    <t>76.596</t>
  </si>
  <si>
    <t>String, Recursion, Simulation</t>
  </si>
  <si>
    <t>https://leetcode.com/problems/boundary-of-binary-tree</t>
  </si>
  <si>
    <t>43.672</t>
  </si>
  <si>
    <t>Remove Boxes</t>
  </si>
  <si>
    <t>https://leetcode.com/problems/remove-boxes</t>
  </si>
  <si>
    <t>47.441</t>
  </si>
  <si>
    <t>Array, Dynamic Programming, Memoization</t>
  </si>
  <si>
    <t>Number of Provinces</t>
  </si>
  <si>
    <t>https://leetcode.com/problems/number-of-provinces</t>
  </si>
  <si>
    <t>62.735</t>
  </si>
  <si>
    <t>Split Array with Equal Sum</t>
  </si>
  <si>
    <t>https://leetcode.com/problems/split-array-with-equal-sum</t>
  </si>
  <si>
    <t>49.951</t>
  </si>
  <si>
    <t>https://leetcode.com/problems/binary-tree-longest-consecutive-sequence-ii</t>
  </si>
  <si>
    <t>48.763</t>
  </si>
  <si>
    <t>Game Play Analysis IV</t>
  </si>
  <si>
    <t>https://leetcode.com/problems/game-play-analysis-iv</t>
  </si>
  <si>
    <t>44.023</t>
  </si>
  <si>
    <t>Student Attendance Record I</t>
  </si>
  <si>
    <t>https://leetcode.com/problems/student-attendance-record-i</t>
  </si>
  <si>
    <t>47.833</t>
  </si>
  <si>
    <t>Student Attendance Record II</t>
  </si>
  <si>
    <t>https://leetcode.com/problems/student-attendance-record-ii</t>
  </si>
  <si>
    <t>40.767</t>
  </si>
  <si>
    <t>Optimal Division</t>
  </si>
  <si>
    <t>https://leetcode.com/problems/optimal-division</t>
  </si>
  <si>
    <t>59.326</t>
  </si>
  <si>
    <t>Brick Wall</t>
  </si>
  <si>
    <t>https://leetcode.com/problems/brick-wall</t>
  </si>
  <si>
    <t>52.781</t>
  </si>
  <si>
    <t>Split Concatenated Strings</t>
  </si>
  <si>
    <t>https://leetcode.com/problems/split-concatenated-strings</t>
  </si>
  <si>
    <t>43.397</t>
  </si>
  <si>
    <t>Array, String, Greedy</t>
  </si>
  <si>
    <t>Next Greater Element III</t>
  </si>
  <si>
    <t>https://leetcode.com/problems/next-greater-element-iii</t>
  </si>
  <si>
    <t>33.934</t>
  </si>
  <si>
    <t>Math, Two Pointers, String</t>
  </si>
  <si>
    <t>Reverse Words in a String III</t>
  </si>
  <si>
    <t>https://leetcode.com/problems/reverse-words-in-a-string-iii</t>
  </si>
  <si>
    <t>79.422</t>
  </si>
  <si>
    <t>Logical OR of Two Binary Grids Represented as Quad-Trees</t>
  </si>
  <si>
    <t>https://leetcode.com/problems/logical-or-of-two-binary-grids-represented-as-quad-trees</t>
  </si>
  <si>
    <t>47.436</t>
  </si>
  <si>
    <t>Divide and Conquer, Tree</t>
  </si>
  <si>
    <t>Maximum Depth of N-ary Tree</t>
  </si>
  <si>
    <t>https://leetcode.com/problems/maximum-depth-of-n-ary-tree</t>
  </si>
  <si>
    <t>71.273</t>
  </si>
  <si>
    <t>Tree, Depth-First Search, Breadth-First Search</t>
  </si>
  <si>
    <t>Subarray Sum Equals K</t>
  </si>
  <si>
    <t>https://leetcode.com/problems/subarray-sum-equals-k</t>
  </si>
  <si>
    <t>44.199</t>
  </si>
  <si>
    <t>Array Partition I</t>
  </si>
  <si>
    <t>https://leetcode.com/problems/array-partition-i</t>
  </si>
  <si>
    <t>75.979</t>
  </si>
  <si>
    <t>Array, Greedy, Sorting, Counting Sort</t>
  </si>
  <si>
    <t>https://leetcode.com/problems/longest-line-of-consecutive-one-in-matrix</t>
  </si>
  <si>
    <t>49.411</t>
  </si>
  <si>
    <t>Binary Tree Tilt</t>
  </si>
  <si>
    <t>https://leetcode.com/problems/binary-tree-tilt</t>
  </si>
  <si>
    <t>58.808</t>
  </si>
  <si>
    <t>Find the Closest Palindrome</t>
  </si>
  <si>
    <t>https://leetcode.com/problems/find-the-closest-palindrome</t>
  </si>
  <si>
    <t>21.608</t>
  </si>
  <si>
    <t>Array Nesting</t>
  </si>
  <si>
    <t>https://leetcode.com/problems/array-nesting</t>
  </si>
  <si>
    <t>56.362</t>
  </si>
  <si>
    <t>Array, Depth-First Search</t>
  </si>
  <si>
    <t>Reshape the Matrix</t>
  </si>
  <si>
    <t>https://leetcode.com/problems/reshape-the-matrix</t>
  </si>
  <si>
    <t>62.572</t>
  </si>
  <si>
    <t>https://leetcode.com/problems/permutation-in-string</t>
  </si>
  <si>
    <t>44.290</t>
  </si>
  <si>
    <t>Hash Table, Two Pointers, String, Sliding Window</t>
  </si>
  <si>
    <t>https://leetcode.com/problems/maximum-vacation-days</t>
  </si>
  <si>
    <t>44.590</t>
  </si>
  <si>
    <t>Median Employee Salary</t>
  </si>
  <si>
    <t>https://leetcode.com/problems/median-employee-salary</t>
  </si>
  <si>
    <t>67.376</t>
  </si>
  <si>
    <t>Managers with at Least 5 Direct Reports</t>
  </si>
  <si>
    <t>https://leetcode.com/problems/managers-with-at-least-5-direct-reports</t>
  </si>
  <si>
    <t>67.116</t>
  </si>
  <si>
    <t>Find Median Given Frequency of Numbers</t>
  </si>
  <si>
    <t>https://leetcode.com/problems/find-median-given-frequency-of-numbers</t>
  </si>
  <si>
    <t>44.473</t>
  </si>
  <si>
    <t>https://leetcode.com/problems/subtree-of-another-tree</t>
  </si>
  <si>
    <t>45.579</t>
  </si>
  <si>
    <t>Tree, Depth-First Search, String Matching, Binary Tree, Hash Function</t>
  </si>
  <si>
    <t>Squirrel Simulation</t>
  </si>
  <si>
    <t>https://leetcode.com/problems/squirrel-simulation</t>
  </si>
  <si>
    <t>54.778</t>
  </si>
  <si>
    <t>Winning Candidate</t>
  </si>
  <si>
    <t>https://leetcode.com/problems/winning-candidate</t>
  </si>
  <si>
    <t>58.858</t>
  </si>
  <si>
    <t>Distribute Candies</t>
  </si>
  <si>
    <t>https://leetcode.com/problems/distribute-candies</t>
  </si>
  <si>
    <t>65.782</t>
  </si>
  <si>
    <t>Out of Boundary Paths</t>
  </si>
  <si>
    <t>https://leetcode.com/problems/out-of-boundary-paths</t>
  </si>
  <si>
    <t>40.282</t>
  </si>
  <si>
    <t>Employee Bonus</t>
  </si>
  <si>
    <t>https://leetcode.com/problems/employee-bonus</t>
  </si>
  <si>
    <t>74.915</t>
  </si>
  <si>
    <t>Get Highest Answer Rate Question</t>
  </si>
  <si>
    <t>https://leetcode.com/problems/get-highest-answer-rate-question</t>
  </si>
  <si>
    <t>42.340</t>
  </si>
  <si>
    <t>Find Cumulative Salary of an Employee</t>
  </si>
  <si>
    <t>https://leetcode.com/problems/find-cumulative-salary-of-an-employee</t>
  </si>
  <si>
    <t>43.893</t>
  </si>
  <si>
    <t>Count Student Number in Departments</t>
  </si>
  <si>
    <t>https://leetcode.com/problems/count-student-number-in-departments</t>
  </si>
  <si>
    <t>57.415</t>
  </si>
  <si>
    <t>Shortest Unsorted Continuous Subarray</t>
  </si>
  <si>
    <t>https://leetcode.com/problems/shortest-unsorted-continuous-subarray</t>
  </si>
  <si>
    <t>36.074</t>
  </si>
  <si>
    <t>Array, Two Pointers, Stack, Greedy, Sorting, Monotonic Stack</t>
  </si>
  <si>
    <t>https://leetcode.com/problems/kill-process</t>
  </si>
  <si>
    <t>67.452</t>
  </si>
  <si>
    <t>Array, Hash Table, Tree, Depth-First Search, Breadth-First Search</t>
  </si>
  <si>
    <t>Delete Operation for Two Strings</t>
  </si>
  <si>
    <t>https://leetcode.com/problems/delete-operation-for-two-strings</t>
  </si>
  <si>
    <t>Find Customer Referee</t>
  </si>
  <si>
    <t>https://leetcode.com/problems/find-customer-referee</t>
  </si>
  <si>
    <t>76.880</t>
  </si>
  <si>
    <t>Investments in 2016</t>
  </si>
  <si>
    <t>https://leetcode.com/problems/investments-in-2016</t>
  </si>
  <si>
    <t>54.214</t>
  </si>
  <si>
    <t>Customer Placing the Largest Number of Orders</t>
  </si>
  <si>
    <t>https://leetcode.com/problems/customer-placing-the-largest-number-of-orders</t>
  </si>
  <si>
    <t>73.686</t>
  </si>
  <si>
    <t>Erect the Fence</t>
  </si>
  <si>
    <t>https://leetcode.com/problems/erect-the-fence</t>
  </si>
  <si>
    <t>43.226</t>
  </si>
  <si>
    <t>https://leetcode.com/problems/design-in-memory-file-system</t>
  </si>
  <si>
    <t>48.504</t>
  </si>
  <si>
    <t>N-ary Tree Preorder Traversal</t>
  </si>
  <si>
    <t>https://leetcode.com/problems/n-ary-tree-preorder-traversal</t>
  </si>
  <si>
    <t>76.367</t>
  </si>
  <si>
    <t>Stack, Tree, Depth-First Search</t>
  </si>
  <si>
    <t>N-ary Tree Postorder Traversal</t>
  </si>
  <si>
    <t>https://leetcode.com/problems/n-ary-tree-postorder-traversal</t>
  </si>
  <si>
    <t>76.489</t>
  </si>
  <si>
    <t>Tag Validator</t>
  </si>
  <si>
    <t>https://leetcode.com/problems/tag-validator</t>
  </si>
  <si>
    <t>36.767</t>
  </si>
  <si>
    <t>Fraction Addition and Subtraction</t>
  </si>
  <si>
    <t>https://leetcode.com/problems/fraction-addition-and-subtraction</t>
  </si>
  <si>
    <t>51.830</t>
  </si>
  <si>
    <t>Valid Square</t>
  </si>
  <si>
    <t>https://leetcode.com/problems/valid-square</t>
  </si>
  <si>
    <t>43.971</t>
  </si>
  <si>
    <t>Longest Harmonious Subsequence</t>
  </si>
  <si>
    <t>https://leetcode.com/problems/longest-harmonious-subsequence</t>
  </si>
  <si>
    <t>52.865</t>
  </si>
  <si>
    <t>Big Countries</t>
  </si>
  <si>
    <t>https://leetcode.com/problems/big-countries</t>
  </si>
  <si>
    <t>75.181</t>
  </si>
  <si>
    <t>Classes More Than 5 Students</t>
  </si>
  <si>
    <t>https://leetcode.com/problems/classes-more-than-5-students</t>
  </si>
  <si>
    <t>44.222</t>
  </si>
  <si>
    <t>Friend Requests I: Overall Acceptance Rate</t>
  </si>
  <si>
    <t>https://leetcode.com/problems/friend-requests-i-overall-acceptance-rate</t>
  </si>
  <si>
    <t>42.661</t>
  </si>
  <si>
    <t>Range Addition II</t>
  </si>
  <si>
    <t>https://leetcode.com/problems/range-addition-ii</t>
  </si>
  <si>
    <t>54.806</t>
  </si>
  <si>
    <t>Minimum Index Sum of Two Lists</t>
  </si>
  <si>
    <t>https://leetcode.com/problems/minimum-index-sum-of-two-lists</t>
  </si>
  <si>
    <t>52.642</t>
  </si>
  <si>
    <t>Non-negative Integers without Consecutive Ones</t>
  </si>
  <si>
    <t>https://leetcode.com/problems/non-negative-integers-without-consecutive-ones</t>
  </si>
  <si>
    <t>38.830</t>
  </si>
  <si>
    <t>Human Traffic of Stadium</t>
  </si>
  <si>
    <t>https://leetcode.com/problems/human-traffic-of-stadium</t>
  </si>
  <si>
    <t>49.976</t>
  </si>
  <si>
    <t>Friend Requests II: Who Has the Most Friends</t>
  </si>
  <si>
    <t>https://leetcode.com/problems/friend-requests-ii-who-has-the-most-friends</t>
  </si>
  <si>
    <t>60.962</t>
  </si>
  <si>
    <t>Consecutive Available Seats</t>
  </si>
  <si>
    <t>https://leetcode.com/problems/consecutive-available-seats</t>
  </si>
  <si>
    <t>67.906</t>
  </si>
  <si>
    <t>https://leetcode.com/problems/design-compressed-string-iterator</t>
  </si>
  <si>
    <t>39.270</t>
  </si>
  <si>
    <t>Array, Hash Table, String, Design, Iterator</t>
  </si>
  <si>
    <t>Can Place Flowers</t>
  </si>
  <si>
    <t>https://leetcode.com/problems/can-place-flowers</t>
  </si>
  <si>
    <t>33.111</t>
  </si>
  <si>
    <t>Construct String from Binary Tree</t>
  </si>
  <si>
    <t>https://leetcode.com/problems/construct-string-from-binary-tree</t>
  </si>
  <si>
    <t>57.975</t>
  </si>
  <si>
    <t>Sales Person</t>
  </si>
  <si>
    <t>https://leetcode.com/problems/sales-person</t>
  </si>
  <si>
    <t>70.754</t>
  </si>
  <si>
    <t>Tree Node</t>
  </si>
  <si>
    <t>https://leetcode.com/problems/tree-node</t>
  </si>
  <si>
    <t>73.920</t>
  </si>
  <si>
    <t>Find Duplicate File in System</t>
  </si>
  <si>
    <t>https://leetcode.com/problems/find-duplicate-file-in-system</t>
  </si>
  <si>
    <t>63.892</t>
  </si>
  <si>
    <t>Triangle Judgement</t>
  </si>
  <si>
    <t>https://leetcode.com/problems/triangle-judgement</t>
  </si>
  <si>
    <t>70.919</t>
  </si>
  <si>
    <t>Valid Triangle Number</t>
  </si>
  <si>
    <t>https://leetcode.com/problems/valid-triangle-number</t>
  </si>
  <si>
    <t>49.891</t>
  </si>
  <si>
    <t>Array, Two Pointers, Binary Search, Greedy, Sorting</t>
  </si>
  <si>
    <t>Shortest Distance in a Plane</t>
  </si>
  <si>
    <t>https://leetcode.com/problems/shortest-distance-in-a-plane</t>
  </si>
  <si>
    <t>63.069</t>
  </si>
  <si>
    <t>Shortest Distance in a Line</t>
  </si>
  <si>
    <t>https://leetcode.com/problems/shortest-distance-in-a-line</t>
  </si>
  <si>
    <t>81.314</t>
  </si>
  <si>
    <t>Second Degree Follower</t>
  </si>
  <si>
    <t>https://leetcode.com/problems/second-degree-follower</t>
  </si>
  <si>
    <t>36.068</t>
  </si>
  <si>
    <t>Average Salary: Departments VS Company</t>
  </si>
  <si>
    <t>https://leetcode.com/problems/average-salary-departments-vs-company</t>
  </si>
  <si>
    <t>56.782</t>
  </si>
  <si>
    <t>https://leetcode.com/problems/add-bold-tag-in-string</t>
  </si>
  <si>
    <t>48.446</t>
  </si>
  <si>
    <t>Array, Hash Table, String, Trie, String Matching</t>
  </si>
  <si>
    <t>https://leetcode.com/problems/merge-two-binary-trees</t>
  </si>
  <si>
    <t>78.165</t>
  </si>
  <si>
    <t>Students Report By Geography</t>
  </si>
  <si>
    <t>https://leetcode.com/problems/students-report-by-geography</t>
  </si>
  <si>
    <t>63.616</t>
  </si>
  <si>
    <t>Biggest Single Number</t>
  </si>
  <si>
    <t>https://leetcode.com/problems/biggest-single-number</t>
  </si>
  <si>
    <t>47.961</t>
  </si>
  <si>
    <t>Not Boring Movies</t>
  </si>
  <si>
    <t>https://leetcode.com/problems/not-boring-movies</t>
  </si>
  <si>
    <t>72.825</t>
  </si>
  <si>
    <t>https://leetcode.com/problems/task-scheduler</t>
  </si>
  <si>
    <t>54.879</t>
  </si>
  <si>
    <t>Array, Hash Table, Greedy, Sorting, Heap (Priority Queue), Counting</t>
  </si>
  <si>
    <t>Design Circular Queue</t>
  </si>
  <si>
    <t>https://leetcode.com/problems/design-circular-queue</t>
  </si>
  <si>
    <t>48.803</t>
  </si>
  <si>
    <t>Array, Linked List, Design, Queue</t>
  </si>
  <si>
    <t>Add One Row to Tree</t>
  </si>
  <si>
    <t>https://leetcode.com/problems/add-one-row-to-tree</t>
  </si>
  <si>
    <t>54.071</t>
  </si>
  <si>
    <t>https://leetcode.com/problems/maximum-distance-in-arrays</t>
  </si>
  <si>
    <t>41.631</t>
  </si>
  <si>
    <t>Minimum Factorization</t>
  </si>
  <si>
    <t>https://leetcode.com/problems/minimum-factorization</t>
  </si>
  <si>
    <t>33.301</t>
  </si>
  <si>
    <t>Math, Greedy</t>
  </si>
  <si>
    <t>Exchange Seats</t>
  </si>
  <si>
    <t>https://leetcode.com/problems/exchange-seats</t>
  </si>
  <si>
    <t>69.800</t>
  </si>
  <si>
    <t>Swap Salary</t>
  </si>
  <si>
    <t>https://leetcode.com/problems/swap-salary</t>
  </si>
  <si>
    <t>81.113</t>
  </si>
  <si>
    <t>Maximum Product of Three Numbers</t>
  </si>
  <si>
    <t>https://leetcode.com/problems/maximum-product-of-three-numbers</t>
  </si>
  <si>
    <t>46.661</t>
  </si>
  <si>
    <t>K Inverse Pairs Array</t>
  </si>
  <si>
    <t>https://leetcode.com/problems/k-inverse-pairs-array</t>
  </si>
  <si>
    <t>37.278</t>
  </si>
  <si>
    <t>https://leetcode.com/problems/course-schedule-iii</t>
  </si>
  <si>
    <t>40.163</t>
  </si>
  <si>
    <t>Array, Greedy, Heap (Priority Queue)</t>
  </si>
  <si>
    <t>https://leetcode.com/problems/design-excel-sum-formula</t>
  </si>
  <si>
    <t>42.735</t>
  </si>
  <si>
    <t>Graph, Design, Topological Sort</t>
  </si>
  <si>
    <t>https://leetcode.com/problems/smallest-range-covering-elements-from-k-lists</t>
  </si>
  <si>
    <t>59.226</t>
  </si>
  <si>
    <t>Array, Hash Table, Greedy, Sliding Window, Sorting, Heap (Priority Queue)</t>
  </si>
  <si>
    <t>Sum of Square Numbers</t>
  </si>
  <si>
    <t>https://leetcode.com/problems/sum-of-square-numbers</t>
  </si>
  <si>
    <t>34.768</t>
  </si>
  <si>
    <t>Math, Two Pointers, Binary Search</t>
  </si>
  <si>
    <t>Find the Derangement of An Array</t>
  </si>
  <si>
    <t>https://leetcode.com/problems/find-the-derangement-of-an-array</t>
  </si>
  <si>
    <t>41.366</t>
  </si>
  <si>
    <t>https://leetcode.com/problems/design-log-storage-system</t>
  </si>
  <si>
    <t>62.508</t>
  </si>
  <si>
    <t>Hash Table, String, Design, Ordered Set</t>
  </si>
  <si>
    <t>Exclusive Time of Functions</t>
  </si>
  <si>
    <t>https://leetcode.com/problems/exclusive-time-of-functions</t>
  </si>
  <si>
    <t>60.626</t>
  </si>
  <si>
    <t>Array, Stack</t>
  </si>
  <si>
    <t>https://leetcode.com/problems/average-of-levels-in-binary-tree</t>
  </si>
  <si>
    <t>69.017</t>
  </si>
  <si>
    <t>Shopping Offers</t>
  </si>
  <si>
    <t>https://leetcode.com/problems/shopping-offers</t>
  </si>
  <si>
    <t>54.808</t>
  </si>
  <si>
    <t>Array, Dynamic Programming, Backtracking, Bit Manipulation, Memoization, Bitmask</t>
  </si>
  <si>
    <t>Decode Ways II</t>
  </si>
  <si>
    <t>https://leetcode.com/problems/decode-ways-ii</t>
  </si>
  <si>
    <t>30.355</t>
  </si>
  <si>
    <t>Solve the Equation</t>
  </si>
  <si>
    <t>https://leetcode.com/problems/solve-the-equation</t>
  </si>
  <si>
    <t>43.262</t>
  </si>
  <si>
    <t>Design Circular Deque</t>
  </si>
  <si>
    <t>https://leetcode.com/problems/design-circular-deque</t>
  </si>
  <si>
    <t>57.462</t>
  </si>
  <si>
    <t>https://leetcode.com/problems/design-search-autocomplete-system</t>
  </si>
  <si>
    <t>48.494</t>
  </si>
  <si>
    <t>String, Design, Trie, Data Stream</t>
  </si>
  <si>
    <t>https://leetcode.com/problems/maximum-average-subarray-i</t>
  </si>
  <si>
    <t>43.700</t>
  </si>
  <si>
    <t>Array, Sliding Window</t>
  </si>
  <si>
    <t>https://leetcode.com/problems/maximum-average-subarray-ii</t>
  </si>
  <si>
    <t>35.451</t>
  </si>
  <si>
    <t>Set Mismatch</t>
  </si>
  <si>
    <t>https://leetcode.com/problems/set-mismatch</t>
  </si>
  <si>
    <t>41.258</t>
  </si>
  <si>
    <t>Array, Hash Table, Bit Manipulation, Sorting</t>
  </si>
  <si>
    <t>Maximum Length of Pair Chain</t>
  </si>
  <si>
    <t>https://leetcode.com/problems/maximum-length-of-pair-chain</t>
  </si>
  <si>
    <t>55.985</t>
  </si>
  <si>
    <t>https://leetcode.com/problems/palindromic-substrings</t>
  </si>
  <si>
    <t>65.828</t>
  </si>
  <si>
    <t>Replace Words</t>
  </si>
  <si>
    <t>https://leetcode.com/problems/replace-words</t>
  </si>
  <si>
    <t>62.370</t>
  </si>
  <si>
    <t>Dota2 Senate</t>
  </si>
  <si>
    <t>https://leetcode.com/problems/dota2-senate</t>
  </si>
  <si>
    <t>40.134</t>
  </si>
  <si>
    <t>String, Greedy, Queue</t>
  </si>
  <si>
    <t>2 Keys Keyboard</t>
  </si>
  <si>
    <t>https://leetcode.com/problems/2-keys-keyboard</t>
  </si>
  <si>
    <t>52.684</t>
  </si>
  <si>
    <t>https://leetcode.com/problems/4-keys-keyboard</t>
  </si>
  <si>
    <t>54.176</t>
  </si>
  <si>
    <t>Find Duplicate Subtrees</t>
  </si>
  <si>
    <t>https://leetcode.com/problems/find-duplicate-subtrees</t>
  </si>
  <si>
    <t>56.150</t>
  </si>
  <si>
    <t>Two Sum IV - Input is a BST</t>
  </si>
  <si>
    <t>https://leetcode.com/problems/two-sum-iv-input-is-a-bst</t>
  </si>
  <si>
    <t>59.046</t>
  </si>
  <si>
    <t>Hash Table, Two Pointers, Tree, Depth-First Search, Breadth-First Search, Binary Search Tree, Binary Tree</t>
  </si>
  <si>
    <t>https://leetcode.com/problems/maximum-binary-tree</t>
  </si>
  <si>
    <t>83.911</t>
  </si>
  <si>
    <t>Array, Divide and Conquer, Stack, Tree, Monotonic Stack, Binary Tree</t>
  </si>
  <si>
    <t>Print Binary Tree</t>
  </si>
  <si>
    <t>https://leetcode.com/problems/print-binary-tree</t>
  </si>
  <si>
    <t>60.530</t>
  </si>
  <si>
    <t>https://leetcode.com/problems/coin-path</t>
  </si>
  <si>
    <t>31.347</t>
  </si>
  <si>
    <t>Robot Return to Origin</t>
  </si>
  <si>
    <t>https://leetcode.com/problems/robot-return-to-origin</t>
  </si>
  <si>
    <t>75.126</t>
  </si>
  <si>
    <t>String, Simulation</t>
  </si>
  <si>
    <t>https://leetcode.com/problems/find-k-closest-elements</t>
  </si>
  <si>
    <t>44.732</t>
  </si>
  <si>
    <t>Array, Two Pointers, Binary Search, Sorting, Heap (Priority Queue)</t>
  </si>
  <si>
    <t>Split Array into Consecutive Subsequences</t>
  </si>
  <si>
    <t>https://leetcode.com/problems/split-array-into-consecutive-subsequences</t>
  </si>
  <si>
    <t>45.851</t>
  </si>
  <si>
    <t>Array, Hash Table, Greedy, Heap (Priority Queue)</t>
  </si>
  <si>
    <t>Remove 9</t>
  </si>
  <si>
    <t>https://leetcode.com/problems/remove-9</t>
  </si>
  <si>
    <t>56.578</t>
  </si>
  <si>
    <t>Image Smoother</t>
  </si>
  <si>
    <t>https://leetcode.com/problems/image-smoother</t>
  </si>
  <si>
    <t>54.607</t>
  </si>
  <si>
    <t>https://leetcode.com/problems/maximum-width-of-binary-tree</t>
  </si>
  <si>
    <t>40.300</t>
  </si>
  <si>
    <t>Equal Tree Partition</t>
  </si>
  <si>
    <t>https://leetcode.com/problems/equal-tree-partition</t>
  </si>
  <si>
    <t>41.305</t>
  </si>
  <si>
    <t>Strange Printer</t>
  </si>
  <si>
    <t>https://leetcode.com/problems/strange-printer</t>
  </si>
  <si>
    <t>46.531</t>
  </si>
  <si>
    <t>Non-decreasing Array</t>
  </si>
  <si>
    <t>https://leetcode.com/problems/non-decreasing-array</t>
  </si>
  <si>
    <t>23.875</t>
  </si>
  <si>
    <t>Path Sum IV</t>
  </si>
  <si>
    <t>https://leetcode.com/problems/path-sum-iv</t>
  </si>
  <si>
    <t>58.724</t>
  </si>
  <si>
    <t>Array, Tree, Depth-First Search, Binary Tree</t>
  </si>
  <si>
    <t>Beautiful Arrangement II</t>
  </si>
  <si>
    <t>https://leetcode.com/problems/beautiful-arrangement-ii</t>
  </si>
  <si>
    <t>59.465</t>
  </si>
  <si>
    <t>Kth Smallest Number in Multiplication Table</t>
  </si>
  <si>
    <t>https://leetcode.com/problems/kth-smallest-number-in-multiplication-table</t>
  </si>
  <si>
    <t>51.304</t>
  </si>
  <si>
    <t>Trim a Binary Search Tree</t>
  </si>
  <si>
    <t>https://leetcode.com/problems/trim-a-binary-search-tree</t>
  </si>
  <si>
    <t>66.323</t>
  </si>
  <si>
    <t>Maximum Swap</t>
  </si>
  <si>
    <t>https://leetcode.com/problems/maximum-swap</t>
  </si>
  <si>
    <t>47.689</t>
  </si>
  <si>
    <t>Second Minimum Node In a Binary Tree</t>
  </si>
  <si>
    <t>https://leetcode.com/problems/second-minimum-node-in-a-binary-tree</t>
  </si>
  <si>
    <t>Bulb Switcher II</t>
  </si>
  <si>
    <t>https://leetcode.com/problems/bulb-switcher-ii</t>
  </si>
  <si>
    <t>50.731</t>
  </si>
  <si>
    <t>Math, Bit Manipulation, Depth-First Search, Breadth-First Search</t>
  </si>
  <si>
    <t>https://leetcode.com/problems/number-of-longest-increasing-subsequence</t>
  </si>
  <si>
    <t>Array, Dynamic Programming, Binary Indexed Tree, Segment Tree</t>
  </si>
  <si>
    <t>Longest Continuous Increasing Subsequence</t>
  </si>
  <si>
    <t>https://leetcode.com/problems/longest-continuous-increasing-subsequence</t>
  </si>
  <si>
    <t>48.684</t>
  </si>
  <si>
    <t>Cut Off Trees for Golf Event</t>
  </si>
  <si>
    <t>https://leetcode.com/problems/cut-off-trees-for-golf-event</t>
  </si>
  <si>
    <t>35.090</t>
  </si>
  <si>
    <t>Implement Magic Dictionary</t>
  </si>
  <si>
    <t>https://leetcode.com/problems/implement-magic-dictionary</t>
  </si>
  <si>
    <t>56.662</t>
  </si>
  <si>
    <t>Map Sum Pairs</t>
  </si>
  <si>
    <t>https://leetcode.com/problems/map-sum-pairs</t>
  </si>
  <si>
    <t>56.981</t>
  </si>
  <si>
    <t>Valid Parenthesis String</t>
  </si>
  <si>
    <t>https://leetcode.com/problems/valid-parenthesis-string</t>
  </si>
  <si>
    <t>33.536</t>
  </si>
  <si>
    <t>String, Dynamic Programming, Stack, Greedy</t>
  </si>
  <si>
    <t>24 Game</t>
  </si>
  <si>
    <t>https://leetcode.com/problems/24-game</t>
  </si>
  <si>
    <t>48.928</t>
  </si>
  <si>
    <t>Array, Math, Backtracking</t>
  </si>
  <si>
    <t>Valid Palindrome II</t>
  </si>
  <si>
    <t>https://leetcode.com/problems/valid-palindrome-ii</t>
  </si>
  <si>
    <t>39.414</t>
  </si>
  <si>
    <t>Two Pointers, String, Greedy</t>
  </si>
  <si>
    <t>Next Closest Time</t>
  </si>
  <si>
    <t>https://leetcode.com/problems/next-closest-time</t>
  </si>
  <si>
    <t>46.408</t>
  </si>
  <si>
    <t>String, Enumeration</t>
  </si>
  <si>
    <t>Baseball Game</t>
  </si>
  <si>
    <t>https://leetcode.com/problems/baseball-game</t>
  </si>
  <si>
    <t>73.321</t>
  </si>
  <si>
    <t>Array, Stack, Simulation</t>
  </si>
  <si>
    <t>K Empty Slots</t>
  </si>
  <si>
    <t>https://leetcode.com/problems/k-empty-slots</t>
  </si>
  <si>
    <t>36.796</t>
  </si>
  <si>
    <t>Array, Binary Indexed Tree, Sliding Window, Ordered Set</t>
  </si>
  <si>
    <t>Redundant Connection</t>
  </si>
  <si>
    <t>https://leetcode.com/problems/redundant-connection</t>
  </si>
  <si>
    <t>61.504</t>
  </si>
  <si>
    <t>Redundant Connection II</t>
  </si>
  <si>
    <t>https://leetcode.com/problems/redundant-connection-ii</t>
  </si>
  <si>
    <t>33.936</t>
  </si>
  <si>
    <t>Repeated String Match</t>
  </si>
  <si>
    <t>https://leetcode.com/problems/repeated-string-match</t>
  </si>
  <si>
    <t>33.756</t>
  </si>
  <si>
    <t>Longest Univalue Path</t>
  </si>
  <si>
    <t>https://leetcode.com/problems/longest-univalue-path</t>
  </si>
  <si>
    <t>39.655</t>
  </si>
  <si>
    <t>Knight Probability in Chessboard</t>
  </si>
  <si>
    <t>https://leetcode.com/problems/knight-probability-in-chessboard</t>
  </si>
  <si>
    <t>51.698</t>
  </si>
  <si>
    <t>Maximum Sum of 3 Non-Overlapping Subarrays</t>
  </si>
  <si>
    <t>https://leetcode.com/problems/maximum-sum-of-3-non-overlapping-subarrays</t>
  </si>
  <si>
    <t>48.616</t>
  </si>
  <si>
    <t>Employee Importance</t>
  </si>
  <si>
    <t>https://leetcode.com/problems/employee-importance</t>
  </si>
  <si>
    <t>64.519</t>
  </si>
  <si>
    <t>Hash Table, Depth-First Search, Breadth-First Search</t>
  </si>
  <si>
    <t>Stickers to Spell Word</t>
  </si>
  <si>
    <t>https://leetcode.com/problems/stickers-to-spell-word</t>
  </si>
  <si>
    <t>46.601</t>
  </si>
  <si>
    <t>Array, String, Dynamic Programming, Backtracking, Bit Manipulation, Bitmask</t>
  </si>
  <si>
    <t>Top K Frequent Words</t>
  </si>
  <si>
    <t>https://leetcode.com/problems/top-k-frequent-words</t>
  </si>
  <si>
    <t>54.605</t>
  </si>
  <si>
    <t>Hash Table, String, Trie, Sorting, Heap (Priority Queue), Bucket Sort, Counting</t>
  </si>
  <si>
    <t>Binary Number with Alternating Bits</t>
  </si>
  <si>
    <t>https://leetcode.com/problems/binary-number-with-alternating-bits</t>
  </si>
  <si>
    <t>61.016</t>
  </si>
  <si>
    <t>https://leetcode.com/problems/number-of-distinct-islands</t>
  </si>
  <si>
    <t>60.204</t>
  </si>
  <si>
    <t>Hash Table, Depth-First Search, Breadth-First Search, Union Find, Hash Function</t>
  </si>
  <si>
    <t>Max Area of Island</t>
  </si>
  <si>
    <t>https://leetcode.com/problems/max-area-of-island</t>
  </si>
  <si>
    <t>70.203</t>
  </si>
  <si>
    <t>Count Binary Substrings</t>
  </si>
  <si>
    <t>https://leetcode.com/problems/count-binary-substrings</t>
  </si>
  <si>
    <t>65.163</t>
  </si>
  <si>
    <t>Degree of an Array</t>
  </si>
  <si>
    <t>https://leetcode.com/problems/degree-of-an-array</t>
  </si>
  <si>
    <t>55.766</t>
  </si>
  <si>
    <t>https://leetcode.com/problems/partition-to-k-equal-sum-subsets</t>
  </si>
  <si>
    <t>42.805</t>
  </si>
  <si>
    <t>Falling Squares</t>
  </si>
  <si>
    <t>https://leetcode.com/problems/falling-squares</t>
  </si>
  <si>
    <t>44.135</t>
  </si>
  <si>
    <t>Array, Segment Tree, Ordered Set</t>
  </si>
  <si>
    <t>Search in a Binary Search Tree</t>
  </si>
  <si>
    <t>https://leetcode.com/problems/search-in-a-binary-search-tree</t>
  </si>
  <si>
    <t>76.685</t>
  </si>
  <si>
    <t>Insert into a Binary Search Tree</t>
  </si>
  <si>
    <t>https://leetcode.com/problems/insert-into-a-binary-search-tree</t>
  </si>
  <si>
    <t>74.819</t>
  </si>
  <si>
    <t>https://leetcode.com/problems/search-in-a-sorted-array-of-unknown-size</t>
  </si>
  <si>
    <t>71.013</t>
  </si>
  <si>
    <t>Array, Binary Search, Interactive</t>
  </si>
  <si>
    <t>Kth Largest Element in a Stream</t>
  </si>
  <si>
    <t>https://leetcode.com/problems/kth-largest-element-in-a-stream</t>
  </si>
  <si>
    <t>55.056</t>
  </si>
  <si>
    <t>Tree, Design, Binary Search Tree, Heap (Priority Queue), Binary Tree, Data Stream</t>
  </si>
  <si>
    <t>https://leetcode.com/problems/binary-search</t>
  </si>
  <si>
    <t>55.209</t>
  </si>
  <si>
    <t>Design HashSet</t>
  </si>
  <si>
    <t>https://leetcode.com/problems/design-hashset</t>
  </si>
  <si>
    <t>66.129</t>
  </si>
  <si>
    <t>Array, Hash Table, Linked List, Design, Hash Function</t>
  </si>
  <si>
    <t>Design HashMap</t>
  </si>
  <si>
    <t>https://leetcode.com/problems/design-hashmap</t>
  </si>
  <si>
    <t>65.225</t>
  </si>
  <si>
    <t>Design Linked List</t>
  </si>
  <si>
    <t>https://leetcode.com/problems/design-linked-list</t>
  </si>
  <si>
    <t>27.146</t>
  </si>
  <si>
    <t>Linked List, Design</t>
  </si>
  <si>
    <t>https://leetcode.com/problems/insert-into-a-sorted-circular-linked-list</t>
  </si>
  <si>
    <t>34.452</t>
  </si>
  <si>
    <t>To Lower Case</t>
  </si>
  <si>
    <t>https://leetcode.com/problems/to-lower-case</t>
  </si>
  <si>
    <t>81.560</t>
  </si>
  <si>
    <t>Random Pick with Blacklist</t>
  </si>
  <si>
    <t>https://leetcode.com/problems/random-pick-with-blacklist</t>
  </si>
  <si>
    <t>33.451</t>
  </si>
  <si>
    <t>Hash Table, Math, Binary Search, Sorting, Randomized</t>
  </si>
  <si>
    <t>Number of Distinct Islands II</t>
  </si>
  <si>
    <t>https://leetcode.com/problems/number-of-distinct-islands-ii</t>
  </si>
  <si>
    <t>51.613</t>
  </si>
  <si>
    <t>Minimum ASCII Delete Sum for Two Strings</t>
  </si>
  <si>
    <t>https://leetcode.com/problems/minimum-ascii-delete-sum-for-two-strings</t>
  </si>
  <si>
    <t>61.826</t>
  </si>
  <si>
    <t>https://leetcode.com/problems/subarray-product-less-than-k</t>
  </si>
  <si>
    <t>44.301</t>
  </si>
  <si>
    <t>Best Time to Buy and Sell Stock with Transaction Fee</t>
  </si>
  <si>
    <t>https://leetcode.com/problems/best-time-to-buy-and-sell-stock-with-transaction-fee</t>
  </si>
  <si>
    <t>62.979</t>
  </si>
  <si>
    <t>Range Module</t>
  </si>
  <si>
    <t>https://leetcode.com/problems/range-module</t>
  </si>
  <si>
    <t>44.127</t>
  </si>
  <si>
    <t>Design, Segment Tree, Ordered Set</t>
  </si>
  <si>
    <t>https://leetcode.com/problems/max-stack</t>
  </si>
  <si>
    <t>45.303</t>
  </si>
  <si>
    <t>Linked List, Stack, Design, Doubly-Linked List, Ordered Set</t>
  </si>
  <si>
    <t>1-bit and 2-bit Characters</t>
  </si>
  <si>
    <t>https://leetcode.com/problems/1-bit-and-2-bit-characters</t>
  </si>
  <si>
    <t>46.101</t>
  </si>
  <si>
    <t>Maximum Length of Repeated Subarray</t>
  </si>
  <si>
    <t>https://leetcode.com/problems/maximum-length-of-repeated-subarray</t>
  </si>
  <si>
    <t>51.421</t>
  </si>
  <si>
    <t>Array, Binary Search, Dynamic Programming, Sliding Window, Rolling Hash, Hash Function</t>
  </si>
  <si>
    <t>Find K-th Smallest Pair Distance</t>
  </si>
  <si>
    <t>https://leetcode.com/problems/find-k-th-smallest-pair-distance</t>
  </si>
  <si>
    <t>35.436</t>
  </si>
  <si>
    <t>https://leetcode.com/problems/longest-word-in-dictionary</t>
  </si>
  <si>
    <t>51.364</t>
  </si>
  <si>
    <t>Array, Hash Table, String, Trie, Sorting</t>
  </si>
  <si>
    <t>Accounts Merge</t>
  </si>
  <si>
    <t>https://leetcode.com/problems/accounts-merge</t>
  </si>
  <si>
    <t>56.081</t>
  </si>
  <si>
    <t>Array, String, Depth-First Search, Breadth-First Search, Union Find</t>
  </si>
  <si>
    <t>Remove Comments</t>
  </si>
  <si>
    <t>https://leetcode.com/problems/remove-comments</t>
  </si>
  <si>
    <t>37.533</t>
  </si>
  <si>
    <t>https://leetcode.com/problems/candy-crush</t>
  </si>
  <si>
    <t>75.517</t>
  </si>
  <si>
    <t>Array, Two Pointers, Matrix, Simulation</t>
  </si>
  <si>
    <t>Find Pivot Index</t>
  </si>
  <si>
    <t>https://leetcode.com/problems/find-pivot-index</t>
  </si>
  <si>
    <t>52.424</t>
  </si>
  <si>
    <t>Split Linked List in Parts</t>
  </si>
  <si>
    <t>https://leetcode.com/problems/split-linked-list-in-parts</t>
  </si>
  <si>
    <t>56.971</t>
  </si>
  <si>
    <t>Number of Atoms</t>
  </si>
  <si>
    <t>https://leetcode.com/problems/number-of-atoms</t>
  </si>
  <si>
    <t>51.920</t>
  </si>
  <si>
    <t>Hash Table, String, Stack, Sorting</t>
  </si>
  <si>
    <t>https://leetcode.com/problems/minimum-window-subsequence</t>
  </si>
  <si>
    <t>42.843</t>
  </si>
  <si>
    <t>String, Dynamic Programming, Sliding Window</t>
  </si>
  <si>
    <t>Self Dividing Numbers</t>
  </si>
  <si>
    <t>https://leetcode.com/problems/self-dividing-numbers</t>
  </si>
  <si>
    <t>77.192</t>
  </si>
  <si>
    <t>My Calendar I</t>
  </si>
  <si>
    <t>https://leetcode.com/problems/my-calendar-i</t>
  </si>
  <si>
    <t>55.380</t>
  </si>
  <si>
    <t>Binary Search, Design, Segment Tree, Ordered Set</t>
  </si>
  <si>
    <t>Count Different Palindromic Subsequences</t>
  </si>
  <si>
    <t>https://leetcode.com/problems/count-different-palindromic-subsequences</t>
  </si>
  <si>
    <t>44.514</t>
  </si>
  <si>
    <t>My Calendar II</t>
  </si>
  <si>
    <t>https://leetcode.com/problems/my-calendar-ii</t>
  </si>
  <si>
    <t>53.741</t>
  </si>
  <si>
    <t>My Calendar III</t>
  </si>
  <si>
    <t>https://leetcode.com/problems/my-calendar-iii</t>
  </si>
  <si>
    <t>66.923</t>
  </si>
  <si>
    <t>Flood Fill</t>
  </si>
  <si>
    <t>https://leetcode.com/problems/flood-fill</t>
  </si>
  <si>
    <t>58.855</t>
  </si>
  <si>
    <t>Sentence Similarity</t>
  </si>
  <si>
    <t>https://leetcode.com/problems/sentence-similarity</t>
  </si>
  <si>
    <t>43.000</t>
  </si>
  <si>
    <t>Asteroid Collision</t>
  </si>
  <si>
    <t>https://leetcode.com/problems/asteroid-collision</t>
  </si>
  <si>
    <t>44.319</t>
  </si>
  <si>
    <t>Parse Lisp Expression</t>
  </si>
  <si>
    <t>https://leetcode.com/problems/parse-lisp-expression</t>
  </si>
  <si>
    <t>51.312</t>
  </si>
  <si>
    <t>Hash Table, String, Stack, Recursion</t>
  </si>
  <si>
    <t>Sentence Similarity II</t>
  </si>
  <si>
    <t>https://leetcode.com/problems/sentence-similarity-ii</t>
  </si>
  <si>
    <t>48.424</t>
  </si>
  <si>
    <t>Array, Hash Table, String, Depth-First Search, Breadth-First Search, Union Find</t>
  </si>
  <si>
    <t>Monotone Increasing Digits</t>
  </si>
  <si>
    <t>https://leetcode.com/problems/monotone-increasing-digits</t>
  </si>
  <si>
    <t>46.872</t>
  </si>
  <si>
    <t>Daily Temperatures</t>
  </si>
  <si>
    <t>https://leetcode.com/problems/daily-temperatures</t>
  </si>
  <si>
    <t>67.440</t>
  </si>
  <si>
    <t>Delete and Earn</t>
  </si>
  <si>
    <t>https://leetcode.com/problems/delete-and-earn</t>
  </si>
  <si>
    <t>57.487</t>
  </si>
  <si>
    <t>Array, Hash Table, Dynamic Programming</t>
  </si>
  <si>
    <t>Cherry Pickup</t>
  </si>
  <si>
    <t>https://leetcode.com/problems/cherry-pickup</t>
  </si>
  <si>
    <t>36.271</t>
  </si>
  <si>
    <t>Closest Leaf in a Binary Tree</t>
  </si>
  <si>
    <t>https://leetcode.com/problems/closest-leaf-in-a-binary-tree</t>
  </si>
  <si>
    <t>45.747</t>
  </si>
  <si>
    <t>Network Delay Time</t>
  </si>
  <si>
    <t>https://leetcode.com/problems/network-delay-time</t>
  </si>
  <si>
    <t>50.577</t>
  </si>
  <si>
    <t>https://leetcode.com/problems/find-smallest-letter-greater-than-target</t>
  </si>
  <si>
    <t>44.847</t>
  </si>
  <si>
    <t>https://leetcode.com/problems/prefix-and-suffix-search</t>
  </si>
  <si>
    <t>41.411</t>
  </si>
  <si>
    <t>String, Design, Trie</t>
  </si>
  <si>
    <t>Min Cost Climbing Stairs</t>
  </si>
  <si>
    <t>https://leetcode.com/problems/min-cost-climbing-stairs</t>
  </si>
  <si>
    <t>59.742</t>
  </si>
  <si>
    <t>Largest Number At Least Twice of Others</t>
  </si>
  <si>
    <t>https://leetcode.com/problems/largest-number-at-least-twice-of-others</t>
  </si>
  <si>
    <t>45.524</t>
  </si>
  <si>
    <t>Shortest Completing Word</t>
  </si>
  <si>
    <t>https://leetcode.com/problems/shortest-completing-word</t>
  </si>
  <si>
    <t>59.019</t>
  </si>
  <si>
    <t>Contain Virus</t>
  </si>
  <si>
    <t>https://leetcode.com/problems/contain-virus</t>
  </si>
  <si>
    <t>50.340</t>
  </si>
  <si>
    <t>Array, Depth-First Search, Breadth-First Search, Matrix, Simulation</t>
  </si>
  <si>
    <t>Number Of Corner Rectangles</t>
  </si>
  <si>
    <t>https://leetcode.com/problems/number-of-corner-rectangles</t>
  </si>
  <si>
    <t>67.557</t>
  </si>
  <si>
    <t>Array, Math, Dynamic Programming, Matrix</t>
  </si>
  <si>
    <t>IP to CIDR</t>
  </si>
  <si>
    <t>https://leetcode.com/problems/ip-to-cidr</t>
  </si>
  <si>
    <t>54.759</t>
  </si>
  <si>
    <t>String, Bit Manipulation</t>
  </si>
  <si>
    <t>Open the Lock</t>
  </si>
  <si>
    <t>https://leetcode.com/problems/open-the-lock</t>
  </si>
  <si>
    <t>55.395</t>
  </si>
  <si>
    <t>Array, Hash Table, String, Breadth-First Search</t>
  </si>
  <si>
    <t>Cracking the Safe</t>
  </si>
  <si>
    <t>https://leetcode.com/problems/cracking-the-safe</t>
  </si>
  <si>
    <t>54.908</t>
  </si>
  <si>
    <t>Reach a Number</t>
  </si>
  <si>
    <t>https://leetcode.com/problems/reach-a-number</t>
  </si>
  <si>
    <t>42.061</t>
  </si>
  <si>
    <t>Pour Water</t>
  </si>
  <si>
    <t>https://leetcode.com/problems/pour-water</t>
  </si>
  <si>
    <t>45.794</t>
  </si>
  <si>
    <t>Pyramid Transition Matrix</t>
  </si>
  <si>
    <t>https://leetcode.com/problems/pyramid-transition-matrix</t>
  </si>
  <si>
    <t>54.148</t>
  </si>
  <si>
    <t>Bit Manipulation, Depth-First Search, Breadth-First Search</t>
  </si>
  <si>
    <t>Set Intersection Size At Least Two</t>
  </si>
  <si>
    <t>https://leetcode.com/problems/set-intersection-size-at-least-two</t>
  </si>
  <si>
    <t>43.260</t>
  </si>
  <si>
    <t>Bold Words in String</t>
  </si>
  <si>
    <t>https://leetcode.com/problems/bold-words-in-string</t>
  </si>
  <si>
    <t>50.414</t>
  </si>
  <si>
    <t>https://leetcode.com/problems/employee-free-time</t>
  </si>
  <si>
    <t>71.331</t>
  </si>
  <si>
    <t>Find Anagram Mappings</t>
  </si>
  <si>
    <t>https://leetcode.com/problems/find-anagram-mappings</t>
  </si>
  <si>
    <t>82.733</t>
  </si>
  <si>
    <t>Special Binary String</t>
  </si>
  <si>
    <t>https://leetcode.com/problems/special-binary-string</t>
  </si>
  <si>
    <t>60.025</t>
  </si>
  <si>
    <t>String, Recursion</t>
  </si>
  <si>
    <t>Prime Number of Set Bits in Binary Representation</t>
  </si>
  <si>
    <t>https://leetcode.com/problems/prime-number-of-set-bits-in-binary-representation</t>
  </si>
  <si>
    <t>67.120</t>
  </si>
  <si>
    <t>Partition Labels</t>
  </si>
  <si>
    <t>https://leetcode.com/problems/partition-labels</t>
  </si>
  <si>
    <t>79.672</t>
  </si>
  <si>
    <t>Hash Table, Two Pointers, String, Greedy</t>
  </si>
  <si>
    <t>Largest Plus Sign</t>
  </si>
  <si>
    <t>https://leetcode.com/problems/largest-plus-sign</t>
  </si>
  <si>
    <t>48.545</t>
  </si>
  <si>
    <t>Couples Holding Hands</t>
  </si>
  <si>
    <t>https://leetcode.com/problems/couples-holding-hands</t>
  </si>
  <si>
    <t>56.705</t>
  </si>
  <si>
    <t>Greedy, Depth-First Search, Breadth-First Search, Union Find, Graph</t>
  </si>
  <si>
    <t>Toeplitz Matrix</t>
  </si>
  <si>
    <t>https://leetcode.com/problems/toeplitz-matrix</t>
  </si>
  <si>
    <t>68.126</t>
  </si>
  <si>
    <t>https://leetcode.com/problems/reorganize-string</t>
  </si>
  <si>
    <t>52.346</t>
  </si>
  <si>
    <t>Max Chunks To Make Sorted II</t>
  </si>
  <si>
    <t>https://leetcode.com/problems/max-chunks-to-make-sorted-ii</t>
  </si>
  <si>
    <t>52.265</t>
  </si>
  <si>
    <t>Array, Stack, Greedy, Sorting, Monotonic Stack</t>
  </si>
  <si>
    <t>Max Chunks To Make Sorted</t>
  </si>
  <si>
    <t>https://leetcode.com/problems/max-chunks-to-make-sorted</t>
  </si>
  <si>
    <t>57.816</t>
  </si>
  <si>
    <t>Basic Calculator IV</t>
  </si>
  <si>
    <t>https://leetcode.com/problems/basic-calculator-iv</t>
  </si>
  <si>
    <t>55.893</t>
  </si>
  <si>
    <t>Hash Table, Math, String, Stack, Recursion</t>
  </si>
  <si>
    <t>Jewels and Stones</t>
  </si>
  <si>
    <t>https://leetcode.com/problems/jewels-and-stones</t>
  </si>
  <si>
    <t>87.814</t>
  </si>
  <si>
    <t>Basic Calculator III</t>
  </si>
  <si>
    <t>https://leetcode.com/problems/basic-calculator-iii</t>
  </si>
  <si>
    <t>Sliding Puzzle</t>
  </si>
  <si>
    <t>https://leetcode.com/problems/sliding-puzzle</t>
  </si>
  <si>
    <t>63.397</t>
  </si>
  <si>
    <t>Minimize Max Distance to Gas Station</t>
  </si>
  <si>
    <t>https://leetcode.com/problems/minimize-max-distance-to-gas-station</t>
  </si>
  <si>
    <t>50.726</t>
  </si>
  <si>
    <t>Global and Local Inversions</t>
  </si>
  <si>
    <t>https://leetcode.com/problems/global-and-local-inversions</t>
  </si>
  <si>
    <t>44.736</t>
  </si>
  <si>
    <t>Split BST</t>
  </si>
  <si>
    <t>https://leetcode.com/problems/split-bst</t>
  </si>
  <si>
    <t>58.554</t>
  </si>
  <si>
    <t>Tree, Binary Search Tree, Recursion, Binary Tree</t>
  </si>
  <si>
    <t>Swap Adjacent in LR String</t>
  </si>
  <si>
    <t>https://leetcode.com/problems/swap-adjacent-in-lr-string</t>
  </si>
  <si>
    <t>36.659</t>
  </si>
  <si>
    <t>Swim in Rising Water</t>
  </si>
  <si>
    <t>https://leetcode.com/problems/swim-in-rising-water</t>
  </si>
  <si>
    <t>59.244</t>
  </si>
  <si>
    <t>Array, Binary Search, Depth-First Search, Breadth-First Search, Union Find, Heap (Priority Queue), Matrix</t>
  </si>
  <si>
    <t>K-th Symbol in Grammar</t>
  </si>
  <si>
    <t>https://leetcode.com/problems/k-th-symbol-in-grammar</t>
  </si>
  <si>
    <t>40.172</t>
  </si>
  <si>
    <t>Reaching Points</t>
  </si>
  <si>
    <t>https://leetcode.com/problems/reaching-points</t>
  </si>
  <si>
    <t>31.803</t>
  </si>
  <si>
    <t>Rabbits in Forest</t>
  </si>
  <si>
    <t>https://leetcode.com/problems/rabbits-in-forest</t>
  </si>
  <si>
    <t>55.527</t>
  </si>
  <si>
    <t>Array, Hash Table, Math, Greedy</t>
  </si>
  <si>
    <t>Transform to Chessboard</t>
  </si>
  <si>
    <t>https://leetcode.com/problems/transform-to-chessboard</t>
  </si>
  <si>
    <t>51.873</t>
  </si>
  <si>
    <t>Array, Math, Bit Manipulation, Matrix</t>
  </si>
  <si>
    <t>Minimum Distance Between BST Nodes</t>
  </si>
  <si>
    <t>https://leetcode.com/problems/minimum-distance-between-bst-nodes</t>
  </si>
  <si>
    <t>56.391</t>
  </si>
  <si>
    <t>https://leetcode.com/problems/letter-case-permutation</t>
  </si>
  <si>
    <t>72.864</t>
  </si>
  <si>
    <t>Is Graph Bipartite?</t>
  </si>
  <si>
    <t>https://leetcode.com/problems/is-graph-bipartite</t>
  </si>
  <si>
    <t>52.067</t>
  </si>
  <si>
    <t>K-th Smallest Prime Fraction</t>
  </si>
  <si>
    <t>https://leetcode.com/problems/k-th-smallest-prime-fraction</t>
  </si>
  <si>
    <t>49.360</t>
  </si>
  <si>
    <t>Array, Binary Search, Sorting, Heap (Priority Queue)</t>
  </si>
  <si>
    <t>Cheapest Flights Within K Stops</t>
  </si>
  <si>
    <t>https://leetcode.com/problems/cheapest-flights-within-k-stops</t>
  </si>
  <si>
    <t>35.880</t>
  </si>
  <si>
    <t>Dynamic Programming, Depth-First Search, Breadth-First Search, Graph, Heap (Priority Queue), Shortest Path</t>
  </si>
  <si>
    <t>Rotated Digits</t>
  </si>
  <si>
    <t>https://leetcode.com/problems/rotated-digits</t>
  </si>
  <si>
    <t>57.071</t>
  </si>
  <si>
    <t>Escape The Ghosts</t>
  </si>
  <si>
    <t>https://leetcode.com/problems/escape-the-ghosts</t>
  </si>
  <si>
    <t>60.313</t>
  </si>
  <si>
    <t>Domino and Tromino Tiling</t>
  </si>
  <si>
    <t>https://leetcode.com/problems/domino-and-tromino-tiling</t>
  </si>
  <si>
    <t>48.069</t>
  </si>
  <si>
    <t>Custom Sort String</t>
  </si>
  <si>
    <t>https://leetcode.com/problems/custom-sort-string</t>
  </si>
  <si>
    <t>69.310</t>
  </si>
  <si>
    <t>Number of Matching Subsequences</t>
  </si>
  <si>
    <t>https://leetcode.com/problems/number-of-matching-subsequences</t>
  </si>
  <si>
    <t>50.677</t>
  </si>
  <si>
    <t>Hash Table, String, Trie, Sorting</t>
  </si>
  <si>
    <t>Preimage Size of Factorial Zeroes Function</t>
  </si>
  <si>
    <t>https://leetcode.com/problems/preimage-size-of-factorial-zeroes-function</t>
  </si>
  <si>
    <t>42.141</t>
  </si>
  <si>
    <t>Valid Tic-Tac-Toe State</t>
  </si>
  <si>
    <t>https://leetcode.com/problems/valid-tic-tac-toe-state</t>
  </si>
  <si>
    <t>35.234</t>
  </si>
  <si>
    <t>Number of Subarrays with Bounded Maximum</t>
  </si>
  <si>
    <t>https://leetcode.com/problems/number-of-subarrays-with-bounded-maximum</t>
  </si>
  <si>
    <t>52.428</t>
  </si>
  <si>
    <t>Rotate String</t>
  </si>
  <si>
    <t>https://leetcode.com/problems/rotate-string</t>
  </si>
  <si>
    <t>52.931</t>
  </si>
  <si>
    <t>All Paths From Source to Target</t>
  </si>
  <si>
    <t>https://leetcode.com/problems/all-paths-from-source-to-target</t>
  </si>
  <si>
    <t>81.086</t>
  </si>
  <si>
    <t>Backtracking, Depth-First Search, Breadth-First Search, Graph</t>
  </si>
  <si>
    <t>Smallest Rotation with Highest Score</t>
  </si>
  <si>
    <t>https://leetcode.com/problems/smallest-rotation-with-highest-score</t>
  </si>
  <si>
    <t>48.690</t>
  </si>
  <si>
    <t>Champagne Tower</t>
  </si>
  <si>
    <t>https://leetcode.com/problems/champagne-tower</t>
  </si>
  <si>
    <t>51.231</t>
  </si>
  <si>
    <t>Similar RGB Color</t>
  </si>
  <si>
    <t>https://leetcode.com/problems/similar-rgb-color</t>
  </si>
  <si>
    <t>63.868</t>
  </si>
  <si>
    <t>Math, String, Enumeration</t>
  </si>
  <si>
    <t>Minimum Swaps To Make Sequences Increasing</t>
  </si>
  <si>
    <t>https://leetcode.com/problems/minimum-swaps-to-make-sequences-increasing</t>
  </si>
  <si>
    <t>39.125</t>
  </si>
  <si>
    <t>Find Eventual Safe States</t>
  </si>
  <si>
    <t>https://leetcode.com/problems/find-eventual-safe-states</t>
  </si>
  <si>
    <t>53.303</t>
  </si>
  <si>
    <t>Bricks Falling When Hit</t>
  </si>
  <si>
    <t>https://leetcode.com/problems/bricks-falling-when-hit</t>
  </si>
  <si>
    <t>34.024</t>
  </si>
  <si>
    <t>Array, Union Find, Matrix</t>
  </si>
  <si>
    <t>Unique Morse Code Words</t>
  </si>
  <si>
    <t>https://leetcode.com/problems/unique-morse-code-words</t>
  </si>
  <si>
    <t>80.146</t>
  </si>
  <si>
    <t>Split Array With Same Average</t>
  </si>
  <si>
    <t>https://leetcode.com/problems/split-array-with-same-average</t>
  </si>
  <si>
    <t>26.197</t>
  </si>
  <si>
    <t>Array, Math, Dynamic Programming, Bit Manipulation, Bitmask</t>
  </si>
  <si>
    <t>Number of Lines To Write String</t>
  </si>
  <si>
    <t>https://leetcode.com/problems/number-of-lines-to-write-string</t>
  </si>
  <si>
    <t>66.037</t>
  </si>
  <si>
    <t>Max Increase to Keep City Skyline</t>
  </si>
  <si>
    <t>https://leetcode.com/problems/max-increase-to-keep-city-skyline</t>
  </si>
  <si>
    <t>85.671</t>
  </si>
  <si>
    <t>Array, Greedy, Matrix</t>
  </si>
  <si>
    <t>Soup Servings</t>
  </si>
  <si>
    <t>https://leetcode.com/problems/soup-servings</t>
  </si>
  <si>
    <t>42.631</t>
  </si>
  <si>
    <t>Math, Dynamic Programming, Probability and Statistics</t>
  </si>
  <si>
    <t>Expressive Words</t>
  </si>
  <si>
    <t>https://leetcode.com/problems/expressive-words</t>
  </si>
  <si>
    <t>46.358</t>
  </si>
  <si>
    <t>Array, Two Pointers, String</t>
  </si>
  <si>
    <t>Chalkboard XOR Game</t>
  </si>
  <si>
    <t>https://leetcode.com/problems/chalkboard-xor-game</t>
  </si>
  <si>
    <t>54.003</t>
  </si>
  <si>
    <t>Array, Math, Bit Manipulation, Brainteaser, Game Theory</t>
  </si>
  <si>
    <t>Subdomain Visit Count</t>
  </si>
  <si>
    <t>https://leetcode.com/problems/subdomain-visit-count</t>
  </si>
  <si>
    <t>74.531</t>
  </si>
  <si>
    <t>Array, Hash Table, String, Counting</t>
  </si>
  <si>
    <t>Largest Triangle Area</t>
  </si>
  <si>
    <t>https://leetcode.com/problems/largest-triangle-area</t>
  </si>
  <si>
    <t>59.648</t>
  </si>
  <si>
    <t>Largest Sum of Averages</t>
  </si>
  <si>
    <t>https://leetcode.com/problems/largest-sum-of-averages</t>
  </si>
  <si>
    <t>52.705</t>
  </si>
  <si>
    <t>Binary Tree Pruning</t>
  </si>
  <si>
    <t>https://leetcode.com/problems/binary-tree-pruning</t>
  </si>
  <si>
    <t>70.854</t>
  </si>
  <si>
    <t>Bus Routes</t>
  </si>
  <si>
    <t>https://leetcode.com/problems/bus-routes</t>
  </si>
  <si>
    <t>45.366</t>
  </si>
  <si>
    <t>Array, Hash Table, Breadth-First Search</t>
  </si>
  <si>
    <t>Ambiguous Coordinates</t>
  </si>
  <si>
    <t>https://leetcode.com/problems/ambiguous-coordinates</t>
  </si>
  <si>
    <t>56.007</t>
  </si>
  <si>
    <t>Linked List Components</t>
  </si>
  <si>
    <t>https://leetcode.com/problems/linked-list-components</t>
  </si>
  <si>
    <t>58.078</t>
  </si>
  <si>
    <t>Race Car</t>
  </si>
  <si>
    <t>https://leetcode.com/problems/race-car</t>
  </si>
  <si>
    <t>43.230</t>
  </si>
  <si>
    <t>Most Common Word</t>
  </si>
  <si>
    <t>https://leetcode.com/problems/most-common-word</t>
  </si>
  <si>
    <t>45.153</t>
  </si>
  <si>
    <t>Short Encoding of Words</t>
  </si>
  <si>
    <t>https://leetcode.com/problems/short-encoding-of-words</t>
  </si>
  <si>
    <t>60.683</t>
  </si>
  <si>
    <t>Shortest Distance to a Character</t>
  </si>
  <si>
    <t>https://leetcode.com/problems/shortest-distance-to-a-character</t>
  </si>
  <si>
    <t>71.091</t>
  </si>
  <si>
    <t>Card Flipping Game</t>
  </si>
  <si>
    <t>https://leetcode.com/problems/card-flipping-game</t>
  </si>
  <si>
    <t>44.962</t>
  </si>
  <si>
    <t>Binary Trees With Factors</t>
  </si>
  <si>
    <t>https://leetcode.com/problems/binary-trees-with-factors</t>
  </si>
  <si>
    <t>43.669</t>
  </si>
  <si>
    <t>Goat Latin</t>
  </si>
  <si>
    <t>https://leetcode.com/problems/goat-latin</t>
  </si>
  <si>
    <t>67.676</t>
  </si>
  <si>
    <t>Friends Of Appropriate Ages</t>
  </si>
  <si>
    <t>https://leetcode.com/problems/friends-of-appropriate-ages</t>
  </si>
  <si>
    <t>46.099</t>
  </si>
  <si>
    <t>Most Profit Assigning Work</t>
  </si>
  <si>
    <t>https://leetcode.com/problems/most-profit-assigning-work</t>
  </si>
  <si>
    <t>43.029</t>
  </si>
  <si>
    <t>Making A Large Island</t>
  </si>
  <si>
    <t>https://leetcode.com/problems/making-a-large-island</t>
  </si>
  <si>
    <t>44.796</t>
  </si>
  <si>
    <t>https://leetcode.com/problems/count-unique-characters-of-all-substrings-of-a-given-string</t>
  </si>
  <si>
    <t>50.273</t>
  </si>
  <si>
    <t>Hash Table, String, Dynamic Programming</t>
  </si>
  <si>
    <t>Consecutive Numbers Sum</t>
  </si>
  <si>
    <t>https://leetcode.com/problems/consecutive-numbers-sum</t>
  </si>
  <si>
    <t>41.163</t>
  </si>
  <si>
    <t>Math, Enumeration</t>
  </si>
  <si>
    <t>Positions of Large Groups</t>
  </si>
  <si>
    <t>https://leetcode.com/problems/positions-of-large-groups</t>
  </si>
  <si>
    <t>51.545</t>
  </si>
  <si>
    <t>Masking Personal Information</t>
  </si>
  <si>
    <t>https://leetcode.com/problems/masking-personal-information</t>
  </si>
  <si>
    <t>46.301</t>
  </si>
  <si>
    <t>Flipping an Image</t>
  </si>
  <si>
    <t>https://leetcode.com/problems/flipping-an-image</t>
  </si>
  <si>
    <t>79.930</t>
  </si>
  <si>
    <t>Find And Replace in String</t>
  </si>
  <si>
    <t>https://leetcode.com/problems/find-and-replace-in-string</t>
  </si>
  <si>
    <t>54.244</t>
  </si>
  <si>
    <t>Array, String, Sorting</t>
  </si>
  <si>
    <t>Sum of Distances in Tree</t>
  </si>
  <si>
    <t>https://leetcode.com/problems/sum-of-distances-in-tree</t>
  </si>
  <si>
    <t>53.457</t>
  </si>
  <si>
    <t>Dynamic Programming, Tree, Depth-First Search, Graph</t>
  </si>
  <si>
    <t>Image Overlap</t>
  </si>
  <si>
    <t>https://leetcode.com/problems/image-overlap</t>
  </si>
  <si>
    <t>61.142</t>
  </si>
  <si>
    <t>Rectangle Overlap</t>
  </si>
  <si>
    <t>https://leetcode.com/problems/rectangle-overlap</t>
  </si>
  <si>
    <t>43.213</t>
  </si>
  <si>
    <t>New 21 Game</t>
  </si>
  <si>
    <t>https://leetcode.com/problems/new-21-game</t>
  </si>
  <si>
    <t>36.063</t>
  </si>
  <si>
    <t>Math, Dynamic Programming, Sliding Window, Probability and Statistics</t>
  </si>
  <si>
    <t>Push Dominoes</t>
  </si>
  <si>
    <t>https://leetcode.com/problems/push-dominoes</t>
  </si>
  <si>
    <t>52.452</t>
  </si>
  <si>
    <t>Similar String Groups</t>
  </si>
  <si>
    <t>https://leetcode.com/problems/similar-string-groups</t>
  </si>
  <si>
    <t>46.442</t>
  </si>
  <si>
    <t>Magic Squares In Grid</t>
  </si>
  <si>
    <t>https://leetcode.com/problems/magic-squares-in-grid</t>
  </si>
  <si>
    <t>38.409</t>
  </si>
  <si>
    <t>Keys and Rooms</t>
  </si>
  <si>
    <t>https://leetcode.com/problems/keys-and-rooms</t>
  </si>
  <si>
    <t>69.505</t>
  </si>
  <si>
    <t>Split Array into Fibonacci Sequence</t>
  </si>
  <si>
    <t>https://leetcode.com/problems/split-array-into-fibonacci-sequence</t>
  </si>
  <si>
    <t>37.910</t>
  </si>
  <si>
    <t>Guess the Word</t>
  </si>
  <si>
    <t>https://leetcode.com/problems/guess-the-word</t>
  </si>
  <si>
    <t>42.667</t>
  </si>
  <si>
    <t>Array, Math, String, Interactive, Game Theory</t>
  </si>
  <si>
    <t>https://leetcode.com/problems/backspace-string-compare</t>
  </si>
  <si>
    <t>47.993</t>
  </si>
  <si>
    <t>Two Pointers, String, Stack, Simulation</t>
  </si>
  <si>
    <t>Longest Mountain in Array</t>
  </si>
  <si>
    <t>https://leetcode.com/problems/longest-mountain-in-array</t>
  </si>
  <si>
    <t>39.986</t>
  </si>
  <si>
    <t>Array, Two Pointers, Dynamic Programming, Enumeration</t>
  </si>
  <si>
    <t>Hand of Straights</t>
  </si>
  <si>
    <t>https://leetcode.com/problems/hand-of-straights</t>
  </si>
  <si>
    <t>56.291</t>
  </si>
  <si>
    <t>Array, Hash Table, Greedy, Sorting</t>
  </si>
  <si>
    <t>Shortest Path Visiting All Nodes</t>
  </si>
  <si>
    <t>https://leetcode.com/problems/shortest-path-visiting-all-nodes</t>
  </si>
  <si>
    <t>61.335</t>
  </si>
  <si>
    <t>Dynamic Programming, Bit Manipulation, Breadth-First Search, Graph, Bitmask</t>
  </si>
  <si>
    <t>Shifting Letters</t>
  </si>
  <si>
    <t>https://leetcode.com/problems/shifting-letters</t>
  </si>
  <si>
    <t>45.431</t>
  </si>
  <si>
    <t>Maximize Distance to Closest Person</t>
  </si>
  <si>
    <t>https://leetcode.com/problems/maximize-distance-to-closest-person</t>
  </si>
  <si>
    <t>47.483</t>
  </si>
  <si>
    <t>Rectangle Area II</t>
  </si>
  <si>
    <t>https://leetcode.com/problems/rectangle-area-ii</t>
  </si>
  <si>
    <t>53.411</t>
  </si>
  <si>
    <t>Array, Segment Tree, Line Sweep, Ordered Set</t>
  </si>
  <si>
    <t>Loud and Rich</t>
  </si>
  <si>
    <t>https://leetcode.com/problems/loud-and-rich</t>
  </si>
  <si>
    <t>57.217</t>
  </si>
  <si>
    <t>Array, Depth-First Search, Graph, Topological Sort</t>
  </si>
  <si>
    <t>https://leetcode.com/problems/peak-index-in-a-mountain-array</t>
  </si>
  <si>
    <t>69.810</t>
  </si>
  <si>
    <t>Car Fleet</t>
  </si>
  <si>
    <t>https://leetcode.com/problems/car-fleet</t>
  </si>
  <si>
    <t>48.875</t>
  </si>
  <si>
    <t>Array, Stack, Sorting, Monotonic Stack</t>
  </si>
  <si>
    <t>K-Similar Strings</t>
  </si>
  <si>
    <t>https://leetcode.com/problems/k-similar-strings</t>
  </si>
  <si>
    <t>39.341</t>
  </si>
  <si>
    <t>String, Breadth-First Search</t>
  </si>
  <si>
    <t>Exam Room</t>
  </si>
  <si>
    <t>https://leetcode.com/problems/exam-room</t>
  </si>
  <si>
    <t>43.568</t>
  </si>
  <si>
    <t>Design, Ordered Set</t>
  </si>
  <si>
    <t>Score of Parentheses</t>
  </si>
  <si>
    <t>https://leetcode.com/problems/score-of-parentheses</t>
  </si>
  <si>
    <t>65.303</t>
  </si>
  <si>
    <t>Minimum Cost to Hire K Workers</t>
  </si>
  <si>
    <t>https://leetcode.com/problems/minimum-cost-to-hire-k-workers</t>
  </si>
  <si>
    <t>51.787</t>
  </si>
  <si>
    <t>Mirror Reflection</t>
  </si>
  <si>
    <t>https://leetcode.com/problems/mirror-reflection</t>
  </si>
  <si>
    <t>59.607</t>
  </si>
  <si>
    <t>Buddy Strings</t>
  </si>
  <si>
    <t>https://leetcode.com/problems/buddy-strings</t>
  </si>
  <si>
    <t>28.857</t>
  </si>
  <si>
    <t>Lemonade Change</t>
  </si>
  <si>
    <t>https://leetcode.com/problems/lemonade-change</t>
  </si>
  <si>
    <t>52.673</t>
  </si>
  <si>
    <t>Score After Flipping Matrix</t>
  </si>
  <si>
    <t>https://leetcode.com/problems/score-after-flipping-matrix</t>
  </si>
  <si>
    <t>74.858</t>
  </si>
  <si>
    <t>Array, Greedy, Bit Manipulation, Matrix</t>
  </si>
  <si>
    <t>Shortest Subarray with Sum at Least K</t>
  </si>
  <si>
    <t>https://leetcode.com/problems/shortest-subarray-with-sum-at-least-k</t>
  </si>
  <si>
    <t>26.111</t>
  </si>
  <si>
    <t>Array, Binary Search, Queue, Sliding Window, Heap (Priority Queue), Prefix Sum, Monotonic Queue</t>
  </si>
  <si>
    <t>https://leetcode.com/problems/all-nodes-distance-k-in-binary-tree</t>
  </si>
  <si>
    <t>61.539</t>
  </si>
  <si>
    <t>Shortest Path to Get All Keys</t>
  </si>
  <si>
    <t>https://leetcode.com/problems/shortest-path-to-get-all-keys</t>
  </si>
  <si>
    <t>45.019</t>
  </si>
  <si>
    <t>Bit Manipulation, Breadth-First Search</t>
  </si>
  <si>
    <t>Smallest Subtree with all the Deepest Nodes</t>
  </si>
  <si>
    <t>https://leetcode.com/problems/smallest-subtree-with-all-the-deepest-nodes</t>
  </si>
  <si>
    <t>68.134</t>
  </si>
  <si>
    <t>Prime Palindrome</t>
  </si>
  <si>
    <t>https://leetcode.com/problems/prime-palindrome</t>
  </si>
  <si>
    <t>25.903</t>
  </si>
  <si>
    <t>Transpose Matrix</t>
  </si>
  <si>
    <t>https://leetcode.com/problems/transpose-matrix</t>
  </si>
  <si>
    <t>63.880</t>
  </si>
  <si>
    <t>Binary Gap</t>
  </si>
  <si>
    <t>https://leetcode.com/problems/binary-gap</t>
  </si>
  <si>
    <t>61.814</t>
  </si>
  <si>
    <t>Reordered Power of 2</t>
  </si>
  <si>
    <t>https://leetcode.com/problems/reordered-power-of-2</t>
  </si>
  <si>
    <t>61.131</t>
  </si>
  <si>
    <t>Math, Sorting, Counting, Enumeration</t>
  </si>
  <si>
    <t>Advantage Shuffle</t>
  </si>
  <si>
    <t>https://leetcode.com/problems/advantage-shuffle</t>
  </si>
  <si>
    <t>51.413</t>
  </si>
  <si>
    <t>Minimum Number of Refueling Stops</t>
  </si>
  <si>
    <t>https://leetcode.com/problems/minimum-number-of-refueling-stops</t>
  </si>
  <si>
    <t>35.911</t>
  </si>
  <si>
    <t>Array, Dynamic Programming, Greedy, Heap (Priority Queue)</t>
  </si>
  <si>
    <t>Leaf-Similar Trees</t>
  </si>
  <si>
    <t>https://leetcode.com/problems/leaf-similar-trees</t>
  </si>
  <si>
    <t>65.043</t>
  </si>
  <si>
    <t>Length of Longest Fibonacci Subsequence</t>
  </si>
  <si>
    <t>https://leetcode.com/problems/length-of-longest-fibonacci-subsequence</t>
  </si>
  <si>
    <t>48.594</t>
  </si>
  <si>
    <t>Walking Robot Simulation</t>
  </si>
  <si>
    <t>https://leetcode.com/problems/walking-robot-simulation</t>
  </si>
  <si>
    <t>37.999</t>
  </si>
  <si>
    <t>Koko Eating Bananas</t>
  </si>
  <si>
    <t>https://leetcode.com/problems/koko-eating-bananas</t>
  </si>
  <si>
    <t>53.945</t>
  </si>
  <si>
    <t>https://leetcode.com/problems/middle-of-the-linked-list</t>
  </si>
  <si>
    <t>73.154</t>
  </si>
  <si>
    <t>Stone Game</t>
  </si>
  <si>
    <t>https://leetcode.com/problems/stone-game</t>
  </si>
  <si>
    <t>69.314</t>
  </si>
  <si>
    <t>Array, Math, Dynamic Programming, Game Theory</t>
  </si>
  <si>
    <t>Nth Magical Number</t>
  </si>
  <si>
    <t>https://leetcode.com/problems/nth-magical-number</t>
  </si>
  <si>
    <t>35.886</t>
  </si>
  <si>
    <t>Profitable Schemes</t>
  </si>
  <si>
    <t>https://leetcode.com/problems/profitable-schemes</t>
  </si>
  <si>
    <t>40.572</t>
  </si>
  <si>
    <t>Decoded String at Index</t>
  </si>
  <si>
    <t>https://leetcode.com/problems/decoded-string-at-index</t>
  </si>
  <si>
    <t>28.315</t>
  </si>
  <si>
    <t>Boats to Save People</t>
  </si>
  <si>
    <t>https://leetcode.com/problems/boats-to-save-people</t>
  </si>
  <si>
    <t>52.530</t>
  </si>
  <si>
    <t>Array, Two Pointers, Greedy, Sorting</t>
  </si>
  <si>
    <t>Reachable Nodes In Subdivided Graph</t>
  </si>
  <si>
    <t>https://leetcode.com/problems/reachable-nodes-in-subdivided-graph</t>
  </si>
  <si>
    <t>50.195</t>
  </si>
  <si>
    <t>Graph, Heap (Priority Queue), Shortest Path</t>
  </si>
  <si>
    <t>Projection Area of 3D Shapes</t>
  </si>
  <si>
    <t>https://leetcode.com/problems/projection-area-of-3d-shapes</t>
  </si>
  <si>
    <t>70.264</t>
  </si>
  <si>
    <t>Array, Math, Geometry, Matrix</t>
  </si>
  <si>
    <t>Uncommon Words from Two Sentences</t>
  </si>
  <si>
    <t>https://leetcode.com/problems/uncommon-words-from-two-sentences</t>
  </si>
  <si>
    <t>65.706</t>
  </si>
  <si>
    <t>Spiral Matrix III</t>
  </si>
  <si>
    <t>https://leetcode.com/problems/spiral-matrix-iii</t>
  </si>
  <si>
    <t>72.580</t>
  </si>
  <si>
    <t>Possible Bipartition</t>
  </si>
  <si>
    <t>https://leetcode.com/problems/possible-bipartition</t>
  </si>
  <si>
    <t>47.803</t>
  </si>
  <si>
    <t>Super Egg Drop</t>
  </si>
  <si>
    <t>https://leetcode.com/problems/super-egg-drop</t>
  </si>
  <si>
    <t>27.202</t>
  </si>
  <si>
    <t>Math, Binary Search, Dynamic Programming</t>
  </si>
  <si>
    <t>Fair Candy Swap</t>
  </si>
  <si>
    <t>https://leetcode.com/problems/fair-candy-swap</t>
  </si>
  <si>
    <t>60.395</t>
  </si>
  <si>
    <t>Array, Hash Table, Binary Search, Sorting</t>
  </si>
  <si>
    <t>Construct Binary Tree from Preorder and Postorder Traversal</t>
  </si>
  <si>
    <t>https://leetcode.com/problems/construct-binary-tree-from-preorder-and-postorder-traversal</t>
  </si>
  <si>
    <t>70.255</t>
  </si>
  <si>
    <t>Find and Replace Pattern</t>
  </si>
  <si>
    <t>https://leetcode.com/problems/find-and-replace-pattern</t>
  </si>
  <si>
    <t>75.599</t>
  </si>
  <si>
    <t>Sum of Subsequence Widths</t>
  </si>
  <si>
    <t>https://leetcode.com/problems/sum-of-subsequence-widths</t>
  </si>
  <si>
    <t>35.959</t>
  </si>
  <si>
    <t>Surface Area of 3D Shapes</t>
  </si>
  <si>
    <t>https://leetcode.com/problems/surface-area-of-3d-shapes</t>
  </si>
  <si>
    <t>62.397</t>
  </si>
  <si>
    <t>Groups of Special-Equivalent Strings</t>
  </si>
  <si>
    <t>https://leetcode.com/problems/groups-of-special-equivalent-strings</t>
  </si>
  <si>
    <t>70.618</t>
  </si>
  <si>
    <t>All Possible Full Binary Trees</t>
  </si>
  <si>
    <t>https://leetcode.com/problems/all-possible-full-binary-trees</t>
  </si>
  <si>
    <t>79.688</t>
  </si>
  <si>
    <t>Dynamic Programming, Tree, Recursion, Memoization, Binary Tree</t>
  </si>
  <si>
    <t>https://leetcode.com/problems/maximum-frequency-stack</t>
  </si>
  <si>
    <t>66.583</t>
  </si>
  <si>
    <t>Hash Table, Stack, Design, Ordered Set</t>
  </si>
  <si>
    <t>Monotonic Array</t>
  </si>
  <si>
    <t>https://leetcode.com/problems/monotonic-array</t>
  </si>
  <si>
    <t>58.320</t>
  </si>
  <si>
    <t>Increasing Order Search Tree</t>
  </si>
  <si>
    <t>https://leetcode.com/problems/increasing-order-search-tree</t>
  </si>
  <si>
    <t>78.344</t>
  </si>
  <si>
    <t>Stack, Tree, Depth-First Search, Binary Search Tree, Binary Tree</t>
  </si>
  <si>
    <t>Bitwise ORs of Subarrays</t>
  </si>
  <si>
    <t>https://leetcode.com/problems/bitwise-ors-of-subarrays</t>
  </si>
  <si>
    <t>36.386</t>
  </si>
  <si>
    <t>Array, Dynamic Programming, Bit Manipulation</t>
  </si>
  <si>
    <t>Orderly Queue</t>
  </si>
  <si>
    <t>https://leetcode.com/problems/orderly-queue</t>
  </si>
  <si>
    <t>58.659</t>
  </si>
  <si>
    <t>Math, String, Sorting</t>
  </si>
  <si>
    <t>RLE Iterator</t>
  </si>
  <si>
    <t>https://leetcode.com/problems/rle-iterator</t>
  </si>
  <si>
    <t>58.986</t>
  </si>
  <si>
    <t>Array, Design, Counting, Iterator</t>
  </si>
  <si>
    <t>Online Stock Span</t>
  </si>
  <si>
    <t>https://leetcode.com/problems/online-stock-span</t>
  </si>
  <si>
    <t>63.383</t>
  </si>
  <si>
    <t>Stack, Design, Monotonic Stack, Data Stream</t>
  </si>
  <si>
    <t>Numbers At Most N Given Digit Set</t>
  </si>
  <si>
    <t>https://leetcode.com/problems/numbers-at-most-n-given-digit-set</t>
  </si>
  <si>
    <t>40.985</t>
  </si>
  <si>
    <t>Array, Math, Binary Search, Dynamic Programming</t>
  </si>
  <si>
    <t>Valid Permutations for DI Sequence</t>
  </si>
  <si>
    <t>https://leetcode.com/problems/valid-permutations-for-di-sequence</t>
  </si>
  <si>
    <t>57.059</t>
  </si>
  <si>
    <t>https://leetcode.com/problems/fruit-into-baskets</t>
  </si>
  <si>
    <t>42.624</t>
  </si>
  <si>
    <t>Sort Array By Parity</t>
  </si>
  <si>
    <t>https://leetcode.com/problems/sort-array-by-parity</t>
  </si>
  <si>
    <t>75.720</t>
  </si>
  <si>
    <t>Super Palindromes</t>
  </si>
  <si>
    <t>https://leetcode.com/problems/super-palindromes</t>
  </si>
  <si>
    <t>39.326</t>
  </si>
  <si>
    <t>Sum of Subarray Minimums</t>
  </si>
  <si>
    <t>https://leetcode.com/problems/sum-of-subarray-minimums</t>
  </si>
  <si>
    <t>34.035</t>
  </si>
  <si>
    <t>Array, Dynamic Programming, Stack, Monotonic Stack</t>
  </si>
  <si>
    <t>Smallest Range I</t>
  </si>
  <si>
    <t>https://leetcode.com/problems/smallest-range-i</t>
  </si>
  <si>
    <t>67.426</t>
  </si>
  <si>
    <t>Snakes and Ladders</t>
  </si>
  <si>
    <t>https://leetcode.com/problems/snakes-and-ladders</t>
  </si>
  <si>
    <t>40.642</t>
  </si>
  <si>
    <t>Smallest Range II</t>
  </si>
  <si>
    <t>https://leetcode.com/problems/smallest-range-ii</t>
  </si>
  <si>
    <t>33.216</t>
  </si>
  <si>
    <t>Array, Math, Greedy, Sorting</t>
  </si>
  <si>
    <t>Online Election</t>
  </si>
  <si>
    <t>https://leetcode.com/problems/online-election</t>
  </si>
  <si>
    <t>51.746</t>
  </si>
  <si>
    <t>Array, Hash Table, Binary Search, Design</t>
  </si>
  <si>
    <t>Sort an Array</t>
  </si>
  <si>
    <t>https://leetcode.com/problems/sort-an-array</t>
  </si>
  <si>
    <t>61.195</t>
  </si>
  <si>
    <t>Array, Divide and Conquer, Sorting, Heap (Priority Queue), Merge Sort, Bucket Sort, Radix Sort, Counting Sort</t>
  </si>
  <si>
    <t>Cat and Mouse</t>
  </si>
  <si>
    <t>https://leetcode.com/problems/cat-and-mouse</t>
  </si>
  <si>
    <t>35.666</t>
  </si>
  <si>
    <t>Math, Dynamic Programming, Graph, Topological Sort, Memoization, Game Theory</t>
  </si>
  <si>
    <t>X of a Kind in a Deck of Cards</t>
  </si>
  <si>
    <t>https://leetcode.com/problems/x-of-a-kind-in-a-deck-of-cards</t>
  </si>
  <si>
    <t>32.692</t>
  </si>
  <si>
    <t>Array, Hash Table, Math, Counting, Number Theory</t>
  </si>
  <si>
    <t>Partition Array into Disjoint Intervals</t>
  </si>
  <si>
    <t>https://leetcode.com/problems/partition-array-into-disjoint-intervals</t>
  </si>
  <si>
    <t>48.464</t>
  </si>
  <si>
    <t>Word Subsets</t>
  </si>
  <si>
    <t>https://leetcode.com/problems/word-subsets</t>
  </si>
  <si>
    <t>52.406</t>
  </si>
  <si>
    <t>Reverse Only Letters</t>
  </si>
  <si>
    <t>https://leetcode.com/problems/reverse-only-letters</t>
  </si>
  <si>
    <t>61.174</t>
  </si>
  <si>
    <t>Maximum Sum Circular Subarray</t>
  </si>
  <si>
    <t>https://leetcode.com/problems/maximum-sum-circular-subarray</t>
  </si>
  <si>
    <t>Array, Divide and Conquer, Dynamic Programming, Queue, Monotonic Queue</t>
  </si>
  <si>
    <t>Complete Binary Tree Inserter</t>
  </si>
  <si>
    <t>https://leetcode.com/problems/complete-binary-tree-inserter</t>
  </si>
  <si>
    <t>64.414</t>
  </si>
  <si>
    <t>Tree, Breadth-First Search, Design, Binary Tree</t>
  </si>
  <si>
    <t>Number of Music Playlists</t>
  </si>
  <si>
    <t>https://leetcode.com/problems/number-of-music-playlists</t>
  </si>
  <si>
    <t>50.244</t>
  </si>
  <si>
    <t>Minimum Add to Make Parentheses Valid</t>
  </si>
  <si>
    <t>https://leetcode.com/problems/minimum-add-to-make-parentheses-valid</t>
  </si>
  <si>
    <t>76.811</t>
  </si>
  <si>
    <t>String, Stack, Greedy</t>
  </si>
  <si>
    <t>Sort Array By Parity II</t>
  </si>
  <si>
    <t>https://leetcode.com/problems/sort-array-by-parity-ii</t>
  </si>
  <si>
    <t>70.692</t>
  </si>
  <si>
    <t>3Sum With Multiplicity</t>
  </si>
  <si>
    <t>https://leetcode.com/problems/3sum-with-multiplicity</t>
  </si>
  <si>
    <t>45.494</t>
  </si>
  <si>
    <t>Array, Hash Table, Two Pointers, Sorting, Counting</t>
  </si>
  <si>
    <t>Minimize Malware Spread</t>
  </si>
  <si>
    <t>https://leetcode.com/problems/minimize-malware-spread</t>
  </si>
  <si>
    <t>41.978</t>
  </si>
  <si>
    <t>Long Pressed Name</t>
  </si>
  <si>
    <t>https://leetcode.com/problems/long-pressed-name</t>
  </si>
  <si>
    <t>34.333</t>
  </si>
  <si>
    <t>Flip String to Monotone Increasing</t>
  </si>
  <si>
    <t>https://leetcode.com/problems/flip-string-to-monotone-increasing</t>
  </si>
  <si>
    <t>59.243</t>
  </si>
  <si>
    <t>Three Equal Parts</t>
  </si>
  <si>
    <t>https://leetcode.com/problems/three-equal-parts</t>
  </si>
  <si>
    <t>39.432</t>
  </si>
  <si>
    <t>Minimize Malware Spread II</t>
  </si>
  <si>
    <t>https://leetcode.com/problems/minimize-malware-spread-ii</t>
  </si>
  <si>
    <t>42.307</t>
  </si>
  <si>
    <t>Unique Email Addresses</t>
  </si>
  <si>
    <t>https://leetcode.com/problems/unique-email-addresses</t>
  </si>
  <si>
    <t>67.245</t>
  </si>
  <si>
    <t>Binary Subarrays With Sum</t>
  </si>
  <si>
    <t>https://leetcode.com/problems/binary-subarrays-with-sum</t>
  </si>
  <si>
    <t>49.509</t>
  </si>
  <si>
    <t>Array, Hash Table, Sliding Window, Prefix Sum</t>
  </si>
  <si>
    <t>Minimum Falling Path Sum</t>
  </si>
  <si>
    <t>https://leetcode.com/problems/minimum-falling-path-sum</t>
  </si>
  <si>
    <t>67.846</t>
  </si>
  <si>
    <t>Beautiful Array</t>
  </si>
  <si>
    <t>https://leetcode.com/problems/beautiful-array</t>
  </si>
  <si>
    <t>64.899</t>
  </si>
  <si>
    <t>Array, Math, Divide and Conquer</t>
  </si>
  <si>
    <t>Number of Recent Calls</t>
  </si>
  <si>
    <t>https://leetcode.com/problems/number-of-recent-calls</t>
  </si>
  <si>
    <t>73.137</t>
  </si>
  <si>
    <t>Design, Queue, Data Stream</t>
  </si>
  <si>
    <t>Shortest Bridge</t>
  </si>
  <si>
    <t>https://leetcode.com/problems/shortest-bridge</t>
  </si>
  <si>
    <t>53.299</t>
  </si>
  <si>
    <t>Knight Dialer</t>
  </si>
  <si>
    <t>https://leetcode.com/problems/knight-dialer</t>
  </si>
  <si>
    <t>49.346</t>
  </si>
  <si>
    <t>Stamping The Sequence</t>
  </si>
  <si>
    <t>https://leetcode.com/problems/stamping-the-sequence</t>
  </si>
  <si>
    <t>53.739</t>
  </si>
  <si>
    <t>String, Stack, Greedy, Queue</t>
  </si>
  <si>
    <t>Reorder Data in Log Files</t>
  </si>
  <si>
    <t>https://leetcode.com/problems/reorder-data-in-log-files</t>
  </si>
  <si>
    <t>56.146</t>
  </si>
  <si>
    <t>Range Sum of BST</t>
  </si>
  <si>
    <t>https://leetcode.com/problems/range-sum-of-bst</t>
  </si>
  <si>
    <t>85.191</t>
  </si>
  <si>
    <t>Minimum Area Rectangle</t>
  </si>
  <si>
    <t>https://leetcode.com/problems/minimum-area-rectangle</t>
  </si>
  <si>
    <t>53.492</t>
  </si>
  <si>
    <t>Array, Hash Table, Math, Geometry, Sorting</t>
  </si>
  <si>
    <t>Distinct Subsequences II</t>
  </si>
  <si>
    <t>https://leetcode.com/problems/distinct-subsequences-ii</t>
  </si>
  <si>
    <t>44.316</t>
  </si>
  <si>
    <t>Valid Mountain Array</t>
  </si>
  <si>
    <t>https://leetcode.com/problems/valid-mountain-array</t>
  </si>
  <si>
    <t>33.647</t>
  </si>
  <si>
    <t>DI String Match</t>
  </si>
  <si>
    <t>https://leetcode.com/problems/di-string-match</t>
  </si>
  <si>
    <t>76.125</t>
  </si>
  <si>
    <t>Array, Math, Two Pointers, String, Greedy</t>
  </si>
  <si>
    <t>Find the Shortest Superstring</t>
  </si>
  <si>
    <t>https://leetcode.com/problems/find-the-shortest-superstring</t>
  </si>
  <si>
    <t>Array, String, Dynamic Programming, Bit Manipulation, Bitmask</t>
  </si>
  <si>
    <t>Delete Columns to Make Sorted</t>
  </si>
  <si>
    <t>https://leetcode.com/problems/delete-columns-to-make-sorted</t>
  </si>
  <si>
    <t>69.875</t>
  </si>
  <si>
    <t>Minimum Increment to Make Array Unique</t>
  </si>
  <si>
    <t>https://leetcode.com/problems/minimum-increment-to-make-array-unique</t>
  </si>
  <si>
    <t>49.301</t>
  </si>
  <si>
    <t>Array, Greedy, Sorting, Counting</t>
  </si>
  <si>
    <t>Validate Stack Sequences</t>
  </si>
  <si>
    <t>https://leetcode.com/problems/validate-stack-sequences</t>
  </si>
  <si>
    <t>67.593</t>
  </si>
  <si>
    <t>Most Stones Removed with Same Row or Column</t>
  </si>
  <si>
    <t>https://leetcode.com/problems/most-stones-removed-with-same-row-or-column</t>
  </si>
  <si>
    <t>56.398</t>
  </si>
  <si>
    <t>Depth-First Search, Union Find, Graph</t>
  </si>
  <si>
    <t>Bag of Tokens</t>
  </si>
  <si>
    <t>https://leetcode.com/problems/bag-of-tokens</t>
  </si>
  <si>
    <t>46.296</t>
  </si>
  <si>
    <t>Largest Time for Given Digits</t>
  </si>
  <si>
    <t>https://leetcode.com/problems/largest-time-for-given-digits</t>
  </si>
  <si>
    <t>35.377</t>
  </si>
  <si>
    <t>Reveal Cards In Increasing Order</t>
  </si>
  <si>
    <t>https://leetcode.com/problems/reveal-cards-in-increasing-order</t>
  </si>
  <si>
    <t>77.340</t>
  </si>
  <si>
    <t>Array, Queue, Sorting, Simulation</t>
  </si>
  <si>
    <t>Flip Equivalent Binary Trees</t>
  </si>
  <si>
    <t>https://leetcode.com/problems/flip-equivalent-binary-trees</t>
  </si>
  <si>
    <t>66.748</t>
  </si>
  <si>
    <t>Largest Component Size by Common Factor</t>
  </si>
  <si>
    <t>https://leetcode.com/problems/largest-component-size-by-common-factor</t>
  </si>
  <si>
    <t>40.254</t>
  </si>
  <si>
    <t>Array, Math, Union Find</t>
  </si>
  <si>
    <t>Verifying an Alien Dictionary</t>
  </si>
  <si>
    <t>https://leetcode.com/problems/verifying-an-alien-dictionary</t>
  </si>
  <si>
    <t>52.571</t>
  </si>
  <si>
    <t>Array of Doubled Pairs</t>
  </si>
  <si>
    <t>https://leetcode.com/problems/array-of-doubled-pairs</t>
  </si>
  <si>
    <t>38.778</t>
  </si>
  <si>
    <t>Delete Columns to Make Sorted II</t>
  </si>
  <si>
    <t>https://leetcode.com/problems/delete-columns-to-make-sorted-ii</t>
  </si>
  <si>
    <t>34.366</t>
  </si>
  <si>
    <t>Tallest Billboard</t>
  </si>
  <si>
    <t>https://leetcode.com/problems/tallest-billboard</t>
  </si>
  <si>
    <t>Prison Cells After N Days</t>
  </si>
  <si>
    <t>https://leetcode.com/problems/prison-cells-after-n-days</t>
  </si>
  <si>
    <t>39.309</t>
  </si>
  <si>
    <t>Array, Hash Table, Math, Bit Manipulation</t>
  </si>
  <si>
    <t>Check Completeness of a Binary Tree</t>
  </si>
  <si>
    <t>https://leetcode.com/problems/check-completeness-of-a-binary-tree</t>
  </si>
  <si>
    <t>53.716</t>
  </si>
  <si>
    <t>Regions Cut By Slashes</t>
  </si>
  <si>
    <t>https://leetcode.com/problems/regions-cut-by-slashes</t>
  </si>
  <si>
    <t>68.858</t>
  </si>
  <si>
    <t>Delete Columns to Make Sorted III</t>
  </si>
  <si>
    <t>https://leetcode.com/problems/delete-columns-to-make-sorted-iii</t>
  </si>
  <si>
    <t>56.727</t>
  </si>
  <si>
    <t>N-Repeated Element in Size 2N Array</t>
  </si>
  <si>
    <t>https://leetcode.com/problems/n-repeated-element-in-size-2n-array</t>
  </si>
  <si>
    <t>75.581</t>
  </si>
  <si>
    <t>Maximum Width Ramp</t>
  </si>
  <si>
    <t>https://leetcode.com/problems/maximum-width-ramp</t>
  </si>
  <si>
    <t>48.477</t>
  </si>
  <si>
    <t>Minimum Area Rectangle II</t>
  </si>
  <si>
    <t>https://leetcode.com/problems/minimum-area-rectangle-ii</t>
  </si>
  <si>
    <t>54.555</t>
  </si>
  <si>
    <t>Least Operators to Express Number</t>
  </si>
  <si>
    <t>https://leetcode.com/problems/least-operators-to-express-number</t>
  </si>
  <si>
    <t>47.553</t>
  </si>
  <si>
    <t>Univalued Binary Tree</t>
  </si>
  <si>
    <t>https://leetcode.com/problems/univalued-binary-tree</t>
  </si>
  <si>
    <t>69.022</t>
  </si>
  <si>
    <t>Vowel Spellchecker</t>
  </si>
  <si>
    <t>https://leetcode.com/problems/vowel-spellchecker</t>
  </si>
  <si>
    <t>51.541</t>
  </si>
  <si>
    <t>Numbers With Same Consecutive Differences</t>
  </si>
  <si>
    <t>https://leetcode.com/problems/numbers-with-same-consecutive-differences</t>
  </si>
  <si>
    <t>47.625</t>
  </si>
  <si>
    <t>Backtracking, Breadth-First Search</t>
  </si>
  <si>
    <t>Binary Tree Cameras</t>
  </si>
  <si>
    <t>https://leetcode.com/problems/binary-tree-cameras</t>
  </si>
  <si>
    <t>46.822</t>
  </si>
  <si>
    <t>Pancake Sorting</t>
  </si>
  <si>
    <t>https://leetcode.com/problems/pancake-sorting</t>
  </si>
  <si>
    <t>69.829</t>
  </si>
  <si>
    <t>Powerful Integers</t>
  </si>
  <si>
    <t>https://leetcode.com/problems/powerful-integers</t>
  </si>
  <si>
    <t>43.558</t>
  </si>
  <si>
    <t>Hash Table, Math</t>
  </si>
  <si>
    <t>Flip Binary Tree To Match Preorder Traversal</t>
  </si>
  <si>
    <t>https://leetcode.com/problems/flip-binary-tree-to-match-preorder-traversal</t>
  </si>
  <si>
    <t>49.869</t>
  </si>
  <si>
    <t>Equal Rational Numbers</t>
  </si>
  <si>
    <t>https://leetcode.com/problems/equal-rational-numbers</t>
  </si>
  <si>
    <t>42.831</t>
  </si>
  <si>
    <t>https://leetcode.com/problems/k-closest-points-to-origin</t>
  </si>
  <si>
    <t>65.955</t>
  </si>
  <si>
    <t>Array, Math, Divide and Conquer, Geometry, Sorting, Heap (Priority Queue), Quickselect</t>
  </si>
  <si>
    <t>Subarray Sums Divisible by K</t>
  </si>
  <si>
    <t>https://leetcode.com/problems/subarray-sums-divisible-by-k</t>
  </si>
  <si>
    <t>53.180</t>
  </si>
  <si>
    <t>Odd Even Jump</t>
  </si>
  <si>
    <t>https://leetcode.com/problems/odd-even-jump</t>
  </si>
  <si>
    <t>38.807</t>
  </si>
  <si>
    <t>Array, Dynamic Programming, Stack, Monotonic Stack, Ordered Set</t>
  </si>
  <si>
    <t>Largest Perimeter Triangle</t>
  </si>
  <si>
    <t>https://leetcode.com/problems/largest-perimeter-triangle</t>
  </si>
  <si>
    <t>53.785</t>
  </si>
  <si>
    <t>https://leetcode.com/problems/squares-of-a-sorted-array</t>
  </si>
  <si>
    <t>71.724</t>
  </si>
  <si>
    <t>Longest Turbulent Subarray</t>
  </si>
  <si>
    <t>https://leetcode.com/problems/longest-turbulent-subarray</t>
  </si>
  <si>
    <t>47.524</t>
  </si>
  <si>
    <t>Distribute Coins in Binary Tree</t>
  </si>
  <si>
    <t>https://leetcode.com/problems/distribute-coins-in-binary-tree</t>
  </si>
  <si>
    <t>71.828</t>
  </si>
  <si>
    <t>Unique Paths III</t>
  </si>
  <si>
    <t>https://leetcode.com/problems/unique-paths-iii</t>
  </si>
  <si>
    <t>79.513</t>
  </si>
  <si>
    <t>Array, Backtracking, Bit Manipulation, Matrix</t>
  </si>
  <si>
    <t>Time Based Key-Value Store</t>
  </si>
  <si>
    <t>https://leetcode.com/problems/time-based-key-value-store</t>
  </si>
  <si>
    <t>52.526</t>
  </si>
  <si>
    <t>Hash Table, String, Binary Search, Design</t>
  </si>
  <si>
    <t>Triples with Bitwise AND Equal To Zero</t>
  </si>
  <si>
    <t>https://leetcode.com/problems/triples-with-bitwise-and-equal-to-zero</t>
  </si>
  <si>
    <t>57.552</t>
  </si>
  <si>
    <t>Array, Hash Table, Bit Manipulation</t>
  </si>
  <si>
    <t>Minimum Cost For Tickets</t>
  </si>
  <si>
    <t>https://leetcode.com/problems/minimum-cost-for-tickets</t>
  </si>
  <si>
    <t>64.229</t>
  </si>
  <si>
    <t>String Without AAA or BBB</t>
  </si>
  <si>
    <t>https://leetcode.com/problems/string-without-aaa-or-bbb</t>
  </si>
  <si>
    <t>42.607</t>
  </si>
  <si>
    <t>String, Greedy</t>
  </si>
  <si>
    <t>Sum of Even Numbers After Queries</t>
  </si>
  <si>
    <t>https://leetcode.com/problems/sum-of-even-numbers-after-queries</t>
  </si>
  <si>
    <t>61.087</t>
  </si>
  <si>
    <t>https://leetcode.com/problems/interval-list-intersections</t>
  </si>
  <si>
    <t>71.285</t>
  </si>
  <si>
    <t>Vertical Order Traversal of a Binary Tree</t>
  </si>
  <si>
    <t>https://leetcode.com/problems/vertical-order-traversal-of-a-binary-tree</t>
  </si>
  <si>
    <t>41.907</t>
  </si>
  <si>
    <t>Smallest String Starting From Leaf</t>
  </si>
  <si>
    <t>https://leetcode.com/problems/smallest-string-starting-from-leaf</t>
  </si>
  <si>
    <t>49.036</t>
  </si>
  <si>
    <t>Add to Array-Form of Integer</t>
  </si>
  <si>
    <t>https://leetcode.com/problems/add-to-array-form-of-integer</t>
  </si>
  <si>
    <t>45.553</t>
  </si>
  <si>
    <t>Satisfiability of Equality Equations</t>
  </si>
  <si>
    <t>https://leetcode.com/problems/satisfiability-of-equality-equations</t>
  </si>
  <si>
    <t>50.387</t>
  </si>
  <si>
    <t>Array, String, Union Find, Graph</t>
  </si>
  <si>
    <t>Broken Calculator</t>
  </si>
  <si>
    <t>https://leetcode.com/problems/broken-calculator</t>
  </si>
  <si>
    <t>54.133</t>
  </si>
  <si>
    <t>Subarrays with K Different Integers</t>
  </si>
  <si>
    <t>https://leetcode.com/problems/subarrays-with-k-different-integers</t>
  </si>
  <si>
    <t>53.541</t>
  </si>
  <si>
    <t>Array, Hash Table, Sliding Window, Counting</t>
  </si>
  <si>
    <t>Cousins in Binary Tree</t>
  </si>
  <si>
    <t>https://leetcode.com/problems/cousins-in-binary-tree</t>
  </si>
  <si>
    <t>53.900</t>
  </si>
  <si>
    <t>Rotting Oranges</t>
  </si>
  <si>
    <t>https://leetcode.com/problems/rotting-oranges</t>
  </si>
  <si>
    <t>51.936</t>
  </si>
  <si>
    <t>https://leetcode.com/problems/minimum-number-of-k-consecutive-bit-flips</t>
  </si>
  <si>
    <t>51.010</t>
  </si>
  <si>
    <t>Array, Bit Manipulation, Sliding Window, Prefix Sum</t>
  </si>
  <si>
    <t>Number of Squareful Arrays</t>
  </si>
  <si>
    <t>https://leetcode.com/problems/number-of-squareful-arrays</t>
  </si>
  <si>
    <t>49.063</t>
  </si>
  <si>
    <t>Array, Math, Dynamic Programming, Backtracking, Bit Manipulation, Bitmask</t>
  </si>
  <si>
    <t>Find the Town Judge</t>
  </si>
  <si>
    <t>https://leetcode.com/problems/find-the-town-judge</t>
  </si>
  <si>
    <t>49.638</t>
  </si>
  <si>
    <t>Array, Hash Table, Graph</t>
  </si>
  <si>
    <t>Maximum Binary Tree II</t>
  </si>
  <si>
    <t>https://leetcode.com/problems/maximum-binary-tree-ii</t>
  </si>
  <si>
    <t>65.855</t>
  </si>
  <si>
    <t>Tree, Binary Tree</t>
  </si>
  <si>
    <t>Available Captures for Rook</t>
  </si>
  <si>
    <t>https://leetcode.com/problems/available-captures-for-rook</t>
  </si>
  <si>
    <t>67.628</t>
  </si>
  <si>
    <t>Minimum Cost to Merge Stones</t>
  </si>
  <si>
    <t>https://leetcode.com/problems/minimum-cost-to-merge-stones</t>
  </si>
  <si>
    <t>42.099</t>
  </si>
  <si>
    <t>Grid Illumination</t>
  </si>
  <si>
    <t>https://leetcode.com/problems/grid-illumination</t>
  </si>
  <si>
    <t>36.249</t>
  </si>
  <si>
    <t>Find Common Characters</t>
  </si>
  <si>
    <t>https://leetcode.com/problems/find-common-characters</t>
  </si>
  <si>
    <t>68.409</t>
  </si>
  <si>
    <t>Check If Word Is Valid After Substitutions</t>
  </si>
  <si>
    <t>https://leetcode.com/problems/check-if-word-is-valid-after-substitutions</t>
  </si>
  <si>
    <t>57.960</t>
  </si>
  <si>
    <t>https://leetcode.com/problems/max-consecutive-ones-iii</t>
  </si>
  <si>
    <t>63.247</t>
  </si>
  <si>
    <t>Maximize Sum Of Array After K Negations</t>
  </si>
  <si>
    <t>https://leetcode.com/problems/maximize-sum-of-array-after-k-negations</t>
  </si>
  <si>
    <t>51.303</t>
  </si>
  <si>
    <t>Clumsy Factorial</t>
  </si>
  <si>
    <t>https://leetcode.com/problems/clumsy-factorial</t>
  </si>
  <si>
    <t>54.712</t>
  </si>
  <si>
    <t>Math, Stack, Simulation</t>
  </si>
  <si>
    <t>Minimum Domino Rotations For Equal Row</t>
  </si>
  <si>
    <t>https://leetcode.com/problems/minimum-domino-rotations-for-equal-row</t>
  </si>
  <si>
    <t>52.543</t>
  </si>
  <si>
    <t>Construct Binary Search Tree from Preorder Traversal</t>
  </si>
  <si>
    <t>https://leetcode.com/problems/construct-binary-search-tree-from-preorder-traversal</t>
  </si>
  <si>
    <t>80.504</t>
  </si>
  <si>
    <t>Array, Stack, Tree, Binary Search Tree, Monotonic Stack, Binary Tree</t>
  </si>
  <si>
    <t>Complement of Base 10 Integer</t>
  </si>
  <si>
    <t>https://leetcode.com/problems/complement-of-base-10-integer</t>
  </si>
  <si>
    <t>62.159</t>
  </si>
  <si>
    <t>Pairs of Songs With Total Durations Divisible by 60</t>
  </si>
  <si>
    <t>https://leetcode.com/problems/pairs-of-songs-with-total-durations-divisible-by-60</t>
  </si>
  <si>
    <t>53.387</t>
  </si>
  <si>
    <t>Array, Hash Table, Counting</t>
  </si>
  <si>
    <t>Capacity To Ship Packages Within D Days</t>
  </si>
  <si>
    <t>https://leetcode.com/problems/capacity-to-ship-packages-within-d-days</t>
  </si>
  <si>
    <t>63.915</t>
  </si>
  <si>
    <t>Numbers With Repeated Digits</t>
  </si>
  <si>
    <t>https://leetcode.com/problems/numbers-with-repeated-digits</t>
  </si>
  <si>
    <t>38.313</t>
  </si>
  <si>
    <t>Partition Array Into Three Parts With Equal Sum</t>
  </si>
  <si>
    <t>https://leetcode.com/problems/partition-array-into-three-parts-with-equal-sum</t>
  </si>
  <si>
    <t>44.114</t>
  </si>
  <si>
    <t>Best Sightseeing Pair</t>
  </si>
  <si>
    <t>https://leetcode.com/problems/best-sightseeing-pair</t>
  </si>
  <si>
    <t>59.156</t>
  </si>
  <si>
    <t>Smallest Integer Divisible by K</t>
  </si>
  <si>
    <t>https://leetcode.com/problems/smallest-integer-divisible-by-k</t>
  </si>
  <si>
    <t>47.051</t>
  </si>
  <si>
    <t>Binary String With Substrings Representing 1 To N</t>
  </si>
  <si>
    <t>https://leetcode.com/problems/binary-string-with-substrings-representing-1-to-n</t>
  </si>
  <si>
    <t>57.750</t>
  </si>
  <si>
    <t>Convert to Base -2</t>
  </si>
  <si>
    <t>https://leetcode.com/problems/convert-to-base-2</t>
  </si>
  <si>
    <t>60.674</t>
  </si>
  <si>
    <t>Binary Prefix Divisible By 5</t>
  </si>
  <si>
    <t>https://leetcode.com/problems/binary-prefix-divisible-by-5</t>
  </si>
  <si>
    <t>47.530</t>
  </si>
  <si>
    <t>Next Greater Node In Linked List</t>
  </si>
  <si>
    <t>https://leetcode.com/problems/next-greater-node-in-linked-list</t>
  </si>
  <si>
    <t>59.703</t>
  </si>
  <si>
    <t>Array, Linked List, Stack, Monotonic Stack</t>
  </si>
  <si>
    <t>Number of Enclaves</t>
  </si>
  <si>
    <t>https://leetcode.com/problems/number-of-enclaves</t>
  </si>
  <si>
    <t>63.691</t>
  </si>
  <si>
    <t>Remove Outermost Parentheses</t>
  </si>
  <si>
    <t>https://leetcode.com/problems/remove-outermost-parentheses</t>
  </si>
  <si>
    <t>79.974</t>
  </si>
  <si>
    <t>Sum of Root To Leaf Binary Numbers</t>
  </si>
  <si>
    <t>https://leetcode.com/problems/sum-of-root-to-leaf-binary-numbers</t>
  </si>
  <si>
    <t>73.849</t>
  </si>
  <si>
    <t>Camelcase Matching</t>
  </si>
  <si>
    <t>https://leetcode.com/problems/camelcase-matching</t>
  </si>
  <si>
    <t>Two Pointers, String, Trie, String Matching</t>
  </si>
  <si>
    <t>Video Stitching</t>
  </si>
  <si>
    <t>https://leetcode.com/problems/video-stitching</t>
  </si>
  <si>
    <t>50.125</t>
  </si>
  <si>
    <t>Divisor Game</t>
  </si>
  <si>
    <t>https://leetcode.com/problems/divisor-game</t>
  </si>
  <si>
    <t>66.771</t>
  </si>
  <si>
    <t>Math, Dynamic Programming, Brainteaser, Game Theory</t>
  </si>
  <si>
    <t>Maximum Difference Between Node and Ancestor</t>
  </si>
  <si>
    <t>https://leetcode.com/problems/maximum-difference-between-node-and-ancestor</t>
  </si>
  <si>
    <t>73.311</t>
  </si>
  <si>
    <t>Longest Arithmetic Subsequence</t>
  </si>
  <si>
    <t>https://leetcode.com/problems/longest-arithmetic-subsequence</t>
  </si>
  <si>
    <t>47.869</t>
  </si>
  <si>
    <t>Array, Hash Table, Binary Search, Dynamic Programming</t>
  </si>
  <si>
    <t>Recover a Tree From Preorder Traversal</t>
  </si>
  <si>
    <t>https://leetcode.com/problems/recover-a-tree-from-preorder-traversal</t>
  </si>
  <si>
    <t>72.657</t>
  </si>
  <si>
    <t>Two City Scheduling</t>
  </si>
  <si>
    <t>https://leetcode.com/problems/two-city-scheduling</t>
  </si>
  <si>
    <t>63.821</t>
  </si>
  <si>
    <t>Matrix Cells in Distance Order</t>
  </si>
  <si>
    <t>https://leetcode.com/problems/matrix-cells-in-distance-order</t>
  </si>
  <si>
    <t>69.209</t>
  </si>
  <si>
    <t>Array, Math, Geometry, Sorting, Matrix</t>
  </si>
  <si>
    <t>Maximum Sum of Two Non-Overlapping Subarrays</t>
  </si>
  <si>
    <t>https://leetcode.com/problems/maximum-sum-of-two-non-overlapping-subarrays</t>
  </si>
  <si>
    <t>59.281</t>
  </si>
  <si>
    <t>Stream of Characters</t>
  </si>
  <si>
    <t>https://leetcode.com/problems/stream-of-characters</t>
  </si>
  <si>
    <t>51.375</t>
  </si>
  <si>
    <t>Array, String, Design, Trie, Data Stream</t>
  </si>
  <si>
    <t>Moving Stones Until Consecutive</t>
  </si>
  <si>
    <t>https://leetcode.com/problems/moving-stones-until-consecutive</t>
  </si>
  <si>
    <t>45.216</t>
  </si>
  <si>
    <t>Coloring A Border</t>
  </si>
  <si>
    <t>https://leetcode.com/problems/coloring-a-border</t>
  </si>
  <si>
    <t>48.694</t>
  </si>
  <si>
    <t>Uncrossed Lines</t>
  </si>
  <si>
    <t>https://leetcode.com/problems/uncrossed-lines</t>
  </si>
  <si>
    <t>58.266</t>
  </si>
  <si>
    <t>Escape a Large Maze</t>
  </si>
  <si>
    <t>https://leetcode.com/problems/escape-a-large-maze</t>
  </si>
  <si>
    <t>34.264</t>
  </si>
  <si>
    <t>Array, Hash Table, Depth-First Search, Breadth-First Search</t>
  </si>
  <si>
    <t>Valid Boomerang</t>
  </si>
  <si>
    <t>https://leetcode.com/problems/valid-boomerang</t>
  </si>
  <si>
    <t>37.521</t>
  </si>
  <si>
    <t>Binary Search Tree to Greater Sum Tree</t>
  </si>
  <si>
    <t>https://leetcode.com/problems/binary-search-tree-to-greater-sum-tree</t>
  </si>
  <si>
    <t>84.955</t>
  </si>
  <si>
    <t>Minimum Score Triangulation of Polygon</t>
  </si>
  <si>
    <t>https://leetcode.com/problems/minimum-score-triangulation-of-polygon</t>
  </si>
  <si>
    <t>53.101</t>
  </si>
  <si>
    <t>Moving Stones Until Consecutive II</t>
  </si>
  <si>
    <t>https://leetcode.com/problems/moving-stones-until-consecutive-ii</t>
  </si>
  <si>
    <t>55.611</t>
  </si>
  <si>
    <t>Robot Bounded In Circle</t>
  </si>
  <si>
    <t>https://leetcode.com/problems/robot-bounded-in-circle</t>
  </si>
  <si>
    <t>55.398</t>
  </si>
  <si>
    <t>Flower Planting With No Adjacent</t>
  </si>
  <si>
    <t>https://leetcode.com/problems/flower-planting-with-no-adjacent</t>
  </si>
  <si>
    <t>50.068</t>
  </si>
  <si>
    <t>Partition Array for Maximum Sum</t>
  </si>
  <si>
    <t>https://leetcode.com/problems/partition-array-for-maximum-sum</t>
  </si>
  <si>
    <t>70.753</t>
  </si>
  <si>
    <t>Longest Duplicate Substring</t>
  </si>
  <si>
    <t>https://leetcode.com/problems/longest-duplicate-substring</t>
  </si>
  <si>
    <t>30.927</t>
  </si>
  <si>
    <t>String, Binary Search, Sliding Window, Rolling Hash, Suffix Array, Hash Function</t>
  </si>
  <si>
    <t>Customers Who Bought All Products</t>
  </si>
  <si>
    <t>https://leetcode.com/problems/customers-who-bought-all-products</t>
  </si>
  <si>
    <t>67.502</t>
  </si>
  <si>
    <t>Last Stone Weight</t>
  </si>
  <si>
    <t>https://leetcode.com/problems/last-stone-weight</t>
  </si>
  <si>
    <t>64.462</t>
  </si>
  <si>
    <t>Remove All Adjacent Duplicates In String</t>
  </si>
  <si>
    <t>https://leetcode.com/problems/remove-all-adjacent-duplicates-in-string</t>
  </si>
  <si>
    <t>70.872</t>
  </si>
  <si>
    <t>Longest String Chain</t>
  </si>
  <si>
    <t>https://leetcode.com/problems/longest-string-chain</t>
  </si>
  <si>
    <t>59.291</t>
  </si>
  <si>
    <t>Array, Hash Table, Two Pointers, String, Dynamic Programming</t>
  </si>
  <si>
    <t>Last Stone Weight II</t>
  </si>
  <si>
    <t>https://leetcode.com/problems/last-stone-weight-ii</t>
  </si>
  <si>
    <t>51.654</t>
  </si>
  <si>
    <t>Actors and Directors Who Cooperated At Least Three Times</t>
  </si>
  <si>
    <t>https://leetcode.com/problems/actors-and-directors-who-cooperated-at-least-three-times</t>
  </si>
  <si>
    <t>72.848</t>
  </si>
  <si>
    <t>Height Checker</t>
  </si>
  <si>
    <t>https://leetcode.com/problems/height-checker</t>
  </si>
  <si>
    <t>74.592</t>
  </si>
  <si>
    <t>Grumpy Bookstore Owner</t>
  </si>
  <si>
    <t>https://leetcode.com/problems/grumpy-bookstore-owner</t>
  </si>
  <si>
    <t>56.812</t>
  </si>
  <si>
    <t>Previous Permutation With One Swap</t>
  </si>
  <si>
    <t>https://leetcode.com/problems/previous-permutation-with-one-swap</t>
  </si>
  <si>
    <t>51.256</t>
  </si>
  <si>
    <t>Distant Barcodes</t>
  </si>
  <si>
    <t>https://leetcode.com/problems/distant-barcodes</t>
  </si>
  <si>
    <t>45.341</t>
  </si>
  <si>
    <t>Shortest Way to Form String</t>
  </si>
  <si>
    <t>https://leetcode.com/problems/shortest-way-to-form-string</t>
  </si>
  <si>
    <t>58.521</t>
  </si>
  <si>
    <t>String, Dynamic Programming, Greedy</t>
  </si>
  <si>
    <t>Confusing Number</t>
  </si>
  <si>
    <t>https://leetcode.com/problems/confusing-number</t>
  </si>
  <si>
    <t>45.978</t>
  </si>
  <si>
    <t>Campus Bikes</t>
  </si>
  <si>
    <t>https://leetcode.com/problems/campus-bikes</t>
  </si>
  <si>
    <t>57.921</t>
  </si>
  <si>
    <t>Minimize Rounding Error to Meet Target</t>
  </si>
  <si>
    <t>https://leetcode.com/problems/minimize-rounding-error-to-meet-target</t>
  </si>
  <si>
    <t>44.774</t>
  </si>
  <si>
    <t>Array, Math, String, Greedy</t>
  </si>
  <si>
    <t>All Paths from Source Lead to Destination</t>
  </si>
  <si>
    <t>https://leetcode.com/problems/all-paths-from-source-lead-to-destination</t>
  </si>
  <si>
    <t>41.235</t>
  </si>
  <si>
    <t>Depth-First Search, Graph</t>
  </si>
  <si>
    <t>Missing Element in Sorted Array</t>
  </si>
  <si>
    <t>https://leetcode.com/problems/missing-element-in-sorted-array</t>
  </si>
  <si>
    <t>54.766</t>
  </si>
  <si>
    <t>Lexicographically Smallest Equivalent String</t>
  </si>
  <si>
    <t>https://leetcode.com/problems/lexicographically-smallest-equivalent-string</t>
  </si>
  <si>
    <t>69.636</t>
  </si>
  <si>
    <t>String, Union Find</t>
  </si>
  <si>
    <t>Longest Repeating Substring</t>
  </si>
  <si>
    <t>https://leetcode.com/problems/longest-repeating-substring</t>
  </si>
  <si>
    <t>59.150</t>
  </si>
  <si>
    <t>String, Binary Search, Dynamic Programming, Rolling Hash, Suffix Array, Hash Function</t>
  </si>
  <si>
    <t>Number of Valid Subarrays</t>
  </si>
  <si>
    <t>https://leetcode.com/problems/number-of-valid-subarrays</t>
  </si>
  <si>
    <t>73.897</t>
  </si>
  <si>
    <t>Fixed Point</t>
  </si>
  <si>
    <t>https://leetcode.com/problems/fixed-point</t>
  </si>
  <si>
    <t>63.695</t>
  </si>
  <si>
    <t>https://leetcode.com/problems/index-pairs-of-a-string</t>
  </si>
  <si>
    <t>62.676</t>
  </si>
  <si>
    <t>Array, String, Trie, Sorting</t>
  </si>
  <si>
    <t>Campus Bikes II</t>
  </si>
  <si>
    <t>https://leetcode.com/problems/campus-bikes-ii</t>
  </si>
  <si>
    <t>54.684</t>
  </si>
  <si>
    <t>Digit Count in Range</t>
  </si>
  <si>
    <t>https://leetcode.com/problems/digit-count-in-range</t>
  </si>
  <si>
    <t>43.439</t>
  </si>
  <si>
    <t>Product Sales Analysis I</t>
  </si>
  <si>
    <t>https://leetcode.com/problems/product-sales-analysis-i</t>
  </si>
  <si>
    <t>80.767</t>
  </si>
  <si>
    <t>Product Sales Analysis II</t>
  </si>
  <si>
    <t>https://leetcode.com/problems/product-sales-analysis-ii</t>
  </si>
  <si>
    <t>82.166</t>
  </si>
  <si>
    <t>Product Sales Analysis III</t>
  </si>
  <si>
    <t>https://leetcode.com/problems/product-sales-analysis-iii</t>
  </si>
  <si>
    <t>49.413</t>
  </si>
  <si>
    <t>Greatest Common Divisor of Strings</t>
  </si>
  <si>
    <t>https://leetcode.com/problems/greatest-common-divisor-of-strings</t>
  </si>
  <si>
    <t>51.246</t>
  </si>
  <si>
    <t>Flip Columns For Maximum Number of Equal Rows</t>
  </si>
  <si>
    <t>https://leetcode.com/problems/flip-columns-for-maximum-number-of-equal-rows</t>
  </si>
  <si>
    <t>63.270</t>
  </si>
  <si>
    <t>Adding Two Negabinary Numbers</t>
  </si>
  <si>
    <t>https://leetcode.com/problems/adding-two-negabinary-numbers</t>
  </si>
  <si>
    <t>36.222</t>
  </si>
  <si>
    <t>Number of Submatrices That Sum to Target</t>
  </si>
  <si>
    <t>https://leetcode.com/problems/number-of-submatrices-that-sum-to-target</t>
  </si>
  <si>
    <t>66.380</t>
  </si>
  <si>
    <t>Array, Hash Table, Matrix, Prefix Sum</t>
  </si>
  <si>
    <t>Project Employees I</t>
  </si>
  <si>
    <t>https://leetcode.com/problems/project-employees-i</t>
  </si>
  <si>
    <t>67.101</t>
  </si>
  <si>
    <t>Project Employees II</t>
  </si>
  <si>
    <t>https://leetcode.com/problems/project-employees-ii</t>
  </si>
  <si>
    <t>51.174</t>
  </si>
  <si>
    <t>Project Employees III</t>
  </si>
  <si>
    <t>https://leetcode.com/problems/project-employees-iii</t>
  </si>
  <si>
    <t>78.533</t>
  </si>
  <si>
    <t>Occurrences After Bigram</t>
  </si>
  <si>
    <t>https://leetcode.com/problems/occurrences-after-bigram</t>
  </si>
  <si>
    <t>64.122</t>
  </si>
  <si>
    <t>Letter Tile Possibilities</t>
  </si>
  <si>
    <t>https://leetcode.com/problems/letter-tile-possibilities</t>
  </si>
  <si>
    <t>76.161</t>
  </si>
  <si>
    <t>Insufficient Nodes in Root to Leaf Paths</t>
  </si>
  <si>
    <t>https://leetcode.com/problems/insufficient-nodes-in-root-to-leaf-paths</t>
  </si>
  <si>
    <t>52.274</t>
  </si>
  <si>
    <t>Smallest Subsequence of Distinct Characters</t>
  </si>
  <si>
    <t>https://leetcode.com/problems/smallest-subsequence-of-distinct-characters</t>
  </si>
  <si>
    <t>57.093</t>
  </si>
  <si>
    <t>Sales Analysis I</t>
  </si>
  <si>
    <t>https://leetcode.com/problems/sales-analysis-i</t>
  </si>
  <si>
    <t>Sales Analysis II</t>
  </si>
  <si>
    <t>https://leetcode.com/problems/sales-analysis-ii</t>
  </si>
  <si>
    <t>50.460</t>
  </si>
  <si>
    <t>Sales Analysis III</t>
  </si>
  <si>
    <t>https://leetcode.com/problems/sales-analysis-iii</t>
  </si>
  <si>
    <t>53.728</t>
  </si>
  <si>
    <t>Sum of Digits in the Minimum Number</t>
  </si>
  <si>
    <t>https://leetcode.com/problems/sum-of-digits-in-the-minimum-number</t>
  </si>
  <si>
    <t>75.798</t>
  </si>
  <si>
    <t>High Five</t>
  </si>
  <si>
    <t>https://leetcode.com/problems/high-five</t>
  </si>
  <si>
    <t>75.368</t>
  </si>
  <si>
    <t>Brace Expansion</t>
  </si>
  <si>
    <t>https://leetcode.com/problems/brace-expansion</t>
  </si>
  <si>
    <t>65.968</t>
  </si>
  <si>
    <t>Confusing Number II</t>
  </si>
  <si>
    <t>https://leetcode.com/problems/confusing-number-ii</t>
  </si>
  <si>
    <t>46.522</t>
  </si>
  <si>
    <t>Math, Backtracking</t>
  </si>
  <si>
    <t>Duplicate Zeros</t>
  </si>
  <si>
    <t>https://leetcode.com/problems/duplicate-zeros</t>
  </si>
  <si>
    <t>51.296</t>
  </si>
  <si>
    <t>Largest Values From Labels</t>
  </si>
  <si>
    <t>https://leetcode.com/problems/largest-values-from-labels</t>
  </si>
  <si>
    <t>60.661</t>
  </si>
  <si>
    <t>Array, Hash Table, Greedy, Sorting, Counting</t>
  </si>
  <si>
    <t>Shortest Path in Binary Matrix</t>
  </si>
  <si>
    <t>https://leetcode.com/problems/shortest-path-in-binary-matrix</t>
  </si>
  <si>
    <t>44.441</t>
  </si>
  <si>
    <t xml:space="preserve">Shortest Common Supersequence </t>
  </si>
  <si>
    <t>https://leetcode.com/problems/shortest-common-supersequence</t>
  </si>
  <si>
    <t>56.864</t>
  </si>
  <si>
    <t>Statistics from a Large Sample</t>
  </si>
  <si>
    <t>https://leetcode.com/problems/statistics-from-a-large-sample</t>
  </si>
  <si>
    <t>45.357</t>
  </si>
  <si>
    <t>Math, Two Pointers, Probability and Statistics</t>
  </si>
  <si>
    <t>Car Pooling</t>
  </si>
  <si>
    <t>https://leetcode.com/problems/car-pooling</t>
  </si>
  <si>
    <t>57.798</t>
  </si>
  <si>
    <t>Array, Sorting, Heap (Priority Queue), Simulation, Prefix Sum</t>
  </si>
  <si>
    <t>Find in Mountain Array</t>
  </si>
  <si>
    <t>https://leetcode.com/problems/find-in-mountain-array</t>
  </si>
  <si>
    <t>Brace Expansion II</t>
  </si>
  <si>
    <t>https://leetcode.com/problems/brace-expansion-ii</t>
  </si>
  <si>
    <t>63.170</t>
  </si>
  <si>
    <t>String, Backtracking, Stack, Breadth-First Search</t>
  </si>
  <si>
    <t>Game Play Analysis V</t>
  </si>
  <si>
    <t>https://leetcode.com/problems/game-play-analysis-v</t>
  </si>
  <si>
    <t>55.324</t>
  </si>
  <si>
    <t>Unpopular Books</t>
  </si>
  <si>
    <t>https://leetcode.com/problems/unpopular-books</t>
  </si>
  <si>
    <t>45.193</t>
  </si>
  <si>
    <t>Two Sum Less Than K</t>
  </si>
  <si>
    <t>https://leetcode.com/problems/two-sum-less-than-k</t>
  </si>
  <si>
    <t>60.512</t>
  </si>
  <si>
    <t>Find K-Length Substrings With No Repeated Characters</t>
  </si>
  <si>
    <t>https://leetcode.com/problems/find-k-length-substrings-with-no-repeated-characters</t>
  </si>
  <si>
    <t>74.719</t>
  </si>
  <si>
    <t>The Earliest Moment When Everyone Become Friends</t>
  </si>
  <si>
    <t>https://leetcode.com/problems/the-earliest-moment-when-everyone-become-friends</t>
  </si>
  <si>
    <t>64.270</t>
  </si>
  <si>
    <t>Path With Maximum Minimum Value</t>
  </si>
  <si>
    <t>https://leetcode.com/problems/path-with-maximum-minimum-value</t>
  </si>
  <si>
    <t>53.181</t>
  </si>
  <si>
    <t>Array, Depth-First Search, Breadth-First Search, Union Find, Heap (Priority Queue), Matrix</t>
  </si>
  <si>
    <t>Distribute Candies to People</t>
  </si>
  <si>
    <t>https://leetcode.com/problems/distribute-candies-to-people</t>
  </si>
  <si>
    <t>63.816</t>
  </si>
  <si>
    <t>Math, Simulation</t>
  </si>
  <si>
    <t>Path In Zigzag Labelled Binary Tree</t>
  </si>
  <si>
    <t>https://leetcode.com/problems/path-in-zigzag-labelled-binary-tree</t>
  </si>
  <si>
    <t>74.659</t>
  </si>
  <si>
    <t>Math, Tree, Binary Tree</t>
  </si>
  <si>
    <t>Filling Bookcase Shelves</t>
  </si>
  <si>
    <t>https://leetcode.com/problems/filling-bookcase-shelves</t>
  </si>
  <si>
    <t>58.273</t>
  </si>
  <si>
    <t>Parsing A Boolean Expression</t>
  </si>
  <si>
    <t>https://leetcode.com/problems/parsing-a-boolean-expression</t>
  </si>
  <si>
    <t>58.717</t>
  </si>
  <si>
    <t>New Users Daily Count</t>
  </si>
  <si>
    <t>https://leetcode.com/problems/new-users-daily-count</t>
  </si>
  <si>
    <t>45.688</t>
  </si>
  <si>
    <t>Defanging an IP Address</t>
  </si>
  <si>
    <t>https://leetcode.com/problems/defanging-an-ip-address</t>
  </si>
  <si>
    <t>89.146</t>
  </si>
  <si>
    <t>Corporate Flight Bookings</t>
  </si>
  <si>
    <t>https://leetcode.com/problems/corporate-flight-bookings</t>
  </si>
  <si>
    <t>59.309</t>
  </si>
  <si>
    <t>Delete Nodes And Return Forest</t>
  </si>
  <si>
    <t>https://leetcode.com/problems/delete-nodes-and-return-forest</t>
  </si>
  <si>
    <t>69.317</t>
  </si>
  <si>
    <t>Maximum Nesting Depth of Two Valid Parentheses Strings</t>
  </si>
  <si>
    <t>https://leetcode.com/problems/maximum-nesting-depth-of-two-valid-parentheses-strings</t>
  </si>
  <si>
    <t>73.278</t>
  </si>
  <si>
    <t>Highest Grade For Each Student</t>
  </si>
  <si>
    <t>https://leetcode.com/problems/highest-grade-for-each-student</t>
  </si>
  <si>
    <t>73.818</t>
  </si>
  <si>
    <t>Reported Posts</t>
  </si>
  <si>
    <t>https://leetcode.com/problems/reported-posts</t>
  </si>
  <si>
    <t>66.189</t>
  </si>
  <si>
    <t>Print in Order</t>
  </si>
  <si>
    <t>https://leetcode.com/problems/print-in-order</t>
  </si>
  <si>
    <t>68.203</t>
  </si>
  <si>
    <t>Concurrency</t>
  </si>
  <si>
    <t>Print FooBar Alternately</t>
  </si>
  <si>
    <t>https://leetcode.com/problems/print-foobar-alternately</t>
  </si>
  <si>
    <t>61.120</t>
  </si>
  <si>
    <t>Print Zero Even Odd</t>
  </si>
  <si>
    <t>https://leetcode.com/problems/print-zero-even-odd</t>
  </si>
  <si>
    <t>59.676</t>
  </si>
  <si>
    <t>Building H2O</t>
  </si>
  <si>
    <t>https://leetcode.com/problems/building-h2o</t>
  </si>
  <si>
    <t>54.857</t>
  </si>
  <si>
    <t>Number of Days in a Month</t>
  </si>
  <si>
    <t>https://leetcode.com/problems/number-of-days-in-a-month</t>
  </si>
  <si>
    <t>56.561</t>
  </si>
  <si>
    <t>Remove Vowels from a String</t>
  </si>
  <si>
    <t>https://leetcode.com/problems/remove-vowels-from-a-string</t>
  </si>
  <si>
    <t>90.761</t>
  </si>
  <si>
    <t>Maximum Average Subtree</t>
  </si>
  <si>
    <t>https://leetcode.com/problems/maximum-average-subtree</t>
  </si>
  <si>
    <t>65.315</t>
  </si>
  <si>
    <t>Divide Array Into Increasing Sequences</t>
  </si>
  <si>
    <t>https://leetcode.com/problems/divide-array-into-increasing-sequences</t>
  </si>
  <si>
    <t>59.930</t>
  </si>
  <si>
    <t>Relative Sort Array</t>
  </si>
  <si>
    <t>https://leetcode.com/problems/relative-sort-array</t>
  </si>
  <si>
    <t>68.264</t>
  </si>
  <si>
    <t>Array, Hash Table, Sorting, Counting Sort</t>
  </si>
  <si>
    <t>Lowest Common Ancestor of Deepest Leaves</t>
  </si>
  <si>
    <t>https://leetcode.com/problems/lowest-common-ancestor-of-deepest-leaves</t>
  </si>
  <si>
    <t>70.281</t>
  </si>
  <si>
    <t>Longest Well-Performing Interval</t>
  </si>
  <si>
    <t>https://leetcode.com/problems/longest-well-performing-interval</t>
  </si>
  <si>
    <t>34.384</t>
  </si>
  <si>
    <t>Array, Hash Table, Stack, Monotonic Stack, Prefix Sum</t>
  </si>
  <si>
    <t>Smallest Sufficient Team</t>
  </si>
  <si>
    <t>https://leetcode.com/problems/smallest-sufficient-team</t>
  </si>
  <si>
    <t>47.292</t>
  </si>
  <si>
    <t>Array, Dynamic Programming, Bit Manipulation, Bitmask</t>
  </si>
  <si>
    <t>Active Businesses</t>
  </si>
  <si>
    <t>https://leetcode.com/problems/active-businesses</t>
  </si>
  <si>
    <t>67.721</t>
  </si>
  <si>
    <t>User Purchase Platform</t>
  </si>
  <si>
    <t>https://leetcode.com/problems/user-purchase-platform</t>
  </si>
  <si>
    <t>51.229</t>
  </si>
  <si>
    <t>Number of Equivalent Domino Pairs</t>
  </si>
  <si>
    <t>https://leetcode.com/problems/number-of-equivalent-domino-pairs</t>
  </si>
  <si>
    <t>46.437</t>
  </si>
  <si>
    <t>Shortest Path with Alternating Colors</t>
  </si>
  <si>
    <t>https://leetcode.com/problems/shortest-path-with-alternating-colors</t>
  </si>
  <si>
    <t>42.437</t>
  </si>
  <si>
    <t>Breadth-First Search, Graph</t>
  </si>
  <si>
    <t>Minimum Cost Tree From Leaf Values</t>
  </si>
  <si>
    <t>https://leetcode.com/problems/minimum-cost-tree-from-leaf-values</t>
  </si>
  <si>
    <t>68.488</t>
  </si>
  <si>
    <t>Dynamic Programming, Stack, Greedy, Monotonic Stack</t>
  </si>
  <si>
    <t>Maximum of Absolute Value Expression</t>
  </si>
  <si>
    <t>https://leetcode.com/problems/maximum-of-absolute-value-expression</t>
  </si>
  <si>
    <t>49.645</t>
  </si>
  <si>
    <t>Reported Posts II</t>
  </si>
  <si>
    <t>https://leetcode.com/problems/reported-posts-ii</t>
  </si>
  <si>
    <t>33.684</t>
  </si>
  <si>
    <t>Largest Unique Number</t>
  </si>
  <si>
    <t>https://leetcode.com/problems/largest-unique-number</t>
  </si>
  <si>
    <t>67.449</t>
  </si>
  <si>
    <t>Armstrong Number</t>
  </si>
  <si>
    <t>https://leetcode.com/problems/armstrong-number</t>
  </si>
  <si>
    <t>78.227</t>
  </si>
  <si>
    <t>Connecting Cities With Minimum Cost</t>
  </si>
  <si>
    <t>https://leetcode.com/problems/connecting-cities-with-minimum-cost</t>
  </si>
  <si>
    <t>60.892</t>
  </si>
  <si>
    <t>Union Find, Graph, Heap (Priority Queue), Minimum Spanning Tree</t>
  </si>
  <si>
    <t>Parallel Courses</t>
  </si>
  <si>
    <t>https://leetcode.com/problems/parallel-courses</t>
  </si>
  <si>
    <t>61.922</t>
  </si>
  <si>
    <t>Graph, Topological Sort</t>
  </si>
  <si>
    <t>N-th Tribonacci Number</t>
  </si>
  <si>
    <t>https://leetcode.com/problems/n-th-tribonacci-number</t>
  </si>
  <si>
    <t>63.183</t>
  </si>
  <si>
    <t>Alphabet Board Path</t>
  </si>
  <si>
    <t>https://leetcode.com/problems/alphabet-board-path</t>
  </si>
  <si>
    <t>52.306</t>
  </si>
  <si>
    <t>Largest 1-Bordered Square</t>
  </si>
  <si>
    <t>https://leetcode.com/problems/largest-1-bordered-square</t>
  </si>
  <si>
    <t>49.711</t>
  </si>
  <si>
    <t>Stone Game II</t>
  </si>
  <si>
    <t>https://leetcode.com/problems/stone-game-ii</t>
  </si>
  <si>
    <t>64.833</t>
  </si>
  <si>
    <t>User Activity for the Past 30 Days I</t>
  </si>
  <si>
    <t>https://leetcode.com/problems/user-activity-for-the-past-30-days-i</t>
  </si>
  <si>
    <t>50.870</t>
  </si>
  <si>
    <t>User Activity for the Past 30 Days II</t>
  </si>
  <si>
    <t>https://leetcode.com/problems/user-activity-for-the-past-30-days-ii</t>
  </si>
  <si>
    <t>35.929</t>
  </si>
  <si>
    <t>Longest Common Subsequence</t>
  </si>
  <si>
    <t>https://leetcode.com/problems/longest-common-subsequence</t>
  </si>
  <si>
    <t>58.987</t>
  </si>
  <si>
    <t>Decrease Elements To Make Array Zigzag</t>
  </si>
  <si>
    <t>https://leetcode.com/problems/decrease-elements-to-make-array-zigzag</t>
  </si>
  <si>
    <t>47.035</t>
  </si>
  <si>
    <t>Binary Tree Coloring Game</t>
  </si>
  <si>
    <t>https://leetcode.com/problems/binary-tree-coloring-game</t>
  </si>
  <si>
    <t>51.294</t>
  </si>
  <si>
    <t>Snapshot Array</t>
  </si>
  <si>
    <t>https://leetcode.com/problems/snapshot-array</t>
  </si>
  <si>
    <t>37.175</t>
  </si>
  <si>
    <t>Longest Chunked Palindrome Decomposition</t>
  </si>
  <si>
    <t>https://leetcode.com/problems/longest-chunked-palindrome-decomposition</t>
  </si>
  <si>
    <t>60.058</t>
  </si>
  <si>
    <t>Two Pointers, String, Dynamic Programming, Greedy, Rolling Hash, Hash Function</t>
  </si>
  <si>
    <t>Article Views I</t>
  </si>
  <si>
    <t>https://leetcode.com/problems/article-views-i</t>
  </si>
  <si>
    <t>76.812</t>
  </si>
  <si>
    <t>Article Views II</t>
  </si>
  <si>
    <t>https://leetcode.com/problems/article-views-ii</t>
  </si>
  <si>
    <t>47.654</t>
  </si>
  <si>
    <t>Check If a Number Is Majority Element in a Sorted Array</t>
  </si>
  <si>
    <t>https://leetcode.com/problems/check-if-a-number-is-majority-element-in-a-sorted-array</t>
  </si>
  <si>
    <t>56.728</t>
  </si>
  <si>
    <t>Minimum Swaps to Group All 1's Together</t>
  </si>
  <si>
    <t>https://leetcode.com/problems/minimum-swaps-to-group-all-1s-together</t>
  </si>
  <si>
    <t>60.606</t>
  </si>
  <si>
    <t>Analyze User Website Visit Pattern</t>
  </si>
  <si>
    <t>https://leetcode.com/problems/analyze-user-website-visit-pattern</t>
  </si>
  <si>
    <t>43.520</t>
  </si>
  <si>
    <t>String Transforms Into Another String</t>
  </si>
  <si>
    <t>https://leetcode.com/problems/string-transforms-into-another-string</t>
  </si>
  <si>
    <t>35.396</t>
  </si>
  <si>
    <t>Day of the Year</t>
  </si>
  <si>
    <t>https://leetcode.com/problems/day-of-the-year</t>
  </si>
  <si>
    <t>50.698</t>
  </si>
  <si>
    <t>Number of Dice Rolls With Target Sum</t>
  </si>
  <si>
    <t>https://leetcode.com/problems/number-of-dice-rolls-with-target-sum</t>
  </si>
  <si>
    <t>47.847</t>
  </si>
  <si>
    <t>Swap For Longest Repeated Character Substring</t>
  </si>
  <si>
    <t>https://leetcode.com/problems/swap-for-longest-repeated-character-substring</t>
  </si>
  <si>
    <t>45.861</t>
  </si>
  <si>
    <t>String, Sliding Window</t>
  </si>
  <si>
    <t>Online Majority Element In Subarray</t>
  </si>
  <si>
    <t>https://leetcode.com/problems/online-majority-element-in-subarray</t>
  </si>
  <si>
    <t>42.277</t>
  </si>
  <si>
    <t>Array, Binary Search, Design, Binary Indexed Tree, Segment Tree</t>
  </si>
  <si>
    <t>Market Analysis I</t>
  </si>
  <si>
    <t>https://leetcode.com/problems/market-analysis-i</t>
  </si>
  <si>
    <t>65.541</t>
  </si>
  <si>
    <t>Market Analysis II</t>
  </si>
  <si>
    <t>https://leetcode.com/problems/market-analysis-ii</t>
  </si>
  <si>
    <t>58.289</t>
  </si>
  <si>
    <t>Find Words That Can Be Formed by Characters</t>
  </si>
  <si>
    <t>https://leetcode.com/problems/find-words-that-can-be-formed-by-characters</t>
  </si>
  <si>
    <t>67.732</t>
  </si>
  <si>
    <t>Maximum Level Sum of a Binary Tree</t>
  </si>
  <si>
    <t>https://leetcode.com/problems/maximum-level-sum-of-a-binary-tree</t>
  </si>
  <si>
    <t>66.406</t>
  </si>
  <si>
    <t>As Far from Land as Possible</t>
  </si>
  <si>
    <t>https://leetcode.com/problems/as-far-from-land-as-possible</t>
  </si>
  <si>
    <t>48.211</t>
  </si>
  <si>
    <t>Last Substring in Lexicographical Order</t>
  </si>
  <si>
    <t>https://leetcode.com/problems/last-substring-in-lexicographical-order</t>
  </si>
  <si>
    <t>35.426</t>
  </si>
  <si>
    <t>Product Price at a Given Date</t>
  </si>
  <si>
    <t>https://leetcode.com/problems/product-price-at-a-given-date</t>
  </si>
  <si>
    <t>68.403</t>
  </si>
  <si>
    <t>Single-Row Keyboard</t>
  </si>
  <si>
    <t>https://leetcode.com/problems/single-row-keyboard</t>
  </si>
  <si>
    <t>85.676</t>
  </si>
  <si>
    <t>Design File System</t>
  </si>
  <si>
    <t>https://leetcode.com/problems/design-file-system</t>
  </si>
  <si>
    <t>61.962</t>
  </si>
  <si>
    <t>Minimum Cost to Connect Sticks</t>
  </si>
  <si>
    <t>https://leetcode.com/problems/minimum-cost-to-connect-sticks</t>
  </si>
  <si>
    <t>67.373</t>
  </si>
  <si>
    <t>Optimize Water Distribution in a Village</t>
  </si>
  <si>
    <t>https://leetcode.com/problems/optimize-water-distribution-in-a-village</t>
  </si>
  <si>
    <t>64.271</t>
  </si>
  <si>
    <t>Union Find, Graph, Minimum Spanning Tree</t>
  </si>
  <si>
    <t>Invalid Transactions</t>
  </si>
  <si>
    <t>https://leetcode.com/problems/invalid-transactions</t>
  </si>
  <si>
    <t>30.120</t>
  </si>
  <si>
    <t>Compare Strings by Frequency of the Smallest Character</t>
  </si>
  <si>
    <t>https://leetcode.com/problems/compare-strings-by-frequency-of-the-smallest-character</t>
  </si>
  <si>
    <t>61.144</t>
  </si>
  <si>
    <t>Array, Hash Table, String, Binary Search, Sorting</t>
  </si>
  <si>
    <t>Remove Zero Sum Consecutive Nodes from Linked List</t>
  </si>
  <si>
    <t>https://leetcode.com/problems/remove-zero-sum-consecutive-nodes-from-linked-list</t>
  </si>
  <si>
    <t>42.762</t>
  </si>
  <si>
    <t>Dinner Plate Stacks</t>
  </si>
  <si>
    <t>https://leetcode.com/problems/dinner-plate-stacks</t>
  </si>
  <si>
    <t>33.976</t>
  </si>
  <si>
    <t>Hash Table, Stack, Design, Heap (Priority Queue)</t>
  </si>
  <si>
    <t>Immediate Food Delivery I</t>
  </si>
  <si>
    <t>https://leetcode.com/problems/immediate-food-delivery-i</t>
  </si>
  <si>
    <t>83.257</t>
  </si>
  <si>
    <t>Immediate Food Delivery II</t>
  </si>
  <si>
    <t>https://leetcode.com/problems/immediate-food-delivery-ii</t>
  </si>
  <si>
    <t>63.800</t>
  </si>
  <si>
    <t>Prime Arrangements</t>
  </si>
  <si>
    <t>https://leetcode.com/problems/prime-arrangements</t>
  </si>
  <si>
    <t>53.140</t>
  </si>
  <si>
    <t>Diet Plan Performance</t>
  </si>
  <si>
    <t>https://leetcode.com/problems/diet-plan-performance</t>
  </si>
  <si>
    <t>52.537</t>
  </si>
  <si>
    <t>Can Make Palindrome from Substring</t>
  </si>
  <si>
    <t>https://leetcode.com/problems/can-make-palindrome-from-substring</t>
  </si>
  <si>
    <t>37.456</t>
  </si>
  <si>
    <t>Hash Table, String, Bit Manipulation, Prefix Sum</t>
  </si>
  <si>
    <t>Number of Valid Words for Each Puzzle</t>
  </si>
  <si>
    <t>https://leetcode.com/problems/number-of-valid-words-for-each-puzzle</t>
  </si>
  <si>
    <t>46.687</t>
  </si>
  <si>
    <t>Array, Hash Table, String, Bit Manipulation, Trie</t>
  </si>
  <si>
    <t>Reformat Department Table</t>
  </si>
  <si>
    <t>https://leetcode.com/problems/reformat-department-table</t>
  </si>
  <si>
    <t>82.479</t>
  </si>
  <si>
    <t>Count Substrings with Only One Distinct Letter</t>
  </si>
  <si>
    <t>https://leetcode.com/problems/count-substrings-with-only-one-distinct-letter</t>
  </si>
  <si>
    <t>78.839</t>
  </si>
  <si>
    <t>Before and After Puzzle</t>
  </si>
  <si>
    <t>https://leetcode.com/problems/before-and-after-puzzle</t>
  </si>
  <si>
    <t>45.003</t>
  </si>
  <si>
    <t>Shortest Distance to Target Color</t>
  </si>
  <si>
    <t>https://leetcode.com/problems/shortest-distance-to-target-color</t>
  </si>
  <si>
    <t>54.089</t>
  </si>
  <si>
    <t>Maximum Number of Ones</t>
  </si>
  <si>
    <t>https://leetcode.com/problems/maximum-number-of-ones</t>
  </si>
  <si>
    <t>60.676</t>
  </si>
  <si>
    <t>Greedy, Heap (Priority Queue)</t>
  </si>
  <si>
    <t>Distance Between Bus Stops</t>
  </si>
  <si>
    <t>https://leetcode.com/problems/distance-between-bus-stops</t>
  </si>
  <si>
    <t>54.144</t>
  </si>
  <si>
    <t>Day of the Week</t>
  </si>
  <si>
    <t>https://leetcode.com/problems/day-of-the-week</t>
  </si>
  <si>
    <t>58.147</t>
  </si>
  <si>
    <t>Maximum Subarray Sum with One Deletion</t>
  </si>
  <si>
    <t>https://leetcode.com/problems/maximum-subarray-sum-with-one-deletion</t>
  </si>
  <si>
    <t>40.785</t>
  </si>
  <si>
    <t>Make Array Strictly Increasing</t>
  </si>
  <si>
    <t>https://leetcode.com/problems/make-array-strictly-increasing</t>
  </si>
  <si>
    <t>44.913</t>
  </si>
  <si>
    <t>Design Bounded Blocking Queue</t>
  </si>
  <si>
    <t>https://leetcode.com/problems/design-bounded-blocking-queue</t>
  </si>
  <si>
    <t>72.881</t>
  </si>
  <si>
    <t>Maximum Number of Balloons</t>
  </si>
  <si>
    <t>https://leetcode.com/problems/maximum-number-of-balloons</t>
  </si>
  <si>
    <t>62.415</t>
  </si>
  <si>
    <t>Reverse Substrings Between Each Pair of Parentheses</t>
  </si>
  <si>
    <t>https://leetcode.com/problems/reverse-substrings-between-each-pair-of-parentheses</t>
  </si>
  <si>
    <t>65.832</t>
  </si>
  <si>
    <t>K-Concatenation Maximum Sum</t>
  </si>
  <si>
    <t>https://leetcode.com/problems/k-concatenation-maximum-sum</t>
  </si>
  <si>
    <t>24.079</t>
  </si>
  <si>
    <t>Critical Connections in a Network</t>
  </si>
  <si>
    <t>https://leetcode.com/problems/critical-connections-in-a-network</t>
  </si>
  <si>
    <t>54.350</t>
  </si>
  <si>
    <t>Depth-First Search, Graph, Biconnected Component</t>
  </si>
  <si>
    <t>Monthly Transactions I</t>
  </si>
  <si>
    <t>https://leetcode.com/problems/monthly-transactions-i</t>
  </si>
  <si>
    <t>67.305</t>
  </si>
  <si>
    <t>Tournament Winners</t>
  </si>
  <si>
    <t>https://leetcode.com/problems/tournament-winners</t>
  </si>
  <si>
    <t>51.898</t>
  </si>
  <si>
    <t>Fizz Buzz Multithreaded</t>
  </si>
  <si>
    <t>https://leetcode.com/problems/fizz-buzz-multithreaded</t>
  </si>
  <si>
    <t>72.310</t>
  </si>
  <si>
    <t>How Many Apples Can You Put into the Basket</t>
  </si>
  <si>
    <t>https://leetcode.com/problems/how-many-apples-can-you-put-into-the-basket</t>
  </si>
  <si>
    <t>67.246</t>
  </si>
  <si>
    <t>Minimum Knight Moves</t>
  </si>
  <si>
    <t>https://leetcode.com/problems/minimum-knight-moves</t>
  </si>
  <si>
    <t>39.937</t>
  </si>
  <si>
    <t>Breadth-First Search</t>
  </si>
  <si>
    <t>Find Smallest Common Element in All Rows</t>
  </si>
  <si>
    <t>https://leetcode.com/problems/find-smallest-common-element-in-all-rows</t>
  </si>
  <si>
    <t>76.065</t>
  </si>
  <si>
    <t>Array, Hash Table, Binary Search, Matrix, Counting</t>
  </si>
  <si>
    <t>Minimum Time to Build Blocks</t>
  </si>
  <si>
    <t>https://leetcode.com/problems/minimum-time-to-build-blocks</t>
  </si>
  <si>
    <t>40.526</t>
  </si>
  <si>
    <t>Math, Greedy, Heap (Priority Queue)</t>
  </si>
  <si>
    <t>Minimum Absolute Difference</t>
  </si>
  <si>
    <t>https://leetcode.com/problems/minimum-absolute-difference</t>
  </si>
  <si>
    <t>69.888</t>
  </si>
  <si>
    <t>Ugly Number III</t>
  </si>
  <si>
    <t>https://leetcode.com/problems/ugly-number-iii</t>
  </si>
  <si>
    <t>28.362</t>
  </si>
  <si>
    <t>Math, Binary Search, Number Theory</t>
  </si>
  <si>
    <t>Smallest String With Swaps</t>
  </si>
  <si>
    <t>https://leetcode.com/problems/smallest-string-with-swaps</t>
  </si>
  <si>
    <t>57.205</t>
  </si>
  <si>
    <t>Hash Table, String, Depth-First Search, Breadth-First Search, Union Find</t>
  </si>
  <si>
    <t>https://leetcode.com/problems/sort-items-by-groups-respecting-dependencies</t>
  </si>
  <si>
    <t>49.806</t>
  </si>
  <si>
    <t>Last Person to Fit in the Bus</t>
  </si>
  <si>
    <t>https://leetcode.com/problems/last-person-to-fit-in-the-bus</t>
  </si>
  <si>
    <t>73.816</t>
  </si>
  <si>
    <t>Monthly Transactions II</t>
  </si>
  <si>
    <t>https://leetcode.com/problems/monthly-transactions-ii</t>
  </si>
  <si>
    <t>44.429</t>
  </si>
  <si>
    <t>Design Skiplist</t>
  </si>
  <si>
    <t>https://leetcode.com/problems/design-skiplist</t>
  </si>
  <si>
    <t>59.959</t>
  </si>
  <si>
    <t>Unique Number of Occurrences</t>
  </si>
  <si>
    <t>https://leetcode.com/problems/unique-number-of-occurrences</t>
  </si>
  <si>
    <t>71.795</t>
  </si>
  <si>
    <t>Get Equal Substrings Within Budget</t>
  </si>
  <si>
    <t>https://leetcode.com/problems/get-equal-substrings-within-budget</t>
  </si>
  <si>
    <t>46.888</t>
  </si>
  <si>
    <t>String, Binary Search, Sliding Window, Prefix Sum</t>
  </si>
  <si>
    <t>Remove All Adjacent Duplicates in String II</t>
  </si>
  <si>
    <t>https://leetcode.com/problems/remove-all-adjacent-duplicates-in-string-ii</t>
  </si>
  <si>
    <t>56.079</t>
  </si>
  <si>
    <t>Minimum Moves to Reach Target with Rotations</t>
  </si>
  <si>
    <t>https://leetcode.com/problems/minimum-moves-to-reach-target-with-rotations</t>
  </si>
  <si>
    <t>48.371</t>
  </si>
  <si>
    <t>Queries Quality and Percentage</t>
  </si>
  <si>
    <t>https://leetcode.com/problems/queries-quality-and-percentage</t>
  </si>
  <si>
    <t>71.251</t>
  </si>
  <si>
    <t>Team Scores in Football Tournament</t>
  </si>
  <si>
    <t>https://leetcode.com/problems/team-scores-in-football-tournament</t>
  </si>
  <si>
    <t>57.468</t>
  </si>
  <si>
    <t>Intersection of Three Sorted Arrays</t>
  </si>
  <si>
    <t>https://leetcode.com/problems/intersection-of-three-sorted-arrays</t>
  </si>
  <si>
    <t>79.967</t>
  </si>
  <si>
    <t>Array, Hash Table, Binary Search, Counting</t>
  </si>
  <si>
    <t>Two Sum BSTs</t>
  </si>
  <si>
    <t>https://leetcode.com/problems/two-sum-bsts</t>
  </si>
  <si>
    <t>66.456</t>
  </si>
  <si>
    <t>Two Pointers, Binary Search, Stack, Tree, Depth-First Search, Binary Search Tree, Binary Tree</t>
  </si>
  <si>
    <t>Stepping Numbers</t>
  </si>
  <si>
    <t>https://leetcode.com/problems/stepping-numbers</t>
  </si>
  <si>
    <t>45.599</t>
  </si>
  <si>
    <t>Valid Palindrome III</t>
  </si>
  <si>
    <t>https://leetcode.com/problems/valid-palindrome-iii</t>
  </si>
  <si>
    <t>50.554</t>
  </si>
  <si>
    <t>Minimum Cost to Move Chips to The Same Position</t>
  </si>
  <si>
    <t>https://leetcode.com/problems/minimum-cost-to-move-chips-to-the-same-position</t>
  </si>
  <si>
    <t>72.498</t>
  </si>
  <si>
    <t>Array, Math, Greedy</t>
  </si>
  <si>
    <t>Longest Arithmetic Subsequence of Given Difference</t>
  </si>
  <si>
    <t>https://leetcode.com/problems/longest-arithmetic-subsequence-of-given-difference</t>
  </si>
  <si>
    <t>51.778</t>
  </si>
  <si>
    <t>Path with Maximum Gold</t>
  </si>
  <si>
    <t>https://leetcode.com/problems/path-with-maximum-gold</t>
  </si>
  <si>
    <t>65.263</t>
  </si>
  <si>
    <t>Count Vowels Permutation</t>
  </si>
  <si>
    <t>https://leetcode.com/problems/count-vowels-permutation</t>
  </si>
  <si>
    <t>56.226</t>
  </si>
  <si>
    <t>Split a String in Balanced Strings</t>
  </si>
  <si>
    <t>https://leetcode.com/problems/split-a-string-in-balanced-strings</t>
  </si>
  <si>
    <t>84.497</t>
  </si>
  <si>
    <t>String, Greedy, Counting</t>
  </si>
  <si>
    <t>Queens That Can Attack the King</t>
  </si>
  <si>
    <t>https://leetcode.com/problems/queens-that-can-attack-the-king</t>
  </si>
  <si>
    <t>71.340</t>
  </si>
  <si>
    <t>Dice Roll Simulation</t>
  </si>
  <si>
    <t>https://leetcode.com/problems/dice-roll-simulation</t>
  </si>
  <si>
    <t>48.042</t>
  </si>
  <si>
    <t>Maximum Equal Frequency</t>
  </si>
  <si>
    <t>https://leetcode.com/problems/maximum-equal-frequency</t>
  </si>
  <si>
    <t>36.605</t>
  </si>
  <si>
    <t>Report Contiguous Dates</t>
  </si>
  <si>
    <t>https://leetcode.com/problems/report-contiguous-dates</t>
  </si>
  <si>
    <t>63.532</t>
  </si>
  <si>
    <t>The Dining Philosophers</t>
  </si>
  <si>
    <t>https://leetcode.com/problems/the-dining-philosophers</t>
  </si>
  <si>
    <t>57.073</t>
  </si>
  <si>
    <t>Airplane Seat Assignment Probability</t>
  </si>
  <si>
    <t>https://leetcode.com/problems/airplane-seat-assignment-probability</t>
  </si>
  <si>
    <t>64.467</t>
  </si>
  <si>
    <t>Math, Dynamic Programming, Brainteaser, Probability and Statistics</t>
  </si>
  <si>
    <t>Missing Number In Arithmetic Progression</t>
  </si>
  <si>
    <t>https://leetcode.com/problems/missing-number-in-arithmetic-progression</t>
  </si>
  <si>
    <t>51.194</t>
  </si>
  <si>
    <t>Meeting Scheduler</t>
  </si>
  <si>
    <t>https://leetcode.com/problems/meeting-scheduler</t>
  </si>
  <si>
    <t>55.328</t>
  </si>
  <si>
    <t>Toss Strange Coins</t>
  </si>
  <si>
    <t>https://leetcode.com/problems/toss-strange-coins</t>
  </si>
  <si>
    <t>52.958</t>
  </si>
  <si>
    <t>Divide Chocolate</t>
  </si>
  <si>
    <t>https://leetcode.com/problems/divide-chocolate</t>
  </si>
  <si>
    <t>56.575</t>
  </si>
  <si>
    <t>Check If It Is a Straight Line</t>
  </si>
  <si>
    <t>https://leetcode.com/problems/check-if-it-is-a-straight-line</t>
  </si>
  <si>
    <t>41.587</t>
  </si>
  <si>
    <t>Remove Sub-Folders from the Filesystem</t>
  </si>
  <si>
    <t>https://leetcode.com/problems/remove-sub-folders-from-the-filesystem</t>
  </si>
  <si>
    <t>65.247</t>
  </si>
  <si>
    <t>Array, String, Trie</t>
  </si>
  <si>
    <t>Replace the Substring for Balanced String</t>
  </si>
  <si>
    <t>https://leetcode.com/problems/replace-the-substring-for-balanced-string</t>
  </si>
  <si>
    <t>36.558</t>
  </si>
  <si>
    <t>Maximum Profit in Job Scheduling</t>
  </si>
  <si>
    <t>https://leetcode.com/problems/maximum-profit-in-job-scheduling</t>
  </si>
  <si>
    <t>50.954</t>
  </si>
  <si>
    <t>Web Crawler</t>
  </si>
  <si>
    <t>https://leetcode.com/problems/web-crawler</t>
  </si>
  <si>
    <t>65.851</t>
  </si>
  <si>
    <t>String, Depth-First Search, Breadth-First Search, Interactive</t>
  </si>
  <si>
    <t>Find Positive Integer Solution for a Given Equation</t>
  </si>
  <si>
    <t>https://leetcode.com/problems/find-positive-integer-solution-for-a-given-equation</t>
  </si>
  <si>
    <t>69.255</t>
  </si>
  <si>
    <t>Math, Two Pointers, Binary Search, Interactive</t>
  </si>
  <si>
    <t>Circular Permutation in Binary Representation</t>
  </si>
  <si>
    <t>https://leetcode.com/problems/circular-permutation-in-binary-representation</t>
  </si>
  <si>
    <t>68.455</t>
  </si>
  <si>
    <t>Maximum Length of a Concatenated String with Unique Characters</t>
  </si>
  <si>
    <t>https://leetcode.com/problems/maximum-length-of-a-concatenated-string-with-unique-characters</t>
  </si>
  <si>
    <t>50.509</t>
  </si>
  <si>
    <t>Array, String, Backtracking, Bit Manipulation</t>
  </si>
  <si>
    <t>Tiling a Rectangle with the Fewest Squares</t>
  </si>
  <si>
    <t>https://leetcode.com/problems/tiling-a-rectangle-with-the-fewest-squares</t>
  </si>
  <si>
    <t>53.766</t>
  </si>
  <si>
    <t>Number of Comments per Post</t>
  </si>
  <si>
    <t>https://leetcode.com/problems/number-of-comments-per-post</t>
  </si>
  <si>
    <t>67.844</t>
  </si>
  <si>
    <t>Web Crawler Multithreaded</t>
  </si>
  <si>
    <t>https://leetcode.com/problems/web-crawler-multithreaded</t>
  </si>
  <si>
    <t>48.864</t>
  </si>
  <si>
    <t>Depth-First Search, Breadth-First Search, Concurrency</t>
  </si>
  <si>
    <t>Array Transformation</t>
  </si>
  <si>
    <t>https://leetcode.com/problems/array-transformation</t>
  </si>
  <si>
    <t>50.519</t>
  </si>
  <si>
    <t>Design A Leaderboard</t>
  </si>
  <si>
    <t>https://leetcode.com/problems/design-a-leaderboard</t>
  </si>
  <si>
    <t>68.195</t>
  </si>
  <si>
    <t>Hash Table, Design, Sorting</t>
  </si>
  <si>
    <t>Tree Diameter</t>
  </si>
  <si>
    <t>https://leetcode.com/problems/tree-diameter</t>
  </si>
  <si>
    <t>61.930</t>
  </si>
  <si>
    <t>Tree, Depth-First Search, Breadth-First Search, Graph, Topological Sort</t>
  </si>
  <si>
    <t>Palindrome Removal</t>
  </si>
  <si>
    <t>https://leetcode.com/problems/palindrome-removal</t>
  </si>
  <si>
    <t>45.872</t>
  </si>
  <si>
    <t>Minimum Swaps to Make Strings Equal</t>
  </si>
  <si>
    <t>https://leetcode.com/problems/minimum-swaps-to-make-strings-equal</t>
  </si>
  <si>
    <t>63.692</t>
  </si>
  <si>
    <t>Math, String, Greedy</t>
  </si>
  <si>
    <t>Count Number of Nice Subarrays</t>
  </si>
  <si>
    <t>https://leetcode.com/problems/count-number-of-nice-subarrays</t>
  </si>
  <si>
    <t>58.951</t>
  </si>
  <si>
    <t>Array, Hash Table, Math, Sliding Window</t>
  </si>
  <si>
    <t>Minimum Remove to Make Valid Parentheses</t>
  </si>
  <si>
    <t>https://leetcode.com/problems/minimum-remove-to-make-valid-parentheses</t>
  </si>
  <si>
    <t>65.649</t>
  </si>
  <si>
    <t>Check If It Is a Good Array</t>
  </si>
  <si>
    <t>https://leetcode.com/problems/check-if-it-is-a-good-array</t>
  </si>
  <si>
    <t>58.261</t>
  </si>
  <si>
    <t>Array, Math, Number Theory</t>
  </si>
  <si>
    <t>Average Selling Price</t>
  </si>
  <si>
    <t>https://leetcode.com/problems/average-selling-price</t>
  </si>
  <si>
    <t>83.402</t>
  </si>
  <si>
    <t>Cells with Odd Values in a Matrix</t>
  </si>
  <si>
    <t>https://leetcode.com/problems/cells-with-odd-values-in-a-matrix</t>
  </si>
  <si>
    <t>78.490</t>
  </si>
  <si>
    <t>Array, Math, Simulation</t>
  </si>
  <si>
    <t>Reconstruct a 2-Row Binary Matrix</t>
  </si>
  <si>
    <t>https://leetcode.com/problems/reconstruct-a-2-row-binary-matrix</t>
  </si>
  <si>
    <t>43.571</t>
  </si>
  <si>
    <t>Number of Closed Islands</t>
  </si>
  <si>
    <t>https://leetcode.com/problems/number-of-closed-islands</t>
  </si>
  <si>
    <t>63.693</t>
  </si>
  <si>
    <t>Maximum Score Words Formed by Letters</t>
  </si>
  <si>
    <t>https://leetcode.com/problems/maximum-score-words-formed-by-letters</t>
  </si>
  <si>
    <t>72.395</t>
  </si>
  <si>
    <t>Encode Number</t>
  </si>
  <si>
    <t>https://leetcode.com/problems/encode-number</t>
  </si>
  <si>
    <t>69.764</t>
  </si>
  <si>
    <t>Math, String, Bit Manipulation</t>
  </si>
  <si>
    <t>Smallest Common Region</t>
  </si>
  <si>
    <t>https://leetcode.com/problems/smallest-common-region</t>
  </si>
  <si>
    <t>63.679</t>
  </si>
  <si>
    <t>Array, Hash Table, String, Tree, Depth-First Search, Breadth-First Search</t>
  </si>
  <si>
    <t>Synonymous Sentences</t>
  </si>
  <si>
    <t>https://leetcode.com/problems/synonymous-sentences</t>
  </si>
  <si>
    <t>56.759</t>
  </si>
  <si>
    <t>Array, Hash Table, String, Backtracking, Union Find</t>
  </si>
  <si>
    <t>Handshakes That Don't Cross</t>
  </si>
  <si>
    <t>https://leetcode.com/problems/handshakes-that-dont-cross</t>
  </si>
  <si>
    <t>56.098</t>
  </si>
  <si>
    <t>Shift 2D Grid</t>
  </si>
  <si>
    <t>https://leetcode.com/problems/shift-2d-grid</t>
  </si>
  <si>
    <t>68.085</t>
  </si>
  <si>
    <t>Find Elements in a Contaminated Binary Tree</t>
  </si>
  <si>
    <t>https://leetcode.com/problems/find-elements-in-a-contaminated-binary-tree</t>
  </si>
  <si>
    <t>75.672</t>
  </si>
  <si>
    <t>Hash Table, Tree, Depth-First Search, Breadth-First Search, Design, Binary Tree</t>
  </si>
  <si>
    <t>Greatest Sum Divisible by Three</t>
  </si>
  <si>
    <t>https://leetcode.com/problems/greatest-sum-divisible-by-three</t>
  </si>
  <si>
    <t>50.918</t>
  </si>
  <si>
    <t>Minimum Moves to Move a Box to Their Target Location</t>
  </si>
  <si>
    <t>https://leetcode.com/problems/minimum-moves-to-move-a-box-to-their-target-location</t>
  </si>
  <si>
    <t>48.797</t>
  </si>
  <si>
    <t>Page Recommendations</t>
  </si>
  <si>
    <t>https://leetcode.com/problems/page-recommendations</t>
  </si>
  <si>
    <t>67.785</t>
  </si>
  <si>
    <t>Print Immutable Linked List in Reverse</t>
  </si>
  <si>
    <t>https://leetcode.com/problems/print-immutable-linked-list-in-reverse</t>
  </si>
  <si>
    <t>94.280</t>
  </si>
  <si>
    <t>Minimum Time Visiting All Points</t>
  </si>
  <si>
    <t>https://leetcode.com/problems/minimum-time-visiting-all-points</t>
  </si>
  <si>
    <t>79.142</t>
  </si>
  <si>
    <t>Count Servers that Communicate</t>
  </si>
  <si>
    <t>https://leetcode.com/problems/count-servers-that-communicate</t>
  </si>
  <si>
    <t>58.819</t>
  </si>
  <si>
    <t>Array, Depth-First Search, Breadth-First Search, Union Find, Matrix, Counting</t>
  </si>
  <si>
    <t>Search Suggestions System</t>
  </si>
  <si>
    <t>https://leetcode.com/problems/search-suggestions-system</t>
  </si>
  <si>
    <t>67.056</t>
  </si>
  <si>
    <t>Number of Ways to Stay in the Same Place After Some Steps</t>
  </si>
  <si>
    <t>https://leetcode.com/problems/number-of-ways-to-stay-in-the-same-place-after-some-steps</t>
  </si>
  <si>
    <t>43.462</t>
  </si>
  <si>
    <t>All People Report to the Given Manager</t>
  </si>
  <si>
    <t>https://leetcode.com/problems/all-people-report-to-the-given-manager</t>
  </si>
  <si>
    <t>87.913</t>
  </si>
  <si>
    <t>Hexspeak</t>
  </si>
  <si>
    <t>https://leetcode.com/problems/hexspeak</t>
  </si>
  <si>
    <t>56.618</t>
  </si>
  <si>
    <t>Remove Interval</t>
  </si>
  <si>
    <t>https://leetcode.com/problems/remove-interval</t>
  </si>
  <si>
    <t>61.613</t>
  </si>
  <si>
    <t>Delete Tree Nodes</t>
  </si>
  <si>
    <t>https://leetcode.com/problems/delete-tree-nodes</t>
  </si>
  <si>
    <t>61.061</t>
  </si>
  <si>
    <t>Number of Ships in a Rectangle</t>
  </si>
  <si>
    <t>https://leetcode.com/problems/number-of-ships-in-a-rectangle</t>
  </si>
  <si>
    <t>68.870</t>
  </si>
  <si>
    <t>Array, Divide and Conquer, Interactive</t>
  </si>
  <si>
    <t>Find Winner on a Tic Tac Toe Game</t>
  </si>
  <si>
    <t>https://leetcode.com/problems/find-winner-on-a-tic-tac-toe-game</t>
  </si>
  <si>
    <t>54.499</t>
  </si>
  <si>
    <t>Array, Hash Table, Matrix, Simulation</t>
  </si>
  <si>
    <t>Number of Burgers with No Waste of Ingredients</t>
  </si>
  <si>
    <t>https://leetcode.com/problems/number-of-burgers-with-no-waste-of-ingredients</t>
  </si>
  <si>
    <t>50.589</t>
  </si>
  <si>
    <t>Count Square Submatrices with All Ones</t>
  </si>
  <si>
    <t>https://leetcode.com/problems/count-square-submatrices-with-all-ones</t>
  </si>
  <si>
    <t>74.301</t>
  </si>
  <si>
    <t>Palindrome Partitioning III</t>
  </si>
  <si>
    <t>https://leetcode.com/problems/palindrome-partitioning-iii</t>
  </si>
  <si>
    <t>60.858</t>
  </si>
  <si>
    <t>Traffic Light Controlled Intersection</t>
  </si>
  <si>
    <t>https://leetcode.com/problems/traffic-light-controlled-intersection</t>
  </si>
  <si>
    <t>74.792</t>
  </si>
  <si>
    <t>Students and Examinations</t>
  </si>
  <si>
    <t>https://leetcode.com/problems/students-and-examinations</t>
  </si>
  <si>
    <t>74.357</t>
  </si>
  <si>
    <t>Subtract the Product and Sum of Digits of an Integer</t>
  </si>
  <si>
    <t>https://leetcode.com/problems/subtract-the-product-and-sum-of-digits-of-an-integer</t>
  </si>
  <si>
    <t>86.553</t>
  </si>
  <si>
    <t>Group the People Given the Group Size They Belong To</t>
  </si>
  <si>
    <t>https://leetcode.com/problems/group-the-people-given-the-group-size-they-belong-to</t>
  </si>
  <si>
    <t>85.375</t>
  </si>
  <si>
    <t>Find the Smallest Divisor Given a Threshold</t>
  </si>
  <si>
    <t>https://leetcode.com/problems/find-the-smallest-divisor-given-a-threshold</t>
  </si>
  <si>
    <t>54.483</t>
  </si>
  <si>
    <t>Minimum Number of Flips to Convert Binary Matrix to Zero Matrix</t>
  </si>
  <si>
    <t>https://leetcode.com/problems/minimum-number-of-flips-to-convert-binary-matrix-to-zero-matrix</t>
  </si>
  <si>
    <t>71.975</t>
  </si>
  <si>
    <t>Array, Bit Manipulation, Breadth-First Search, Matrix</t>
  </si>
  <si>
    <t>Find the Start and End Number of Continuous Ranges</t>
  </si>
  <si>
    <t>https://leetcode.com/problems/find-the-start-and-end-number-of-continuous-ranges</t>
  </si>
  <si>
    <t>88.244</t>
  </si>
  <si>
    <t>Iterator for Combination</t>
  </si>
  <si>
    <t>https://leetcode.com/problems/iterator-for-combination</t>
  </si>
  <si>
    <t>73.352</t>
  </si>
  <si>
    <t>String, Backtracking, Design, Iterator</t>
  </si>
  <si>
    <t>Element Appearing More Than 25% In Sorted Array</t>
  </si>
  <si>
    <t>https://leetcode.com/problems/element-appearing-more-than-25-in-sorted-array</t>
  </si>
  <si>
    <t>59.562</t>
  </si>
  <si>
    <t>Remove Covered Intervals</t>
  </si>
  <si>
    <t>https://leetcode.com/problems/remove-covered-intervals</t>
  </si>
  <si>
    <t>57.364</t>
  </si>
  <si>
    <t>Minimum Falling Path Sum II</t>
  </si>
  <si>
    <t>https://leetcode.com/problems/minimum-falling-path-sum-ii</t>
  </si>
  <si>
    <t>60.413</t>
  </si>
  <si>
    <t>Convert Binary Number in a Linked List to Integer</t>
  </si>
  <si>
    <t>https://leetcode.com/problems/convert-binary-number-in-a-linked-list-to-integer</t>
  </si>
  <si>
    <t>82.613</t>
  </si>
  <si>
    <t>Sequential Digits</t>
  </si>
  <si>
    <t>https://leetcode.com/problems/sequential-digits</t>
  </si>
  <si>
    <t>60.984</t>
  </si>
  <si>
    <t>Enumeration</t>
  </si>
  <si>
    <t>Maximum Side Length of a Square with Sum Less than or Equal to Threshold</t>
  </si>
  <si>
    <t>https://leetcode.com/problems/maximum-side-length-of-a-square-with-sum-less-than-or-equal-to-threshold</t>
  </si>
  <si>
    <t>52.851</t>
  </si>
  <si>
    <t>Array, Binary Search, Matrix, Prefix Sum</t>
  </si>
  <si>
    <t>Shortest Path in a Grid with Obstacles Elimination</t>
  </si>
  <si>
    <t>https://leetcode.com/problems/shortest-path-in-a-grid-with-obstacles-elimination</t>
  </si>
  <si>
    <t>43.559</t>
  </si>
  <si>
    <t>Weather Type in Each Country</t>
  </si>
  <si>
    <t>https://leetcode.com/problems/weather-type-in-each-country</t>
  </si>
  <si>
    <t>67.673</t>
  </si>
  <si>
    <t>Find Numbers with Even Number of Digits</t>
  </si>
  <si>
    <t>https://leetcode.com/problems/find-numbers-with-even-number-of-digits</t>
  </si>
  <si>
    <t>76.980</t>
  </si>
  <si>
    <t>Divide Array in Sets of K Consecutive Numbers</t>
  </si>
  <si>
    <t>https://leetcode.com/problems/divide-array-in-sets-of-k-consecutive-numbers</t>
  </si>
  <si>
    <t>56.478</t>
  </si>
  <si>
    <t>Maximum Number of Occurrences of a Substring</t>
  </si>
  <si>
    <t>https://leetcode.com/problems/maximum-number-of-occurrences-of-a-substring</t>
  </si>
  <si>
    <t>52.232</t>
  </si>
  <si>
    <t>Maximum Candies You Can Get from Boxes</t>
  </si>
  <si>
    <t>https://leetcode.com/problems/maximum-candies-you-can-get-from-boxes</t>
  </si>
  <si>
    <t>60.978</t>
  </si>
  <si>
    <t>Array, Breadth-First Search</t>
  </si>
  <si>
    <t>Replace Elements with Greatest Element on Right Side</t>
  </si>
  <si>
    <t>https://leetcode.com/problems/replace-elements-with-greatest-element-on-right-side</t>
  </si>
  <si>
    <t>74.507</t>
  </si>
  <si>
    <t>Sum of Mutated Array Closest to Target</t>
  </si>
  <si>
    <t>https://leetcode.com/problems/sum-of-mutated-array-closest-to-target</t>
  </si>
  <si>
    <t>43.092</t>
  </si>
  <si>
    <t>Number of Paths with Max Score</t>
  </si>
  <si>
    <t>https://leetcode.com/problems/number-of-paths-with-max-score</t>
  </si>
  <si>
    <t>38.779</t>
  </si>
  <si>
    <t>Deepest Leaves Sum</t>
  </si>
  <si>
    <t>https://leetcode.com/problems/deepest-leaves-sum</t>
  </si>
  <si>
    <t>87.063</t>
  </si>
  <si>
    <t>Find the Team Size</t>
  </si>
  <si>
    <t>https://leetcode.com/problems/find-the-team-size</t>
  </si>
  <si>
    <t>90.902</t>
  </si>
  <si>
    <t>Find N Unique Integers Sum up to Zero</t>
  </si>
  <si>
    <t>https://leetcode.com/problems/find-n-unique-integers-sum-up-to-zero</t>
  </si>
  <si>
    <t>77.086</t>
  </si>
  <si>
    <t>All Elements in Two Binary Search Trees</t>
  </si>
  <si>
    <t>https://leetcode.com/problems/all-elements-in-two-binary-search-trees</t>
  </si>
  <si>
    <t>79.659</t>
  </si>
  <si>
    <t>Tree, Depth-First Search, Binary Search Tree, Sorting, Binary Tree</t>
  </si>
  <si>
    <t>Jump Game III</t>
  </si>
  <si>
    <t>https://leetcode.com/problems/jump-game-iii</t>
  </si>
  <si>
    <t>62.899</t>
  </si>
  <si>
    <t>Array, Depth-First Search, Breadth-First Search</t>
  </si>
  <si>
    <t>Verbal Arithmetic Puzzle</t>
  </si>
  <si>
    <t>https://leetcode.com/problems/verbal-arithmetic-puzzle</t>
  </si>
  <si>
    <t>34.407</t>
  </si>
  <si>
    <t>Array, Math, String, Backtracking</t>
  </si>
  <si>
    <t>Running Total for Different Genders</t>
  </si>
  <si>
    <t>https://leetcode.com/problems/running-total-for-different-genders</t>
  </si>
  <si>
    <t>88.202</t>
  </si>
  <si>
    <t>Decrypt String from Alphabet to Integer Mapping</t>
  </si>
  <si>
    <t>https://leetcode.com/problems/decrypt-string-from-alphabet-to-integer-mapping</t>
  </si>
  <si>
    <t>79.028</t>
  </si>
  <si>
    <t>XOR Queries of a Subarray</t>
  </si>
  <si>
    <t>https://leetcode.com/problems/xor-queries-of-a-subarray</t>
  </si>
  <si>
    <t>71.581</t>
  </si>
  <si>
    <t>Array, Bit Manipulation, Prefix Sum</t>
  </si>
  <si>
    <t>Get Watched Videos by Your Friends</t>
  </si>
  <si>
    <t>https://leetcode.com/problems/get-watched-videos-by-your-friends</t>
  </si>
  <si>
    <t>45.381</t>
  </si>
  <si>
    <t>Array, Hash Table, Breadth-First Search, Sorting</t>
  </si>
  <si>
    <t>Minimum Insertion Steps to Make a String Palindrome</t>
  </si>
  <si>
    <t>https://leetcode.com/problems/minimum-insertion-steps-to-make-a-string-palindrome</t>
  </si>
  <si>
    <t>64.557</t>
  </si>
  <si>
    <t>Decompress Run-Length Encoded List</t>
  </si>
  <si>
    <t>https://leetcode.com/problems/decompress-run-length-encoded-list</t>
  </si>
  <si>
    <t>85.880</t>
  </si>
  <si>
    <t>Matrix Block Sum</t>
  </si>
  <si>
    <t>https://leetcode.com/problems/matrix-block-sum</t>
  </si>
  <si>
    <t>75.310</t>
  </si>
  <si>
    <t>Array, Matrix, Prefix Sum</t>
  </si>
  <si>
    <t>Sum of Nodes with Even-Valued Grandparent</t>
  </si>
  <si>
    <t>https://leetcode.com/problems/sum-of-nodes-with-even-valued-grandparent</t>
  </si>
  <si>
    <t>85.395</t>
  </si>
  <si>
    <t>Distinct Echo Substrings</t>
  </si>
  <si>
    <t>https://leetcode.com/problems/distinct-echo-substrings</t>
  </si>
  <si>
    <t>49.734</t>
  </si>
  <si>
    <t>String, Dynamic Programming, Trie, Sliding Window, Rolling Hash, Hash Function</t>
  </si>
  <si>
    <t>Convert Integer to the Sum of Two No-Zero Integers</t>
  </si>
  <si>
    <t>https://leetcode.com/problems/convert-integer-to-the-sum-of-two-no-zero-integers</t>
  </si>
  <si>
    <t>56.648</t>
  </si>
  <si>
    <t>Minimum Flips to Make a OR b Equal to c</t>
  </si>
  <si>
    <t>https://leetcode.com/problems/minimum-flips-to-make-a-or-b-equal-to-c</t>
  </si>
  <si>
    <t>65.620</t>
  </si>
  <si>
    <t>Number of Operations to Make Network Connected</t>
  </si>
  <si>
    <t>https://leetcode.com/problems/number-of-operations-to-make-network-connected</t>
  </si>
  <si>
    <t>58.035</t>
  </si>
  <si>
    <t>Minimum Distance to Type a Word Using Two Fingers</t>
  </si>
  <si>
    <t>https://leetcode.com/problems/minimum-distance-to-type-a-word-using-two-fingers</t>
  </si>
  <si>
    <t>60.041</t>
  </si>
  <si>
    <t>Restaurant Growth</t>
  </si>
  <si>
    <t>https://leetcode.com/problems/restaurant-growth</t>
  </si>
  <si>
    <t>72.337</t>
  </si>
  <si>
    <t>Ads Performance</t>
  </si>
  <si>
    <t>https://leetcode.com/problems/ads-performance</t>
  </si>
  <si>
    <t>60.476</t>
  </si>
  <si>
    <t>Maximum 69 Number</t>
  </si>
  <si>
    <t>https://leetcode.com/problems/maximum-69-number</t>
  </si>
  <si>
    <t>78.998</t>
  </si>
  <si>
    <t>Print Words Vertically</t>
  </si>
  <si>
    <t>https://leetcode.com/problems/print-words-vertically</t>
  </si>
  <si>
    <t>59.739</t>
  </si>
  <si>
    <t>Delete Leaves With a Given Value</t>
  </si>
  <si>
    <t>https://leetcode.com/problems/delete-leaves-with-a-given-value</t>
  </si>
  <si>
    <t>74.799</t>
  </si>
  <si>
    <t>Minimum Number of Taps to Open to Water a Garden</t>
  </si>
  <si>
    <t>https://leetcode.com/problems/minimum-number-of-taps-to-open-to-water-a-garden</t>
  </si>
  <si>
    <t>47.916</t>
  </si>
  <si>
    <t>List the Products Ordered in a Period</t>
  </si>
  <si>
    <t>https://leetcode.com/problems/list-the-products-ordered-in-a-period</t>
  </si>
  <si>
    <t>77.091</t>
  </si>
  <si>
    <t>Break a Palindrome</t>
  </si>
  <si>
    <t>https://leetcode.com/problems/break-a-palindrome</t>
  </si>
  <si>
    <t>52.240</t>
  </si>
  <si>
    <t>Sort the Matrix Diagonally</t>
  </si>
  <si>
    <t>https://leetcode.com/problems/sort-the-matrix-diagonally</t>
  </si>
  <si>
    <t>81.386</t>
  </si>
  <si>
    <t>Array, Sorting, Matrix</t>
  </si>
  <si>
    <t>Reverse Subarray To Maximize Array Value</t>
  </si>
  <si>
    <t>https://leetcode.com/problems/reverse-subarray-to-maximize-array-value</t>
  </si>
  <si>
    <t>39.276</t>
  </si>
  <si>
    <t>Rank Transform of an Array</t>
  </si>
  <si>
    <t>https://leetcode.com/problems/rank-transform-of-an-array</t>
  </si>
  <si>
    <t>58.613</t>
  </si>
  <si>
    <t>Remove Palindromic Subsequences</t>
  </si>
  <si>
    <t>https://leetcode.com/problems/remove-palindromic-subsequences</t>
  </si>
  <si>
    <t>75.914</t>
  </si>
  <si>
    <t>Filter Restaurants by Vegan-Friendly, Price and Distance</t>
  </si>
  <si>
    <t>https://leetcode.com/problems/filter-restaurants-by-vegan-friendly-price-and-distance</t>
  </si>
  <si>
    <t>59.020</t>
  </si>
  <si>
    <t>Find the City With the Smallest Number of Neighbors at a Threshold Distance</t>
  </si>
  <si>
    <t>https://leetcode.com/problems/find-the-city-with-the-smallest-number-of-neighbors-at-a-threshold-distance</t>
  </si>
  <si>
    <t>Dynamic Programming, Graph, Shortest Path</t>
  </si>
  <si>
    <t>Minimum Difficulty of a Job Schedule</t>
  </si>
  <si>
    <t>https://leetcode.com/problems/minimum-difficulty-of-a-job-schedule</t>
  </si>
  <si>
    <t>56.119</t>
  </si>
  <si>
    <t>Number of Transactions per Visit</t>
  </si>
  <si>
    <t>https://leetcode.com/problems/number-of-transactions-per-visit</t>
  </si>
  <si>
    <t>51.197</t>
  </si>
  <si>
    <t>The K Weakest Rows in a Matrix</t>
  </si>
  <si>
    <t>https://leetcode.com/problems/the-k-weakest-rows-in-a-matrix</t>
  </si>
  <si>
    <t>73.835</t>
  </si>
  <si>
    <t>Reduce Array Size to The Half</t>
  </si>
  <si>
    <t>https://leetcode.com/problems/reduce-array-size-to-the-half</t>
  </si>
  <si>
    <t>68.313</t>
  </si>
  <si>
    <t>Array, Hash Table, Greedy, Sorting, Heap (Priority Queue)</t>
  </si>
  <si>
    <t>Maximum Product of Splitted Binary Tree</t>
  </si>
  <si>
    <t>https://leetcode.com/problems/maximum-product-of-splitted-binary-tree</t>
  </si>
  <si>
    <t>43.033</t>
  </si>
  <si>
    <t>Jump Game V</t>
  </si>
  <si>
    <t>https://leetcode.com/problems/jump-game-v</t>
  </si>
  <si>
    <t>62.366</t>
  </si>
  <si>
    <t>Array, Dynamic Programming, Sorting</t>
  </si>
  <si>
    <t>Movie Rating</t>
  </si>
  <si>
    <t>https://leetcode.com/problems/movie-rating</t>
  </si>
  <si>
    <t>58.110</t>
  </si>
  <si>
    <t>Number of Steps to Reduce a Number to Zero</t>
  </si>
  <si>
    <t>https://leetcode.com/problems/number-of-steps-to-reduce-a-number-to-zero</t>
  </si>
  <si>
    <t>85.947</t>
  </si>
  <si>
    <t>Number of Sub-arrays of Size K and Average Greater than or Equal to Threshold</t>
  </si>
  <si>
    <t>https://leetcode.com/problems/number-of-sub-arrays-of-size-k-and-average-greater-than-or-equal-to-threshold</t>
  </si>
  <si>
    <t>67.882</t>
  </si>
  <si>
    <t>Angle Between Hands of a Clock</t>
  </si>
  <si>
    <t>https://leetcode.com/problems/angle-between-hands-of-a-clock</t>
  </si>
  <si>
    <t>63.402</t>
  </si>
  <si>
    <t>Jump Game IV</t>
  </si>
  <si>
    <t>https://leetcode.com/problems/jump-game-iv</t>
  </si>
  <si>
    <t>44.248</t>
  </si>
  <si>
    <t>Check If N and Its Double Exist</t>
  </si>
  <si>
    <t>https://leetcode.com/problems/check-if-n-and-its-double-exist</t>
  </si>
  <si>
    <t>35.804</t>
  </si>
  <si>
    <t>Minimum Number of Steps to Make Two Strings Anagram</t>
  </si>
  <si>
    <t>https://leetcode.com/problems/minimum-number-of-steps-to-make-two-strings-anagram</t>
  </si>
  <si>
    <t>76.592</t>
  </si>
  <si>
    <t>Tweet Counts Per Frequency</t>
  </si>
  <si>
    <t>https://leetcode.com/problems/tweet-counts-per-frequency</t>
  </si>
  <si>
    <t>43.252</t>
  </si>
  <si>
    <t>Hash Table, Binary Search, Design, Sorting, Ordered Set</t>
  </si>
  <si>
    <t>Maximum Students Taking Exam</t>
  </si>
  <si>
    <t>https://leetcode.com/problems/maximum-students-taking-exam</t>
  </si>
  <si>
    <t>47.276</t>
  </si>
  <si>
    <t>Array, Dynamic Programming, Bit Manipulation, Matrix, Bitmask</t>
  </si>
  <si>
    <t>Students With Invalid Departments</t>
  </si>
  <si>
    <t>https://leetcode.com/problems/students-with-invalid-departments</t>
  </si>
  <si>
    <t>90.537</t>
  </si>
  <si>
    <t>Count Negative Numbers in a Sorted Matrix</t>
  </si>
  <si>
    <t>https://leetcode.com/problems/count-negative-numbers-in-a-sorted-matrix</t>
  </si>
  <si>
    <t>75.157</t>
  </si>
  <si>
    <t>Product of the Last K Numbers</t>
  </si>
  <si>
    <t>https://leetcode.com/problems/product-of-the-last-k-numbers</t>
  </si>
  <si>
    <t>48.536</t>
  </si>
  <si>
    <t>Array, Math, Design, Queue, Data Stream</t>
  </si>
  <si>
    <t>Maximum Number of Events That Can Be Attended</t>
  </si>
  <si>
    <t>https://leetcode.com/problems/maximum-number-of-events-that-can-be-attended</t>
  </si>
  <si>
    <t>33.328</t>
  </si>
  <si>
    <t>Construct Target Array With Multiple Sums</t>
  </si>
  <si>
    <t>https://leetcode.com/problems/construct-target-array-with-multiple-sums</t>
  </si>
  <si>
    <t>36.315</t>
  </si>
  <si>
    <t>Activity Participants</t>
  </si>
  <si>
    <t>https://leetcode.com/problems/activity-participants</t>
  </si>
  <si>
    <t>74.559</t>
  </si>
  <si>
    <t>Sort Integers by The Number of 1 Bits</t>
  </si>
  <si>
    <t>https://leetcode.com/problems/sort-integers-by-the-number-of-1-bits</t>
  </si>
  <si>
    <t>71.610</t>
  </si>
  <si>
    <t>Array, Bit Manipulation, Sorting, Counting</t>
  </si>
  <si>
    <t>Apply Discount Every n Orders</t>
  </si>
  <si>
    <t>https://leetcode.com/problems/apply-discount-every-n-orders</t>
  </si>
  <si>
    <t>69.325</t>
  </si>
  <si>
    <t>Array, Hash Table, Design</t>
  </si>
  <si>
    <t>Number of Substrings Containing All Three Characters</t>
  </si>
  <si>
    <t>https://leetcode.com/problems/number-of-substrings-containing-all-three-characters</t>
  </si>
  <si>
    <t>62.356</t>
  </si>
  <si>
    <t>Count All Valid Pickup and Delivery Options</t>
  </si>
  <si>
    <t>https://leetcode.com/problems/count-all-valid-pickup-and-delivery-options</t>
  </si>
  <si>
    <t>63.201</t>
  </si>
  <si>
    <t>Number of Days Between Two Dates</t>
  </si>
  <si>
    <t>https://leetcode.com/problems/number-of-days-between-two-dates</t>
  </si>
  <si>
    <t>46.897</t>
  </si>
  <si>
    <t>Validate Binary Tree Nodes</t>
  </si>
  <si>
    <t>https://leetcode.com/problems/validate-binary-tree-nodes</t>
  </si>
  <si>
    <t>40.956</t>
  </si>
  <si>
    <t>Tree, Depth-First Search, Breadth-First Search, Union Find, Graph, Binary Tree</t>
  </si>
  <si>
    <t>Closest Divisors</t>
  </si>
  <si>
    <t>https://leetcode.com/problems/closest-divisors</t>
  </si>
  <si>
    <t>59.367</t>
  </si>
  <si>
    <t>Largest Multiple of Three</t>
  </si>
  <si>
    <t>https://leetcode.com/problems/largest-multiple-of-three</t>
  </si>
  <si>
    <t>33.893</t>
  </si>
  <si>
    <t>Number of Trusted Contacts of a Customer</t>
  </si>
  <si>
    <t>https://leetcode.com/problems/number-of-trusted-contacts-of-a-customer</t>
  </si>
  <si>
    <t>78.785</t>
  </si>
  <si>
    <t>How Many Numbers Are Smaller Than the Current Number</t>
  </si>
  <si>
    <t>https://leetcode.com/problems/how-many-numbers-are-smaller-than-the-current-number</t>
  </si>
  <si>
    <t>86.447</t>
  </si>
  <si>
    <t>Rank Teams by Votes</t>
  </si>
  <si>
    <t>https://leetcode.com/problems/rank-teams-by-votes</t>
  </si>
  <si>
    <t>58.477</t>
  </si>
  <si>
    <t>Array, Hash Table, String, Sorting, Counting</t>
  </si>
  <si>
    <t>Linked List in Binary Tree</t>
  </si>
  <si>
    <t>https://leetcode.com/problems/linked-list-in-binary-tree</t>
  </si>
  <si>
    <t>43.061</t>
  </si>
  <si>
    <t>Minimum Cost to Make at Least One Valid Path in a Grid</t>
  </si>
  <si>
    <t>https://leetcode.com/problems/minimum-cost-to-make-at-least-one-valid-path-in-a-grid</t>
  </si>
  <si>
    <t>Array, Breadth-First Search, Graph, Heap (Priority Queue), Matrix, Shortest Path</t>
  </si>
  <si>
    <t>Get the Second Most Recent Activity</t>
  </si>
  <si>
    <t>https://leetcode.com/problems/get-the-second-most-recent-activity</t>
  </si>
  <si>
    <t>69.376</t>
  </si>
  <si>
    <t>Increasing Decreasing String</t>
  </si>
  <si>
    <t>https://leetcode.com/problems/increasing-decreasing-string</t>
  </si>
  <si>
    <t>77.767</t>
  </si>
  <si>
    <t>Find the Longest Substring Containing Vowels in Even Counts</t>
  </si>
  <si>
    <t>https://leetcode.com/problems/find-the-longest-substring-containing-vowels-in-even-counts</t>
  </si>
  <si>
    <t>62.753</t>
  </si>
  <si>
    <t>Longest ZigZag Path in a Binary Tree</t>
  </si>
  <si>
    <t>https://leetcode.com/problems/longest-zigzag-path-in-a-binary-tree</t>
  </si>
  <si>
    <t>59.036</t>
  </si>
  <si>
    <t>Maximum Sum BST in Binary Tree</t>
  </si>
  <si>
    <t>https://leetcode.com/problems/maximum-sum-bst-in-binary-tree</t>
  </si>
  <si>
    <t>38.863</t>
  </si>
  <si>
    <t>Generate a String With Characters That Have Odd Counts</t>
  </si>
  <si>
    <t>https://leetcode.com/problems/generate-a-string-with-characters-that-have-odd-counts</t>
  </si>
  <si>
    <t>77.439</t>
  </si>
  <si>
    <t>Number of Times Binary String Is Prefix-Aligned</t>
  </si>
  <si>
    <t>https://leetcode.com/problems/number-of-times-binary-string-is-prefix-aligned</t>
  </si>
  <si>
    <t>65.717</t>
  </si>
  <si>
    <t>Time Needed to Inform All Employees</t>
  </si>
  <si>
    <t>https://leetcode.com/problems/time-needed-to-inform-all-employees</t>
  </si>
  <si>
    <t>58.345</t>
  </si>
  <si>
    <t>Frog Position After T Seconds</t>
  </si>
  <si>
    <t>https://leetcode.com/problems/frog-position-after-t-seconds</t>
  </si>
  <si>
    <t>36.160</t>
  </si>
  <si>
    <t>Tree, Depth-First Search, Breadth-First Search, Graph</t>
  </si>
  <si>
    <t>Replace Employee ID With The Unique Identifier</t>
  </si>
  <si>
    <t>https://leetcode.com/problems/replace-employee-id-with-the-unique-identifier</t>
  </si>
  <si>
    <t>91.248</t>
  </si>
  <si>
    <t>Find a Corresponding Node of a Binary Tree in a Clone of That Tree</t>
  </si>
  <si>
    <t>https://leetcode.com/problems/find-a-corresponding-node-of-a-binary-tree-in-a-clone-of-that-tree</t>
  </si>
  <si>
    <t>87.294</t>
  </si>
  <si>
    <t>Lucky Numbers in a Matrix</t>
  </si>
  <si>
    <t>https://leetcode.com/problems/lucky-numbers-in-a-matrix</t>
  </si>
  <si>
    <t>70.855</t>
  </si>
  <si>
    <t>Design a Stack With Increment Operation</t>
  </si>
  <si>
    <t>https://leetcode.com/problems/design-a-stack-with-increment-operation</t>
  </si>
  <si>
    <t>77.200</t>
  </si>
  <si>
    <t>Array, Stack, Design</t>
  </si>
  <si>
    <t>Balance a Binary Search Tree</t>
  </si>
  <si>
    <t>https://leetcode.com/problems/balance-a-binary-search-tree</t>
  </si>
  <si>
    <t>80.333</t>
  </si>
  <si>
    <t>Divide and Conquer, Greedy, Tree, Depth-First Search, Binary Search Tree, Binary Tree</t>
  </si>
  <si>
    <t>Maximum Performance of a Team</t>
  </si>
  <si>
    <t>https://leetcode.com/problems/maximum-performance-of-a-team</t>
  </si>
  <si>
    <t>41.586</t>
  </si>
  <si>
    <t>Total Sales Amount by Year</t>
  </si>
  <si>
    <t>https://leetcode.com/problems/total-sales-amount-by-year</t>
  </si>
  <si>
    <t>66.709</t>
  </si>
  <si>
    <t>Find the Distance Value Between Two Arrays</t>
  </si>
  <si>
    <t>https://leetcode.com/problems/find-the-distance-value-between-two-arrays</t>
  </si>
  <si>
    <t>65.373</t>
  </si>
  <si>
    <t>Cinema Seat Allocation</t>
  </si>
  <si>
    <t>https://leetcode.com/problems/cinema-seat-allocation</t>
  </si>
  <si>
    <t>40.203</t>
  </si>
  <si>
    <t>Array, Hash Table, Greedy, Bit Manipulation</t>
  </si>
  <si>
    <t>Sort Integers by The Power Value</t>
  </si>
  <si>
    <t>https://leetcode.com/problems/sort-integers-by-the-power-value</t>
  </si>
  <si>
    <t>69.712</t>
  </si>
  <si>
    <t>Dynamic Programming, Memoization, Sorting</t>
  </si>
  <si>
    <t>Pizza With 3n Slices</t>
  </si>
  <si>
    <t>https://leetcode.com/problems/pizza-with-3n-slices</t>
  </si>
  <si>
    <t>48.937</t>
  </si>
  <si>
    <t>Create Target Array in the Given Order</t>
  </si>
  <si>
    <t>https://leetcode.com/problems/create-target-array-in-the-given-order</t>
  </si>
  <si>
    <t>85.655</t>
  </si>
  <si>
    <t>Four Divisors</t>
  </si>
  <si>
    <t>https://leetcode.com/problems/four-divisors</t>
  </si>
  <si>
    <t>40.904</t>
  </si>
  <si>
    <t>Check if There is a Valid Path in a Grid</t>
  </si>
  <si>
    <t>https://leetcode.com/problems/check-if-there-is-a-valid-path-in-a-grid</t>
  </si>
  <si>
    <t>46.831</t>
  </si>
  <si>
    <t>Longest Happy Prefix</t>
  </si>
  <si>
    <t>https://leetcode.com/problems/longest-happy-prefix</t>
  </si>
  <si>
    <t>44.624</t>
  </si>
  <si>
    <t>Capital Gain/Loss</t>
  </si>
  <si>
    <t>https://leetcode.com/problems/capital-gainloss</t>
  </si>
  <si>
    <t>90.606</t>
  </si>
  <si>
    <t>Find Lucky Integer in an Array</t>
  </si>
  <si>
    <t>https://leetcode.com/problems/find-lucky-integer-in-an-array</t>
  </si>
  <si>
    <t>63.622</t>
  </si>
  <si>
    <t>Count Number of Teams</t>
  </si>
  <si>
    <t>https://leetcode.com/problems/count-number-of-teams</t>
  </si>
  <si>
    <t>69.036</t>
  </si>
  <si>
    <t>Array, Dynamic Programming, Binary Indexed Tree</t>
  </si>
  <si>
    <t>Design Underground System</t>
  </si>
  <si>
    <t>https://leetcode.com/problems/design-underground-system</t>
  </si>
  <si>
    <t>73.565</t>
  </si>
  <si>
    <t>Hash Table, String, Design</t>
  </si>
  <si>
    <t>Find All Good Strings</t>
  </si>
  <si>
    <t>https://leetcode.com/problems/find-all-good-strings</t>
  </si>
  <si>
    <t>41.977</t>
  </si>
  <si>
    <t>String, Dynamic Programming, String Matching</t>
  </si>
  <si>
    <t>Customers Who Bought Products A and B but Not C</t>
  </si>
  <si>
    <t>https://leetcode.com/problems/customers-who-bought-products-a-and-b-but-not-c</t>
  </si>
  <si>
    <t>78.021</t>
  </si>
  <si>
    <t>Count Largest Group</t>
  </si>
  <si>
    <t>https://leetcode.com/problems/count-largest-group</t>
  </si>
  <si>
    <t>66.971</t>
  </si>
  <si>
    <t>Construct K Palindrome Strings</t>
  </si>
  <si>
    <t>https://leetcode.com/problems/construct-k-palindrome-strings</t>
  </si>
  <si>
    <t>63.634</t>
  </si>
  <si>
    <t>Hash Table, String, Greedy, Counting</t>
  </si>
  <si>
    <t>Circle and Rectangle Overlapping</t>
  </si>
  <si>
    <t>https://leetcode.com/problems/circle-and-rectangle-overlapping</t>
  </si>
  <si>
    <t>43.929</t>
  </si>
  <si>
    <t>Reducing Dishes</t>
  </si>
  <si>
    <t>https://leetcode.com/problems/reducing-dishes</t>
  </si>
  <si>
    <t>72.340</t>
  </si>
  <si>
    <t>Minimum Subsequence in Non-Increasing Order</t>
  </si>
  <si>
    <t>https://leetcode.com/problems/minimum-subsequence-in-non-increasing-order</t>
  </si>
  <si>
    <t>72.200</t>
  </si>
  <si>
    <t>Number of Steps to Reduce a Number in Binary Representation to One</t>
  </si>
  <si>
    <t>https://leetcode.com/problems/number-of-steps-to-reduce-a-number-in-binary-representation-to-one</t>
  </si>
  <si>
    <t>Longest Happy String</t>
  </si>
  <si>
    <t>https://leetcode.com/problems/longest-happy-string</t>
  </si>
  <si>
    <t>56.877</t>
  </si>
  <si>
    <t>Stone Game III</t>
  </si>
  <si>
    <t>https://leetcode.com/problems/stone-game-iii</t>
  </si>
  <si>
    <t>60.129</t>
  </si>
  <si>
    <t>Top Travellers</t>
  </si>
  <si>
    <t>https://leetcode.com/problems/top-travellers</t>
  </si>
  <si>
    <t>77.523</t>
  </si>
  <si>
    <t>String Matching in an Array</t>
  </si>
  <si>
    <t>https://leetcode.com/problems/string-matching-in-an-array</t>
  </si>
  <si>
    <t>63.888</t>
  </si>
  <si>
    <t>Queries on a Permutation With Key</t>
  </si>
  <si>
    <t>https://leetcode.com/problems/queries-on-a-permutation-with-key</t>
  </si>
  <si>
    <t>83.006</t>
  </si>
  <si>
    <t>Array, Binary Indexed Tree, Simulation</t>
  </si>
  <si>
    <t>HTML Entity Parser</t>
  </si>
  <si>
    <t>https://leetcode.com/problems/html-entity-parser</t>
  </si>
  <si>
    <t>52.446</t>
  </si>
  <si>
    <t>Number of Ways to Paint N × 3 Grid</t>
  </si>
  <si>
    <t>https://leetcode.com/problems/number-of-ways-to-paint-n-3-grid</t>
  </si>
  <si>
    <t>61.994</t>
  </si>
  <si>
    <t>Find the Quiet Students in All Exams</t>
  </si>
  <si>
    <t>https://leetcode.com/problems/find-the-quiet-students-in-all-exams</t>
  </si>
  <si>
    <t>62.836</t>
  </si>
  <si>
    <t>Minimum Value to Get Positive Step by Step Sum</t>
  </si>
  <si>
    <t>https://leetcode.com/problems/minimum-value-to-get-positive-step-by-step-sum</t>
  </si>
  <si>
    <t>68.625</t>
  </si>
  <si>
    <t>Find the Minimum Number of Fibonacci Numbers Whose Sum Is K</t>
  </si>
  <si>
    <t>https://leetcode.com/problems/find-the-minimum-number-of-fibonacci-numbers-whose-sum-is-k</t>
  </si>
  <si>
    <t>65.274</t>
  </si>
  <si>
    <t>The k-th Lexicographical String of All Happy Strings of Length n</t>
  </si>
  <si>
    <t>https://leetcode.com/problems/the-k-th-lexicographical-string-of-all-happy-strings-of-length-n</t>
  </si>
  <si>
    <t>71.607</t>
  </si>
  <si>
    <t>Restore The Array</t>
  </si>
  <si>
    <t>https://leetcode.com/problems/restore-the-array</t>
  </si>
  <si>
    <t>38.068</t>
  </si>
  <si>
    <t>Reformat The String</t>
  </si>
  <si>
    <t>https://leetcode.com/problems/reformat-the-string</t>
  </si>
  <si>
    <t>56.122</t>
  </si>
  <si>
    <t>Display Table of Food Orders in a Restaurant</t>
  </si>
  <si>
    <t>https://leetcode.com/problems/display-table-of-food-orders-in-a-restaurant</t>
  </si>
  <si>
    <t>72.962</t>
  </si>
  <si>
    <t>Array, Hash Table, String, Sorting, Ordered Set</t>
  </si>
  <si>
    <t>Minimum Number of Frogs Croaking</t>
  </si>
  <si>
    <t>https://leetcode.com/problems/minimum-number-of-frogs-croaking</t>
  </si>
  <si>
    <t>49.779</t>
  </si>
  <si>
    <t>String, Counting</t>
  </si>
  <si>
    <t>Build Array Where You Can Find The Maximum Exactly K Comparisons</t>
  </si>
  <si>
    <t>https://leetcode.com/problems/build-array-where-you-can-find-the-maximum-exactly-k-comparisons</t>
  </si>
  <si>
    <t>64.072</t>
  </si>
  <si>
    <t>NPV Queries</t>
  </si>
  <si>
    <t>https://leetcode.com/problems/npv-queries</t>
  </si>
  <si>
    <t>83.827</t>
  </si>
  <si>
    <t>Maximum Score After Splitting a String</t>
  </si>
  <si>
    <t>https://leetcode.com/problems/maximum-score-after-splitting-a-string</t>
  </si>
  <si>
    <t>57.751</t>
  </si>
  <si>
    <t>Maximum Points You Can Obtain from Cards</t>
  </si>
  <si>
    <t>https://leetcode.com/problems/maximum-points-you-can-obtain-from-cards</t>
  </si>
  <si>
    <t>52.366</t>
  </si>
  <si>
    <t>Array, Sliding Window, Prefix Sum</t>
  </si>
  <si>
    <t>Diagonal Traverse II</t>
  </si>
  <si>
    <t>https://leetcode.com/problems/diagonal-traverse-ii</t>
  </si>
  <si>
    <t>50.097</t>
  </si>
  <si>
    <t>Constrained Subsequence Sum</t>
  </si>
  <si>
    <t>https://leetcode.com/problems/constrained-subsequence-sum</t>
  </si>
  <si>
    <t>46.865</t>
  </si>
  <si>
    <t>Array, Dynamic Programming, Queue, Sliding Window, Heap (Priority Queue), Monotonic Queue</t>
  </si>
  <si>
    <t>Counting Elements</t>
  </si>
  <si>
    <t>https://leetcode.com/problems/counting-elements</t>
  </si>
  <si>
    <t>59.503</t>
  </si>
  <si>
    <t>Perform String Shifts</t>
  </si>
  <si>
    <t>https://leetcode.com/problems/perform-string-shifts</t>
  </si>
  <si>
    <t>54.092</t>
  </si>
  <si>
    <t>Array, Math, String</t>
  </si>
  <si>
    <t>Leftmost Column with at Least a One</t>
  </si>
  <si>
    <t>https://leetcode.com/problems/leftmost-column-with-at-least-a-one</t>
  </si>
  <si>
    <t>52.718</t>
  </si>
  <si>
    <t>Array, Binary Search, Matrix, Interactive</t>
  </si>
  <si>
    <t>First Unique Number</t>
  </si>
  <si>
    <t>https://leetcode.com/problems/first-unique-number</t>
  </si>
  <si>
    <t>52.471</t>
  </si>
  <si>
    <t>Array, Hash Table, Design, Queue, Data Stream</t>
  </si>
  <si>
    <t>Check If a String Is a Valid Sequence from Root to Leaves Path in a Binary Tree</t>
  </si>
  <si>
    <t>https://leetcode.com/problems/check-if-a-string-is-a-valid-sequence-from-root-to-leaves-path-in-a-binary-tree</t>
  </si>
  <si>
    <t>45.892</t>
  </si>
  <si>
    <t>Kids With the Greatest Number of Candies</t>
  </si>
  <si>
    <t>https://leetcode.com/problems/kids-with-the-greatest-number-of-candies</t>
  </si>
  <si>
    <t>87.682</t>
  </si>
  <si>
    <t>Max Difference You Can Get From Changing an Integer</t>
  </si>
  <si>
    <t>https://leetcode.com/problems/max-difference-you-can-get-from-changing-an-integer</t>
  </si>
  <si>
    <t>43.091</t>
  </si>
  <si>
    <t>Check If a String Can Break Another String</t>
  </si>
  <si>
    <t>https://leetcode.com/problems/check-if-a-string-can-break-another-string</t>
  </si>
  <si>
    <t>68.577</t>
  </si>
  <si>
    <t>Number of Ways to Wear Different Hats to Each Other</t>
  </si>
  <si>
    <t>https://leetcode.com/problems/number-of-ways-to-wear-different-hats-to-each-other</t>
  </si>
  <si>
    <t>42.411</t>
  </si>
  <si>
    <t>Create a Session Bar Chart</t>
  </si>
  <si>
    <t>https://leetcode.com/problems/create-a-session-bar-chart</t>
  </si>
  <si>
    <t>78.101</t>
  </si>
  <si>
    <t>Destination City</t>
  </si>
  <si>
    <t>https://leetcode.com/problems/destination-city</t>
  </si>
  <si>
    <t>77.741</t>
  </si>
  <si>
    <t>Check If All 1's Are at Least Length K Places Away</t>
  </si>
  <si>
    <t>https://leetcode.com/problems/check-if-all-1s-are-at-least-length-k-places-away</t>
  </si>
  <si>
    <t>59.590</t>
  </si>
  <si>
    <t>Longest Continuous Subarray With Absolute Diff Less Than or Equal to Limit</t>
  </si>
  <si>
    <t>https://leetcode.com/problems/longest-continuous-subarray-with-absolute-diff-less-than-or-equal-to-limit</t>
  </si>
  <si>
    <t>47.070</t>
  </si>
  <si>
    <t>Array, Queue, Sliding Window, Heap (Priority Queue), Ordered Set, Monotonic Queue</t>
  </si>
  <si>
    <t>Find the Kth Smallest Sum of a Matrix With Sorted Rows</t>
  </si>
  <si>
    <t>https://leetcode.com/problems/find-the-kth-smallest-sum-of-a-matrix-with-sorted-rows</t>
  </si>
  <si>
    <t>61.428</t>
  </si>
  <si>
    <t>Array, Binary Search, Heap (Priority Queue), Matrix</t>
  </si>
  <si>
    <t>Evaluate Boolean Expression</t>
  </si>
  <si>
    <t>https://leetcode.com/problems/evaluate-boolean-expression</t>
  </si>
  <si>
    <t>76.020</t>
  </si>
  <si>
    <t>Build an Array With Stack Operations</t>
  </si>
  <si>
    <t>https://leetcode.com/problems/build-an-array-with-stack-operations</t>
  </si>
  <si>
    <t>71.149</t>
  </si>
  <si>
    <t>Count Triplets That Can Form Two Arrays of Equal XOR</t>
  </si>
  <si>
    <t>https://leetcode.com/problems/count-triplets-that-can-form-two-arrays-of-equal-xor</t>
  </si>
  <si>
    <t>75.053</t>
  </si>
  <si>
    <t>Array, Hash Table, Math, Bit Manipulation, Prefix Sum</t>
  </si>
  <si>
    <t>Minimum Time to Collect All Apples in a Tree</t>
  </si>
  <si>
    <t>https://leetcode.com/problems/minimum-time-to-collect-all-apples-in-a-tree</t>
  </si>
  <si>
    <t>55.768</t>
  </si>
  <si>
    <t>Hash Table, Tree, Depth-First Search, Breadth-First Search</t>
  </si>
  <si>
    <t>Number of Ways of Cutting a Pizza</t>
  </si>
  <si>
    <t>https://leetcode.com/problems/number-of-ways-of-cutting-a-pizza</t>
  </si>
  <si>
    <t>55.320</t>
  </si>
  <si>
    <t>Array, Dynamic Programming, Memoization, Matrix</t>
  </si>
  <si>
    <t>Apples &amp; Oranges</t>
  </si>
  <si>
    <t>https://leetcode.com/problems/apples-oranges</t>
  </si>
  <si>
    <t>91.504</t>
  </si>
  <si>
    <t>Consecutive Characters</t>
  </si>
  <si>
    <t>https://leetcode.com/problems/consecutive-characters</t>
  </si>
  <si>
    <t>61.836</t>
  </si>
  <si>
    <t>Simplified Fractions</t>
  </si>
  <si>
    <t>https://leetcode.com/problems/simplified-fractions</t>
  </si>
  <si>
    <t>64.255</t>
  </si>
  <si>
    <t>Math, String, Number Theory</t>
  </si>
  <si>
    <t>Count Good Nodes in Binary Tree</t>
  </si>
  <si>
    <t>https://leetcode.com/problems/count-good-nodes-in-binary-tree</t>
  </si>
  <si>
    <t>73.020</t>
  </si>
  <si>
    <t>Form Largest Integer With Digits That Add up to Target</t>
  </si>
  <si>
    <t>https://leetcode.com/problems/form-largest-integer-with-digits-that-add-up-to-target</t>
  </si>
  <si>
    <t>46.830</t>
  </si>
  <si>
    <t>Number of Students Doing Homework at a Given Time</t>
  </si>
  <si>
    <t>https://leetcode.com/problems/number-of-students-doing-homework-at-a-given-time</t>
  </si>
  <si>
    <t>76.276</t>
  </si>
  <si>
    <t>Rearrange Words in a Sentence</t>
  </si>
  <si>
    <t>https://leetcode.com/problems/rearrange-words-in-a-sentence</t>
  </si>
  <si>
    <t>62.165</t>
  </si>
  <si>
    <t>String, Sorting</t>
  </si>
  <si>
    <t>People Whose List of Favorite Companies Is Not a Subset of Another List</t>
  </si>
  <si>
    <t>https://leetcode.com/problems/people-whose-list-of-favorite-companies-is-not-a-subset-of-another-list</t>
  </si>
  <si>
    <t>Maximum Number of Darts Inside of a Circular Dartboard</t>
  </si>
  <si>
    <t>https://leetcode.com/problems/maximum-number-of-darts-inside-of-a-circular-dartboard</t>
  </si>
  <si>
    <t>36.670</t>
  </si>
  <si>
    <t>Active Users</t>
  </si>
  <si>
    <t>https://leetcode.com/problems/active-users</t>
  </si>
  <si>
    <t>38.246</t>
  </si>
  <si>
    <t>Check If a Word Occurs As a Prefix of Any Word in a Sentence</t>
  </si>
  <si>
    <t>https://leetcode.com/problems/check-if-a-word-occurs-as-a-prefix-of-any-word-in-a-sentence</t>
  </si>
  <si>
    <t>64.420</t>
  </si>
  <si>
    <t>https://leetcode.com/problems/maximum-number-of-vowels-in-a-substring-of-given-length</t>
  </si>
  <si>
    <t>57.658</t>
  </si>
  <si>
    <t>Pseudo-Palindromic Paths in a Binary Tree</t>
  </si>
  <si>
    <t>https://leetcode.com/problems/pseudo-palindromic-paths-in-a-binary-tree</t>
  </si>
  <si>
    <t>66.890</t>
  </si>
  <si>
    <t>Bit Manipulation, Tree, Depth-First Search, Breadth-First Search, Binary Tree</t>
  </si>
  <si>
    <t>Max Dot Product of Two Subsequences</t>
  </si>
  <si>
    <t>https://leetcode.com/problems/max-dot-product-of-two-subsequences</t>
  </si>
  <si>
    <t>45.577</t>
  </si>
  <si>
    <t>Rectangles Area</t>
  </si>
  <si>
    <t>https://leetcode.com/problems/rectangles-area</t>
  </si>
  <si>
    <t>69.275</t>
  </si>
  <si>
    <t>Make Two Arrays Equal by Reversing Sub-arrays</t>
  </si>
  <si>
    <t>https://leetcode.com/problems/make-two-arrays-equal-by-reversing-sub-arrays</t>
  </si>
  <si>
    <t>72.369</t>
  </si>
  <si>
    <t>Check If a String Contains All Binary Codes of Size K</t>
  </si>
  <si>
    <t>https://leetcode.com/problems/check-if-a-string-contains-all-binary-codes-of-size-k</t>
  </si>
  <si>
    <t>56.837</t>
  </si>
  <si>
    <t>Hash Table, String, Bit Manipulation, Rolling Hash, Hash Function</t>
  </si>
  <si>
    <t>Course Schedule IV</t>
  </si>
  <si>
    <t>https://leetcode.com/problems/course-schedule-iv</t>
  </si>
  <si>
    <t>48.271</t>
  </si>
  <si>
    <t>Cherry Pickup II</t>
  </si>
  <si>
    <t>https://leetcode.com/problems/cherry-pickup-ii</t>
  </si>
  <si>
    <t>70.639</t>
  </si>
  <si>
    <t>Maximum Product of Two Elements in an Array</t>
  </si>
  <si>
    <t>https://leetcode.com/problems/maximum-product-of-two-elements-in-an-array</t>
  </si>
  <si>
    <t>78.810</t>
  </si>
  <si>
    <t>Maximum Area of a Piece of Cake After Horizontal and Vertical Cuts</t>
  </si>
  <si>
    <t>https://leetcode.com/problems/maximum-area-of-a-piece-of-cake-after-horizontal-and-vertical-cuts</t>
  </si>
  <si>
    <t>40.807</t>
  </si>
  <si>
    <t>Reorder Routes to Make All Paths Lead to the City Zero</t>
  </si>
  <si>
    <t>https://leetcode.com/problems/reorder-routes-to-make-all-paths-lead-to-the-city-zero</t>
  </si>
  <si>
    <t>61.320</t>
  </si>
  <si>
    <t>Probability of a Two Boxes Having The Same Number of Distinct Balls</t>
  </si>
  <si>
    <t>https://leetcode.com/problems/probability-of-a-two-boxes-having-the-same-number-of-distinct-balls</t>
  </si>
  <si>
    <t>61.060</t>
  </si>
  <si>
    <t>Math, Dynamic Programming, Backtracking, Combinatorics, Probability and Statistics</t>
  </si>
  <si>
    <t>Calculate Salaries</t>
  </si>
  <si>
    <t>https://leetcode.com/problems/calculate-salaries</t>
  </si>
  <si>
    <t>81.911</t>
  </si>
  <si>
    <t>Find All The Lonely Nodes</t>
  </si>
  <si>
    <t>https://leetcode.com/problems/find-all-the-lonely-nodes</t>
  </si>
  <si>
    <t>81.714</t>
  </si>
  <si>
    <t>Shuffle the Array</t>
  </si>
  <si>
    <t>https://leetcode.com/problems/shuffle-the-array</t>
  </si>
  <si>
    <t>88.405</t>
  </si>
  <si>
    <t>The k Strongest Values in an Array</t>
  </si>
  <si>
    <t>https://leetcode.com/problems/the-k-strongest-values-in-an-array</t>
  </si>
  <si>
    <t>59.879</t>
  </si>
  <si>
    <t>Design Browser History</t>
  </si>
  <si>
    <t>https://leetcode.com/problems/design-browser-history</t>
  </si>
  <si>
    <t>75.286</t>
  </si>
  <si>
    <t>Array, Linked List, Stack, Design, Doubly-Linked List, Data Stream</t>
  </si>
  <si>
    <t>Paint House III</t>
  </si>
  <si>
    <t>https://leetcode.com/problems/paint-house-iii</t>
  </si>
  <si>
    <t>51.136</t>
  </si>
  <si>
    <t>Delete N Nodes After M Nodes of a Linked List</t>
  </si>
  <si>
    <t>https://leetcode.com/problems/delete-n-nodes-after-m-nodes-of-a-linked-list</t>
  </si>
  <si>
    <t>73.594</t>
  </si>
  <si>
    <t>Final Prices With a Special Discount in a Shop</t>
  </si>
  <si>
    <t>https://leetcode.com/problems/final-prices-with-a-special-discount-in-a-shop</t>
  </si>
  <si>
    <t>75.271</t>
  </si>
  <si>
    <t>Subrectangle Queries</t>
  </si>
  <si>
    <t>https://leetcode.com/problems/subrectangle-queries</t>
  </si>
  <si>
    <t>88.285</t>
  </si>
  <si>
    <t>Array, Design, Matrix</t>
  </si>
  <si>
    <t>Find Two Non-overlapping Sub-arrays Each With Target Sum</t>
  </si>
  <si>
    <t>https://leetcode.com/problems/find-two-non-overlapping-sub-arrays-each-with-target-sum</t>
  </si>
  <si>
    <t>36.947</t>
  </si>
  <si>
    <t>Array, Hash Table, Binary Search, Dynamic Programming, Sliding Window</t>
  </si>
  <si>
    <t>Allocate Mailboxes</t>
  </si>
  <si>
    <t>https://leetcode.com/problems/allocate-mailboxes</t>
  </si>
  <si>
    <t>55.302</t>
  </si>
  <si>
    <t>Sales by Day of the Week</t>
  </si>
  <si>
    <t>https://leetcode.com/problems/sales-by-day-of-the-week</t>
  </si>
  <si>
    <t>82.416</t>
  </si>
  <si>
    <t>Running Sum of 1d Array</t>
  </si>
  <si>
    <t>https://leetcode.com/problems/running-sum-of-1d-array</t>
  </si>
  <si>
    <t>90.483</t>
  </si>
  <si>
    <t>Least Number of Unique Integers after K Removals</t>
  </si>
  <si>
    <t>https://leetcode.com/problems/least-number-of-unique-integers-after-k-removals</t>
  </si>
  <si>
    <t>59.832</t>
  </si>
  <si>
    <t>Minimum Number of Days to Make m Bouquets</t>
  </si>
  <si>
    <t>https://leetcode.com/problems/minimum-number-of-days-to-make-m-bouquets</t>
  </si>
  <si>
    <t>56.689</t>
  </si>
  <si>
    <t>Kth Ancestor of a Tree Node</t>
  </si>
  <si>
    <t>https://leetcode.com/problems/kth-ancestor-of-a-tree-node</t>
  </si>
  <si>
    <t>33.538</t>
  </si>
  <si>
    <t>Binary Search, Dynamic Programming, Tree, Depth-First Search, Breadth-First Search, Design</t>
  </si>
  <si>
    <t>Group Sold Products By The Date</t>
  </si>
  <si>
    <t>https://leetcode.com/problems/group-sold-products-by-the-date</t>
  </si>
  <si>
    <t>84.201</t>
  </si>
  <si>
    <t>Clone Binary Tree With Random Pointer</t>
  </si>
  <si>
    <t>https://leetcode.com/problems/clone-binary-tree-with-random-pointer</t>
  </si>
  <si>
    <t>79.660</t>
  </si>
  <si>
    <t>XOR Operation in an Array</t>
  </si>
  <si>
    <t>https://leetcode.com/problems/xor-operation-in-an-array</t>
  </si>
  <si>
    <t>84.109</t>
  </si>
  <si>
    <t>Making File Names Unique</t>
  </si>
  <si>
    <t>https://leetcode.com/problems/making-file-names-unique</t>
  </si>
  <si>
    <t>35.230</t>
  </si>
  <si>
    <t>Avoid Flood in The City</t>
  </si>
  <si>
    <t>https://leetcode.com/problems/avoid-flood-in-the-city</t>
  </si>
  <si>
    <t>25.742</t>
  </si>
  <si>
    <t>Array, Hash Table, Binary Search, Greedy, Heap (Priority Queue)</t>
  </si>
  <si>
    <t>Find Critical and Pseudo-Critical Edges in Minimum Spanning Tree</t>
  </si>
  <si>
    <t>https://leetcode.com/problems/find-critical-and-pseudo-critical-edges-in-minimum-spanning-tree</t>
  </si>
  <si>
    <t>52.973</t>
  </si>
  <si>
    <t>Union Find, Graph, Sorting, Minimum Spanning Tree, Strongly Connected Component</t>
  </si>
  <si>
    <t>Clone N-ary Tree</t>
  </si>
  <si>
    <t>https://leetcode.com/problems/clone-n-ary-tree</t>
  </si>
  <si>
    <t>83.737</t>
  </si>
  <si>
    <t>Average Salary Excluding the Minimum and Maximum Salary</t>
  </si>
  <si>
    <t>https://leetcode.com/problems/average-salary-excluding-the-minimum-and-maximum-salary</t>
  </si>
  <si>
    <t>64.111</t>
  </si>
  <si>
    <t>The kth Factor of n</t>
  </si>
  <si>
    <t>https://leetcode.com/problems/the-kth-factor-of-n</t>
  </si>
  <si>
    <t>62.090</t>
  </si>
  <si>
    <t>https://leetcode.com/problems/longest-subarray-of-1s-after-deleting-one-element</t>
  </si>
  <si>
    <t>60.145</t>
  </si>
  <si>
    <t>Math, Dynamic Programming, Sliding Window</t>
  </si>
  <si>
    <t>Parallel Courses II</t>
  </si>
  <si>
    <t>https://leetcode.com/problems/parallel-courses-ii</t>
  </si>
  <si>
    <t>31.536</t>
  </si>
  <si>
    <t>Dynamic Programming, Bit Manipulation, Graph, Bitmask</t>
  </si>
  <si>
    <t>Friendly Movies Streamed Last Month</t>
  </si>
  <si>
    <t>https://leetcode.com/problems/friendly-movies-streamed-last-month</t>
  </si>
  <si>
    <t>50.187</t>
  </si>
  <si>
    <t>Path Crossing</t>
  </si>
  <si>
    <t>https://leetcode.com/problems/path-crossing</t>
  </si>
  <si>
    <t>55.795</t>
  </si>
  <si>
    <t>Check If Array Pairs Are Divisible by k</t>
  </si>
  <si>
    <t>https://leetcode.com/problems/check-if-array-pairs-are-divisible-by-k</t>
  </si>
  <si>
    <t>40.119</t>
  </si>
  <si>
    <t>Number of Subsequences That Satisfy the Given Sum Condition</t>
  </si>
  <si>
    <t>https://leetcode.com/problems/number-of-subsequences-that-satisfy-the-given-sum-condition</t>
  </si>
  <si>
    <t>39.029</t>
  </si>
  <si>
    <t>Max Value of Equation</t>
  </si>
  <si>
    <t>https://leetcode.com/problems/max-value-of-equation</t>
  </si>
  <si>
    <t>46.634</t>
  </si>
  <si>
    <t>Design a File Sharing System</t>
  </si>
  <si>
    <t>https://leetcode.com/problems/design-a-file-sharing-system</t>
  </si>
  <si>
    <t>44.864</t>
  </si>
  <si>
    <t>Hash Table, Design, Heap (Priority Queue), Data Stream</t>
  </si>
  <si>
    <t>Countries You Can Safely Invest In</t>
  </si>
  <si>
    <t>https://leetcode.com/problems/countries-you-can-safely-invest-in</t>
  </si>
  <si>
    <t>57.799</t>
  </si>
  <si>
    <t>Can Make Arithmetic Progression From Sequence</t>
  </si>
  <si>
    <t>https://leetcode.com/problems/can-make-arithmetic-progression-from-sequence</t>
  </si>
  <si>
    <t>69.121</t>
  </si>
  <si>
    <t>Last Moment Before All Ants Fall Out of a Plank</t>
  </si>
  <si>
    <t>https://leetcode.com/problems/last-moment-before-all-ants-fall-out-of-a-plank</t>
  </si>
  <si>
    <t>55.069</t>
  </si>
  <si>
    <t>Array, Brainteaser, Simulation</t>
  </si>
  <si>
    <t>Count Submatrices With All Ones</t>
  </si>
  <si>
    <t>https://leetcode.com/problems/count-submatrices-with-all-ones</t>
  </si>
  <si>
    <t>58.237</t>
  </si>
  <si>
    <t>Minimum Possible Integer After at Most K Adjacent Swaps On Digits</t>
  </si>
  <si>
    <t>https://leetcode.com/problems/minimum-possible-integer-after-at-most-k-adjacent-swaps-on-digits</t>
  </si>
  <si>
    <t>37.812</t>
  </si>
  <si>
    <t>String, Greedy, Binary Indexed Tree, Segment Tree</t>
  </si>
  <si>
    <t>Find Root of N-Ary Tree</t>
  </si>
  <si>
    <t>https://leetcode.com/problems/find-root-of-n-ary-tree</t>
  </si>
  <si>
    <t>77.793</t>
  </si>
  <si>
    <t>Hash Table, Bit Manipulation, Tree, Depth-First Search</t>
  </si>
  <si>
    <t>Reformat Date</t>
  </si>
  <si>
    <t>https://leetcode.com/problems/reformat-date</t>
  </si>
  <si>
    <t>62.084</t>
  </si>
  <si>
    <t>Range Sum of Sorted Subarray Sums</t>
  </si>
  <si>
    <t>https://leetcode.com/problems/range-sum-of-sorted-subarray-sums</t>
  </si>
  <si>
    <t>59.283</t>
  </si>
  <si>
    <t>Minimum Difference Between Largest and Smallest Value in Three Moves</t>
  </si>
  <si>
    <t>https://leetcode.com/problems/minimum-difference-between-largest-and-smallest-value-in-three-moves</t>
  </si>
  <si>
    <t>55.119</t>
  </si>
  <si>
    <t>Stone Game IV</t>
  </si>
  <si>
    <t>https://leetcode.com/problems/stone-game-iv</t>
  </si>
  <si>
    <t>60.696</t>
  </si>
  <si>
    <t>Customer Order Frequency</t>
  </si>
  <si>
    <t>https://leetcode.com/problems/customer-order-frequency</t>
  </si>
  <si>
    <t>73.317</t>
  </si>
  <si>
    <t>Number of Good Pairs</t>
  </si>
  <si>
    <t>https://leetcode.com/problems/number-of-good-pairs</t>
  </si>
  <si>
    <t>88.049</t>
  </si>
  <si>
    <t>Array, Hash Table, Math, Counting</t>
  </si>
  <si>
    <t>Number of Substrings With Only 1s</t>
  </si>
  <si>
    <t>https://leetcode.com/problems/number-of-substrings-with-only-1s</t>
  </si>
  <si>
    <t>44.665</t>
  </si>
  <si>
    <t>Path with Maximum Probability</t>
  </si>
  <si>
    <t>https://leetcode.com/problems/path-with-maximum-probability</t>
  </si>
  <si>
    <t>47.362</t>
  </si>
  <si>
    <t>Best Position for a Service Centre</t>
  </si>
  <si>
    <t>https://leetcode.com/problems/best-position-for-a-service-centre</t>
  </si>
  <si>
    <t>38.440</t>
  </si>
  <si>
    <t>Math, Geometry, Randomized</t>
  </si>
  <si>
    <t>Move Sub-Tree of N-Ary Tree</t>
  </si>
  <si>
    <t>https://leetcode.com/problems/move-sub-tree-of-n-ary-tree</t>
  </si>
  <si>
    <t>64.504</t>
  </si>
  <si>
    <t>Tree, Depth-First Search</t>
  </si>
  <si>
    <t>Find Users With Valid E-Mails</t>
  </si>
  <si>
    <t>https://leetcode.com/problems/find-users-with-valid-e-mails</t>
  </si>
  <si>
    <t>59.298</t>
  </si>
  <si>
    <t>Water Bottles</t>
  </si>
  <si>
    <t>https://leetcode.com/problems/water-bottles</t>
  </si>
  <si>
    <t>60.392</t>
  </si>
  <si>
    <t>Number of Nodes in the Sub-Tree With the Same Label</t>
  </si>
  <si>
    <t>https://leetcode.com/problems/number-of-nodes-in-the-sub-tree-with-the-same-label</t>
  </si>
  <si>
    <t>40.350</t>
  </si>
  <si>
    <t>Hash Table, Tree, Depth-First Search, Breadth-First Search, Counting</t>
  </si>
  <si>
    <t>Maximum Number of Non-Overlapping Substrings</t>
  </si>
  <si>
    <t>https://leetcode.com/problems/maximum-number-of-non-overlapping-substrings</t>
  </si>
  <si>
    <t>37.512</t>
  </si>
  <si>
    <t>Find a Value of a Mysterious Function Closest to Target</t>
  </si>
  <si>
    <t>https://leetcode.com/problems/find-a-value-of-a-mysterious-function-closest-to-target</t>
  </si>
  <si>
    <t>43.469</t>
  </si>
  <si>
    <t>Array, Binary Search, Bit Manipulation, Segment Tree</t>
  </si>
  <si>
    <t>Diameter of N-Ary Tree</t>
  </si>
  <si>
    <t>https://leetcode.com/problems/diameter-of-n-ary-tree</t>
  </si>
  <si>
    <t>73.252</t>
  </si>
  <si>
    <t>Count Odd Numbers in an Interval Range</t>
  </si>
  <si>
    <t>https://leetcode.com/problems/count-odd-numbers-in-an-interval-range</t>
  </si>
  <si>
    <t>46.686</t>
  </si>
  <si>
    <t>Number of Sub-arrays With Odd Sum</t>
  </si>
  <si>
    <t>https://leetcode.com/problems/number-of-sub-arrays-with-odd-sum</t>
  </si>
  <si>
    <t>43.447</t>
  </si>
  <si>
    <t>Array, Math, Dynamic Programming, Prefix Sum</t>
  </si>
  <si>
    <t>Number of Good Ways to Split a String</t>
  </si>
  <si>
    <t>https://leetcode.com/problems/number-of-good-ways-to-split-a-string</t>
  </si>
  <si>
    <t>69.851</t>
  </si>
  <si>
    <t>String, Dynamic Programming, Bit Manipulation</t>
  </si>
  <si>
    <t>Minimum Number of Increments on Subarrays to Form a Target Array</t>
  </si>
  <si>
    <t>https://leetcode.com/problems/minimum-number-of-increments-on-subarrays-to-form-a-target-array</t>
  </si>
  <si>
    <t>68.236</t>
  </si>
  <si>
    <t>Array, Dynamic Programming, Stack, Greedy, Monotonic Stack</t>
  </si>
  <si>
    <t>Patients With a Condition</t>
  </si>
  <si>
    <t>https://leetcode.com/problems/patients-with-a-condition</t>
  </si>
  <si>
    <t>44.263</t>
  </si>
  <si>
    <t>Shuffle String</t>
  </si>
  <si>
    <t>https://leetcode.com/problems/shuffle-string</t>
  </si>
  <si>
    <t>85.747</t>
  </si>
  <si>
    <t>Minimum Suffix Flips</t>
  </si>
  <si>
    <t>https://leetcode.com/problems/minimum-suffix-flips</t>
  </si>
  <si>
    <t>72.352</t>
  </si>
  <si>
    <t>Number of Good Leaf Nodes Pairs</t>
  </si>
  <si>
    <t>https://leetcode.com/problems/number-of-good-leaf-nodes-pairs</t>
  </si>
  <si>
    <t>60.107</t>
  </si>
  <si>
    <t>String Compression II</t>
  </si>
  <si>
    <t>https://leetcode.com/problems/string-compression-ii</t>
  </si>
  <si>
    <t>38.430</t>
  </si>
  <si>
    <t>The Most Recent Three Orders</t>
  </si>
  <si>
    <t>https://leetcode.com/problems/the-most-recent-three-orders</t>
  </si>
  <si>
    <t>70.999</t>
  </si>
  <si>
    <t>Find the Index of the Large Integer</t>
  </si>
  <si>
    <t>https://leetcode.com/problems/find-the-index-of-the-large-integer</t>
  </si>
  <si>
    <t>50.368</t>
  </si>
  <si>
    <t>Count Good Triplets</t>
  </si>
  <si>
    <t>https://leetcode.com/problems/count-good-triplets</t>
  </si>
  <si>
    <t>80.662</t>
  </si>
  <si>
    <t>Array, Enumeration</t>
  </si>
  <si>
    <t>Find the Winner of an Array Game</t>
  </si>
  <si>
    <t>https://leetcode.com/problems/find-the-winner-of-an-array-game</t>
  </si>
  <si>
    <t>48.811</t>
  </si>
  <si>
    <t>Minimum Swaps to Arrange a Binary Grid</t>
  </si>
  <si>
    <t>https://leetcode.com/problems/minimum-swaps-to-arrange-a-binary-grid</t>
  </si>
  <si>
    <t>46.122</t>
  </si>
  <si>
    <t>Get the Maximum Score</t>
  </si>
  <si>
    <t>https://leetcode.com/problems/get-the-maximum-score</t>
  </si>
  <si>
    <t>39.355</t>
  </si>
  <si>
    <t>Array, Two Pointers, Dynamic Programming, Greedy</t>
  </si>
  <si>
    <t>Guess the Majority in a Hidden Array</t>
  </si>
  <si>
    <t>https://leetcode.com/problems/guess-the-majority-in-a-hidden-array</t>
  </si>
  <si>
    <t>62.820</t>
  </si>
  <si>
    <t>Array, Math, Interactive</t>
  </si>
  <si>
    <t>Kth Missing Positive Number</t>
  </si>
  <si>
    <t>https://leetcode.com/problems/kth-missing-positive-number</t>
  </si>
  <si>
    <t>55.685</t>
  </si>
  <si>
    <t>Can Convert String in K Moves</t>
  </si>
  <si>
    <t>https://leetcode.com/problems/can-convert-string-in-k-moves</t>
  </si>
  <si>
    <t>32.793</t>
  </si>
  <si>
    <t>Minimum Insertions to Balance a Parentheses String</t>
  </si>
  <si>
    <t>https://leetcode.com/problems/minimum-insertions-to-balance-a-parentheses-string</t>
  </si>
  <si>
    <t>49.611</t>
  </si>
  <si>
    <t>Find Longest Awesome Substring</t>
  </si>
  <si>
    <t>https://leetcode.com/problems/find-longest-awesome-substring</t>
  </si>
  <si>
    <t>41.238</t>
  </si>
  <si>
    <t>Fix Product Name Format</t>
  </si>
  <si>
    <t>https://leetcode.com/problems/fix-product-name-format</t>
  </si>
  <si>
    <t>62.860</t>
  </si>
  <si>
    <t>Make The String Great</t>
  </si>
  <si>
    <t>https://leetcode.com/problems/make-the-string-great</t>
  </si>
  <si>
    <t>56.675</t>
  </si>
  <si>
    <t>Find Kth Bit in Nth Binary String</t>
  </si>
  <si>
    <t>https://leetcode.com/problems/find-kth-bit-in-nth-binary-string</t>
  </si>
  <si>
    <t>58.214</t>
  </si>
  <si>
    <t>Maximum Number of Non-Overlapping Subarrays With Sum Equals Target</t>
  </si>
  <si>
    <t>https://leetcode.com/problems/maximum-number-of-non-overlapping-subarrays-with-sum-equals-target</t>
  </si>
  <si>
    <t>46.943</t>
  </si>
  <si>
    <t>Array, Hash Table, Greedy, Prefix Sum</t>
  </si>
  <si>
    <t>Minimum Cost to Cut a Stick</t>
  </si>
  <si>
    <t>https://leetcode.com/problems/minimum-cost-to-cut-a-stick</t>
  </si>
  <si>
    <t>55.816</t>
  </si>
  <si>
    <t>The Most Similar Path in a Graph</t>
  </si>
  <si>
    <t>https://leetcode.com/problems/the-most-similar-path-in-a-graph</t>
  </si>
  <si>
    <t>56.926</t>
  </si>
  <si>
    <t>Dynamic Programming, Graph</t>
  </si>
  <si>
    <t>The Most Recent Orders for Each Product</t>
  </si>
  <si>
    <t>https://leetcode.com/problems/the-most-recent-orders-for-each-product</t>
  </si>
  <si>
    <t>67.748</t>
  </si>
  <si>
    <t>Three Consecutive Odds</t>
  </si>
  <si>
    <t>https://leetcode.com/problems/three-consecutive-odds</t>
  </si>
  <si>
    <t>63.986</t>
  </si>
  <si>
    <t>Minimum Operations to Make Array Equal</t>
  </si>
  <si>
    <t>https://leetcode.com/problems/minimum-operations-to-make-array-equal</t>
  </si>
  <si>
    <t>80.983</t>
  </si>
  <si>
    <t>Magnetic Force Between Two Balls</t>
  </si>
  <si>
    <t>https://leetcode.com/problems/magnetic-force-between-two-balls</t>
  </si>
  <si>
    <t>55.836</t>
  </si>
  <si>
    <t>Minimum Number of Days to Eat N Oranges</t>
  </si>
  <si>
    <t>https://leetcode.com/problems/minimum-number-of-days-to-eat-n-oranges</t>
  </si>
  <si>
    <t>33.399</t>
  </si>
  <si>
    <t>Dynamic Programming, Memoization</t>
  </si>
  <si>
    <t>Strings Differ by One Character</t>
  </si>
  <si>
    <t>https://leetcode.com/problems/strings-differ-by-one-character</t>
  </si>
  <si>
    <t>46.726</t>
  </si>
  <si>
    <t>Hash Table, String, Rolling Hash, Hash Function</t>
  </si>
  <si>
    <t>Bank Account Summary</t>
  </si>
  <si>
    <t>https://leetcode.com/problems/bank-account-summary</t>
  </si>
  <si>
    <t>53.204</t>
  </si>
  <si>
    <t>Thousand Separator</t>
  </si>
  <si>
    <t>https://leetcode.com/problems/thousand-separator</t>
  </si>
  <si>
    <t>55.578</t>
  </si>
  <si>
    <t>Minimum Number of Vertices to Reach All Nodes</t>
  </si>
  <si>
    <t>https://leetcode.com/problems/minimum-number-of-vertices-to-reach-all-nodes</t>
  </si>
  <si>
    <t>79.193</t>
  </si>
  <si>
    <t>Minimum Numbers of Function Calls to Make Target Array</t>
  </si>
  <si>
    <t>https://leetcode.com/problems/minimum-numbers-of-function-calls-to-make-target-array</t>
  </si>
  <si>
    <t>64.210</t>
  </si>
  <si>
    <t>Detect Cycles in 2D Grid</t>
  </si>
  <si>
    <t>https://leetcode.com/problems/detect-cycles-in-2d-grid</t>
  </si>
  <si>
    <t>48.110</t>
  </si>
  <si>
    <t>Most Visited Sector in  a Circular Track</t>
  </si>
  <si>
    <t>https://leetcode.com/problems/most-visited-sector-in-a-circular-track</t>
  </si>
  <si>
    <t>58.352</t>
  </si>
  <si>
    <t>Maximum Number of Coins You Can Get</t>
  </si>
  <si>
    <t>https://leetcode.com/problems/maximum-number-of-coins-you-can-get</t>
  </si>
  <si>
    <t>78.467</t>
  </si>
  <si>
    <t>Array, Math, Greedy, Sorting, Game Theory</t>
  </si>
  <si>
    <t>Find Latest Group of Size M</t>
  </si>
  <si>
    <t>https://leetcode.com/problems/find-latest-group-of-size-m</t>
  </si>
  <si>
    <t>41.550</t>
  </si>
  <si>
    <t>Array, Binary Search, Simulation</t>
  </si>
  <si>
    <t>Stone Game V</t>
  </si>
  <si>
    <t>https://leetcode.com/problems/stone-game-v</t>
  </si>
  <si>
    <t>40.714</t>
  </si>
  <si>
    <t>Put Boxes Into the Warehouse I</t>
  </si>
  <si>
    <t>https://leetcode.com/problems/put-boxes-into-the-warehouse-i</t>
  </si>
  <si>
    <t>66.991</t>
  </si>
  <si>
    <t>Unique Orders and Customers Per Month</t>
  </si>
  <si>
    <t>https://leetcode.com/problems/unique-orders-and-customers-per-month</t>
  </si>
  <si>
    <t>83.413</t>
  </si>
  <si>
    <t>Detect Pattern of Length M Repeated K or More Times</t>
  </si>
  <si>
    <t>https://leetcode.com/problems/detect-pattern-of-length-m-repeated-k-or-more-times</t>
  </si>
  <si>
    <t>43.525</t>
  </si>
  <si>
    <t>Maximum Length of Subarray With Positive Product</t>
  </si>
  <si>
    <t>https://leetcode.com/problems/maximum-length-of-subarray-with-positive-product</t>
  </si>
  <si>
    <t>43.257</t>
  </si>
  <si>
    <t>Minimum Number of Days to Disconnect Island</t>
  </si>
  <si>
    <t>https://leetcode.com/problems/minimum-number-of-days-to-disconnect-island</t>
  </si>
  <si>
    <t>48.128</t>
  </si>
  <si>
    <t>Array, Depth-First Search, Breadth-First Search, Matrix, Strongly Connected Component</t>
  </si>
  <si>
    <t>Number of Ways to Reorder Array to Get Same BST</t>
  </si>
  <si>
    <t>https://leetcode.com/problems/number-of-ways-to-reorder-array-to-get-same-bst</t>
  </si>
  <si>
    <t>48.989</t>
  </si>
  <si>
    <t>Array, Math, Divide and Conquer, Dynamic Programming, Tree, Union Find, Binary Search Tree, Memoization, Combinatorics, Binary Tree</t>
  </si>
  <si>
    <t>Dot Product of Two Sparse Vectors</t>
  </si>
  <si>
    <t>https://leetcode.com/problems/dot-product-of-two-sparse-vectors</t>
  </si>
  <si>
    <t>90.263</t>
  </si>
  <si>
    <t>Array, Hash Table, Two Pointers, Design</t>
  </si>
  <si>
    <t>Warehouse Manager</t>
  </si>
  <si>
    <t>https://leetcode.com/problems/warehouse-manager</t>
  </si>
  <si>
    <t>89.996</t>
  </si>
  <si>
    <t>Matrix Diagonal Sum</t>
  </si>
  <si>
    <t>https://leetcode.com/problems/matrix-diagonal-sum</t>
  </si>
  <si>
    <t>79.447</t>
  </si>
  <si>
    <t>Number of Ways to Split a String</t>
  </si>
  <si>
    <t>https://leetcode.com/problems/number-of-ways-to-split-a-string</t>
  </si>
  <si>
    <t>32.185</t>
  </si>
  <si>
    <t>Shortest Subarray to be Removed to Make Array Sorted</t>
  </si>
  <si>
    <t>https://leetcode.com/problems/shortest-subarray-to-be-removed-to-make-array-sorted</t>
  </si>
  <si>
    <t>36.012</t>
  </si>
  <si>
    <t>Array, Two Pointers, Binary Search, Stack, Monotonic Stack</t>
  </si>
  <si>
    <t>Count All Possible Routes</t>
  </si>
  <si>
    <t>https://leetcode.com/problems/count-all-possible-routes</t>
  </si>
  <si>
    <t>57.239</t>
  </si>
  <si>
    <t>Replace All ?'s to Avoid Consecutive Repeating Characters</t>
  </si>
  <si>
    <t>https://leetcode.com/problems/replace-all-s-to-avoid-consecutive-repeating-characters</t>
  </si>
  <si>
    <t>49.460</t>
  </si>
  <si>
    <t>Number of Ways Where Square of Number Is Equal to Product of Two Numbers</t>
  </si>
  <si>
    <t>https://leetcode.com/problems/number-of-ways-where-square-of-number-is-equal-to-product-of-two-numbers</t>
  </si>
  <si>
    <t>39.455</t>
  </si>
  <si>
    <t>Array, Hash Table, Math, Two Pointers</t>
  </si>
  <si>
    <t>Minimum Time to Make Rope Colorful</t>
  </si>
  <si>
    <t>https://leetcode.com/problems/minimum-time-to-make-rope-colorful</t>
  </si>
  <si>
    <t>61.192</t>
  </si>
  <si>
    <t>Array, String, Dynamic Programming, Greedy</t>
  </si>
  <si>
    <t>Remove Max Number of Edges to Keep Graph Fully Traversable</t>
  </si>
  <si>
    <t>https://leetcode.com/problems/remove-max-number-of-edges-to-keep-graph-fully-traversable</t>
  </si>
  <si>
    <t>51.824</t>
  </si>
  <si>
    <t>Union Find, Graph</t>
  </si>
  <si>
    <t>Put Boxes Into the Warehouse II</t>
  </si>
  <si>
    <t>https://leetcode.com/problems/put-boxes-into-the-warehouse-ii</t>
  </si>
  <si>
    <t>63.604</t>
  </si>
  <si>
    <t>Customer Who Visited but Did Not Make Any Transactions</t>
  </si>
  <si>
    <t>https://leetcode.com/problems/customer-who-visited-but-did-not-make-any-transactions</t>
  </si>
  <si>
    <t>90.251</t>
  </si>
  <si>
    <t>Special Positions in a Binary Matrix</t>
  </si>
  <si>
    <t>https://leetcode.com/problems/special-positions-in-a-binary-matrix</t>
  </si>
  <si>
    <t>65.224</t>
  </si>
  <si>
    <t>Count Unhappy Friends</t>
  </si>
  <si>
    <t>https://leetcode.com/problems/count-unhappy-friends</t>
  </si>
  <si>
    <t>58.458</t>
  </si>
  <si>
    <t>Min Cost to Connect All Points</t>
  </si>
  <si>
    <t>https://leetcode.com/problems/min-cost-to-connect-all-points</t>
  </si>
  <si>
    <t>64.408</t>
  </si>
  <si>
    <t>Array, Union Find, Minimum Spanning Tree</t>
  </si>
  <si>
    <t>Check If String Is Transformable With Substring Sort Operations</t>
  </si>
  <si>
    <t>https://leetcode.com/problems/check-if-string-is-transformable-with-substring-sort-operations</t>
  </si>
  <si>
    <t>48.454</t>
  </si>
  <si>
    <t>Binary Search Tree Iterator II</t>
  </si>
  <si>
    <t>https://leetcode.com/problems/binary-search-tree-iterator-ii</t>
  </si>
  <si>
    <t>70.653</t>
  </si>
  <si>
    <t>Bank Account Summary II</t>
  </si>
  <si>
    <t>https://leetcode.com/problems/bank-account-summary-ii</t>
  </si>
  <si>
    <t>90.104</t>
  </si>
  <si>
    <t>Sum of All Odd Length Subarrays</t>
  </si>
  <si>
    <t>https://leetcode.com/problems/sum-of-all-odd-length-subarrays</t>
  </si>
  <si>
    <t>83.582</t>
  </si>
  <si>
    <t>Array, Math, Prefix Sum</t>
  </si>
  <si>
    <t>Maximum Sum Obtained of Any Permutation</t>
  </si>
  <si>
    <t>https://leetcode.com/problems/maximum-sum-obtained-of-any-permutation</t>
  </si>
  <si>
    <t>36.816</t>
  </si>
  <si>
    <t>Array, Greedy, Sorting, Prefix Sum</t>
  </si>
  <si>
    <t>Make Sum Divisible by P</t>
  </si>
  <si>
    <t>https://leetcode.com/problems/make-sum-divisible-by-p</t>
  </si>
  <si>
    <t>28.148</t>
  </si>
  <si>
    <t>Strange Printer II</t>
  </si>
  <si>
    <t>https://leetcode.com/problems/strange-printer-ii</t>
  </si>
  <si>
    <t>57.296</t>
  </si>
  <si>
    <t>Array, Graph, Topological Sort, Matrix</t>
  </si>
  <si>
    <t>Rearrange Spaces Between Words</t>
  </si>
  <si>
    <t>https://leetcode.com/problems/rearrange-spaces-between-words</t>
  </si>
  <si>
    <t>43.883</t>
  </si>
  <si>
    <t>https://leetcode.com/problems/split-a-string-into-the-max-number-of-unique-substrings</t>
  </si>
  <si>
    <t>54.754</t>
  </si>
  <si>
    <t>Maximum Non Negative Product in a Matrix</t>
  </si>
  <si>
    <t>https://leetcode.com/problems/maximum-non-negative-product-in-a-matrix</t>
  </si>
  <si>
    <t>33.161</t>
  </si>
  <si>
    <t>Minimum Cost to Connect Two Groups of Points</t>
  </si>
  <si>
    <t>https://leetcode.com/problems/minimum-cost-to-connect-two-groups-of-points</t>
  </si>
  <si>
    <t>46.010</t>
  </si>
  <si>
    <t>The Most Frequently Ordered Products for Each Customer</t>
  </si>
  <si>
    <t>https://leetcode.com/problems/the-most-frequently-ordered-products-for-each-customer</t>
  </si>
  <si>
    <t>84.952</t>
  </si>
  <si>
    <t>Build Binary Expression Tree From Infix Expression</t>
  </si>
  <si>
    <t>https://leetcode.com/problems/build-binary-expression-tree-from-infix-expression</t>
  </si>
  <si>
    <t>61.073</t>
  </si>
  <si>
    <t>Crawler Log Folder</t>
  </si>
  <si>
    <t>https://leetcode.com/problems/crawler-log-folder</t>
  </si>
  <si>
    <t>64.361</t>
  </si>
  <si>
    <t>Array, String, Stack</t>
  </si>
  <si>
    <t>Maximum Profit of Operating a Centennial Wheel</t>
  </si>
  <si>
    <t>https://leetcode.com/problems/maximum-profit-of-operating-a-centennial-wheel</t>
  </si>
  <si>
    <t>43.954</t>
  </si>
  <si>
    <t>Throne Inheritance</t>
  </si>
  <si>
    <t>https://leetcode.com/problems/throne-inheritance</t>
  </si>
  <si>
    <t>63.524</t>
  </si>
  <si>
    <t>Hash Table, Tree, Depth-First Search, Design</t>
  </si>
  <si>
    <t>Maximum Number of Achievable Transfer Requests</t>
  </si>
  <si>
    <t>https://leetcode.com/problems/maximum-number-of-achievable-transfer-requests</t>
  </si>
  <si>
    <t>50.851</t>
  </si>
  <si>
    <t>Array, Backtracking, Bit Manipulation, Enumeration</t>
  </si>
  <si>
    <t>Find Nearest Right Node in Binary Tree</t>
  </si>
  <si>
    <t>https://leetcode.com/problems/find-nearest-right-node-in-binary-tree</t>
  </si>
  <si>
    <t>75.265</t>
  </si>
  <si>
    <t>Design Parking System</t>
  </si>
  <si>
    <t>https://leetcode.com/problems/design-parking-system</t>
  </si>
  <si>
    <t>87.733</t>
  </si>
  <si>
    <t>Design, Simulation, Counting</t>
  </si>
  <si>
    <t>Alert Using Same Key-Card Three or More Times in a One Hour Period</t>
  </si>
  <si>
    <t>https://leetcode.com/problems/alert-using-same-key-card-three-or-more-times-in-a-one-hour-period</t>
  </si>
  <si>
    <t>47.198</t>
  </si>
  <si>
    <t>Find Valid Matrix Given Row and Column Sums</t>
  </si>
  <si>
    <t>https://leetcode.com/problems/find-valid-matrix-given-row-and-column-sums</t>
  </si>
  <si>
    <t>78.094</t>
  </si>
  <si>
    <t>Find Servers That Handled Most Number of Requests</t>
  </si>
  <si>
    <t>https://leetcode.com/problems/find-servers-that-handled-most-number-of-requests</t>
  </si>
  <si>
    <t>41.608</t>
  </si>
  <si>
    <t>Array, Greedy, Heap (Priority Queue), Ordered Set</t>
  </si>
  <si>
    <t>Sellers With No Sales</t>
  </si>
  <si>
    <t>https://leetcode.com/problems/sellers-with-no-sales</t>
  </si>
  <si>
    <t>54.915</t>
  </si>
  <si>
    <t>Special Array With X Elements Greater Than or Equal X</t>
  </si>
  <si>
    <t>https://leetcode.com/problems/special-array-with-x-elements-greater-than-or-equal-x</t>
  </si>
  <si>
    <t>60.467</t>
  </si>
  <si>
    <t>Even Odd Tree</t>
  </si>
  <si>
    <t>https://leetcode.com/problems/even-odd-tree</t>
  </si>
  <si>
    <t>53.248</t>
  </si>
  <si>
    <t>Maximum Number of Visible Points</t>
  </si>
  <si>
    <t>https://leetcode.com/problems/maximum-number-of-visible-points</t>
  </si>
  <si>
    <t>37.192</t>
  </si>
  <si>
    <t>Array, Math, Geometry, Sliding Window, Sorting</t>
  </si>
  <si>
    <t>Minimum One Bit Operations to Make Integers Zero</t>
  </si>
  <si>
    <t>https://leetcode.com/problems/minimum-one-bit-operations-to-make-integers-zero</t>
  </si>
  <si>
    <t>62.524</t>
  </si>
  <si>
    <t>Dynamic Programming, Bit Manipulation, Memoization</t>
  </si>
  <si>
    <t>Check If Two Expression Trees are Equivalent</t>
  </si>
  <si>
    <t>https://leetcode.com/problems/check-if-two-expression-trees-are-equivalent</t>
  </si>
  <si>
    <t>69.627</t>
  </si>
  <si>
    <t>Find the Missing IDs</t>
  </si>
  <si>
    <t>https://leetcode.com/problems/find-the-missing-ids</t>
  </si>
  <si>
    <t>75.872</t>
  </si>
  <si>
    <t>Maximum Nesting Depth of the Parentheses</t>
  </si>
  <si>
    <t>https://leetcode.com/problems/maximum-nesting-depth-of-the-parentheses</t>
  </si>
  <si>
    <t>82.662</t>
  </si>
  <si>
    <t>Maximal Network Rank</t>
  </si>
  <si>
    <t>https://leetcode.com/problems/maximal-network-rank</t>
  </si>
  <si>
    <t>57.538</t>
  </si>
  <si>
    <t>Split Two Strings to Make Palindrome</t>
  </si>
  <si>
    <t>https://leetcode.com/problems/split-two-strings-to-make-palindrome</t>
  </si>
  <si>
    <t>31.364</t>
  </si>
  <si>
    <t>Count Subtrees With Max Distance Between Cities</t>
  </si>
  <si>
    <t>https://leetcode.com/problems/count-subtrees-with-max-distance-between-cities</t>
  </si>
  <si>
    <t>65.576</t>
  </si>
  <si>
    <t>Dynamic Programming, Bit Manipulation, Tree, Enumeration, Bitmask</t>
  </si>
  <si>
    <t>Maximum Font to Fit a Sentence in a Screen</t>
  </si>
  <si>
    <t>https://leetcode.com/problems/maximum-font-to-fit-a-sentence-in-a-screen</t>
  </si>
  <si>
    <t>58.749</t>
  </si>
  <si>
    <t>Array, String, Binary Search, Interactive</t>
  </si>
  <si>
    <t>Mean of Array After Removing Some Elements</t>
  </si>
  <si>
    <t>https://leetcode.com/problems/mean-of-array-after-removing-some-elements</t>
  </si>
  <si>
    <t>64.518</t>
  </si>
  <si>
    <t>Coordinate With Maximum Network Quality</t>
  </si>
  <si>
    <t>https://leetcode.com/problems/coordinate-with-maximum-network-quality</t>
  </si>
  <si>
    <t>37.161</t>
  </si>
  <si>
    <t>Number of Sets of K Non-Overlapping Line Segments</t>
  </si>
  <si>
    <t>https://leetcode.com/problems/number-of-sets-of-k-non-overlapping-line-segments</t>
  </si>
  <si>
    <t>42.357</t>
  </si>
  <si>
    <t>Fancy Sequence</t>
  </si>
  <si>
    <t>https://leetcode.com/problems/fancy-sequence</t>
  </si>
  <si>
    <t>15.595</t>
  </si>
  <si>
    <t>Math, Design, Segment Tree</t>
  </si>
  <si>
    <t>All Valid Triplets That Can Represent a Country</t>
  </si>
  <si>
    <t>https://leetcode.com/problems/all-valid-triplets-that-can-represent-a-country</t>
  </si>
  <si>
    <t>88.392</t>
  </si>
  <si>
    <t>Largest Substring Between Two Equal Characters</t>
  </si>
  <si>
    <t>https://leetcode.com/problems/largest-substring-between-two-equal-characters</t>
  </si>
  <si>
    <t>59.325</t>
  </si>
  <si>
    <t>Lexicographically Smallest String After Applying Operations</t>
  </si>
  <si>
    <t>https://leetcode.com/problems/lexicographically-smallest-string-after-applying-operations</t>
  </si>
  <si>
    <t>65.871</t>
  </si>
  <si>
    <t>Best Team With No Conflicts</t>
  </si>
  <si>
    <t>https://leetcode.com/problems/best-team-with-no-conflicts</t>
  </si>
  <si>
    <t>40.926</t>
  </si>
  <si>
    <t>Graph Connectivity With Threshold</t>
  </si>
  <si>
    <t>https://leetcode.com/problems/graph-connectivity-with-threshold</t>
  </si>
  <si>
    <t>44.817</t>
  </si>
  <si>
    <t>Design an Expression Tree With Evaluate Function</t>
  </si>
  <si>
    <t>https://leetcode.com/problems/design-an-expression-tree-with-evaluate-function</t>
  </si>
  <si>
    <t>82.059</t>
  </si>
  <si>
    <t>Math, Stack, Tree, Design, Binary Tree</t>
  </si>
  <si>
    <t>Slowest Key</t>
  </si>
  <si>
    <t>https://leetcode.com/problems/slowest-key</t>
  </si>
  <si>
    <t>59.570</t>
  </si>
  <si>
    <t>Arithmetic Subarrays</t>
  </si>
  <si>
    <t>https://leetcode.com/problems/arithmetic-subarrays</t>
  </si>
  <si>
    <t>79.241</t>
  </si>
  <si>
    <t>Path With Minimum Effort</t>
  </si>
  <si>
    <t>https://leetcode.com/problems/path-with-minimum-effort</t>
  </si>
  <si>
    <t>55.189</t>
  </si>
  <si>
    <t>Rank Transform of a Matrix</t>
  </si>
  <si>
    <t>https://leetcode.com/problems/rank-transform-of-a-matrix</t>
  </si>
  <si>
    <t>40.794</t>
  </si>
  <si>
    <t>Array, Greedy, Union Find, Graph, Topological Sort, Matrix</t>
  </si>
  <si>
    <t>Percentage of Users Attended a Contest</t>
  </si>
  <si>
    <t>https://leetcode.com/problems/percentage-of-users-attended-a-contest</t>
  </si>
  <si>
    <t>69.007</t>
  </si>
  <si>
    <t>Add Two Polynomials Represented as Linked Lists</t>
  </si>
  <si>
    <t>https://leetcode.com/problems/add-two-polynomials-represented-as-linked-lists</t>
  </si>
  <si>
    <t>53.677</t>
  </si>
  <si>
    <t>Linked List, Math, Two Pointers</t>
  </si>
  <si>
    <t>Hopper Company Queries I</t>
  </si>
  <si>
    <t>https://leetcode.com/problems/hopper-company-queries-i</t>
  </si>
  <si>
    <t>53.393</t>
  </si>
  <si>
    <t>Sort Array by Increasing Frequency</t>
  </si>
  <si>
    <t>https://leetcode.com/problems/sort-array-by-increasing-frequency</t>
  </si>
  <si>
    <t>68.465</t>
  </si>
  <si>
    <t>Widest Vertical Area Between Two Points Containing No Points</t>
  </si>
  <si>
    <t>https://leetcode.com/problems/widest-vertical-area-between-two-points-containing-no-points</t>
  </si>
  <si>
    <t>84.034</t>
  </si>
  <si>
    <t>Count Substrings That Differ by One Character</t>
  </si>
  <si>
    <t>https://leetcode.com/problems/count-substrings-that-differ-by-one-character</t>
  </si>
  <si>
    <t>71.781</t>
  </si>
  <si>
    <t>Number of Ways to Form a Target String Given a Dictionary</t>
  </si>
  <si>
    <t>https://leetcode.com/problems/number-of-ways-to-form-a-target-string-given-a-dictionary</t>
  </si>
  <si>
    <t>42.637</t>
  </si>
  <si>
    <t>Check Array Formation Through Concatenation</t>
  </si>
  <si>
    <t>https://leetcode.com/problems/check-array-formation-through-concatenation</t>
  </si>
  <si>
    <t>55.936</t>
  </si>
  <si>
    <t>Count Sorted Vowel Strings</t>
  </si>
  <si>
    <t>https://leetcode.com/problems/count-sorted-vowel-strings</t>
  </si>
  <si>
    <t>77.571</t>
  </si>
  <si>
    <t>Furthest Building You Can Reach</t>
  </si>
  <si>
    <t>https://leetcode.com/problems/furthest-building-you-can-reach</t>
  </si>
  <si>
    <t>48.166</t>
  </si>
  <si>
    <t>Kth Smallest Instructions</t>
  </si>
  <si>
    <t>https://leetcode.com/problems/kth-smallest-instructions</t>
  </si>
  <si>
    <t>45.911</t>
  </si>
  <si>
    <t>Array, Math, Dynamic Programming, Combinatorics</t>
  </si>
  <si>
    <t>Lowest Common Ancestor of a Binary Tree II</t>
  </si>
  <si>
    <t>https://leetcode.com/problems/lowest-common-ancestor-of-a-binary-tree-ii</t>
  </si>
  <si>
    <t>58.997</t>
  </si>
  <si>
    <t>Hopper Company Queries II</t>
  </si>
  <si>
    <t>https://leetcode.com/problems/hopper-company-queries-ii</t>
  </si>
  <si>
    <t>38.793</t>
  </si>
  <si>
    <t>Get Maximum in Generated Array</t>
  </si>
  <si>
    <t>https://leetcode.com/problems/get-maximum-in-generated-array</t>
  </si>
  <si>
    <t>50.608</t>
  </si>
  <si>
    <t>Array, Dynamic Programming, Simulation</t>
  </si>
  <si>
    <t>Minimum Deletions to Make Character Frequencies Unique</t>
  </si>
  <si>
    <t>https://leetcode.com/problems/minimum-deletions-to-make-character-frequencies-unique</t>
  </si>
  <si>
    <t>59.434</t>
  </si>
  <si>
    <t>Sell Diminishing-Valued Colored Balls</t>
  </si>
  <si>
    <t>https://leetcode.com/problems/sell-diminishing-valued-colored-balls</t>
  </si>
  <si>
    <t>30.897</t>
  </si>
  <si>
    <t>Array, Math, Binary Search, Greedy, Sorting, Heap (Priority Queue)</t>
  </si>
  <si>
    <t>Create Sorted Array through Instructions</t>
  </si>
  <si>
    <t>https://leetcode.com/problems/create-sorted-array-through-instructions</t>
  </si>
  <si>
    <t>37.280</t>
  </si>
  <si>
    <t>Lowest Common Ancestor of a Binary Tree III</t>
  </si>
  <si>
    <t>https://leetcode.com/problems/lowest-common-ancestor-of-a-binary-tree-iii</t>
  </si>
  <si>
    <t>77.404</t>
  </si>
  <si>
    <t>Hash Table, Tree, Binary Tree</t>
  </si>
  <si>
    <t>Hopper Company Queries III</t>
  </si>
  <si>
    <t>https://leetcode.com/problems/hopper-company-queries-iii</t>
  </si>
  <si>
    <t>67.313</t>
  </si>
  <si>
    <t>Defuse the Bomb</t>
  </si>
  <si>
    <t>https://leetcode.com/problems/defuse-the-bomb</t>
  </si>
  <si>
    <t>61.027</t>
  </si>
  <si>
    <t>Minimum Deletions to Make String Balanced</t>
  </si>
  <si>
    <t>https://leetcode.com/problems/minimum-deletions-to-make-string-balanced</t>
  </si>
  <si>
    <t>57.857</t>
  </si>
  <si>
    <t>Minimum Jumps to Reach Home</t>
  </si>
  <si>
    <t>https://leetcode.com/problems/minimum-jumps-to-reach-home</t>
  </si>
  <si>
    <t>27.795</t>
  </si>
  <si>
    <t>Distribute Repeating Integers</t>
  </si>
  <si>
    <t>https://leetcode.com/problems/distribute-repeating-integers</t>
  </si>
  <si>
    <t>40.063</t>
  </si>
  <si>
    <t>Design an Ordered Stream</t>
  </si>
  <si>
    <t>https://leetcode.com/problems/design-an-ordered-stream</t>
  </si>
  <si>
    <t>84.175</t>
  </si>
  <si>
    <t>Array, Hash Table, Design, Data Stream</t>
  </si>
  <si>
    <t>Determine if Two Strings Are Close</t>
  </si>
  <si>
    <t>https://leetcode.com/problems/determine-if-two-strings-are-close</t>
  </si>
  <si>
    <t>54.410</t>
  </si>
  <si>
    <t>Minimum Operations to Reduce X to Zero</t>
  </si>
  <si>
    <t>https://leetcode.com/problems/minimum-operations-to-reduce-x-to-zero</t>
  </si>
  <si>
    <t>37.658</t>
  </si>
  <si>
    <t>Array, Hash Table, Binary Search, Sliding Window, Prefix Sum</t>
  </si>
  <si>
    <t>Maximize Grid Happiness</t>
  </si>
  <si>
    <t>https://leetcode.com/problems/maximize-grid-happiness</t>
  </si>
  <si>
    <t>37.956</t>
  </si>
  <si>
    <t>Dynamic Programming, Bit Manipulation, Memoization, Bitmask</t>
  </si>
  <si>
    <t>Correct a Binary Tree</t>
  </si>
  <si>
    <t>https://leetcode.com/problems/correct-a-binary-tree</t>
  </si>
  <si>
    <t>72.569</t>
  </si>
  <si>
    <t>Average Time of Process per Machine</t>
  </si>
  <si>
    <t>https://leetcode.com/problems/average-time-of-process-per-machine</t>
  </si>
  <si>
    <t>79.592</t>
  </si>
  <si>
    <t>Check If Two String Arrays are Equivalent</t>
  </si>
  <si>
    <t>https://leetcode.com/problems/check-if-two-string-arrays-are-equivalent</t>
  </si>
  <si>
    <t>81.920</t>
  </si>
  <si>
    <t>Smallest String With A Given Numeric Value</t>
  </si>
  <si>
    <t>https://leetcode.com/problems/smallest-string-with-a-given-numeric-value</t>
  </si>
  <si>
    <t>67.054</t>
  </si>
  <si>
    <t>Ways to Make a Fair Array</t>
  </si>
  <si>
    <t>https://leetcode.com/problems/ways-to-make-a-fair-array</t>
  </si>
  <si>
    <t>63.483</t>
  </si>
  <si>
    <t>Minimum Initial Energy to Finish Tasks</t>
  </si>
  <si>
    <t>https://leetcode.com/problems/minimum-initial-energy-to-finish-tasks</t>
  </si>
  <si>
    <t>55.810</t>
  </si>
  <si>
    <t>Change the Root of a Binary Tree</t>
  </si>
  <si>
    <t>https://leetcode.com/problems/change-the-root-of-a-binary-tree</t>
  </si>
  <si>
    <t>68.713</t>
  </si>
  <si>
    <t>Fix Names in a Table</t>
  </si>
  <si>
    <t>https://leetcode.com/problems/fix-names-in-a-table</t>
  </si>
  <si>
    <t>64.957</t>
  </si>
  <si>
    <t>Maximum Repeating Substring</t>
  </si>
  <si>
    <t>https://leetcode.com/problems/maximum-repeating-substring</t>
  </si>
  <si>
    <t>39.611</t>
  </si>
  <si>
    <t>Merge In Between Linked Lists</t>
  </si>
  <si>
    <t>https://leetcode.com/problems/merge-in-between-linked-lists</t>
  </si>
  <si>
    <t>74.525</t>
  </si>
  <si>
    <t>Design Front Middle Back Queue</t>
  </si>
  <si>
    <t>https://leetcode.com/problems/design-front-middle-back-queue</t>
  </si>
  <si>
    <t>55.914</t>
  </si>
  <si>
    <t>Array, Linked List, Design, Queue, Data Stream</t>
  </si>
  <si>
    <t>Minimum Number of Removals to Make Mountain Array</t>
  </si>
  <si>
    <t>https://leetcode.com/problems/minimum-number-of-removals-to-make-mountain-array</t>
  </si>
  <si>
    <t>42.948</t>
  </si>
  <si>
    <t>Richest Customer Wealth</t>
  </si>
  <si>
    <t>https://leetcode.com/problems/richest-customer-wealth</t>
  </si>
  <si>
    <t>89.047</t>
  </si>
  <si>
    <t>Find the Most Competitive Subsequence</t>
  </si>
  <si>
    <t>https://leetcode.com/problems/find-the-most-competitive-subsequence</t>
  </si>
  <si>
    <t>48.785</t>
  </si>
  <si>
    <t>Array, Stack, Greedy, Monotonic Stack</t>
  </si>
  <si>
    <t>Minimum Moves to Make Array Complementary</t>
  </si>
  <si>
    <t>https://leetcode.com/problems/minimum-moves-to-make-array-complementary</t>
  </si>
  <si>
    <t>38.383</t>
  </si>
  <si>
    <t>Minimize Deviation in Array</t>
  </si>
  <si>
    <t>https://leetcode.com/problems/minimize-deviation-in-array</t>
  </si>
  <si>
    <t>52.391</t>
  </si>
  <si>
    <t>Lowest Common Ancestor of a Binary Tree IV</t>
  </si>
  <si>
    <t>https://leetcode.com/problems/lowest-common-ancestor-of-a-binary-tree-iv</t>
  </si>
  <si>
    <t>79.454</t>
  </si>
  <si>
    <t>Product's Worth Over Invoices</t>
  </si>
  <si>
    <t>https://leetcode.com/problems/products-worth-over-invoices</t>
  </si>
  <si>
    <t>40.226</t>
  </si>
  <si>
    <t>Goal Parser Interpretation</t>
  </si>
  <si>
    <t>https://leetcode.com/problems/goal-parser-interpretation</t>
  </si>
  <si>
    <t>Max Number of K-Sum Pairs</t>
  </si>
  <si>
    <t>https://leetcode.com/problems/max-number-of-k-sum-pairs</t>
  </si>
  <si>
    <t>57.503</t>
  </si>
  <si>
    <t>Array, Hash Table, Two Pointers, Sorting</t>
  </si>
  <si>
    <t>Concatenation of Consecutive Binary Numbers</t>
  </si>
  <si>
    <t>https://leetcode.com/problems/concatenation-of-consecutive-binary-numbers</t>
  </si>
  <si>
    <t>52.568</t>
  </si>
  <si>
    <t>Math, Bit Manipulation, Simulation</t>
  </si>
  <si>
    <t>Minimum Incompatibility</t>
  </si>
  <si>
    <t>https://leetcode.com/problems/minimum-incompatibility</t>
  </si>
  <si>
    <t>37.235</t>
  </si>
  <si>
    <t>Longest Palindromic Subsequence II</t>
  </si>
  <si>
    <t>https://leetcode.com/problems/longest-palindromic-subsequence-ii</t>
  </si>
  <si>
    <t>50.499</t>
  </si>
  <si>
    <t>Invalid Tweets</t>
  </si>
  <si>
    <t>https://leetcode.com/problems/invalid-tweets</t>
  </si>
  <si>
    <t>91.007</t>
  </si>
  <si>
    <t>Count the Number of Consistent Strings</t>
  </si>
  <si>
    <t>https://leetcode.com/problems/count-the-number-of-consistent-strings</t>
  </si>
  <si>
    <t>81.857</t>
  </si>
  <si>
    <t>Array, Hash Table, String, Bit Manipulation</t>
  </si>
  <si>
    <t>Sum of Absolute Differences in a Sorted Array</t>
  </si>
  <si>
    <t>https://leetcode.com/problems/sum-of-absolute-differences-in-a-sorted-array</t>
  </si>
  <si>
    <t>65.660</t>
  </si>
  <si>
    <t>Stone Game VI</t>
  </si>
  <si>
    <t>https://leetcode.com/problems/stone-game-vi</t>
  </si>
  <si>
    <t>53.972</t>
  </si>
  <si>
    <t>Array, Math, Greedy, Sorting, Heap (Priority Queue), Game Theory</t>
  </si>
  <si>
    <t>Delivering Boxes from Storage to Ports</t>
  </si>
  <si>
    <t>https://leetcode.com/problems/delivering-boxes-from-storage-to-ports</t>
  </si>
  <si>
    <t>38.138</t>
  </si>
  <si>
    <t>Array, Dynamic Programming, Segment Tree, Queue, Heap (Priority Queue), Monotonic Queue</t>
  </si>
  <si>
    <t>Count of Matches in Tournament</t>
  </si>
  <si>
    <t>https://leetcode.com/problems/count-of-matches-in-tournament</t>
  </si>
  <si>
    <t>82.939</t>
  </si>
  <si>
    <t>Partitioning Into Minimum Number Of Deci-Binary Numbers</t>
  </si>
  <si>
    <t>https://leetcode.com/problems/partitioning-into-minimum-number-of-deci-binary-numbers</t>
  </si>
  <si>
    <t>90.050</t>
  </si>
  <si>
    <t>Stone Game VII</t>
  </si>
  <si>
    <t>https://leetcode.com/problems/stone-game-vii</t>
  </si>
  <si>
    <t>58.844</t>
  </si>
  <si>
    <t xml:space="preserve">Maximum Height by Stacking Cuboids </t>
  </si>
  <si>
    <t>https://leetcode.com/problems/maximum-height-by-stacking-cuboids</t>
  </si>
  <si>
    <t>54.107</t>
  </si>
  <si>
    <t>Count Ways to Distribute Candies</t>
  </si>
  <si>
    <t>https://leetcode.com/problems/count-ways-to-distribute-candies</t>
  </si>
  <si>
    <t>61.608</t>
  </si>
  <si>
    <t>Daily Leads and Partners</t>
  </si>
  <si>
    <t>https://leetcode.com/problems/daily-leads-and-partners</t>
  </si>
  <si>
    <t>91.880</t>
  </si>
  <si>
    <t>Reformat Phone Number</t>
  </si>
  <si>
    <t>https://leetcode.com/problems/reformat-phone-number</t>
  </si>
  <si>
    <t>64.998</t>
  </si>
  <si>
    <t>Maximum Erasure Value</t>
  </si>
  <si>
    <t>https://leetcode.com/problems/maximum-erasure-value</t>
  </si>
  <si>
    <t>57.847</t>
  </si>
  <si>
    <t>Jump Game VI</t>
  </si>
  <si>
    <t>https://leetcode.com/problems/jump-game-vi</t>
  </si>
  <si>
    <t>42.786</t>
  </si>
  <si>
    <t>Checking Existence of Edge Length Limited Paths</t>
  </si>
  <si>
    <t>https://leetcode.com/problems/checking-existence-of-edge-length-limited-paths</t>
  </si>
  <si>
    <t>Array, Union Find, Graph, Sorting</t>
  </si>
  <si>
    <t>Number of Distinct Substrings in a String</t>
  </si>
  <si>
    <t>https://leetcode.com/problems/number-of-distinct-substrings-in-a-string</t>
  </si>
  <si>
    <t>61.345</t>
  </si>
  <si>
    <t>String, Trie, Rolling Hash, Suffix Array, Hash Function</t>
  </si>
  <si>
    <t>Number of Calls Between Two Persons</t>
  </si>
  <si>
    <t>https://leetcode.com/problems/number-of-calls-between-two-persons</t>
  </si>
  <si>
    <t>85.851</t>
  </si>
  <si>
    <t>Number of Students Unable to Eat Lunch</t>
  </si>
  <si>
    <t>https://leetcode.com/problems/number-of-students-unable-to-eat-lunch</t>
  </si>
  <si>
    <t>67.630</t>
  </si>
  <si>
    <t>Array, Stack, Queue, Simulation</t>
  </si>
  <si>
    <t>Average Waiting Time</t>
  </si>
  <si>
    <t>https://leetcode.com/problems/average-waiting-time</t>
  </si>
  <si>
    <t>61.923</t>
  </si>
  <si>
    <t>Maximum Binary String After Change</t>
  </si>
  <si>
    <t>https://leetcode.com/problems/maximum-binary-string-after-change</t>
  </si>
  <si>
    <t>45.648</t>
  </si>
  <si>
    <t>Minimum Adjacent Swaps for K Consecutive Ones</t>
  </si>
  <si>
    <t>https://leetcode.com/problems/minimum-adjacent-swaps-for-k-consecutive-ones</t>
  </si>
  <si>
    <t>41.488</t>
  </si>
  <si>
    <t>Array, Greedy, Sliding Window, Prefix Sum</t>
  </si>
  <si>
    <t>Determine if String Halves Are Alike</t>
  </si>
  <si>
    <t>https://leetcode.com/problems/determine-if-string-halves-are-alike</t>
  </si>
  <si>
    <t>77.751</t>
  </si>
  <si>
    <t>Maximum Number of Eaten Apples</t>
  </si>
  <si>
    <t>https://leetcode.com/problems/maximum-number-of-eaten-apples</t>
  </si>
  <si>
    <t>36.847</t>
  </si>
  <si>
    <t>Where Will the Ball Fall</t>
  </si>
  <si>
    <t>https://leetcode.com/problems/where-will-the-ball-fall</t>
  </si>
  <si>
    <t>66.570</t>
  </si>
  <si>
    <t>Array, Dynamic Programming, Depth-First Search, Matrix, Simulation</t>
  </si>
  <si>
    <t>Maximum XOR With an Element From Array</t>
  </si>
  <si>
    <t>https://leetcode.com/problems/maximum-xor-with-an-element-from-array</t>
  </si>
  <si>
    <t>Array, Bit Manipulation, Trie</t>
  </si>
  <si>
    <t>Largest Subarray Length K</t>
  </si>
  <si>
    <t>https://leetcode.com/problems/largest-subarray-length-k</t>
  </si>
  <si>
    <t>63.838</t>
  </si>
  <si>
    <t>Biggest Window Between Visits</t>
  </si>
  <si>
    <t>https://leetcode.com/problems/biggest-window-between-visits</t>
  </si>
  <si>
    <t>77.421</t>
  </si>
  <si>
    <t>Maximum Units on a Truck</t>
  </si>
  <si>
    <t>https://leetcode.com/problems/maximum-units-on-a-truck</t>
  </si>
  <si>
    <t>74.458</t>
  </si>
  <si>
    <t>Count Good Meals</t>
  </si>
  <si>
    <t>https://leetcode.com/problems/count-good-meals</t>
  </si>
  <si>
    <t>28.591</t>
  </si>
  <si>
    <t>Ways to Split Array Into Three Subarrays</t>
  </si>
  <si>
    <t>https://leetcode.com/problems/ways-to-split-array-into-three-subarrays</t>
  </si>
  <si>
    <t>32.011</t>
  </si>
  <si>
    <t>Array, Two Pointers, Binary Search, Prefix Sum</t>
  </si>
  <si>
    <t>Minimum Operations to Make a Subsequence</t>
  </si>
  <si>
    <t>https://leetcode.com/problems/minimum-operations-to-make-a-subsequence</t>
  </si>
  <si>
    <t>Array, Hash Table, Binary Search, Greedy</t>
  </si>
  <si>
    <t>Sum Of Special Evenly-Spaced Elements In Array</t>
  </si>
  <si>
    <t>https://leetcode.com/problems/sum-of-special-evenly-spaced-elements-in-array</t>
  </si>
  <si>
    <t>50.909</t>
  </si>
  <si>
    <t>Count Apples and Oranges</t>
  </si>
  <si>
    <t>https://leetcode.com/problems/count-apples-and-oranges</t>
  </si>
  <si>
    <t>77.935</t>
  </si>
  <si>
    <t>Calculate Money in Leetcode Bank</t>
  </si>
  <si>
    <t>https://leetcode.com/problems/calculate-money-in-leetcode-bank</t>
  </si>
  <si>
    <t>64.959</t>
  </si>
  <si>
    <t>Maximum Score From Removing Substrings</t>
  </si>
  <si>
    <t>https://leetcode.com/problems/maximum-score-from-removing-substrings</t>
  </si>
  <si>
    <t>45.615</t>
  </si>
  <si>
    <t>Construct the Lexicographically Largest Valid Sequence</t>
  </si>
  <si>
    <t>https://leetcode.com/problems/construct-the-lexicographically-largest-valid-sequence</t>
  </si>
  <si>
    <t>51.631</t>
  </si>
  <si>
    <t>Number Of Ways To Reconstruct A Tree</t>
  </si>
  <si>
    <t>https://leetcode.com/problems/number-of-ways-to-reconstruct-a-tree</t>
  </si>
  <si>
    <t>42.311</t>
  </si>
  <si>
    <t>Tree, Graph, Topological Sort</t>
  </si>
  <si>
    <t>Decode XORed Array</t>
  </si>
  <si>
    <t>https://leetcode.com/problems/decode-xored-array</t>
  </si>
  <si>
    <t>85.883</t>
  </si>
  <si>
    <t>Swapping Nodes in a Linked List</t>
  </si>
  <si>
    <t>https://leetcode.com/problems/swapping-nodes-in-a-linked-list</t>
  </si>
  <si>
    <t>68.109</t>
  </si>
  <si>
    <t>Minimize Hamming Distance After Swap Operations</t>
  </si>
  <si>
    <t>https://leetcode.com/problems/minimize-hamming-distance-after-swap-operations</t>
  </si>
  <si>
    <t>48.201</t>
  </si>
  <si>
    <t>Array, Depth-First Search, Union Find</t>
  </si>
  <si>
    <t>Find Minimum Time to Finish All Jobs</t>
  </si>
  <si>
    <t>https://leetcode.com/problems/find-minimum-time-to-finish-all-jobs</t>
  </si>
  <si>
    <t>42.688</t>
  </si>
  <si>
    <t>Checking Existence of Edge Length Limited Paths II</t>
  </si>
  <si>
    <t>https://leetcode.com/problems/checking-existence-of-edge-length-limited-paths-ii</t>
  </si>
  <si>
    <t>51.502</t>
  </si>
  <si>
    <t>Number Of Rectangles That Can Form The Largest Square</t>
  </si>
  <si>
    <t>https://leetcode.com/problems/number-of-rectangles-that-can-form-the-largest-square</t>
  </si>
  <si>
    <t>78.873</t>
  </si>
  <si>
    <t>Tuple with Same Product</t>
  </si>
  <si>
    <t>https://leetcode.com/problems/tuple-with-same-product</t>
  </si>
  <si>
    <t>60.495</t>
  </si>
  <si>
    <t>Largest Submatrix With Rearrangements</t>
  </si>
  <si>
    <t>https://leetcode.com/problems/largest-submatrix-with-rearrangements</t>
  </si>
  <si>
    <t>60.560</t>
  </si>
  <si>
    <t>Array, Greedy, Sorting, Matrix</t>
  </si>
  <si>
    <t>Cat and Mouse II</t>
  </si>
  <si>
    <t>https://leetcode.com/problems/cat-and-mouse-ii</t>
  </si>
  <si>
    <t>41.172</t>
  </si>
  <si>
    <t>Array, Math, Dynamic Programming, Graph, Topological Sort, Memoization, Matrix, Game Theory</t>
  </si>
  <si>
    <t>Find Followers Count</t>
  </si>
  <si>
    <t>https://leetcode.com/problems/find-followers-count</t>
  </si>
  <si>
    <t>72.060</t>
  </si>
  <si>
    <t>Shortest Path to Get Food</t>
  </si>
  <si>
    <t>https://leetcode.com/problems/shortest-path-to-get-food</t>
  </si>
  <si>
    <t>54.313</t>
  </si>
  <si>
    <t>The Number of Employees Which Report to Each Employee</t>
  </si>
  <si>
    <t>https://leetcode.com/problems/the-number-of-employees-which-report-to-each-employee</t>
  </si>
  <si>
    <t>49.678</t>
  </si>
  <si>
    <t>Find the Highest Altitude</t>
  </si>
  <si>
    <t>https://leetcode.com/problems/find-the-highest-altitude</t>
  </si>
  <si>
    <t>78.824</t>
  </si>
  <si>
    <t>Minimum Number of People to Teach</t>
  </si>
  <si>
    <t>https://leetcode.com/problems/minimum-number-of-people-to-teach</t>
  </si>
  <si>
    <t>40.987</t>
  </si>
  <si>
    <t>Decode XORed Permutation</t>
  </si>
  <si>
    <t>https://leetcode.com/problems/decode-xored-permutation</t>
  </si>
  <si>
    <t>61.606</t>
  </si>
  <si>
    <t>Count Ways to Make Array With Product</t>
  </si>
  <si>
    <t>https://leetcode.com/problems/count-ways-to-make-array-with-product</t>
  </si>
  <si>
    <t>49.475</t>
  </si>
  <si>
    <t>Latest Time by Replacing Hidden Digits</t>
  </si>
  <si>
    <t>https://leetcode.com/problems/latest-time-by-replacing-hidden-digits</t>
  </si>
  <si>
    <t>42.101</t>
  </si>
  <si>
    <t>Change Minimum Characters to Satisfy One of Three Conditions</t>
  </si>
  <si>
    <t>https://leetcode.com/problems/change-minimum-characters-to-satisfy-one-of-three-conditions</t>
  </si>
  <si>
    <t>34.777</t>
  </si>
  <si>
    <t>Hash Table, String, Counting, Prefix Sum</t>
  </si>
  <si>
    <t>Find Kth Largest XOR Coordinate Value</t>
  </si>
  <si>
    <t>https://leetcode.com/problems/find-kth-largest-xor-coordinate-value</t>
  </si>
  <si>
    <t>61.875</t>
  </si>
  <si>
    <t>Array, Divide and Conquer, Bit Manipulation, Heap (Priority Queue), Matrix, Prefix Sum, Quickselect</t>
  </si>
  <si>
    <t>Building Boxes</t>
  </si>
  <si>
    <t>https://leetcode.com/problems/building-boxes</t>
  </si>
  <si>
    <t>51.213</t>
  </si>
  <si>
    <t>Math, Binary Search, Greedy</t>
  </si>
  <si>
    <t>Find Distance in a Binary Tree</t>
  </si>
  <si>
    <t>https://leetcode.com/problems/find-distance-in-a-binary-tree</t>
  </si>
  <si>
    <t>68.578</t>
  </si>
  <si>
    <t>Find Total Time Spent by Each Employee</t>
  </si>
  <si>
    <t>https://leetcode.com/problems/find-total-time-spent-by-each-employee</t>
  </si>
  <si>
    <t>91.867</t>
  </si>
  <si>
    <t>Maximum Number of Balls in a Box</t>
  </si>
  <si>
    <t>https://leetcode.com/problems/maximum-number-of-balls-in-a-box</t>
  </si>
  <si>
    <t>73.774</t>
  </si>
  <si>
    <t>Hash Table, Math, Counting</t>
  </si>
  <si>
    <t>Restore the Array From Adjacent Pairs</t>
  </si>
  <si>
    <t>https://leetcode.com/problems/restore-the-array-from-adjacent-pairs</t>
  </si>
  <si>
    <t>68.244</t>
  </si>
  <si>
    <t>Can You Eat Your Favorite Candy on Your Favorite Day?</t>
  </si>
  <si>
    <t>https://leetcode.com/problems/can-you-eat-your-favorite-candy-on-your-favorite-day</t>
  </si>
  <si>
    <t>32.557</t>
  </si>
  <si>
    <t>Palindrome Partitioning IV</t>
  </si>
  <si>
    <t>https://leetcode.com/problems/palindrome-partitioning-iv</t>
  </si>
  <si>
    <t>47.966</t>
  </si>
  <si>
    <t>Maximum Subarray Sum After One Operation</t>
  </si>
  <si>
    <t>https://leetcode.com/problems/maximum-subarray-sum-after-one-operation</t>
  </si>
  <si>
    <t>61.880</t>
  </si>
  <si>
    <t>Leetflex Banned Accounts</t>
  </si>
  <si>
    <t>https://leetcode.com/problems/leetflex-banned-accounts</t>
  </si>
  <si>
    <t>67.740</t>
  </si>
  <si>
    <t>Sum of Unique Elements</t>
  </si>
  <si>
    <t>https://leetcode.com/problems/sum-of-unique-elements</t>
  </si>
  <si>
    <t>75.646</t>
  </si>
  <si>
    <t>Maximum Absolute Sum of Any Subarray</t>
  </si>
  <si>
    <t>https://leetcode.com/problems/maximum-absolute-sum-of-any-subarray</t>
  </si>
  <si>
    <t>57.605</t>
  </si>
  <si>
    <t>Minimum Length of String After Deleting Similar Ends</t>
  </si>
  <si>
    <t>https://leetcode.com/problems/minimum-length-of-string-after-deleting-similar-ends</t>
  </si>
  <si>
    <t>43.409</t>
  </si>
  <si>
    <t>Maximum Number of Events That Can Be Attended II</t>
  </si>
  <si>
    <t>https://leetcode.com/problems/maximum-number-of-events-that-can-be-attended-ii</t>
  </si>
  <si>
    <t>55.368</t>
  </si>
  <si>
    <t>Check if Array Is Sorted and Rotated</t>
  </si>
  <si>
    <t>https://leetcode.com/problems/check-if-array-is-sorted-and-rotated</t>
  </si>
  <si>
    <t>48.500</t>
  </si>
  <si>
    <t>Maximum Score From Removing Stones</t>
  </si>
  <si>
    <t>https://leetcode.com/problems/maximum-score-from-removing-stones</t>
  </si>
  <si>
    <t>65.643</t>
  </si>
  <si>
    <t>Largest Merge Of Two Strings</t>
  </si>
  <si>
    <t>https://leetcode.com/problems/largest-merge-of-two-strings</t>
  </si>
  <si>
    <t>44.507</t>
  </si>
  <si>
    <t>Closest Subsequence Sum</t>
  </si>
  <si>
    <t>https://leetcode.com/problems/closest-subsequence-sum</t>
  </si>
  <si>
    <t>36.393</t>
  </si>
  <si>
    <t>Array, Two Pointers, Dynamic Programming, Bit Manipulation, Bitmask</t>
  </si>
  <si>
    <t>Design Most Recently Used Queue</t>
  </si>
  <si>
    <t>https://leetcode.com/problems/design-most-recently-used-queue</t>
  </si>
  <si>
    <t>79.058</t>
  </si>
  <si>
    <t>Array, Hash Table, Stack, Design, Binary Indexed Tree, Ordered Set</t>
  </si>
  <si>
    <t>Recyclable and Low Fat Products</t>
  </si>
  <si>
    <t>https://leetcode.com/problems/recyclable-and-low-fat-products</t>
  </si>
  <si>
    <t>94.008</t>
  </si>
  <si>
    <t>Minimum Changes To Make Alternating Binary String</t>
  </si>
  <si>
    <t>https://leetcode.com/problems/minimum-changes-to-make-alternating-binary-string</t>
  </si>
  <si>
    <t>59.014</t>
  </si>
  <si>
    <t>Count Number of Homogenous Substrings</t>
  </si>
  <si>
    <t>https://leetcode.com/problems/count-number-of-homogenous-substrings</t>
  </si>
  <si>
    <t>47.017</t>
  </si>
  <si>
    <t>Minimum Limit of Balls in a Bag</t>
  </si>
  <si>
    <t>https://leetcode.com/problems/minimum-limit-of-balls-in-a-bag</t>
  </si>
  <si>
    <t>Minimum Degree of a Connected Trio in a Graph</t>
  </si>
  <si>
    <t>https://leetcode.com/problems/minimum-degree-of-a-connected-trio-in-a-graph</t>
  </si>
  <si>
    <t>41.582</t>
  </si>
  <si>
    <t>Buildings With an Ocean View</t>
  </si>
  <si>
    <t>https://leetcode.com/problems/buildings-with-an-ocean-view</t>
  </si>
  <si>
    <t>Longest Nice Substring</t>
  </si>
  <si>
    <t>https://leetcode.com/problems/longest-nice-substring</t>
  </si>
  <si>
    <t>61.835</t>
  </si>
  <si>
    <t>Hash Table, String, Bit Manipulation, Sliding Window</t>
  </si>
  <si>
    <t>Form Array by Concatenating Subarrays of Another Array</t>
  </si>
  <si>
    <t>https://leetcode.com/problems/form-array-by-concatenating-subarrays-of-another-array</t>
  </si>
  <si>
    <t>52.991</t>
  </si>
  <si>
    <t>Array, Greedy, String Matching</t>
  </si>
  <si>
    <t>Map of Highest Peak</t>
  </si>
  <si>
    <t>https://leetcode.com/problems/map-of-highest-peak</t>
  </si>
  <si>
    <t>60.113</t>
  </si>
  <si>
    <t>Tree of Coprimes</t>
  </si>
  <si>
    <t>https://leetcode.com/problems/tree-of-coprimes</t>
  </si>
  <si>
    <t>38.365</t>
  </si>
  <si>
    <t>Math, Tree, Depth-First Search, Breadth-First Search</t>
  </si>
  <si>
    <t>Find the Subtasks That Did Not Execute</t>
  </si>
  <si>
    <t>https://leetcode.com/problems/find-the-subtasks-that-did-not-execute</t>
  </si>
  <si>
    <t>84.033</t>
  </si>
  <si>
    <t>Merge Strings Alternately</t>
  </si>
  <si>
    <t>https://leetcode.com/problems/merge-strings-alternately</t>
  </si>
  <si>
    <t>75.874</t>
  </si>
  <si>
    <t>Minimum Number of Operations to Move All Balls to Each Box</t>
  </si>
  <si>
    <t>https://leetcode.com/problems/minimum-number-of-operations-to-move-all-balls-to-each-box</t>
  </si>
  <si>
    <t>85.565</t>
  </si>
  <si>
    <t>Maximum Score from Performing Multiplication Operations</t>
  </si>
  <si>
    <t>https://leetcode.com/problems/maximum-score-from-performing-multiplication-operations</t>
  </si>
  <si>
    <t>35.050</t>
  </si>
  <si>
    <t>Maximize Palindrome Length From Subsequences</t>
  </si>
  <si>
    <t>https://leetcode.com/problems/maximize-palindrome-length-from-subsequences</t>
  </si>
  <si>
    <t>34.794</t>
  </si>
  <si>
    <t>Sort Features by Popularity</t>
  </si>
  <si>
    <t>https://leetcode.com/problems/sort-features-by-popularity</t>
  </si>
  <si>
    <t>65.632</t>
  </si>
  <si>
    <t>Count Items Matching a Rule</t>
  </si>
  <si>
    <t>https://leetcode.com/problems/count-items-matching-a-rule</t>
  </si>
  <si>
    <t>84.389</t>
  </si>
  <si>
    <t>Closest Dessert Cost</t>
  </si>
  <si>
    <t>https://leetcode.com/problems/closest-dessert-cost</t>
  </si>
  <si>
    <t>46.157</t>
  </si>
  <si>
    <t>Equal Sum Arrays With Minimum Number of Operations</t>
  </si>
  <si>
    <t>https://leetcode.com/problems/equal-sum-arrays-with-minimum-number-of-operations</t>
  </si>
  <si>
    <t>52.089</t>
  </si>
  <si>
    <t>Array, Hash Table, Greedy, Counting</t>
  </si>
  <si>
    <t>Car Fleet II</t>
  </si>
  <si>
    <t>https://leetcode.com/problems/car-fleet-ii</t>
  </si>
  <si>
    <t>52.946</t>
  </si>
  <si>
    <t>Array, Math, Stack, Heap (Priority Queue), Monotonic Stack</t>
  </si>
  <si>
    <t>Product's Price for Each Store</t>
  </si>
  <si>
    <t>https://leetcode.com/problems/products-price-for-each-store</t>
  </si>
  <si>
    <t>85.689</t>
  </si>
  <si>
    <t>Shortest Path in a Hidden Grid</t>
  </si>
  <si>
    <t>https://leetcode.com/problems/shortest-path-in-a-hidden-grid</t>
  </si>
  <si>
    <t>41.061</t>
  </si>
  <si>
    <t>Depth-First Search, Breadth-First Search, Graph, Interactive</t>
  </si>
  <si>
    <t>Find Nearest Point That Has the Same X or Y Coordinate</t>
  </si>
  <si>
    <t>https://leetcode.com/problems/find-nearest-point-that-has-the-same-x-or-y-coordinate</t>
  </si>
  <si>
    <t>67.609</t>
  </si>
  <si>
    <t>Check if Number is a Sum of Powers of Three</t>
  </si>
  <si>
    <t>https://leetcode.com/problems/check-if-number-is-a-sum-of-powers-of-three</t>
  </si>
  <si>
    <t>65.134</t>
  </si>
  <si>
    <t>Sum of Beauty of All Substrings</t>
  </si>
  <si>
    <t>https://leetcode.com/problems/sum-of-beauty-of-all-substrings</t>
  </si>
  <si>
    <t>60.091</t>
  </si>
  <si>
    <t>Count Pairs Of Nodes</t>
  </si>
  <si>
    <t>https://leetcode.com/problems/count-pairs-of-nodes</t>
  </si>
  <si>
    <t>37.756</t>
  </si>
  <si>
    <t>Two Pointers, Binary Search, Graph</t>
  </si>
  <si>
    <t>Grand Slam Titles</t>
  </si>
  <si>
    <t>https://leetcode.com/problems/grand-slam-titles</t>
  </si>
  <si>
    <t>89.023</t>
  </si>
  <si>
    <t>Check if Binary String Has at Most One Segment of Ones</t>
  </si>
  <si>
    <t>https://leetcode.com/problems/check-if-binary-string-has-at-most-one-segment-of-ones</t>
  </si>
  <si>
    <t>40.777</t>
  </si>
  <si>
    <t>Minimum Elements to Add to Form a Given Sum</t>
  </si>
  <si>
    <t>https://leetcode.com/problems/minimum-elements-to-add-to-form-a-given-sum</t>
  </si>
  <si>
    <t>41.956</t>
  </si>
  <si>
    <t>Number of Restricted Paths From First to Last Node</t>
  </si>
  <si>
    <t>https://leetcode.com/problems/number-of-restricted-paths-from-first-to-last-node</t>
  </si>
  <si>
    <t>39.085</t>
  </si>
  <si>
    <t>Dynamic Programming, Graph, Topological Sort, Heap (Priority Queue), Shortest Path</t>
  </si>
  <si>
    <t>Make the XOR of All Segments Equal to Zero</t>
  </si>
  <si>
    <t>https://leetcode.com/problems/make-the-xor-of-all-segments-equal-to-zero</t>
  </si>
  <si>
    <t>39.622</t>
  </si>
  <si>
    <t>Maximize the Beauty of the Garden</t>
  </si>
  <si>
    <t>https://leetcode.com/problems/maximize-the-beauty-of-the-garden</t>
  </si>
  <si>
    <t>67.447</t>
  </si>
  <si>
    <t>Array, Greedy, Prefix Sum</t>
  </si>
  <si>
    <t>Primary Department for Each Employee</t>
  </si>
  <si>
    <t>https://leetcode.com/problems/primary-department-for-each-employee</t>
  </si>
  <si>
    <t>79.594</t>
  </si>
  <si>
    <t>Check if One String Swap Can Make Strings Equal</t>
  </si>
  <si>
    <t>https://leetcode.com/problems/check-if-one-string-swap-can-make-strings-equal</t>
  </si>
  <si>
    <t>Find Center of Star Graph</t>
  </si>
  <si>
    <t>https://leetcode.com/problems/find-center-of-star-graph</t>
  </si>
  <si>
    <t>83.577</t>
  </si>
  <si>
    <t>Maximum Average Pass Ratio</t>
  </si>
  <si>
    <t>https://leetcode.com/problems/maximum-average-pass-ratio</t>
  </si>
  <si>
    <t>51.334</t>
  </si>
  <si>
    <t>Maximum Score of a Good Subarray</t>
  </si>
  <si>
    <t>https://leetcode.com/problems/maximum-score-of-a-good-subarray</t>
  </si>
  <si>
    <t>52.345</t>
  </si>
  <si>
    <t>Count Pairs of Equal Substrings With Minimum Difference</t>
  </si>
  <si>
    <t>https://leetcode.com/problems/count-pairs-of-equal-substrings-with-minimum-difference</t>
  </si>
  <si>
    <t>65.172</t>
  </si>
  <si>
    <t>Rearrange Products Table</t>
  </si>
  <si>
    <t>https://leetcode.com/problems/rearrange-products-table</t>
  </si>
  <si>
    <t>90.638</t>
  </si>
  <si>
    <t>Second Largest Digit in a String</t>
  </si>
  <si>
    <t>https://leetcode.com/problems/second-largest-digit-in-a-string</t>
  </si>
  <si>
    <t>49.042</t>
  </si>
  <si>
    <t>Design Authentication Manager</t>
  </si>
  <si>
    <t>https://leetcode.com/problems/design-authentication-manager</t>
  </si>
  <si>
    <t>54.989</t>
  </si>
  <si>
    <t>Maximum Number of Consecutive Values You Can Make</t>
  </si>
  <si>
    <t>https://leetcode.com/problems/maximum-number-of-consecutive-values-you-can-make</t>
  </si>
  <si>
    <t>52.963</t>
  </si>
  <si>
    <t>Maximize Score After N Operations</t>
  </si>
  <si>
    <t>https://leetcode.com/problems/maximize-score-after-n-operations</t>
  </si>
  <si>
    <t>46.073</t>
  </si>
  <si>
    <t>Array, Math, Dynamic Programming, Backtracking, Bit Manipulation, Number Theory, Bitmask</t>
  </si>
  <si>
    <t>Maximum Ascending Subarray Sum</t>
  </si>
  <si>
    <t>https://leetcode.com/problems/maximum-ascending-subarray-sum</t>
  </si>
  <si>
    <t>64.040</t>
  </si>
  <si>
    <t>Number of Orders in the Backlog</t>
  </si>
  <si>
    <t>https://leetcode.com/problems/number-of-orders-in-the-backlog</t>
  </si>
  <si>
    <t>46.428</t>
  </si>
  <si>
    <t>Array, Heap (Priority Queue), Simulation</t>
  </si>
  <si>
    <t>Maximum Value at a Given Index in a Bounded Array</t>
  </si>
  <si>
    <t>https://leetcode.com/problems/maximum-value-at-a-given-index-in-a-bounded-array</t>
  </si>
  <si>
    <t>31.100</t>
  </si>
  <si>
    <t>Binary Search, Greedy</t>
  </si>
  <si>
    <t>Count Pairs With XOR in a Range</t>
  </si>
  <si>
    <t>https://leetcode.com/problems/count-pairs-with-xor-in-a-range</t>
  </si>
  <si>
    <t>46.335</t>
  </si>
  <si>
    <t>Implement Trie II (Prefix Tree)</t>
  </si>
  <si>
    <t>https://leetcode.com/problems/implement-trie-ii-prefix-tree</t>
  </si>
  <si>
    <t>59.691</t>
  </si>
  <si>
    <t>Number of Different Integers in a String</t>
  </si>
  <si>
    <t>https://leetcode.com/problems/number-of-different-integers-in-a-string</t>
  </si>
  <si>
    <t>35.943</t>
  </si>
  <si>
    <t>Minimum Number of Operations to Reinitialize a Permutation</t>
  </si>
  <si>
    <t>https://leetcode.com/problems/minimum-number-of-operations-to-reinitialize-a-permutation</t>
  </si>
  <si>
    <t>71.083</t>
  </si>
  <si>
    <t>Evaluate the Bracket Pairs of a String</t>
  </si>
  <si>
    <t>https://leetcode.com/problems/evaluate-the-bracket-pairs-of-a-string</t>
  </si>
  <si>
    <t>66.519</t>
  </si>
  <si>
    <t>Maximize Number of Nice Divisors</t>
  </si>
  <si>
    <t>https://leetcode.com/problems/maximize-number-of-nice-divisors</t>
  </si>
  <si>
    <t>30.699</t>
  </si>
  <si>
    <t>Ad-Free Sessions</t>
  </si>
  <si>
    <t>https://leetcode.com/problems/ad-free-sessions</t>
  </si>
  <si>
    <t>59.802</t>
  </si>
  <si>
    <t>Minimum Path Cost in a Hidden Grid</t>
  </si>
  <si>
    <t>https://leetcode.com/problems/minimum-path-cost-in-a-hidden-grid</t>
  </si>
  <si>
    <t>54.007</t>
  </si>
  <si>
    <t>Depth-First Search, Breadth-First Search, Graph, Heap (Priority Queue), Interactive</t>
  </si>
  <si>
    <t>Find Interview Candidates</t>
  </si>
  <si>
    <t>https://leetcode.com/problems/find-interview-candidates</t>
  </si>
  <si>
    <t>64.817</t>
  </si>
  <si>
    <t>Determine Color of a Chessboard Square</t>
  </si>
  <si>
    <t>https://leetcode.com/problems/determine-color-of-a-chessboard-square</t>
  </si>
  <si>
    <t>77.666</t>
  </si>
  <si>
    <t>Sentence Similarity III</t>
  </si>
  <si>
    <t>https://leetcode.com/problems/sentence-similarity-iii</t>
  </si>
  <si>
    <t>32.768</t>
  </si>
  <si>
    <t>Count Nice Pairs in an Array</t>
  </si>
  <si>
    <t>https://leetcode.com/problems/count-nice-pairs-in-an-array</t>
  </si>
  <si>
    <t>40.870</t>
  </si>
  <si>
    <t>Maximum Number of Groups Getting Fresh Donuts</t>
  </si>
  <si>
    <t>https://leetcode.com/problems/maximum-number-of-groups-getting-fresh-donuts</t>
  </si>
  <si>
    <t>39.983</t>
  </si>
  <si>
    <t>Array, Dynamic Programming, Bit Manipulation, Memoization, Bitmask</t>
  </si>
  <si>
    <t>Truncate Sentence</t>
  </si>
  <si>
    <t>https://leetcode.com/problems/truncate-sentence</t>
  </si>
  <si>
    <t>81.473</t>
  </si>
  <si>
    <t>Finding the Users Active Minutes</t>
  </si>
  <si>
    <t>https://leetcode.com/problems/finding-the-users-active-minutes</t>
  </si>
  <si>
    <t>80.687</t>
  </si>
  <si>
    <t>Minimum Absolute Sum Difference</t>
  </si>
  <si>
    <t>https://leetcode.com/problems/minimum-absolute-sum-difference</t>
  </si>
  <si>
    <t>29.814</t>
  </si>
  <si>
    <t>Array, Binary Search, Sorting, Ordered Set</t>
  </si>
  <si>
    <t>Number of Different Subsequences GCDs</t>
  </si>
  <si>
    <t>https://leetcode.com/problems/number-of-different-subsequences-gcds</t>
  </si>
  <si>
    <t>37.241</t>
  </si>
  <si>
    <t>Array, Math, Counting, Number Theory</t>
  </si>
  <si>
    <t>Maximum Number of Accepted Invitations</t>
  </si>
  <si>
    <t>https://leetcode.com/problems/maximum-number-of-accepted-invitations</t>
  </si>
  <si>
    <t>48.395</t>
  </si>
  <si>
    <t>Find Customers With Positive Revenue this Year</t>
  </si>
  <si>
    <t>https://leetcode.com/problems/find-customers-with-positive-revenue-this-year</t>
  </si>
  <si>
    <t>89.556</t>
  </si>
  <si>
    <t>Sign of the Product of an Array</t>
  </si>
  <si>
    <t>https://leetcode.com/problems/sign-of-the-product-of-an-array</t>
  </si>
  <si>
    <t>67.027</t>
  </si>
  <si>
    <t>Find the Winner of the Circular Game</t>
  </si>
  <si>
    <t>https://leetcode.com/problems/find-the-winner-of-the-circular-game</t>
  </si>
  <si>
    <t>76.808</t>
  </si>
  <si>
    <t>Array, Math, Recursion, Queue, Simulation</t>
  </si>
  <si>
    <t>Minimum Sideway Jumps</t>
  </si>
  <si>
    <t>https://leetcode.com/problems/minimum-sideway-jumps</t>
  </si>
  <si>
    <t>49.438</t>
  </si>
  <si>
    <t>Finding MK Average</t>
  </si>
  <si>
    <t>https://leetcode.com/problems/finding-mk-average</t>
  </si>
  <si>
    <t>34.198</t>
  </si>
  <si>
    <t>Design, Queue, Heap (Priority Queue), Ordered Set</t>
  </si>
  <si>
    <t>Faulty Sensor</t>
  </si>
  <si>
    <t>https://leetcode.com/problems/faulty-sensor</t>
  </si>
  <si>
    <t>49.333</t>
  </si>
  <si>
    <t>Minimum Operations to Make the Array Increasing</t>
  </si>
  <si>
    <t>https://leetcode.com/problems/minimum-operations-to-make-the-array-increasing</t>
  </si>
  <si>
    <t>78.225</t>
  </si>
  <si>
    <t>Queries on Number of Points Inside a Circle</t>
  </si>
  <si>
    <t>https://leetcode.com/problems/queries-on-number-of-points-inside-a-circle</t>
  </si>
  <si>
    <t>86.435</t>
  </si>
  <si>
    <t>Maximum XOR for Each Query</t>
  </si>
  <si>
    <t>https://leetcode.com/problems/maximum-xor-for-each-query</t>
  </si>
  <si>
    <t>76.377</t>
  </si>
  <si>
    <t>Minimum Number of Operations to Make String Sorted</t>
  </si>
  <si>
    <t>https://leetcode.com/problems/minimum-number-of-operations-to-make-string-sorted</t>
  </si>
  <si>
    <t>48.290</t>
  </si>
  <si>
    <t>Math, String, Combinatorics</t>
  </si>
  <si>
    <t>Maximum Transaction Each Day</t>
  </si>
  <si>
    <t>https://leetcode.com/problems/maximum-transaction-each-day</t>
  </si>
  <si>
    <t>83.187</t>
  </si>
  <si>
    <t>Check if the Sentence Is Pangram</t>
  </si>
  <si>
    <t>https://leetcode.com/problems/check-if-the-sentence-is-pangram</t>
  </si>
  <si>
    <t>81.378</t>
  </si>
  <si>
    <t>Maximum Ice Cream Bars</t>
  </si>
  <si>
    <t>https://leetcode.com/problems/maximum-ice-cream-bars</t>
  </si>
  <si>
    <t>65.161</t>
  </si>
  <si>
    <t>Single-Threaded CPU</t>
  </si>
  <si>
    <t>https://leetcode.com/problems/single-threaded-cpu</t>
  </si>
  <si>
    <t>41.521</t>
  </si>
  <si>
    <t>Find XOR Sum of All Pairs Bitwise AND</t>
  </si>
  <si>
    <t>https://leetcode.com/problems/find-xor-sum-of-all-pairs-bitwise-and</t>
  </si>
  <si>
    <t>59.401</t>
  </si>
  <si>
    <t>Remove Duplicates From an Unsorted Linked List</t>
  </si>
  <si>
    <t>https://leetcode.com/problems/remove-duplicates-from-an-unsorted-linked-list</t>
  </si>
  <si>
    <t>69.075</t>
  </si>
  <si>
    <t>Sum of Digits in Base K</t>
  </si>
  <si>
    <t>https://leetcode.com/problems/sum-of-digits-in-base-k</t>
  </si>
  <si>
    <t>76.604</t>
  </si>
  <si>
    <t>Frequency of the Most Frequent Element</t>
  </si>
  <si>
    <t>https://leetcode.com/problems/frequency-of-the-most-frequent-element</t>
  </si>
  <si>
    <t>37.541</t>
  </si>
  <si>
    <t>Array, Binary Search, Greedy, Sliding Window, Sorting, Prefix Sum</t>
  </si>
  <si>
    <t>Longest Substring Of All Vowels in Order</t>
  </si>
  <si>
    <t>https://leetcode.com/problems/longest-substring-of-all-vowels-in-order</t>
  </si>
  <si>
    <t>48.038</t>
  </si>
  <si>
    <t>Maximum Building Height</t>
  </si>
  <si>
    <t>https://leetcode.com/problems/maximum-building-height</t>
  </si>
  <si>
    <t>35.195</t>
  </si>
  <si>
    <t>League Statistics</t>
  </si>
  <si>
    <t>https://leetcode.com/problems/league-statistics</t>
  </si>
  <si>
    <t>57.388</t>
  </si>
  <si>
    <t>Next Palindrome Using Same Digits</t>
  </si>
  <si>
    <t>https://leetcode.com/problems/next-palindrome-using-same-digits</t>
  </si>
  <si>
    <t>53.829</t>
  </si>
  <si>
    <t>Suspicious Bank Accounts</t>
  </si>
  <si>
    <t>https://leetcode.com/problems/suspicious-bank-accounts</t>
  </si>
  <si>
    <t>47.828</t>
  </si>
  <si>
    <t>Replace All Digits with Characters</t>
  </si>
  <si>
    <t>https://leetcode.com/problems/replace-all-digits-with-characters</t>
  </si>
  <si>
    <t>79.778</t>
  </si>
  <si>
    <t>Seat Reservation Manager</t>
  </si>
  <si>
    <t>https://leetcode.com/problems/seat-reservation-manager</t>
  </si>
  <si>
    <t>62.623</t>
  </si>
  <si>
    <t>Design, Heap (Priority Queue)</t>
  </si>
  <si>
    <t>Maximum Element After Decreasing and Rearranging</t>
  </si>
  <si>
    <t>https://leetcode.com/problems/maximum-element-after-decreasing-and-rearranging</t>
  </si>
  <si>
    <t>58.301</t>
  </si>
  <si>
    <t>Closest Room</t>
  </si>
  <si>
    <t>https://leetcode.com/problems/closest-room</t>
  </si>
  <si>
    <t>34.190</t>
  </si>
  <si>
    <t>Minimum Distance to the Target Element</t>
  </si>
  <si>
    <t>https://leetcode.com/problems/minimum-distance-to-the-target-element</t>
  </si>
  <si>
    <t>59.451</t>
  </si>
  <si>
    <t>Splitting a String Into Descending Consecutive Values</t>
  </si>
  <si>
    <t>https://leetcode.com/problems/splitting-a-string-into-descending-consecutive-values</t>
  </si>
  <si>
    <t>31.631</t>
  </si>
  <si>
    <t>Minimum Adjacent Swaps to Reach the Kth Smallest Number</t>
  </si>
  <si>
    <t>https://leetcode.com/problems/minimum-adjacent-swaps-to-reach-the-kth-smallest-number</t>
  </si>
  <si>
    <t>71.748</t>
  </si>
  <si>
    <t>Minimum Interval to Include Each Query</t>
  </si>
  <si>
    <t>https://leetcode.com/problems/minimum-interval-to-include-each-query</t>
  </si>
  <si>
    <t>46.605</t>
  </si>
  <si>
    <t>Array, Binary Search, Line Sweep, Sorting, Heap (Priority Queue)</t>
  </si>
  <si>
    <t>Distinct Numbers in Each Subarray</t>
  </si>
  <si>
    <t>https://leetcode.com/problems/distinct-numbers-in-each-subarray</t>
  </si>
  <si>
    <t>72.212</t>
  </si>
  <si>
    <t>Convert Date Format</t>
  </si>
  <si>
    <t>https://leetcode.com/problems/convert-date-format</t>
  </si>
  <si>
    <t>87.651</t>
  </si>
  <si>
    <t>Maximum Population Year</t>
  </si>
  <si>
    <t>https://leetcode.com/problems/maximum-population-year</t>
  </si>
  <si>
    <t>59.187</t>
  </si>
  <si>
    <t>Array, Counting</t>
  </si>
  <si>
    <t>Maximum Distance Between a Pair of Values</t>
  </si>
  <si>
    <t>https://leetcode.com/problems/maximum-distance-between-a-pair-of-values</t>
  </si>
  <si>
    <t>51.930</t>
  </si>
  <si>
    <t>Array, Two Pointers, Binary Search, Greedy</t>
  </si>
  <si>
    <t>Maximum Subarray Min-Product</t>
  </si>
  <si>
    <t>https://leetcode.com/problems/maximum-subarray-min-product</t>
  </si>
  <si>
    <t>36.524</t>
  </si>
  <si>
    <t>Array, Stack, Monotonic Stack, Prefix Sum</t>
  </si>
  <si>
    <t>Largest Color Value in a Directed Graph</t>
  </si>
  <si>
    <t>https://leetcode.com/problems/largest-color-value-in-a-directed-graph</t>
  </si>
  <si>
    <t>39.973</t>
  </si>
  <si>
    <t>Hash Table, Dynamic Programming, Graph, Topological Sort, Memoization, Counting</t>
  </si>
  <si>
    <t>Longest Word With All Prefixes</t>
  </si>
  <si>
    <t>https://leetcode.com/problems/longest-word-with-all-prefixes</t>
  </si>
  <si>
    <t>65.727</t>
  </si>
  <si>
    <t>Sorting the Sentence</t>
  </si>
  <si>
    <t>https://leetcode.com/problems/sorting-the-sentence</t>
  </si>
  <si>
    <t>Incremental Memory Leak</t>
  </si>
  <si>
    <t>https://leetcode.com/problems/incremental-memory-leak</t>
  </si>
  <si>
    <t>71.221</t>
  </si>
  <si>
    <t>Simulation</t>
  </si>
  <si>
    <t>Rotating the Box</t>
  </si>
  <si>
    <t>https://leetcode.com/problems/rotating-the-box</t>
  </si>
  <si>
    <t>64.922</t>
  </si>
  <si>
    <t>Array, Two Pointers, Matrix</t>
  </si>
  <si>
    <t>Sum of Floored Pairs</t>
  </si>
  <si>
    <t>https://leetcode.com/problems/sum-of-floored-pairs</t>
  </si>
  <si>
    <t>28.111</t>
  </si>
  <si>
    <t>Array, Math, Binary Search, Prefix Sum</t>
  </si>
  <si>
    <t>Sum of All Subset XOR Totals</t>
  </si>
  <si>
    <t>https://leetcode.com/problems/sum-of-all-subset-xor-totals</t>
  </si>
  <si>
    <t>78.670</t>
  </si>
  <si>
    <t>Array, Math, Backtracking, Bit Manipulation, Combinatorics</t>
  </si>
  <si>
    <t>Minimum Number of Swaps to Make the Binary String Alternating</t>
  </si>
  <si>
    <t>https://leetcode.com/problems/minimum-number-of-swaps-to-make-the-binary-string-alternating</t>
  </si>
  <si>
    <t>39.444</t>
  </si>
  <si>
    <t>Finding Pairs With a Certain Sum</t>
  </si>
  <si>
    <t>https://leetcode.com/problems/finding-pairs-with-a-certain-sum</t>
  </si>
  <si>
    <t>49.761</t>
  </si>
  <si>
    <t>Number of Ways to Rearrange Sticks With K Sticks Visible</t>
  </si>
  <si>
    <t>https://leetcode.com/problems/number-of-ways-to-rearrange-sticks-with-k-sticks-visible</t>
  </si>
  <si>
    <t>55.390</t>
  </si>
  <si>
    <t>Orders With Maximum Quantity Above Average</t>
  </si>
  <si>
    <t>https://leetcode.com/problems/orders-with-maximum-quantity-above-average</t>
  </si>
  <si>
    <t>75.040</t>
  </si>
  <si>
    <t>Product of Two Run-Length Encoded Arrays</t>
  </si>
  <si>
    <t>https://leetcode.com/problems/product-of-two-run-length-encoded-arrays</t>
  </si>
  <si>
    <t>57.876</t>
  </si>
  <si>
    <t>Longer Contiguous Segments of Ones than Zeros</t>
  </si>
  <si>
    <t>https://leetcode.com/problems/longer-contiguous-segments-of-ones-than-zeros</t>
  </si>
  <si>
    <t>60.407</t>
  </si>
  <si>
    <t>Minimum Speed to Arrive on Time</t>
  </si>
  <si>
    <t>https://leetcode.com/problems/minimum-speed-to-arrive-on-time</t>
  </si>
  <si>
    <t>36.742</t>
  </si>
  <si>
    <t>Jump Game VII</t>
  </si>
  <si>
    <t>https://leetcode.com/problems/jump-game-vii</t>
  </si>
  <si>
    <t>25.011</t>
  </si>
  <si>
    <t>Two Pointers, String, Prefix Sum</t>
  </si>
  <si>
    <t>Stone Game VIII</t>
  </si>
  <si>
    <t>https://leetcode.com/problems/stone-game-viii</t>
  </si>
  <si>
    <t>52.211</t>
  </si>
  <si>
    <t>Array, Math, Dynamic Programming, Prefix Sum, Game Theory</t>
  </si>
  <si>
    <t>Calculate Special Bonus</t>
  </si>
  <si>
    <t>https://leetcode.com/problems/calculate-special-bonus</t>
  </si>
  <si>
    <t>74.376</t>
  </si>
  <si>
    <t>Minimize Product Sum of Two Arrays</t>
  </si>
  <si>
    <t>https://leetcode.com/problems/minimize-product-sum-of-two-arrays</t>
  </si>
  <si>
    <t>90.851</t>
  </si>
  <si>
    <t>Group Employees of the Same Salary</t>
  </si>
  <si>
    <t>https://leetcode.com/problems/group-employees-of-the-same-salary</t>
  </si>
  <si>
    <t>75.586</t>
  </si>
  <si>
    <t>Substrings of Size Three with Distinct Characters</t>
  </si>
  <si>
    <t>https://leetcode.com/problems/substrings-of-size-three-with-distinct-characters</t>
  </si>
  <si>
    <t>69.864</t>
  </si>
  <si>
    <t>Hash Table, String, Sliding Window, Counting</t>
  </si>
  <si>
    <t>Minimize Maximum Pair Sum in Array</t>
  </si>
  <si>
    <t>https://leetcode.com/problems/minimize-maximum-pair-sum-in-array</t>
  </si>
  <si>
    <t>80.619</t>
  </si>
  <si>
    <t>Get Biggest Three Rhombus Sums in a Grid</t>
  </si>
  <si>
    <t>https://leetcode.com/problems/get-biggest-three-rhombus-sums-in-a-grid</t>
  </si>
  <si>
    <t>45.887</t>
  </si>
  <si>
    <t>Array, Math, Sorting, Heap (Priority Queue), Matrix, Prefix Sum</t>
  </si>
  <si>
    <t>Minimum XOR Sum of Two Arrays</t>
  </si>
  <si>
    <t>https://leetcode.com/problems/minimum-xor-sum-of-two-arrays</t>
  </si>
  <si>
    <t>43.096</t>
  </si>
  <si>
    <t>Check if Word Equals Summation of Two Words</t>
  </si>
  <si>
    <t>https://leetcode.com/problems/check-if-word-equals-summation-of-two-words</t>
  </si>
  <si>
    <t>73.452</t>
  </si>
  <si>
    <t>Maximum Value after Insertion</t>
  </si>
  <si>
    <t>https://leetcode.com/problems/maximum-value-after-insertion</t>
  </si>
  <si>
    <t>Process Tasks Using Servers</t>
  </si>
  <si>
    <t>https://leetcode.com/problems/process-tasks-using-servers</t>
  </si>
  <si>
    <t>38.520</t>
  </si>
  <si>
    <t>Minimum Skips to Arrive at Meeting On Time</t>
  </si>
  <si>
    <t>https://leetcode.com/problems/minimum-skips-to-arrive-at-meeting-on-time</t>
  </si>
  <si>
    <t>38.600</t>
  </si>
  <si>
    <t>Egg Drop With 2 Eggs and N Floors</t>
  </si>
  <si>
    <t>https://leetcode.com/problems/egg-drop-with-2-eggs-and-n-floors</t>
  </si>
  <si>
    <t>70.109</t>
  </si>
  <si>
    <t>Count Pairs in Two Arrays</t>
  </si>
  <si>
    <t>https://leetcode.com/problems/count-pairs-in-two-arrays</t>
  </si>
  <si>
    <t>58.510</t>
  </si>
  <si>
    <t>Determine Whether Matrix Can Be Obtained By Rotation</t>
  </si>
  <si>
    <t>https://leetcode.com/problems/determine-whether-matrix-can-be-obtained-by-rotation</t>
  </si>
  <si>
    <t>55.420</t>
  </si>
  <si>
    <t>Reduction Operations to Make the Array Elements Equal</t>
  </si>
  <si>
    <t>https://leetcode.com/problems/reduction-operations-to-make-the-array-elements-equal</t>
  </si>
  <si>
    <t>61.914</t>
  </si>
  <si>
    <t>Minimum Number of Flips to Make the Binary String Alternating</t>
  </si>
  <si>
    <t>https://leetcode.com/problems/minimum-number-of-flips-to-make-the-binary-string-alternating</t>
  </si>
  <si>
    <t>37.274</t>
  </si>
  <si>
    <t>Minimum Space Wasted From Packaging</t>
  </si>
  <si>
    <t>https://leetcode.com/problems/minimum-space-wasted-from-packaging</t>
  </si>
  <si>
    <t>30.479</t>
  </si>
  <si>
    <t>Array, Binary Search, Sorting, Prefix Sum</t>
  </si>
  <si>
    <t>The Latest Login in 2020</t>
  </si>
  <si>
    <t>https://leetcode.com/problems/the-latest-login-in-2020</t>
  </si>
  <si>
    <t>82.194</t>
  </si>
  <si>
    <t>Cutting Ribbons</t>
  </si>
  <si>
    <t>https://leetcode.com/problems/cutting-ribbons</t>
  </si>
  <si>
    <t>48.054</t>
  </si>
  <si>
    <t>Page Recommendations II</t>
  </si>
  <si>
    <t>https://leetcode.com/problems/page-recommendations-ii</t>
  </si>
  <si>
    <t>44.681</t>
  </si>
  <si>
    <t>Check if All the Integers in a Range Are Covered</t>
  </si>
  <si>
    <t>https://leetcode.com/problems/check-if-all-the-integers-in-a-range-are-covered</t>
  </si>
  <si>
    <t>51.059</t>
  </si>
  <si>
    <t>Find the Student that Will Replace the Chalk</t>
  </si>
  <si>
    <t>https://leetcode.com/problems/find-the-student-that-will-replace-the-chalk</t>
  </si>
  <si>
    <t>42.635</t>
  </si>
  <si>
    <t>Array, Binary Search, Simulation, Prefix Sum</t>
  </si>
  <si>
    <t>Largest Magic Square</t>
  </si>
  <si>
    <t>https://leetcode.com/problems/largest-magic-square</t>
  </si>
  <si>
    <t>51.611</t>
  </si>
  <si>
    <t>Minimum Cost to Change the Final Value of Expression</t>
  </si>
  <si>
    <t>https://leetcode.com/problems/minimum-cost-to-change-the-final-value-of-expression</t>
  </si>
  <si>
    <t>54.033</t>
  </si>
  <si>
    <t>Math, String, Dynamic Programming, Stack</t>
  </si>
  <si>
    <t>Redistribute Characters to Make All Strings Equal</t>
  </si>
  <si>
    <t>https://leetcode.com/problems/redistribute-characters-to-make-all-strings-equal</t>
  </si>
  <si>
    <t>60.066</t>
  </si>
  <si>
    <t>Maximum Number of Removable Characters</t>
  </si>
  <si>
    <t>https://leetcode.com/problems/maximum-number-of-removable-characters</t>
  </si>
  <si>
    <t>38.214</t>
  </si>
  <si>
    <t>Array, String, Binary Search</t>
  </si>
  <si>
    <t>Merge Triplets to Form Target Triplet</t>
  </si>
  <si>
    <t>https://leetcode.com/problems/merge-triplets-to-form-target-triplet</t>
  </si>
  <si>
    <t>62.391</t>
  </si>
  <si>
    <t>The Earliest and Latest Rounds Where Players Compete</t>
  </si>
  <si>
    <t>https://leetcode.com/problems/the-earliest-and-latest-rounds-where-players-compete</t>
  </si>
  <si>
    <t>51.679</t>
  </si>
  <si>
    <t>Find a Peak Element II</t>
  </si>
  <si>
    <t>https://leetcode.com/problems/find-a-peak-element-ii</t>
  </si>
  <si>
    <t>53.675</t>
  </si>
  <si>
    <t>Depth of BST Given Insertion Order</t>
  </si>
  <si>
    <t>https://leetcode.com/problems/depth-of-bst-given-insertion-order</t>
  </si>
  <si>
    <t>45.250</t>
  </si>
  <si>
    <t>Tree, Binary Search Tree, Binary Tree, Ordered Set</t>
  </si>
  <si>
    <t>Largest Odd Number in String</t>
  </si>
  <si>
    <t>https://leetcode.com/problems/largest-odd-number-in-string</t>
  </si>
  <si>
    <t>56.417</t>
  </si>
  <si>
    <t>The Number of Full Rounds You Have Played</t>
  </si>
  <si>
    <t>https://leetcode.com/problems/the-number-of-full-rounds-you-have-played</t>
  </si>
  <si>
    <t>46.391</t>
  </si>
  <si>
    <t>Count Sub Islands</t>
  </si>
  <si>
    <t>https://leetcode.com/problems/count-sub-islands</t>
  </si>
  <si>
    <t>67.103</t>
  </si>
  <si>
    <t>Minimum Absolute Difference Queries</t>
  </si>
  <si>
    <t>https://leetcode.com/problems/minimum-absolute-difference-queries</t>
  </si>
  <si>
    <t>Count Salary Categories</t>
  </si>
  <si>
    <t>https://leetcode.com/problems/count-salary-categories</t>
  </si>
  <si>
    <t>64.392</t>
  </si>
  <si>
    <t>Game of Nim</t>
  </si>
  <si>
    <t>https://leetcode.com/problems/game-of-nim</t>
  </si>
  <si>
    <t>58.037</t>
  </si>
  <si>
    <t>Array, Math, Dynamic Programming, Bit Manipulation, Brainteaser, Game Theory</t>
  </si>
  <si>
    <t>Remove One Element to Make the Array Strictly Increasing</t>
  </si>
  <si>
    <t>https://leetcode.com/problems/remove-one-element-to-make-the-array-strictly-increasing</t>
  </si>
  <si>
    <t>26.682</t>
  </si>
  <si>
    <t>Remove All Occurrences of a Substring</t>
  </si>
  <si>
    <t>https://leetcode.com/problems/remove-all-occurrences-of-a-substring</t>
  </si>
  <si>
    <t>72.542</t>
  </si>
  <si>
    <t>Maximum Alternating Subsequence Sum</t>
  </si>
  <si>
    <t>https://leetcode.com/problems/maximum-alternating-subsequence-sum</t>
  </si>
  <si>
    <t>59.109</t>
  </si>
  <si>
    <t>Design Movie Rental System</t>
  </si>
  <si>
    <t>https://leetcode.com/problems/design-movie-rental-system</t>
  </si>
  <si>
    <t>41.361</t>
  </si>
  <si>
    <t>Array, Hash Table, Design, Heap (Priority Queue), Ordered Set</t>
  </si>
  <si>
    <t>Maximum Product Difference Between Two Pairs</t>
  </si>
  <si>
    <t>https://leetcode.com/problems/maximum-product-difference-between-two-pairs</t>
  </si>
  <si>
    <t>81.269</t>
  </si>
  <si>
    <t>Cyclically Rotating a Grid</t>
  </si>
  <si>
    <t>https://leetcode.com/problems/cyclically-rotating-a-grid</t>
  </si>
  <si>
    <t>47.407</t>
  </si>
  <si>
    <t>Number of Wonderful Substrings</t>
  </si>
  <si>
    <t>https://leetcode.com/problems/number-of-wonderful-substrings</t>
  </si>
  <si>
    <t>43.989</t>
  </si>
  <si>
    <t>Count Ways to Build Rooms in an Ant Colony</t>
  </si>
  <si>
    <t>https://leetcode.com/problems/count-ways-to-build-rooms-in-an-ant-colony</t>
  </si>
  <si>
    <t>48.346</t>
  </si>
  <si>
    <t>Math, Dynamic Programming, Tree, Graph, Topological Sort, Combinatorics</t>
  </si>
  <si>
    <t>Leetcodify Friends Recommendations</t>
  </si>
  <si>
    <t>https://leetcode.com/problems/leetcodify-friends-recommendations</t>
  </si>
  <si>
    <t>29.916</t>
  </si>
  <si>
    <t>Kth Smallest Subarray Sum</t>
  </si>
  <si>
    <t>https://leetcode.com/problems/kth-smallest-subarray-sum</t>
  </si>
  <si>
    <t>52.898</t>
  </si>
  <si>
    <t>Array, Binary Search, Sliding Window</t>
  </si>
  <si>
    <t>Leetcodify Similar Friends</t>
  </si>
  <si>
    <t>https://leetcode.com/problems/leetcodify-similar-friends</t>
  </si>
  <si>
    <t>42.816</t>
  </si>
  <si>
    <t>Build Array from Permutation</t>
  </si>
  <si>
    <t>https://leetcode.com/problems/build-array-from-permutation</t>
  </si>
  <si>
    <t>91.542</t>
  </si>
  <si>
    <t>Eliminate Maximum Number of Monsters</t>
  </si>
  <si>
    <t>https://leetcode.com/problems/eliminate-maximum-number-of-monsters</t>
  </si>
  <si>
    <t>37.768</t>
  </si>
  <si>
    <t>Count Good Numbers</t>
  </si>
  <si>
    <t>https://leetcode.com/problems/count-good-numbers</t>
  </si>
  <si>
    <t>38.255</t>
  </si>
  <si>
    <t>Longest Common Subpath</t>
  </si>
  <si>
    <t>https://leetcode.com/problems/longest-common-subpath</t>
  </si>
  <si>
    <t>28.190</t>
  </si>
  <si>
    <t>Array, Binary Search, Rolling Hash, Suffix Array, Hash Function</t>
  </si>
  <si>
    <t>Erect the Fence II</t>
  </si>
  <si>
    <t>https://leetcode.com/problems/erect-the-fence-ii</t>
  </si>
  <si>
    <t>54.285</t>
  </si>
  <si>
    <t>Count Square Sum Triples</t>
  </si>
  <si>
    <t>https://leetcode.com/problems/count-square-sum-triples</t>
  </si>
  <si>
    <t>67.774</t>
  </si>
  <si>
    <t>Nearest Exit from Entrance in Maze</t>
  </si>
  <si>
    <t>https://leetcode.com/problems/nearest-exit-from-entrance-in-maze</t>
  </si>
  <si>
    <t>42.031</t>
  </si>
  <si>
    <t>Sum Game</t>
  </si>
  <si>
    <t>https://leetcode.com/problems/sum-game</t>
  </si>
  <si>
    <t>47.175</t>
  </si>
  <si>
    <t>Math, Greedy, Game Theory</t>
  </si>
  <si>
    <t>Minimum Cost to Reach Destination in Time</t>
  </si>
  <si>
    <t>https://leetcode.com/problems/minimum-cost-to-reach-destination-in-time</t>
  </si>
  <si>
    <t>37.525</t>
  </si>
  <si>
    <t>Concatenation of Array</t>
  </si>
  <si>
    <t>https://leetcode.com/problems/concatenation-of-array</t>
  </si>
  <si>
    <t>91.566</t>
  </si>
  <si>
    <t>Unique Length-3 Palindromic Subsequences</t>
  </si>
  <si>
    <t>https://leetcode.com/problems/unique-length-3-palindromic-subsequences</t>
  </si>
  <si>
    <t>51.391</t>
  </si>
  <si>
    <t>Hash Table, String, Prefix Sum</t>
  </si>
  <si>
    <t>Painting a Grid With Three Different Colors</t>
  </si>
  <si>
    <t>https://leetcode.com/problems/painting-a-grid-with-three-different-colors</t>
  </si>
  <si>
    <t>57.109</t>
  </si>
  <si>
    <t>Merge BSTs to Create Single BST</t>
  </si>
  <si>
    <t>https://leetcode.com/problems/merge-bsts-to-create-single-bst</t>
  </si>
  <si>
    <t>35.074</t>
  </si>
  <si>
    <t>Hash Table, Binary Search, Tree, Depth-First Search, Binary Tree</t>
  </si>
  <si>
    <t>Check if String Is Decomposable Into Value-Equal Substrings</t>
  </si>
  <si>
    <t>https://leetcode.com/problems/check-if-string-is-decomposable-into-value-equal-substrings</t>
  </si>
  <si>
    <t>50.502</t>
  </si>
  <si>
    <t>Confirmation Rate</t>
  </si>
  <si>
    <t>https://leetcode.com/problems/confirmation-rate</t>
  </si>
  <si>
    <t>77.356</t>
  </si>
  <si>
    <t>Maximum Number of Words You Can Type</t>
  </si>
  <si>
    <t>https://leetcode.com/problems/maximum-number-of-words-you-can-type</t>
  </si>
  <si>
    <t>71.272</t>
  </si>
  <si>
    <t>Add Minimum Number of Rungs</t>
  </si>
  <si>
    <t>https://leetcode.com/problems/add-minimum-number-of-rungs</t>
  </si>
  <si>
    <t>42.565</t>
  </si>
  <si>
    <t>Maximum Number of Points with Cost</t>
  </si>
  <si>
    <t>https://leetcode.com/problems/maximum-number-of-points-with-cost</t>
  </si>
  <si>
    <t>35.871</t>
  </si>
  <si>
    <t>Maximum Genetic Difference Query</t>
  </si>
  <si>
    <t>https://leetcode.com/problems/maximum-genetic-difference-query</t>
  </si>
  <si>
    <t>39.146</t>
  </si>
  <si>
    <t>Users That Actively Request Confirmation Messages</t>
  </si>
  <si>
    <t>https://leetcode.com/problems/users-that-actively-request-confirmation-messages</t>
  </si>
  <si>
    <t>61.242</t>
  </si>
  <si>
    <t>Longest Common Subsequence Between Sorted Arrays</t>
  </si>
  <si>
    <t>https://leetcode.com/problems/longest-common-subsequence-between-sorted-arrays</t>
  </si>
  <si>
    <t>79.137</t>
  </si>
  <si>
    <t>Check if All Characters Have Equal Number of Occurrences</t>
  </si>
  <si>
    <t>https://leetcode.com/problems/check-if-all-characters-have-equal-number-of-occurrences</t>
  </si>
  <si>
    <t>77.022</t>
  </si>
  <si>
    <t>The Number of the Smallest Unoccupied Chair</t>
  </si>
  <si>
    <t>https://leetcode.com/problems/the-number-of-the-smallest-unoccupied-chair</t>
  </si>
  <si>
    <t>39.433</t>
  </si>
  <si>
    <t>Array, Heap (Priority Queue), Ordered Set</t>
  </si>
  <si>
    <t>Describe the Painting</t>
  </si>
  <si>
    <t>https://leetcode.com/problems/describe-the-painting</t>
  </si>
  <si>
    <t>47.323</t>
  </si>
  <si>
    <t>Number of Visible People in a Queue</t>
  </si>
  <si>
    <t>https://leetcode.com/problems/number-of-visible-people-in-a-queue</t>
  </si>
  <si>
    <t>70.007</t>
  </si>
  <si>
    <t>Sum of Digits of String After Convert</t>
  </si>
  <si>
    <t>https://leetcode.com/problems/sum-of-digits-of-string-after-convert</t>
  </si>
  <si>
    <t>Largest Number After Mutating Substring</t>
  </si>
  <si>
    <t>https://leetcode.com/problems/largest-number-after-mutating-substring</t>
  </si>
  <si>
    <t>34.244</t>
  </si>
  <si>
    <t>Maximum Compatibility Score Sum</t>
  </si>
  <si>
    <t>https://leetcode.com/problems/maximum-compatibility-score-sum</t>
  </si>
  <si>
    <t>60.421</t>
  </si>
  <si>
    <t>Delete Duplicate Folders in System</t>
  </si>
  <si>
    <t>https://leetcode.com/problems/delete-duplicate-folders-in-system</t>
  </si>
  <si>
    <t>59.024</t>
  </si>
  <si>
    <t>Array, Hash Table, String, Trie, Hash Function</t>
  </si>
  <si>
    <t>Strong Friendship</t>
  </si>
  <si>
    <t>https://leetcode.com/problems/strong-friendship</t>
  </si>
  <si>
    <t>58.821</t>
  </si>
  <si>
    <t>Maximum of Minimum Values in All Subarrays</t>
  </si>
  <si>
    <t>https://leetcode.com/problems/maximum-of-minimum-values-in-all-subarrays</t>
  </si>
  <si>
    <t>50.505</t>
  </si>
  <si>
    <t>All the Pairs With the Maximum Number of Common Followers</t>
  </si>
  <si>
    <t>https://leetcode.com/problems/all-the-pairs-with-the-maximum-number-of-common-followers</t>
  </si>
  <si>
    <t>72.525</t>
  </si>
  <si>
    <t>Three Divisors</t>
  </si>
  <si>
    <t>https://leetcode.com/problems/three-divisors</t>
  </si>
  <si>
    <t>56.660</t>
  </si>
  <si>
    <t>Maximum Number of Weeks for Which You Can Work</t>
  </si>
  <si>
    <t>https://leetcode.com/problems/maximum-number-of-weeks-for-which-you-can-work</t>
  </si>
  <si>
    <t>37.984</t>
  </si>
  <si>
    <t>Minimum Garden Perimeter to Collect Enough Apples</t>
  </si>
  <si>
    <t>https://leetcode.com/problems/minimum-garden-perimeter-to-collect-enough-apples</t>
  </si>
  <si>
    <t>52.709</t>
  </si>
  <si>
    <t>Count Number of Special Subsequences</t>
  </si>
  <si>
    <t>https://leetcode.com/problems/count-number-of-special-subsequences</t>
  </si>
  <si>
    <t>50.883</t>
  </si>
  <si>
    <t>Minimum Time For K Virus Variants to Spread</t>
  </si>
  <si>
    <t>https://leetcode.com/problems/minimum-time-for-k-virus-variants-to-spread</t>
  </si>
  <si>
    <t>45.719</t>
  </si>
  <si>
    <t>Array, Math, Binary Search, Geometry, Enumeration</t>
  </si>
  <si>
    <t>Delete Characters to Make Fancy String</t>
  </si>
  <si>
    <t>https://leetcode.com/problems/delete-characters-to-make-fancy-string</t>
  </si>
  <si>
    <t>56.858</t>
  </si>
  <si>
    <t>Check if Move is Legal</t>
  </si>
  <si>
    <t>https://leetcode.com/problems/check-if-move-is-legal</t>
  </si>
  <si>
    <t>43.821</t>
  </si>
  <si>
    <t>Array, Matrix, Enumeration</t>
  </si>
  <si>
    <t>Minimum Total Space Wasted With K Resizing Operations</t>
  </si>
  <si>
    <t>https://leetcode.com/problems/minimum-total-space-wasted-with-k-resizing-operations</t>
  </si>
  <si>
    <t>41.659</t>
  </si>
  <si>
    <t>Maximum Product of the Length of Two Palindromic Substrings</t>
  </si>
  <si>
    <t>https://leetcode.com/problems/maximum-product-of-the-length-of-two-palindromic-substrings</t>
  </si>
  <si>
    <t>29.542</t>
  </si>
  <si>
    <t>String, Rolling Hash, Hash Function</t>
  </si>
  <si>
    <t>Check If String Is a Prefix of Array</t>
  </si>
  <si>
    <t>https://leetcode.com/problems/check-if-string-is-a-prefix-of-array</t>
  </si>
  <si>
    <t>54.372</t>
  </si>
  <si>
    <t>Remove Stones to Minimize the Total</t>
  </si>
  <si>
    <t>https://leetcode.com/problems/remove-stones-to-minimize-the-total</t>
  </si>
  <si>
    <t>57.342</t>
  </si>
  <si>
    <t>Minimum Number of Swaps to Make the String Balanced</t>
  </si>
  <si>
    <t>https://leetcode.com/problems/minimum-number-of-swaps-to-make-the-string-balanced</t>
  </si>
  <si>
    <t>67.814</t>
  </si>
  <si>
    <t>Two Pointers, String, Stack, Greedy</t>
  </si>
  <si>
    <t>Find the Longest Valid Obstacle Course at Each Position</t>
  </si>
  <si>
    <t>https://leetcode.com/problems/find-the-longest-valid-obstacle-course-at-each-position</t>
  </si>
  <si>
    <t>46.100</t>
  </si>
  <si>
    <t>Array, Binary Search, Binary Indexed Tree</t>
  </si>
  <si>
    <t>Employees With Missing Information</t>
  </si>
  <si>
    <t>https://leetcode.com/problems/employees-with-missing-information</t>
  </si>
  <si>
    <t>81.622</t>
  </si>
  <si>
    <t>Binary Searchable Numbers in an Unsorted Array</t>
  </si>
  <si>
    <t>https://leetcode.com/problems/binary-searchable-numbers-in-an-unsorted-array</t>
  </si>
  <si>
    <t>66.280</t>
  </si>
  <si>
    <t>Number of Strings That Appear as Substrings in Word</t>
  </si>
  <si>
    <t>https://leetcode.com/problems/number-of-strings-that-appear-as-substrings-in-word</t>
  </si>
  <si>
    <t>79.835</t>
  </si>
  <si>
    <t>Array With Elements Not Equal to Average of Neighbors</t>
  </si>
  <si>
    <t>https://leetcode.com/problems/array-with-elements-not-equal-to-average-of-neighbors</t>
  </si>
  <si>
    <t>48.833</t>
  </si>
  <si>
    <t>Minimum Non-Zero Product of the Array Elements</t>
  </si>
  <si>
    <t>https://leetcode.com/problems/minimum-non-zero-product-of-the-array-elements</t>
  </si>
  <si>
    <t>33.012</t>
  </si>
  <si>
    <t>Math, Greedy, Recursion</t>
  </si>
  <si>
    <t>Last Day Where You Can Still Cross</t>
  </si>
  <si>
    <t>https://leetcode.com/problems/last-day-where-you-can-still-cross</t>
  </si>
  <si>
    <t>49.329</t>
  </si>
  <si>
    <t>Array, Binary Search, Depth-First Search, Breadth-First Search, Union Find, Matrix</t>
  </si>
  <si>
    <t>Find if Path Exists in Graph</t>
  </si>
  <si>
    <t>https://leetcode.com/problems/find-if-path-exists-in-graph</t>
  </si>
  <si>
    <t>50.606</t>
  </si>
  <si>
    <t>First and Last Call On the Same Day</t>
  </si>
  <si>
    <t>https://leetcode.com/problems/first-and-last-call-on-the-same-day</t>
  </si>
  <si>
    <t>54.012</t>
  </si>
  <si>
    <t>Count Nodes Equal to Sum of Descendants</t>
  </si>
  <si>
    <t>https://leetcode.com/problems/count-nodes-equal-to-sum-of-descendants</t>
  </si>
  <si>
    <t>75.222</t>
  </si>
  <si>
    <t>Minimum Time to Type Word Using Special Typewriter</t>
  </si>
  <si>
    <t>https://leetcode.com/problems/minimum-time-to-type-word-using-special-typewriter</t>
  </si>
  <si>
    <t>71.473</t>
  </si>
  <si>
    <t>Maximum Matrix Sum</t>
  </si>
  <si>
    <t>https://leetcode.com/problems/maximum-matrix-sum</t>
  </si>
  <si>
    <t>45.137</t>
  </si>
  <si>
    <t>Number of Ways to Arrive at Destination</t>
  </si>
  <si>
    <t>https://leetcode.com/problems/number-of-ways-to-arrive-at-destination</t>
  </si>
  <si>
    <t>32.784</t>
  </si>
  <si>
    <t>Dynamic Programming, Graph, Topological Sort, Shortest Path</t>
  </si>
  <si>
    <t>Number of Ways to Separate Numbers</t>
  </si>
  <si>
    <t>https://leetcode.com/problems/number-of-ways-to-separate-numbers</t>
  </si>
  <si>
    <t>21.971</t>
  </si>
  <si>
    <t>String, Dynamic Programming, Suffix Array</t>
  </si>
  <si>
    <t>Employees Whose Manager Left the Company</t>
  </si>
  <si>
    <t>https://leetcode.com/problems/employees-whose-manager-left-the-company</t>
  </si>
  <si>
    <t>50.221</t>
  </si>
  <si>
    <t>Find Greatest Common Divisor of Array</t>
  </si>
  <si>
    <t>https://leetcode.com/problems/find-greatest-common-divisor-of-array</t>
  </si>
  <si>
    <t>77.551</t>
  </si>
  <si>
    <t>Find Unique Binary String</t>
  </si>
  <si>
    <t>https://leetcode.com/problems/find-unique-binary-string</t>
  </si>
  <si>
    <t>63.480</t>
  </si>
  <si>
    <t>Array, String, Backtracking</t>
  </si>
  <si>
    <t>Minimize the Difference Between Target and Chosen Elements</t>
  </si>
  <si>
    <t>https://leetcode.com/problems/minimize-the-difference-between-target-and-chosen-elements</t>
  </si>
  <si>
    <t>32.534</t>
  </si>
  <si>
    <t>Find Array Given Subset Sums</t>
  </si>
  <si>
    <t>https://leetcode.com/problems/find-array-given-subset-sums</t>
  </si>
  <si>
    <t>48.641</t>
  </si>
  <si>
    <t>Array, Divide and Conquer</t>
  </si>
  <si>
    <t>Widest Pair of Indices With Equal Range Sum</t>
  </si>
  <si>
    <t>https://leetcode.com/problems/widest-pair-of-indices-with-equal-range-sum</t>
  </si>
  <si>
    <t>54.502</t>
  </si>
  <si>
    <t>Minimum Difference Between Highest and Lowest of K Scores</t>
  </si>
  <si>
    <t>https://leetcode.com/problems/minimum-difference-between-highest-and-lowest-of-k-scores</t>
  </si>
  <si>
    <t>53.428</t>
  </si>
  <si>
    <t>Array, Sliding Window, Sorting</t>
  </si>
  <si>
    <t>Find the Kth Largest Integer in the Array</t>
  </si>
  <si>
    <t>https://leetcode.com/problems/find-the-kth-largest-integer-in-the-array</t>
  </si>
  <si>
    <t>44.805</t>
  </si>
  <si>
    <t>Array, String, Divide and Conquer, Sorting, Heap (Priority Queue), Quickselect</t>
  </si>
  <si>
    <t>Minimum Number of Work Sessions to Finish the Tasks</t>
  </si>
  <si>
    <t>https://leetcode.com/problems/minimum-number-of-work-sessions-to-finish-the-tasks</t>
  </si>
  <si>
    <t>32.359</t>
  </si>
  <si>
    <t>Number of Unique Good Subsequences</t>
  </si>
  <si>
    <t>https://leetcode.com/problems/number-of-unique-good-subsequences</t>
  </si>
  <si>
    <t>52.343</t>
  </si>
  <si>
    <t>Find Cutoff Score for Each School</t>
  </si>
  <si>
    <t>https://leetcode.com/problems/find-cutoff-score-for-each-school</t>
  </si>
  <si>
    <t>69.222</t>
  </si>
  <si>
    <t>Maximum Number of People That Can Be Caught in Tag</t>
  </si>
  <si>
    <t>https://leetcode.com/problems/maximum-number-of-people-that-can-be-caught-in-tag</t>
  </si>
  <si>
    <t>53.389</t>
  </si>
  <si>
    <t>Count the Number of Experiments</t>
  </si>
  <si>
    <t>https://leetcode.com/problems/count-the-number-of-experiments</t>
  </si>
  <si>
    <t>50.810</t>
  </si>
  <si>
    <t>Find the Middle Index in Array</t>
  </si>
  <si>
    <t>https://leetcode.com/problems/find-the-middle-index-in-array</t>
  </si>
  <si>
    <t>66.848</t>
  </si>
  <si>
    <t>Find All Groups of Farmland</t>
  </si>
  <si>
    <t>https://leetcode.com/problems/find-all-groups-of-farmland</t>
  </si>
  <si>
    <t>67.752</t>
  </si>
  <si>
    <t>Operations on Tree</t>
  </si>
  <si>
    <t>https://leetcode.com/problems/operations-on-tree</t>
  </si>
  <si>
    <t>42.787</t>
  </si>
  <si>
    <t>Hash Table, Tree, Depth-First Search, Breadth-First Search, Design</t>
  </si>
  <si>
    <t>The Number of Good Subsets</t>
  </si>
  <si>
    <t>https://leetcode.com/problems/the-number-of-good-subsets</t>
  </si>
  <si>
    <t>34.166</t>
  </si>
  <si>
    <t>Count Special Quadruplets</t>
  </si>
  <si>
    <t>https://leetcode.com/problems/count-special-quadruplets</t>
  </si>
  <si>
    <t>58.293</t>
  </si>
  <si>
    <t>The Number of Weak Characters in the Game</t>
  </si>
  <si>
    <t>https://leetcode.com/problems/the-number-of-weak-characters-in-the-game</t>
  </si>
  <si>
    <t>35.696</t>
  </si>
  <si>
    <t>First Day Where You Have Been in All the Rooms</t>
  </si>
  <si>
    <t>https://leetcode.com/problems/first-day-where-you-have-been-in-all-the-rooms</t>
  </si>
  <si>
    <t>35.553</t>
  </si>
  <si>
    <t>GCD Sort of an Array</t>
  </si>
  <si>
    <t>https://leetcode.com/problems/gcd-sort-of-an-array</t>
  </si>
  <si>
    <t>45.650</t>
  </si>
  <si>
    <t>Array, Math, Union Find, Sorting</t>
  </si>
  <si>
    <t>Smallest Greater Multiple Made of Two Digits</t>
  </si>
  <si>
    <t>https://leetcode.com/problems/smallest-greater-multiple-made-of-two-digits</t>
  </si>
  <si>
    <t>50.668</t>
  </si>
  <si>
    <t>Reverse Prefix of Word</t>
  </si>
  <si>
    <t>https://leetcode.com/problems/reverse-prefix-of-word</t>
  </si>
  <si>
    <t>77.740</t>
  </si>
  <si>
    <t>Number of Pairs of Interchangeable Rectangles</t>
  </si>
  <si>
    <t>https://leetcode.com/problems/number-of-pairs-of-interchangeable-rectangles</t>
  </si>
  <si>
    <t>43.714</t>
  </si>
  <si>
    <t>Maximum Product of the Length of Two Palindromic Subsequences</t>
  </si>
  <si>
    <t>https://leetcode.com/problems/maximum-product-of-the-length-of-two-palindromic-subsequences</t>
  </si>
  <si>
    <t>53.070</t>
  </si>
  <si>
    <t>String, Dynamic Programming, Backtracking, Bit Manipulation, Bitmask</t>
  </si>
  <si>
    <t>Smallest Missing Genetic Value in Each Subtree</t>
  </si>
  <si>
    <t>https://leetcode.com/problems/smallest-missing-genetic-value-in-each-subtree</t>
  </si>
  <si>
    <t>42.979</t>
  </si>
  <si>
    <t>Dynamic Programming, Tree, Depth-First Search, Union Find</t>
  </si>
  <si>
    <t>The Number of Seniors and Juniors to Join the Company</t>
  </si>
  <si>
    <t>https://leetcode.com/problems/the-number-of-seniors-and-juniors-to-join-the-company</t>
  </si>
  <si>
    <t>38.334</t>
  </si>
  <si>
    <t>Subtree Removal Game with Fibonacci Tree</t>
  </si>
  <si>
    <t>https://leetcode.com/problems/subtree-removal-game-with-fibonacci-tree</t>
  </si>
  <si>
    <t>63.969</t>
  </si>
  <si>
    <t>Math, Dynamic Programming, Tree, Binary Tree, Game Theory</t>
  </si>
  <si>
    <t>Count Number of Pairs With Absolute Difference K</t>
  </si>
  <si>
    <t>https://leetcode.com/problems/count-number-of-pairs-with-absolute-difference-k</t>
  </si>
  <si>
    <t>82.419</t>
  </si>
  <si>
    <t>Find Original Array From Doubled Array</t>
  </si>
  <si>
    <t>https://leetcode.com/problems/find-original-array-from-doubled-array</t>
  </si>
  <si>
    <t>38.391</t>
  </si>
  <si>
    <t>Maximum Earnings From Taxi</t>
  </si>
  <si>
    <t>https://leetcode.com/problems/maximum-earnings-from-taxi</t>
  </si>
  <si>
    <t>42.779</t>
  </si>
  <si>
    <t>Minimum Number of Operations to Make Array Continuous</t>
  </si>
  <si>
    <t>https://leetcode.com/problems/minimum-number-of-operations-to-make-array-continuous</t>
  </si>
  <si>
    <t>45.697</t>
  </si>
  <si>
    <t>The Number of Seniors and Juniors to Join the Company II</t>
  </si>
  <si>
    <t>https://leetcode.com/problems/the-number-of-seniors-and-juniors-to-join-the-company-ii</t>
  </si>
  <si>
    <t>56.913</t>
  </si>
  <si>
    <t>Final Value of Variable After Performing Operations</t>
  </si>
  <si>
    <t>https://leetcode.com/problems/final-value-of-variable-after-performing-operations</t>
  </si>
  <si>
    <t>89.113</t>
  </si>
  <si>
    <t>Sum of Beauty in the Array</t>
  </si>
  <si>
    <t>https://leetcode.com/problems/sum-of-beauty-in-the-array</t>
  </si>
  <si>
    <t>46.162</t>
  </si>
  <si>
    <t>Detect Squares</t>
  </si>
  <si>
    <t>https://leetcode.com/problems/detect-squares</t>
  </si>
  <si>
    <t>48.640</t>
  </si>
  <si>
    <t>Array, Hash Table, Design, Counting</t>
  </si>
  <si>
    <t>Longest Subsequence Repeated k Times</t>
  </si>
  <si>
    <t>https://leetcode.com/problems/longest-subsequence-repeated-k-times</t>
  </si>
  <si>
    <t>55.144</t>
  </si>
  <si>
    <t>String, Backtracking, Greedy, Counting, Enumeration</t>
  </si>
  <si>
    <t>Average Height of Buildings in Each Segment</t>
  </si>
  <si>
    <t>https://leetcode.com/problems/average-height-of-buildings-in-each-segment</t>
  </si>
  <si>
    <t>59.970</t>
  </si>
  <si>
    <t>Maximum Difference Between Increasing Elements</t>
  </si>
  <si>
    <t>https://leetcode.com/problems/maximum-difference-between-increasing-elements</t>
  </si>
  <si>
    <t>53.954</t>
  </si>
  <si>
    <t>Grid Game</t>
  </si>
  <si>
    <t>https://leetcode.com/problems/grid-game</t>
  </si>
  <si>
    <t>41.998</t>
  </si>
  <si>
    <t>Check if Word Can Be Placed In Crossword</t>
  </si>
  <si>
    <t>https://leetcode.com/problems/check-if-word-can-be-placed-in-crossword</t>
  </si>
  <si>
    <t>48.531</t>
  </si>
  <si>
    <t>The Score of Students Solving Math Expression</t>
  </si>
  <si>
    <t>https://leetcode.com/problems/the-score-of-students-solving-math-expression</t>
  </si>
  <si>
    <t>Array, Math, String, Dynamic Programming, Stack, Memoization</t>
  </si>
  <si>
    <t>Number of Accounts That Did Not Stream</t>
  </si>
  <si>
    <t>https://leetcode.com/problems/number-of-accounts-that-did-not-stream</t>
  </si>
  <si>
    <t>72.300</t>
  </si>
  <si>
    <t>Brightest Position on Street</t>
  </si>
  <si>
    <t>https://leetcode.com/problems/brightest-position-on-street</t>
  </si>
  <si>
    <t>63.017</t>
  </si>
  <si>
    <t>Array, Prefix Sum, Ordered Set</t>
  </si>
  <si>
    <t>https://leetcode.com/problems/convert-1d-array-into-2d-array</t>
  </si>
  <si>
    <t>58.790</t>
  </si>
  <si>
    <t>Number of Pairs of Strings With Concatenation Equal to Target</t>
  </si>
  <si>
    <t>https://leetcode.com/problems/number-of-pairs-of-strings-with-concatenation-equal-to-target</t>
  </si>
  <si>
    <t>72.810</t>
  </si>
  <si>
    <t>Maximize the Confusion of an Exam</t>
  </si>
  <si>
    <t>https://leetcode.com/problems/maximize-the-confusion-of-an-exam</t>
  </si>
  <si>
    <t>58.136</t>
  </si>
  <si>
    <t>Maximum Number of Ways to Partition an Array</t>
  </si>
  <si>
    <t>https://leetcode.com/problems/maximum-number-of-ways-to-partition-an-array</t>
  </si>
  <si>
    <t>31.719</t>
  </si>
  <si>
    <t>Array, Hash Table, Counting, Enumeration, Prefix Sum</t>
  </si>
  <si>
    <t>Low-Quality Problems</t>
  </si>
  <si>
    <t>https://leetcode.com/problems/low-quality-problems</t>
  </si>
  <si>
    <t>85.563</t>
  </si>
  <si>
    <t>Minimum Moves to Convert String</t>
  </si>
  <si>
    <t>https://leetcode.com/problems/minimum-moves-to-convert-string</t>
  </si>
  <si>
    <t>53.572</t>
  </si>
  <si>
    <t>Find Missing Observations</t>
  </si>
  <si>
    <t>https://leetcode.com/problems/find-missing-observations</t>
  </si>
  <si>
    <t>42.765</t>
  </si>
  <si>
    <t>Stone Game IX</t>
  </si>
  <si>
    <t>https://leetcode.com/problems/stone-game-ix</t>
  </si>
  <si>
    <t>25.363</t>
  </si>
  <si>
    <t>Array, Math, Greedy, Counting, Game Theory</t>
  </si>
  <si>
    <t>Smallest K-Length Subsequence With Occurrences of a Letter</t>
  </si>
  <si>
    <t>https://leetcode.com/problems/smallest-k-length-subsequence-with-occurrences-of-a-letter</t>
  </si>
  <si>
    <t>Count Subarrays With More Ones Than Zeros</t>
  </si>
  <si>
    <t>https://leetcode.com/problems/count-subarrays-with-more-ones-than-zeros</t>
  </si>
  <si>
    <t>52.645</t>
  </si>
  <si>
    <t>Two Out of Three</t>
  </si>
  <si>
    <t>https://leetcode.com/problems/two-out-of-three</t>
  </si>
  <si>
    <t>72.874</t>
  </si>
  <si>
    <t>Minimum Operations to Make a Uni-Value Grid</t>
  </si>
  <si>
    <t>https://leetcode.com/problems/minimum-operations-to-make-a-uni-value-grid</t>
  </si>
  <si>
    <t>51.465</t>
  </si>
  <si>
    <t xml:space="preserve">Stock Price Fluctuation </t>
  </si>
  <si>
    <t>https://leetcode.com/problems/stock-price-fluctuation</t>
  </si>
  <si>
    <t>48.837</t>
  </si>
  <si>
    <t>Hash Table, Design, Heap (Priority Queue), Data Stream, Ordered Set</t>
  </si>
  <si>
    <t>Partition Array Into Two Arrays to Minimize Sum Difference</t>
  </si>
  <si>
    <t>https://leetcode.com/problems/partition-array-into-two-arrays-to-minimize-sum-difference</t>
  </si>
  <si>
    <t>19.473</t>
  </si>
  <si>
    <t>Array, Two Pointers, Binary Search, Dynamic Programming, Bit Manipulation, Ordered Set, Bitmask</t>
  </si>
  <si>
    <t>Maximum Alternating Subarray Sum</t>
  </si>
  <si>
    <t>https://leetcode.com/problems/maximum-alternating-subarray-sum</t>
  </si>
  <si>
    <t>40.672</t>
  </si>
  <si>
    <t>Minimum Number of Moves to Seat Everyone</t>
  </si>
  <si>
    <t>https://leetcode.com/problems/minimum-number-of-moves-to-seat-everyone</t>
  </si>
  <si>
    <t>82.647</t>
  </si>
  <si>
    <t>Remove Colored Pieces if Both Neighbors are the Same Color</t>
  </si>
  <si>
    <t>https://leetcode.com/problems/remove-colored-pieces-if-both-neighbors-are-the-same-color</t>
  </si>
  <si>
    <t>57.016</t>
  </si>
  <si>
    <t>Math, String, Greedy, Game Theory</t>
  </si>
  <si>
    <t>The Time When the Network Becomes Idle</t>
  </si>
  <si>
    <t>https://leetcode.com/problems/the-time-when-the-network-becomes-idle</t>
  </si>
  <si>
    <t>49.604</t>
  </si>
  <si>
    <t>Array, Breadth-First Search, Graph</t>
  </si>
  <si>
    <t>Kth Smallest Product of Two Sorted Arrays</t>
  </si>
  <si>
    <t>https://leetcode.com/problems/kth-smallest-product-of-two-sorted-arrays</t>
  </si>
  <si>
    <t>29.616</t>
  </si>
  <si>
    <t>Accepted Candidates From the Interviews</t>
  </si>
  <si>
    <t>https://leetcode.com/problems/accepted-candidates-from-the-interviews</t>
  </si>
  <si>
    <t>78.328</t>
  </si>
  <si>
    <t>Check if Numbers Are Ascending in a Sentence</t>
  </si>
  <si>
    <t>https://leetcode.com/problems/check-if-numbers-are-ascending-in-a-sentence</t>
  </si>
  <si>
    <t>66.933</t>
  </si>
  <si>
    <t>Simple Bank System</t>
  </si>
  <si>
    <t>https://leetcode.com/problems/simple-bank-system</t>
  </si>
  <si>
    <t>65.623</t>
  </si>
  <si>
    <t>Array, Hash Table, Design, Simulation</t>
  </si>
  <si>
    <t>Count Number of Maximum Bitwise-OR Subsets</t>
  </si>
  <si>
    <t>https://leetcode.com/problems/count-number-of-maximum-bitwise-or-subsets</t>
  </si>
  <si>
    <t>74.319</t>
  </si>
  <si>
    <t>Second Minimum Time to Reach Destination</t>
  </si>
  <si>
    <t>https://leetcode.com/problems/second-minimum-time-to-reach-destination</t>
  </si>
  <si>
    <t>37.763</t>
  </si>
  <si>
    <t>Breadth-First Search, Graph, Shortest Path</t>
  </si>
  <si>
    <t>Sort Linked List Already Sorted Using Absolute Values</t>
  </si>
  <si>
    <t>https://leetcode.com/problems/sort-linked-list-already-sorted-using-absolute-values</t>
  </si>
  <si>
    <t>68.572</t>
  </si>
  <si>
    <t>Linked List, Two Pointers, Sorting</t>
  </si>
  <si>
    <t>Number of Valid Words in a Sentence</t>
  </si>
  <si>
    <t>https://leetcode.com/problems/number-of-valid-words-in-a-sentence</t>
  </si>
  <si>
    <t>29.561</t>
  </si>
  <si>
    <t>Next Greater Numerically Balanced Number</t>
  </si>
  <si>
    <t>https://leetcode.com/problems/next-greater-numerically-balanced-number</t>
  </si>
  <si>
    <t>46.725</t>
  </si>
  <si>
    <t>Math, Backtracking, Enumeration</t>
  </si>
  <si>
    <t>Count Nodes With the Highest Score</t>
  </si>
  <si>
    <t>https://leetcode.com/problems/count-nodes-with-the-highest-score</t>
  </si>
  <si>
    <t>46.849</t>
  </si>
  <si>
    <t>Parallel Courses III</t>
  </si>
  <si>
    <t>https://leetcode.com/problems/parallel-courses-iii</t>
  </si>
  <si>
    <t>59.606</t>
  </si>
  <si>
    <t>Dynamic Programming, Graph, Topological Sort</t>
  </si>
  <si>
    <t>The Category of Each Member in the Store</t>
  </si>
  <si>
    <t>https://leetcode.com/problems/the-category-of-each-member-in-the-store</t>
  </si>
  <si>
    <t>73.444</t>
  </si>
  <si>
    <t>Minimum Cost to Separate Sentence Into Rows</t>
  </si>
  <si>
    <t>https://leetcode.com/problems/minimum-cost-to-separate-sentence-into-rows</t>
  </si>
  <si>
    <t>51.864</t>
  </si>
  <si>
    <t>Kth Distinct String in an Array</t>
  </si>
  <si>
    <t>https://leetcode.com/problems/kth-distinct-string-in-an-array</t>
  </si>
  <si>
    <t>72.574</t>
  </si>
  <si>
    <t>Two Best Non-Overlapping Events</t>
  </si>
  <si>
    <t>https://leetcode.com/problems/two-best-non-overlapping-events</t>
  </si>
  <si>
    <t>43.918</t>
  </si>
  <si>
    <t>Array, Binary Search, Dynamic Programming, Sorting, Heap (Priority Queue)</t>
  </si>
  <si>
    <t>Plates Between Candles</t>
  </si>
  <si>
    <t>https://leetcode.com/problems/plates-between-candles</t>
  </si>
  <si>
    <t>44.610</t>
  </si>
  <si>
    <t>Array, String, Binary Search, Prefix Sum</t>
  </si>
  <si>
    <t>Number of Valid Move Combinations On Chessboard</t>
  </si>
  <si>
    <t>https://leetcode.com/problems/number-of-valid-move-combinations-on-chessboard</t>
  </si>
  <si>
    <t>58.540</t>
  </si>
  <si>
    <t>Array, String, Backtracking, Simulation</t>
  </si>
  <si>
    <t>Smallest Index With Equal Value</t>
  </si>
  <si>
    <t>https://leetcode.com/problems/smallest-index-with-equal-value</t>
  </si>
  <si>
    <t>72.246</t>
  </si>
  <si>
    <t>Find the Minimum and Maximum Number of Nodes Between Critical Points</t>
  </si>
  <si>
    <t>https://leetcode.com/problems/find-the-minimum-and-maximum-number-of-nodes-between-critical-points</t>
  </si>
  <si>
    <t>57.335</t>
  </si>
  <si>
    <t>Minimum Operations to Convert Number</t>
  </si>
  <si>
    <t>https://leetcode.com/problems/minimum-operations-to-convert-number</t>
  </si>
  <si>
    <t>46.927</t>
  </si>
  <si>
    <t>Check if an Original String Exists Given Two Encoded Strings</t>
  </si>
  <si>
    <t>https://leetcode.com/problems/check-if-an-original-string-exists-given-two-encoded-strings</t>
  </si>
  <si>
    <t>40.549</t>
  </si>
  <si>
    <t>Number of Spaces Cleaning Robot Cleaned</t>
  </si>
  <si>
    <t>https://leetcode.com/problems/number-of-spaces-cleaning-robot-cleaned</t>
  </si>
  <si>
    <t>55.018</t>
  </si>
  <si>
    <t>Count Vowel Substrings of a String</t>
  </si>
  <si>
    <t>https://leetcode.com/problems/count-vowel-substrings-of-a-string</t>
  </si>
  <si>
    <t>Vowels of All Substrings</t>
  </si>
  <si>
    <t>https://leetcode.com/problems/vowels-of-all-substrings</t>
  </si>
  <si>
    <t>54.725</t>
  </si>
  <si>
    <t>Math, String, Dynamic Programming, Combinatorics</t>
  </si>
  <si>
    <t>Minimized Maximum of Products Distributed to Any Store</t>
  </si>
  <si>
    <t>https://leetcode.com/problems/minimized-maximum-of-products-distributed-to-any-store</t>
  </si>
  <si>
    <t>49.384</t>
  </si>
  <si>
    <t>Maximum Path Quality of a Graph</t>
  </si>
  <si>
    <t>https://leetcode.com/problems/maximum-path-quality-of-a-graph</t>
  </si>
  <si>
    <t>58.004</t>
  </si>
  <si>
    <t>Array, Backtracking, Graph</t>
  </si>
  <si>
    <t>Account Balance</t>
  </si>
  <si>
    <t>https://leetcode.com/problems/account-balance</t>
  </si>
  <si>
    <t>85.225</t>
  </si>
  <si>
    <t>Number of Equal Count Substrings</t>
  </si>
  <si>
    <t>https://leetcode.com/problems/number-of-equal-count-substrings</t>
  </si>
  <si>
    <t>50.713</t>
  </si>
  <si>
    <t>String, Counting, Prefix Sum</t>
  </si>
  <si>
    <t>Check Whether Two Strings are Almost Equivalent</t>
  </si>
  <si>
    <t>https://leetcode.com/problems/check-whether-two-strings-are-almost-equivalent</t>
  </si>
  <si>
    <t>65.610</t>
  </si>
  <si>
    <t>Walking Robot Simulation II</t>
  </si>
  <si>
    <t>https://leetcode.com/problems/walking-robot-simulation-ii</t>
  </si>
  <si>
    <t>22.039</t>
  </si>
  <si>
    <t>Design, Simulation</t>
  </si>
  <si>
    <t>Most Beautiful Item for Each Query</t>
  </si>
  <si>
    <t>https://leetcode.com/problems/most-beautiful-item-for-each-query</t>
  </si>
  <si>
    <t>48.840</t>
  </si>
  <si>
    <t>Maximum Number of Tasks You Can Assign</t>
  </si>
  <si>
    <t>https://leetcode.com/problems/maximum-number-of-tasks-you-can-assign</t>
  </si>
  <si>
    <t>Array, Binary Search, Greedy, Queue, Sorting, Monotonic Queue</t>
  </si>
  <si>
    <t>The Winner University</t>
  </si>
  <si>
    <t>https://leetcode.com/problems/the-winner-university</t>
  </si>
  <si>
    <t>73.119</t>
  </si>
  <si>
    <t>Time Needed to Buy Tickets</t>
  </si>
  <si>
    <t>https://leetcode.com/problems/time-needed-to-buy-tickets</t>
  </si>
  <si>
    <t>62.107</t>
  </si>
  <si>
    <t>Array, Queue, Simulation</t>
  </si>
  <si>
    <t>Reverse Nodes in Even Length Groups</t>
  </si>
  <si>
    <t>https://leetcode.com/problems/reverse-nodes-in-even-length-groups</t>
  </si>
  <si>
    <t>51.107</t>
  </si>
  <si>
    <t>Decode the Slanted Ciphertext</t>
  </si>
  <si>
    <t>https://leetcode.com/problems/decode-the-slanted-ciphertext</t>
  </si>
  <si>
    <t>50.032</t>
  </si>
  <si>
    <t>Process Restricted Friend Requests</t>
  </si>
  <si>
    <t>https://leetcode.com/problems/process-restricted-friend-requests</t>
  </si>
  <si>
    <t>53.744</t>
  </si>
  <si>
    <t>Paths in Maze That Lead to Same Room</t>
  </si>
  <si>
    <t>https://leetcode.com/problems/paths-in-maze-that-lead-to-same-room</t>
  </si>
  <si>
    <t>56.876</t>
  </si>
  <si>
    <t>Two Furthest Houses With Different Colors</t>
  </si>
  <si>
    <t>https://leetcode.com/problems/two-furthest-houses-with-different-colors</t>
  </si>
  <si>
    <t>68.000</t>
  </si>
  <si>
    <t>Watering Plants</t>
  </si>
  <si>
    <t>https://leetcode.com/problems/watering-plants</t>
  </si>
  <si>
    <t>80.441</t>
  </si>
  <si>
    <t>Range Frequency Queries</t>
  </si>
  <si>
    <t>https://leetcode.com/problems/range-frequency-queries</t>
  </si>
  <si>
    <t>37.022</t>
  </si>
  <si>
    <t>Array, Hash Table, Binary Search, Design, Segment Tree</t>
  </si>
  <si>
    <t>Sum of k-Mirror Numbers</t>
  </si>
  <si>
    <t>https://leetcode.com/problems/sum-of-k-mirror-numbers</t>
  </si>
  <si>
    <t>41.241</t>
  </si>
  <si>
    <t>The Number of Rich Customers</t>
  </si>
  <si>
    <t>https://leetcode.com/problems/the-number-of-rich-customers</t>
  </si>
  <si>
    <t>81.144</t>
  </si>
  <si>
    <t>Substrings That Begin and End With the Same Letter</t>
  </si>
  <si>
    <t>https://leetcode.com/problems/substrings-that-begin-and-end-with-the-same-letter</t>
  </si>
  <si>
    <t>68.146</t>
  </si>
  <si>
    <t>Hash Table, Math, String, Counting, Prefix Sum</t>
  </si>
  <si>
    <t>Drop Type 1 Orders for Customers With Type 0 Orders</t>
  </si>
  <si>
    <t>https://leetcode.com/problems/drop-type-1-orders-for-customers-with-type-0-orders</t>
  </si>
  <si>
    <t>91.451</t>
  </si>
  <si>
    <t>Count Common Words With One Occurrence</t>
  </si>
  <si>
    <t>https://leetcode.com/problems/count-common-words-with-one-occurrence</t>
  </si>
  <si>
    <t>69.880</t>
  </si>
  <si>
    <t>Minimum Number of Buckets Required to Collect Rainwater from Houses</t>
  </si>
  <si>
    <t>https://leetcode.com/problems/minimum-number-of-buckets-required-to-collect-rainwater-from-houses</t>
  </si>
  <si>
    <t>45.132</t>
  </si>
  <si>
    <t>Minimum Cost Homecoming of a Robot in a Grid</t>
  </si>
  <si>
    <t>https://leetcode.com/problems/minimum-cost-homecoming-of-a-robot-in-a-grid</t>
  </si>
  <si>
    <t>50.427</t>
  </si>
  <si>
    <t>Count Fertile Pyramids in a Land</t>
  </si>
  <si>
    <t>https://leetcode.com/problems/count-fertile-pyramids-in-a-land</t>
  </si>
  <si>
    <t>63.121</t>
  </si>
  <si>
    <t>Find Target Indices After Sorting Array</t>
  </si>
  <si>
    <t>https://leetcode.com/problems/find-target-indices-after-sorting-array</t>
  </si>
  <si>
    <t>77.885</t>
  </si>
  <si>
    <t>K Radius Subarray Averages</t>
  </si>
  <si>
    <t>https://leetcode.com/problems/k-radius-subarray-averages</t>
  </si>
  <si>
    <t>41.798</t>
  </si>
  <si>
    <t>Removing Minimum and Maximum From Array</t>
  </si>
  <si>
    <t>https://leetcode.com/problems/removing-minimum-and-maximum-from-array</t>
  </si>
  <si>
    <t>57.691</t>
  </si>
  <si>
    <t>Find All People With Secret</t>
  </si>
  <si>
    <t>https://leetcode.com/problems/find-all-people-with-secret</t>
  </si>
  <si>
    <t>33.955</t>
  </si>
  <si>
    <t>Depth-First Search, Breadth-First Search, Union Find, Graph, Sorting</t>
  </si>
  <si>
    <t>Minimum Cost to Reach City With Discounts</t>
  </si>
  <si>
    <t>https://leetcode.com/problems/minimum-cost-to-reach-city-with-discounts</t>
  </si>
  <si>
    <t>57.279</t>
  </si>
  <si>
    <t>Graph, Shortest Path</t>
  </si>
  <si>
    <t>Finding 3-Digit Even Numbers</t>
  </si>
  <si>
    <t>https://leetcode.com/problems/finding-3-digit-even-numbers</t>
  </si>
  <si>
    <t>56.851</t>
  </si>
  <si>
    <t>Array, Hash Table, Sorting, Enumeration</t>
  </si>
  <si>
    <t>Delete the Middle Node of a Linked List</t>
  </si>
  <si>
    <t>https://leetcode.com/problems/delete-the-middle-node-of-a-linked-list</t>
  </si>
  <si>
    <t>56.140</t>
  </si>
  <si>
    <t>Step-By-Step Directions From a Binary Tree Node to Another</t>
  </si>
  <si>
    <t>https://leetcode.com/problems/step-by-step-directions-from-a-binary-tree-node-to-another</t>
  </si>
  <si>
    <t>Valid Arrangement of Pairs</t>
  </si>
  <si>
    <t>https://leetcode.com/problems/valid-arrangement-of-pairs</t>
  </si>
  <si>
    <t>40.259</t>
  </si>
  <si>
    <t>Subsequence of Size K With the Largest Even Sum</t>
  </si>
  <si>
    <t>https://leetcode.com/problems/subsequence-of-size-k-with-the-largest-even-sum</t>
  </si>
  <si>
    <t>38.326</t>
  </si>
  <si>
    <t>Find Subsequence of Length K With the Largest Sum</t>
  </si>
  <si>
    <t>https://leetcode.com/problems/find-subsequence-of-length-k-with-the-largest-sum</t>
  </si>
  <si>
    <t>43.346</t>
  </si>
  <si>
    <t>Array, Hash Table, Sorting, Heap (Priority Queue)</t>
  </si>
  <si>
    <t>Find Good Days to Rob the Bank</t>
  </si>
  <si>
    <t>https://leetcode.com/problems/find-good-days-to-rob-the-bank</t>
  </si>
  <si>
    <t>47.708</t>
  </si>
  <si>
    <t>Array, Dynamic Programming, Prefix Sum</t>
  </si>
  <si>
    <t>Detonate the Maximum Bombs</t>
  </si>
  <si>
    <t>https://leetcode.com/problems/detonate-the-maximum-bombs</t>
  </si>
  <si>
    <t>40.494</t>
  </si>
  <si>
    <t>Array, Math, Depth-First Search, Breadth-First Search, Graph, Geometry</t>
  </si>
  <si>
    <t>Sequentially Ordinal Rank Tracker</t>
  </si>
  <si>
    <t>https://leetcode.com/problems/sequentially-ordinal-rank-tracker</t>
  </si>
  <si>
    <t>64.468</t>
  </si>
  <si>
    <t>Design, Heap (Priority Queue), Data Stream, Ordered Set</t>
  </si>
  <si>
    <t>Rings and Rods</t>
  </si>
  <si>
    <t>https://leetcode.com/problems/rings-and-rods</t>
  </si>
  <si>
    <t>81.621</t>
  </si>
  <si>
    <t>Sum of Subarray Ranges</t>
  </si>
  <si>
    <t>https://leetcode.com/problems/sum-of-subarray-ranges</t>
  </si>
  <si>
    <t>60.382</t>
  </si>
  <si>
    <t>Watering Plants II</t>
  </si>
  <si>
    <t>https://leetcode.com/problems/watering-plants-ii</t>
  </si>
  <si>
    <t>50.734</t>
  </si>
  <si>
    <t>Array, Two Pointers, Simulation</t>
  </si>
  <si>
    <t>Maximum Fruits Harvested After at Most K Steps</t>
  </si>
  <si>
    <t>https://leetcode.com/problems/maximum-fruits-harvested-after-at-most-k-steps</t>
  </si>
  <si>
    <t>35.137</t>
  </si>
  <si>
    <t>Number of Unique Flavors After Sharing K Candies</t>
  </si>
  <si>
    <t>https://leetcode.com/problems/number-of-unique-flavors-after-sharing-k-candies</t>
  </si>
  <si>
    <t>57.676</t>
  </si>
  <si>
    <t>Find First Palindromic String in the Array</t>
  </si>
  <si>
    <t>https://leetcode.com/problems/find-first-palindromic-string-in-the-array</t>
  </si>
  <si>
    <t>78.848</t>
  </si>
  <si>
    <t>Adding Spaces to a String</t>
  </si>
  <si>
    <t>https://leetcode.com/problems/adding-spaces-to-a-string</t>
  </si>
  <si>
    <t>56.035</t>
  </si>
  <si>
    <t>Number of Smooth Descent Periods of a Stock</t>
  </si>
  <si>
    <t>https://leetcode.com/problems/number-of-smooth-descent-periods-of-a-stock</t>
  </si>
  <si>
    <t>56.128</t>
  </si>
  <si>
    <t>Minimum Operations to Make the Array K-Increasing</t>
  </si>
  <si>
    <t>https://leetcode.com/problems/minimum-operations-to-make-the-array-k-increasing</t>
  </si>
  <si>
    <t>37.058</t>
  </si>
  <si>
    <t>The Airport With the Most Traffic</t>
  </si>
  <si>
    <t>https://leetcode.com/problems/the-airport-with-the-most-traffic</t>
  </si>
  <si>
    <t>Elements in Array After Removing and Replacing Elements</t>
  </si>
  <si>
    <t>https://leetcode.com/problems/elements-in-array-after-removing-and-replacing-elements</t>
  </si>
  <si>
    <t>73.507</t>
  </si>
  <si>
    <t>Maximum Number of Words Found in Sentences</t>
  </si>
  <si>
    <t>https://leetcode.com/problems/maximum-number-of-words-found-in-sentences</t>
  </si>
  <si>
    <t>88.514</t>
  </si>
  <si>
    <t>Find All Possible Recipes from Given Supplies</t>
  </si>
  <si>
    <t>https://leetcode.com/problems/find-all-possible-recipes-from-given-supplies</t>
  </si>
  <si>
    <t>46.718</t>
  </si>
  <si>
    <t>Array, Hash Table, String, Graph, Topological Sort</t>
  </si>
  <si>
    <t>Check if a Parentheses String Can Be Valid</t>
  </si>
  <si>
    <t>https://leetcode.com/problems/check-if-a-parentheses-string-can-be-valid</t>
  </si>
  <si>
    <t>31.202</t>
  </si>
  <si>
    <t>Abbreviating the Product of a Range</t>
  </si>
  <si>
    <t>https://leetcode.com/problems/abbreviating-the-product-of-a-range</t>
  </si>
  <si>
    <t>28.322</t>
  </si>
  <si>
    <t>Build the Equation</t>
  </si>
  <si>
    <t>https://leetcode.com/problems/build-the-equation</t>
  </si>
  <si>
    <t>A Number After a Double Reversal</t>
  </si>
  <si>
    <t>https://leetcode.com/problems/a-number-after-a-double-reversal</t>
  </si>
  <si>
    <t>76.245</t>
  </si>
  <si>
    <t>Execution of All Suffix Instructions Staying in a Grid</t>
  </si>
  <si>
    <t>https://leetcode.com/problems/execution-of-all-suffix-instructions-staying-in-a-grid</t>
  </si>
  <si>
    <t>83.706</t>
  </si>
  <si>
    <t>Intervals Between Identical Elements</t>
  </si>
  <si>
    <t>https://leetcode.com/problems/intervals-between-identical-elements</t>
  </si>
  <si>
    <t>42.491</t>
  </si>
  <si>
    <t>Recover the Original Array</t>
  </si>
  <si>
    <t>https://leetcode.com/problems/recover-the-original-array</t>
  </si>
  <si>
    <t>37.668</t>
  </si>
  <si>
    <t>Minimum Operations to Remove Adjacent Ones in Matrix</t>
  </si>
  <si>
    <t>https://leetcode.com/problems/minimum-operations-to-remove-adjacent-ones-in-matrix</t>
  </si>
  <si>
    <t>40.585</t>
  </si>
  <si>
    <t>Array, Graph, Matrix</t>
  </si>
  <si>
    <t>Check if All A's Appears Before All B's</t>
  </si>
  <si>
    <t>https://leetcode.com/problems/check-if-all-as-appears-before-all-bs</t>
  </si>
  <si>
    <t>72.312</t>
  </si>
  <si>
    <t>Number of Laser Beams in a Bank</t>
  </si>
  <si>
    <t>https://leetcode.com/problems/number-of-laser-beams-in-a-bank</t>
  </si>
  <si>
    <t>83.273</t>
  </si>
  <si>
    <t>Array, Math, String, Matrix</t>
  </si>
  <si>
    <t>Destroying Asteroids</t>
  </si>
  <si>
    <t>https://leetcode.com/problems/destroying-asteroids</t>
  </si>
  <si>
    <t>48.923</t>
  </si>
  <si>
    <t>Maximum Employees to Be Invited to a Meeting</t>
  </si>
  <si>
    <t>https://leetcode.com/problems/maximum-employees-to-be-invited-to-a-meeting</t>
  </si>
  <si>
    <t>30.758</t>
  </si>
  <si>
    <t>Depth-First Search, Graph, Topological Sort</t>
  </si>
  <si>
    <t>Remove All Ones With Row and Column Flips</t>
  </si>
  <si>
    <t>https://leetcode.com/problems/remove-all-ones-with-row-and-column-flips</t>
  </si>
  <si>
    <t>Capitalize the Title</t>
  </si>
  <si>
    <t>https://leetcode.com/problems/capitalize-the-title</t>
  </si>
  <si>
    <t>60.111</t>
  </si>
  <si>
    <t>Maximum Twin Sum of a Linked List</t>
  </si>
  <si>
    <t>https://leetcode.com/problems/maximum-twin-sum-of-a-linked-list</t>
  </si>
  <si>
    <t>81.978</t>
  </si>
  <si>
    <t>Linked List, Two Pointers, Stack</t>
  </si>
  <si>
    <t>Longest Palindrome by Concatenating Two Letter Words</t>
  </si>
  <si>
    <t>https://leetcode.com/problems/longest-palindrome-by-concatenating-two-letter-words</t>
  </si>
  <si>
    <t>Array, Hash Table, String, Greedy, Counting</t>
  </si>
  <si>
    <t>Stamping the Grid</t>
  </si>
  <si>
    <t>https://leetcode.com/problems/stamping-the-grid</t>
  </si>
  <si>
    <t>29.915</t>
  </si>
  <si>
    <t>Array, Greedy, Matrix, Prefix Sum</t>
  </si>
  <si>
    <t>Check if Every Row and Column Contains All Numbers</t>
  </si>
  <si>
    <t>https://leetcode.com/problems/check-if-every-row-and-column-contains-all-numbers</t>
  </si>
  <si>
    <t>52.487</t>
  </si>
  <si>
    <t>Minimum Swaps to Group All 1's Together II</t>
  </si>
  <si>
    <t>https://leetcode.com/problems/minimum-swaps-to-group-all-1s-together-ii</t>
  </si>
  <si>
    <t>48.738</t>
  </si>
  <si>
    <t>Count Words Obtained After Adding a Letter</t>
  </si>
  <si>
    <t>https://leetcode.com/problems/count-words-obtained-after-adding-a-letter</t>
  </si>
  <si>
    <t>41.261</t>
  </si>
  <si>
    <t>Array, Hash Table, String, Bit Manipulation, Sorting</t>
  </si>
  <si>
    <t>Earliest Possible Day of Full Bloom</t>
  </si>
  <si>
    <t>https://leetcode.com/problems/earliest-possible-day-of-full-bloom</t>
  </si>
  <si>
    <t>67.736</t>
  </si>
  <si>
    <t>Pour Water Between Buckets to Make Water Levels Equal</t>
  </si>
  <si>
    <t>https://leetcode.com/problems/pour-water-between-buckets-to-make-water-levels-equal</t>
  </si>
  <si>
    <t>67.715</t>
  </si>
  <si>
    <t>Divide a String Into Groups of Size k</t>
  </si>
  <si>
    <t>https://leetcode.com/problems/divide-a-string-into-groups-of-size-k</t>
  </si>
  <si>
    <t>65.468</t>
  </si>
  <si>
    <t>Minimum Moves to Reach Target Score</t>
  </si>
  <si>
    <t>https://leetcode.com/problems/minimum-moves-to-reach-target-score</t>
  </si>
  <si>
    <t>48.527</t>
  </si>
  <si>
    <t>Solving Questions With Brainpower</t>
  </si>
  <si>
    <t>https://leetcode.com/problems/solving-questions-with-brainpower</t>
  </si>
  <si>
    <t>44.892</t>
  </si>
  <si>
    <t>Maximum Running Time of N Computers</t>
  </si>
  <si>
    <t>https://leetcode.com/problems/maximum-running-time-of-n-computers</t>
  </si>
  <si>
    <t>38.302</t>
  </si>
  <si>
    <t>Array, Binary Search, Greedy, Sorting</t>
  </si>
  <si>
    <t>The Number of Passengers in Each Bus I</t>
  </si>
  <si>
    <t>https://leetcode.com/problems/the-number-of-passengers-in-each-bus-i</t>
  </si>
  <si>
    <t>Choose Numbers From Two Arrays in Range</t>
  </si>
  <si>
    <t>https://leetcode.com/problems/choose-numbers-from-two-arrays-in-range</t>
  </si>
  <si>
    <t>51.139</t>
  </si>
  <si>
    <t>Minimum Cost of Buying Candies With Discount</t>
  </si>
  <si>
    <t>https://leetcode.com/problems/minimum-cost-of-buying-candies-with-discount</t>
  </si>
  <si>
    <t>60.909</t>
  </si>
  <si>
    <t>Count the Hidden Sequences</t>
  </si>
  <si>
    <t>https://leetcode.com/problems/count-the-hidden-sequences</t>
  </si>
  <si>
    <t>35.832</t>
  </si>
  <si>
    <t>K Highest Ranked Items Within a Price Range</t>
  </si>
  <si>
    <t>https://leetcode.com/problems/k-highest-ranked-items-within-a-price-range</t>
  </si>
  <si>
    <t>40.786</t>
  </si>
  <si>
    <t>Array, Breadth-First Search, Sorting, Heap (Priority Queue), Matrix</t>
  </si>
  <si>
    <t>Number of Ways to Divide a Long Corridor</t>
  </si>
  <si>
    <t>https://leetcode.com/problems/number-of-ways-to-divide-a-long-corridor</t>
  </si>
  <si>
    <t>39.762</t>
  </si>
  <si>
    <t>Math, String, Dynamic Programming</t>
  </si>
  <si>
    <t xml:space="preserve">Count Elements With Strictly Smaller and Greater Elements </t>
  </si>
  <si>
    <t>https://leetcode.com/problems/count-elements-with-strictly-smaller-and-greater-elements</t>
  </si>
  <si>
    <t>60.276</t>
  </si>
  <si>
    <t>Rearrange Array Elements by Sign</t>
  </si>
  <si>
    <t>https://leetcode.com/problems/rearrange-array-elements-by-sign</t>
  </si>
  <si>
    <t>81.794</t>
  </si>
  <si>
    <t>Find All Lonely Numbers in the Array</t>
  </si>
  <si>
    <t>https://leetcode.com/problems/find-all-lonely-numbers-in-the-array</t>
  </si>
  <si>
    <t>60.509</t>
  </si>
  <si>
    <t>Maximum Good People Based on Statements</t>
  </si>
  <si>
    <t>https://leetcode.com/problems/maximum-good-people-based-on-statements</t>
  </si>
  <si>
    <t>46.883</t>
  </si>
  <si>
    <t>Minimum Number of Lines to Cover Points</t>
  </si>
  <si>
    <t>https://leetcode.com/problems/minimum-number-of-lines-to-cover-points</t>
  </si>
  <si>
    <t>46.550</t>
  </si>
  <si>
    <t>Array, Hash Table, Math, Dynamic Programming, Backtracking, Bit Manipulation, Geometry, Bitmask</t>
  </si>
  <si>
    <t>The Number of Passengers in Each Bus II</t>
  </si>
  <si>
    <t>https://leetcode.com/problems/the-number-of-passengers-in-each-bus-ii</t>
  </si>
  <si>
    <t>51.558</t>
  </si>
  <si>
    <t>Keep Multiplying Found Values by Two</t>
  </si>
  <si>
    <t>https://leetcode.com/problems/keep-multiplying-found-values-by-two</t>
  </si>
  <si>
    <t>73.513</t>
  </si>
  <si>
    <t>Array, Hash Table, Sorting, Simulation</t>
  </si>
  <si>
    <t>All Divisions With the Highest Score of a Binary Array</t>
  </si>
  <si>
    <t>https://leetcode.com/problems/all-divisions-with-the-highest-score-of-a-binary-array</t>
  </si>
  <si>
    <t>62.670</t>
  </si>
  <si>
    <t>Find Substring With Given Hash Value</t>
  </si>
  <si>
    <t>https://leetcode.com/problems/find-substring-with-given-hash-value</t>
  </si>
  <si>
    <t>21.432</t>
  </si>
  <si>
    <t>String, Sliding Window, Rolling Hash, Hash Function</t>
  </si>
  <si>
    <t>Groups of Strings</t>
  </si>
  <si>
    <t>https://leetcode.com/problems/groups-of-strings</t>
  </si>
  <si>
    <t>24.824</t>
  </si>
  <si>
    <t>String, Bit Manipulation, Union Find</t>
  </si>
  <si>
    <t>Amount of New Area Painted Each Day</t>
  </si>
  <si>
    <t>https://leetcode.com/problems/amount-of-new-area-painted-each-day</t>
  </si>
  <si>
    <t>58.439</t>
  </si>
  <si>
    <t>Order Two Columns Independently</t>
  </si>
  <si>
    <t>https://leetcode.com/problems/order-two-columns-independently</t>
  </si>
  <si>
    <t>Minimum Sum of Four Digit Number After Splitting Digits</t>
  </si>
  <si>
    <t>https://leetcode.com/problems/minimum-sum-of-four-digit-number-after-splitting-digits</t>
  </si>
  <si>
    <t>88.231</t>
  </si>
  <si>
    <t>Math, Greedy, Sorting</t>
  </si>
  <si>
    <t>Partition Array According to Given Pivot</t>
  </si>
  <si>
    <t>https://leetcode.com/problems/partition-array-according-to-given-pivot</t>
  </si>
  <si>
    <t>83.387</t>
  </si>
  <si>
    <t>Minimum Cost to Set Cooking Time</t>
  </si>
  <si>
    <t>https://leetcode.com/problems/minimum-cost-to-set-cooking-time</t>
  </si>
  <si>
    <t>36.632</t>
  </si>
  <si>
    <t>Minimum Difference in Sums After Removal of Elements</t>
  </si>
  <si>
    <t>https://leetcode.com/problems/minimum-difference-in-sums-after-removal-of-elements</t>
  </si>
  <si>
    <t>45.739</t>
  </si>
  <si>
    <t>Array, Dynamic Programming, Heap (Priority Queue)</t>
  </si>
  <si>
    <t>Sort Even and Odd Indices Independently</t>
  </si>
  <si>
    <t>https://leetcode.com/problems/sort-even-and-odd-indices-independently</t>
  </si>
  <si>
    <t>67.091</t>
  </si>
  <si>
    <t>Smallest Value of the Rearranged Number</t>
  </si>
  <si>
    <t>https://leetcode.com/problems/smallest-value-of-the-rearranged-number</t>
  </si>
  <si>
    <t>50.890</t>
  </si>
  <si>
    <t>Math, Sorting</t>
  </si>
  <si>
    <t>Design Bitset</t>
  </si>
  <si>
    <t>https://leetcode.com/problems/design-bitset</t>
  </si>
  <si>
    <t>30.855</t>
  </si>
  <si>
    <t>Minimum Time to Remove All Cars Containing Illegal Goods</t>
  </si>
  <si>
    <t>https://leetcode.com/problems/minimum-time-to-remove-all-cars-containing-illegal-goods</t>
  </si>
  <si>
    <t>39.424</t>
  </si>
  <si>
    <t>Unique Substrings With Equal Digit Frequency</t>
  </si>
  <si>
    <t>https://leetcode.com/problems/unique-substrings-with-equal-digit-frequency</t>
  </si>
  <si>
    <t>59.280</t>
  </si>
  <si>
    <t>Hash Table, String, Rolling Hash, Counting, Hash Function</t>
  </si>
  <si>
    <t>Count Operations to Obtain Zero</t>
  </si>
  <si>
    <t>https://leetcode.com/problems/count-operations-to-obtain-zero</t>
  </si>
  <si>
    <t>75.573</t>
  </si>
  <si>
    <t>Minimum Operations to Make the Array Alternating</t>
  </si>
  <si>
    <t>https://leetcode.com/problems/minimum-operations-to-make-the-array-alternating</t>
  </si>
  <si>
    <t>33.007</t>
  </si>
  <si>
    <t>Removing Minimum Number of Magic Beans</t>
  </si>
  <si>
    <t>https://leetcode.com/problems/removing-minimum-number-of-magic-beans</t>
  </si>
  <si>
    <t>41.477</t>
  </si>
  <si>
    <t>Array, Sorting, Prefix Sum</t>
  </si>
  <si>
    <t>Maximum AND Sum of Array</t>
  </si>
  <si>
    <t>https://leetcode.com/problems/maximum-and-sum-of-array</t>
  </si>
  <si>
    <t>43.754</t>
  </si>
  <si>
    <t>Longest Winning Streak</t>
  </si>
  <si>
    <t>https://leetcode.com/problems/longest-winning-streak</t>
  </si>
  <si>
    <t>56.205</t>
  </si>
  <si>
    <t>Remove All Ones With Row and Column Flips II</t>
  </si>
  <si>
    <t>https://leetcode.com/problems/remove-all-ones-with-row-and-column-flips-ii</t>
  </si>
  <si>
    <t>69.481</t>
  </si>
  <si>
    <t>The Change in Global Rankings</t>
  </si>
  <si>
    <t>https://leetcode.com/problems/the-change-in-global-rankings</t>
  </si>
  <si>
    <t>66.281</t>
  </si>
  <si>
    <t>Count Equal and Divisible Pairs in an Array</t>
  </si>
  <si>
    <t>https://leetcode.com/problems/count-equal-and-divisible-pairs-in-an-array</t>
  </si>
  <si>
    <t>80.413</t>
  </si>
  <si>
    <t>Find Three Consecutive Integers That Sum to a Given Number</t>
  </si>
  <si>
    <t>https://leetcode.com/problems/find-three-consecutive-integers-that-sum-to-a-given-number</t>
  </si>
  <si>
    <t>62.394</t>
  </si>
  <si>
    <t>Maximum Split of Positive Even Integers</t>
  </si>
  <si>
    <t>https://leetcode.com/problems/maximum-split-of-positive-even-integers</t>
  </si>
  <si>
    <t>58.039</t>
  </si>
  <si>
    <t>Count Good Triplets in an Array</t>
  </si>
  <si>
    <t>https://leetcode.com/problems/count-good-triplets-in-an-array</t>
  </si>
  <si>
    <t>34.973</t>
  </si>
  <si>
    <t>Count Integers With Even Digit Sum</t>
  </si>
  <si>
    <t>https://leetcode.com/problems/count-integers-with-even-digit-sum</t>
  </si>
  <si>
    <t>64.282</t>
  </si>
  <si>
    <t>Merge Nodes in Between Zeros</t>
  </si>
  <si>
    <t>https://leetcode.com/problems/merge-nodes-in-between-zeros</t>
  </si>
  <si>
    <t>86.710</t>
  </si>
  <si>
    <t>Linked List, Simulation</t>
  </si>
  <si>
    <t>Construct String With Repeat Limit</t>
  </si>
  <si>
    <t>https://leetcode.com/problems/construct-string-with-repeat-limit</t>
  </si>
  <si>
    <t>51.394</t>
  </si>
  <si>
    <t>String, Greedy, Heap (Priority Queue), Counting</t>
  </si>
  <si>
    <t>Count Array Pairs Divisible by K</t>
  </si>
  <si>
    <t>https://leetcode.com/problems/count-array-pairs-divisible-by-k</t>
  </si>
  <si>
    <t>27.156</t>
  </si>
  <si>
    <t>Number of Ways to Build Sturdy Brick Wall</t>
  </si>
  <si>
    <t>https://leetcode.com/problems/number-of-ways-to-build-sturdy-brick-wall</t>
  </si>
  <si>
    <t>54.183</t>
  </si>
  <si>
    <t>Counting Words With a Given Prefix</t>
  </si>
  <si>
    <t>https://leetcode.com/problems/counting-words-with-a-given-prefix</t>
  </si>
  <si>
    <t>77.298</t>
  </si>
  <si>
    <t>Minimum Number of Steps to Make Two Strings Anagram II</t>
  </si>
  <si>
    <t>https://leetcode.com/problems/minimum-number-of-steps-to-make-two-strings-anagram-ii</t>
  </si>
  <si>
    <t>71.245</t>
  </si>
  <si>
    <t>Minimum Time to Complete Trips</t>
  </si>
  <si>
    <t>https://leetcode.com/problems/minimum-time-to-complete-trips</t>
  </si>
  <si>
    <t>30.714</t>
  </si>
  <si>
    <t>Minimum Time to Finish the Race</t>
  </si>
  <si>
    <t>https://leetcode.com/problems/minimum-time-to-finish-the-race</t>
  </si>
  <si>
    <t>40.947</t>
  </si>
  <si>
    <t>Number of Ways to Build House of Cards</t>
  </si>
  <si>
    <t>https://leetcode.com/problems/number-of-ways-to-build-house-of-cards</t>
  </si>
  <si>
    <t>64.742</t>
  </si>
  <si>
    <t>Most Frequent Number Following Key In an Array</t>
  </si>
  <si>
    <t>https://leetcode.com/problems/most-frequent-number-following-key-in-an-array</t>
  </si>
  <si>
    <t>60.553</t>
  </si>
  <si>
    <t>Sort the Jumbled Numbers</t>
  </si>
  <si>
    <t>https://leetcode.com/problems/sort-the-jumbled-numbers</t>
  </si>
  <si>
    <t>44.213</t>
  </si>
  <si>
    <t>All Ancestors of a Node in a Directed Acyclic Graph</t>
  </si>
  <si>
    <t>https://leetcode.com/problems/all-ancestors-of-a-node-in-a-directed-acyclic-graph</t>
  </si>
  <si>
    <t>48.596</t>
  </si>
  <si>
    <t>Minimum Number of Moves to Make Palindrome</t>
  </si>
  <si>
    <t>https://leetcode.com/problems/minimum-number-of-moves-to-make-palindrome</t>
  </si>
  <si>
    <t>44.125</t>
  </si>
  <si>
    <t>Two Pointers, String, Greedy, Binary Indexed Tree</t>
  </si>
  <si>
    <t>Cells in a Range on an Excel Sheet</t>
  </si>
  <si>
    <t>https://leetcode.com/problems/cells-in-a-range-on-an-excel-sheet</t>
  </si>
  <si>
    <t>85.572</t>
  </si>
  <si>
    <t>Append K Integers With Minimal Sum</t>
  </si>
  <si>
    <t>https://leetcode.com/problems/append-k-integers-with-minimal-sum</t>
  </si>
  <si>
    <t>23.496</t>
  </si>
  <si>
    <t>Create Binary Tree From Descriptions</t>
  </si>
  <si>
    <t>https://leetcode.com/problems/create-binary-tree-from-descriptions</t>
  </si>
  <si>
    <t>70.916</t>
  </si>
  <si>
    <t>Array, Hash Table, Tree, Depth-First Search, Breadth-First Search, Binary Tree</t>
  </si>
  <si>
    <t>Replace Non-Coprime Numbers in Array</t>
  </si>
  <si>
    <t>https://leetcode.com/problems/replace-non-coprime-numbers-in-array</t>
  </si>
  <si>
    <t>36.260</t>
  </si>
  <si>
    <t>Array, Math, Stack, Number Theory</t>
  </si>
  <si>
    <t>Number of Single Divisor Triplets</t>
  </si>
  <si>
    <t>https://leetcode.com/problems/number-of-single-divisor-triplets</t>
  </si>
  <si>
    <t>55.669</t>
  </si>
  <si>
    <t>Finding the Topic of Each Post</t>
  </si>
  <si>
    <t>https://leetcode.com/problems/finding-the-topic-of-each-post</t>
  </si>
  <si>
    <t>45.035</t>
  </si>
  <si>
    <t>Find All K-Distant Indices in an Array</t>
  </si>
  <si>
    <t>https://leetcode.com/problems/find-all-k-distant-indices-in-an-array</t>
  </si>
  <si>
    <t>64.077</t>
  </si>
  <si>
    <t>Count Artifacts That Can Be Extracted</t>
  </si>
  <si>
    <t>https://leetcode.com/problems/count-artifacts-that-can-be-extracted</t>
  </si>
  <si>
    <t>54.459</t>
  </si>
  <si>
    <t>Array, Hash Table, Simulation</t>
  </si>
  <si>
    <t>Maximize the Topmost Element After K Moves</t>
  </si>
  <si>
    <t>https://leetcode.com/problems/maximize-the-topmost-element-after-k-moves</t>
  </si>
  <si>
    <t>22.359</t>
  </si>
  <si>
    <t>Minimum Weighted Subgraph With the Required Paths</t>
  </si>
  <si>
    <t>https://leetcode.com/problems/minimum-weighted-subgraph-with-the-required-paths</t>
  </si>
  <si>
    <t>35.802</t>
  </si>
  <si>
    <t>Distance to a Cycle in Undirected Graph</t>
  </si>
  <si>
    <t>https://leetcode.com/problems/distance-to-a-cycle-in-undirected-graph</t>
  </si>
  <si>
    <t>71.740</t>
  </si>
  <si>
    <t>The Number of Users That Are Eligible for Discount</t>
  </si>
  <si>
    <t>https://leetcode.com/problems/the-number-of-users-that-are-eligible-for-discount</t>
  </si>
  <si>
    <t>49.470</t>
  </si>
  <si>
    <t>Divide Array Into Equal Pairs</t>
  </si>
  <si>
    <t>https://leetcode.com/problems/divide-array-into-equal-pairs</t>
  </si>
  <si>
    <t>76.156</t>
  </si>
  <si>
    <t>Array, Hash Table, Bit Manipulation, Counting</t>
  </si>
  <si>
    <t>Maximize Number of Subsequences in a String</t>
  </si>
  <si>
    <t>https://leetcode.com/problems/maximize-number-of-subsequences-in-a-string</t>
  </si>
  <si>
    <t>31.911</t>
  </si>
  <si>
    <t>String, Greedy, Prefix Sum</t>
  </si>
  <si>
    <t>Minimum Operations to Halve Array Sum</t>
  </si>
  <si>
    <t>https://leetcode.com/problems/minimum-operations-to-halve-array-sum</t>
  </si>
  <si>
    <t>44.373</t>
  </si>
  <si>
    <t>Minimum White Tiles After Covering With Carpets</t>
  </si>
  <si>
    <t>https://leetcode.com/problems/minimum-white-tiles-after-covering-with-carpets</t>
  </si>
  <si>
    <t>32.652</t>
  </si>
  <si>
    <t>String, Dynamic Programming, Prefix Sum</t>
  </si>
  <si>
    <t>Count Hills and Valleys in an Array</t>
  </si>
  <si>
    <t>https://leetcode.com/problems/count-hills-and-valleys-in-an-array</t>
  </si>
  <si>
    <t>56.940</t>
  </si>
  <si>
    <t>Count Collisions on a Road</t>
  </si>
  <si>
    <t>https://leetcode.com/problems/count-collisions-on-a-road</t>
  </si>
  <si>
    <t>40.938</t>
  </si>
  <si>
    <t>Maximum Points in an Archery Competition</t>
  </si>
  <si>
    <t>https://leetcode.com/problems/maximum-points-in-an-archery-competition</t>
  </si>
  <si>
    <t>Array, Bit Manipulation, Recursion, Enumeration</t>
  </si>
  <si>
    <t>Longest Substring of One Repeating Character</t>
  </si>
  <si>
    <t>https://leetcode.com/problems/longest-substring-of-one-repeating-character</t>
  </si>
  <si>
    <t>30.103</t>
  </si>
  <si>
    <t>Array, String, Segment Tree, Ordered Set</t>
  </si>
  <si>
    <t>Minimum Health to Beat Game</t>
  </si>
  <si>
    <t>https://leetcode.com/problems/minimum-health-to-beat-game</t>
  </si>
  <si>
    <t>56.528</t>
  </si>
  <si>
    <t>Find the Difference of Two Arrays</t>
  </si>
  <si>
    <t>https://leetcode.com/problems/find-the-difference-of-two-arrays</t>
  </si>
  <si>
    <t>69.348</t>
  </si>
  <si>
    <t>Minimum Deletions to Make Array Beautiful</t>
  </si>
  <si>
    <t>https://leetcode.com/problems/minimum-deletions-to-make-array-beautiful</t>
  </si>
  <si>
    <t>45.454</t>
  </si>
  <si>
    <t>Find Palindrome With Fixed Length</t>
  </si>
  <si>
    <t>https://leetcode.com/problems/find-palindrome-with-fixed-length</t>
  </si>
  <si>
    <t>Maximum Value of K Coins From Piles</t>
  </si>
  <si>
    <t>https://leetcode.com/problems/maximum-value-of-k-coins-from-piles</t>
  </si>
  <si>
    <t>49.060</t>
  </si>
  <si>
    <t>Maximum Sum Score of Array</t>
  </si>
  <si>
    <t>https://leetcode.com/problems/maximum-sum-score-of-array</t>
  </si>
  <si>
    <t>62.851</t>
  </si>
  <si>
    <t>Minimum Bit Flips to Convert Number</t>
  </si>
  <si>
    <t>https://leetcode.com/problems/minimum-bit-flips-to-convert-number</t>
  </si>
  <si>
    <t>81.855</t>
  </si>
  <si>
    <t>Find Triangular Sum of an Array</t>
  </si>
  <si>
    <t>https://leetcode.com/problems/find-triangular-sum-of-an-array</t>
  </si>
  <si>
    <t>79.151</t>
  </si>
  <si>
    <t>Array, Math, Simulation, Combinatorics</t>
  </si>
  <si>
    <t>Number of Ways to Select Buildings</t>
  </si>
  <si>
    <t>https://leetcode.com/problems/number-of-ways-to-select-buildings</t>
  </si>
  <si>
    <t>46.827</t>
  </si>
  <si>
    <t>Sum of Scores of Built Strings</t>
  </si>
  <si>
    <t>https://leetcode.com/problems/sum-of-scores-of-built-strings</t>
  </si>
  <si>
    <t>34.695</t>
  </si>
  <si>
    <t>String, Binary Search, Rolling Hash, Suffix Array, String Matching, Hash Function</t>
  </si>
  <si>
    <t>Minimum Number of Operations to Convert Time</t>
  </si>
  <si>
    <t>https://leetcode.com/problems/minimum-number-of-operations-to-convert-time</t>
  </si>
  <si>
    <t>63.753</t>
  </si>
  <si>
    <t>Find Players With Zero or One Losses</t>
  </si>
  <si>
    <t>https://leetcode.com/problems/find-players-with-zero-or-one-losses</t>
  </si>
  <si>
    <t>68.523</t>
  </si>
  <si>
    <t>Maximum Candies Allocated to K Children</t>
  </si>
  <si>
    <t>https://leetcode.com/problems/maximum-candies-allocated-to-k-children</t>
  </si>
  <si>
    <t>35.262</t>
  </si>
  <si>
    <t>Encrypt and Decrypt Strings</t>
  </si>
  <si>
    <t>https://leetcode.com/problems/encrypt-and-decrypt-strings</t>
  </si>
  <si>
    <t>38.371</t>
  </si>
  <si>
    <t>Array, Hash Table, String, Design, Trie</t>
  </si>
  <si>
    <t>Users With Two Purchases Within Seven Days</t>
  </si>
  <si>
    <t>https://leetcode.com/problems/users-with-two-purchases-within-seven-days</t>
  </si>
  <si>
    <t>44.630</t>
  </si>
  <si>
    <t>Check if an Array Is Consecutive</t>
  </si>
  <si>
    <t>https://leetcode.com/problems/check-if-an-array-is-consecutive</t>
  </si>
  <si>
    <t>61.832</t>
  </si>
  <si>
    <t>The Users That Are Eligible for Discount</t>
  </si>
  <si>
    <t>https://leetcode.com/problems/the-users-that-are-eligible-for-discount</t>
  </si>
  <si>
    <t>50.326</t>
  </si>
  <si>
    <t>Largest Number After Digit Swaps by Parity</t>
  </si>
  <si>
    <t>https://leetcode.com/problems/largest-number-after-digit-swaps-by-parity</t>
  </si>
  <si>
    <t>58.934</t>
  </si>
  <si>
    <t>Sorting, Heap (Priority Queue)</t>
  </si>
  <si>
    <t>Minimize Result by Adding Parentheses to Expression</t>
  </si>
  <si>
    <t>https://leetcode.com/problems/minimize-result-by-adding-parentheses-to-expression</t>
  </si>
  <si>
    <t>63.707</t>
  </si>
  <si>
    <t>Maximum Product After K Increments</t>
  </si>
  <si>
    <t>https://leetcode.com/problems/maximum-product-after-k-increments</t>
  </si>
  <si>
    <t>40.561</t>
  </si>
  <si>
    <t>Maximum Total Beauty of the Gardens</t>
  </si>
  <si>
    <t>https://leetcode.com/problems/maximum-total-beauty-of-the-gardens</t>
  </si>
  <si>
    <t>26.816</t>
  </si>
  <si>
    <t>Add Two Integers</t>
  </si>
  <si>
    <t>https://leetcode.com/problems/add-two-integers</t>
  </si>
  <si>
    <t>92.211</t>
  </si>
  <si>
    <t>Root Equals Sum of Children</t>
  </si>
  <si>
    <t>https://leetcode.com/problems/root-equals-sum-of-children</t>
  </si>
  <si>
    <t>90.006</t>
  </si>
  <si>
    <t>Count Positions on Street With Required Brightness</t>
  </si>
  <si>
    <t>https://leetcode.com/problems/count-positions-on-street-with-required-brightness</t>
  </si>
  <si>
    <t>69.728</t>
  </si>
  <si>
    <t>Number of Times a Driver Was a Passenger</t>
  </si>
  <si>
    <t>https://leetcode.com/problems/number-of-times-a-driver-was-a-passenger</t>
  </si>
  <si>
    <t>76.714</t>
  </si>
  <si>
    <t>Find Closest Number to Zero</t>
  </si>
  <si>
    <t>https://leetcode.com/problems/find-closest-number-to-zero</t>
  </si>
  <si>
    <t>45.986</t>
  </si>
  <si>
    <t>Number of Ways to Buy Pens and Pencils</t>
  </si>
  <si>
    <t>https://leetcode.com/problems/number-of-ways-to-buy-pens-and-pencils</t>
  </si>
  <si>
    <t>56.199</t>
  </si>
  <si>
    <t>Design an ATM Machine</t>
  </si>
  <si>
    <t>https://leetcode.com/problems/design-an-atm-machine</t>
  </si>
  <si>
    <t>37.713</t>
  </si>
  <si>
    <t>Array, Greedy, Design</t>
  </si>
  <si>
    <t>Maximum Score of a Node Sequence</t>
  </si>
  <si>
    <t>https://leetcode.com/problems/maximum-score-of-a-node-sequence</t>
  </si>
  <si>
    <t>34.972</t>
  </si>
  <si>
    <t>Array, Graph, Sorting, Enumeration</t>
  </si>
  <si>
    <t>Calculate Digit Sum of a String</t>
  </si>
  <si>
    <t>https://leetcode.com/problems/calculate-digit-sum-of-a-string</t>
  </si>
  <si>
    <t>66.401</t>
  </si>
  <si>
    <t>Minimum Rounds to Complete All Tasks</t>
  </si>
  <si>
    <t>https://leetcode.com/problems/minimum-rounds-to-complete-all-tasks</t>
  </si>
  <si>
    <t>55.321</t>
  </si>
  <si>
    <t>Maximum Trailing Zeros in a Cornered Path</t>
  </si>
  <si>
    <t>https://leetcode.com/problems/maximum-trailing-zeros-in-a-cornered-path</t>
  </si>
  <si>
    <t>34.519</t>
  </si>
  <si>
    <t>Longest Path With Different Adjacent Characters</t>
  </si>
  <si>
    <t>https://leetcode.com/problems/longest-path-with-different-adjacent-characters</t>
  </si>
  <si>
    <t>43.890</t>
  </si>
  <si>
    <t>Array, String, Tree, Depth-First Search, Graph, Topological Sort</t>
  </si>
  <si>
    <t>Maximum Cost of Trip With K Highways</t>
  </si>
  <si>
    <t>https://leetcode.com/problems/maximum-cost-of-trip-with-k-highways</t>
  </si>
  <si>
    <t>Intersection of Multiple Arrays</t>
  </si>
  <si>
    <t>https://leetcode.com/problems/intersection-of-multiple-arrays</t>
  </si>
  <si>
    <t>69.775</t>
  </si>
  <si>
    <t>Count Lattice Points Inside a Circle</t>
  </si>
  <si>
    <t>https://leetcode.com/problems/count-lattice-points-inside-a-circle</t>
  </si>
  <si>
    <t>50.380</t>
  </si>
  <si>
    <t>Array, Hash Table, Math, Geometry, Enumeration</t>
  </si>
  <si>
    <t>Count Number of Rectangles Containing Each Point</t>
  </si>
  <si>
    <t>https://leetcode.com/problems/count-number-of-rectangles-containing-each-point</t>
  </si>
  <si>
    <t>32.690</t>
  </si>
  <si>
    <t>Array, Binary Search, Binary Indexed Tree, Sorting</t>
  </si>
  <si>
    <t>Number of Flowers in Full Bloom</t>
  </si>
  <si>
    <t>https://leetcode.com/problems/number-of-flowers-in-full-bloom</t>
  </si>
  <si>
    <t>51.463</t>
  </si>
  <si>
    <t>Array, Hash Table, Binary Search, Sorting, Prefix Sum, Ordered Set</t>
  </si>
  <si>
    <t>Dynamic Pivoting of a Table</t>
  </si>
  <si>
    <t>https://leetcode.com/problems/dynamic-pivoting-of-a-table</t>
  </si>
  <si>
    <t>Dynamic Unpivoting of a Table</t>
  </si>
  <si>
    <t>https://leetcode.com/problems/dynamic-unpivoting-of-a-table</t>
  </si>
  <si>
    <t>64.748</t>
  </si>
  <si>
    <t>Design Video Sharing Platform</t>
  </si>
  <si>
    <t>https://leetcode.com/problems/design-video-sharing-platform</t>
  </si>
  <si>
    <t>64.112</t>
  </si>
  <si>
    <t>Count Prefixes of a Given String</t>
  </si>
  <si>
    <t>https://leetcode.com/problems/count-prefixes-of-a-given-string</t>
  </si>
  <si>
    <t>73.132</t>
  </si>
  <si>
    <t>Minimum Average Difference</t>
  </si>
  <si>
    <t>https://leetcode.com/problems/minimum-average-difference</t>
  </si>
  <si>
    <t>35.324</t>
  </si>
  <si>
    <t>Count Unguarded Cells in the Grid</t>
  </si>
  <si>
    <t>https://leetcode.com/problems/count-unguarded-cells-in-the-grid</t>
  </si>
  <si>
    <t>51.626</t>
  </si>
  <si>
    <t>Escape the Spreading Fire</t>
  </si>
  <si>
    <t>https://leetcode.com/problems/escape-the-spreading-fire</t>
  </si>
  <si>
    <t>34.887</t>
  </si>
  <si>
    <t>Array, Binary Search, Breadth-First Search, Matrix</t>
  </si>
  <si>
    <t>Remove Digit From Number to Maximize Result</t>
  </si>
  <si>
    <t>https://leetcode.com/problems/remove-digit-from-number-to-maximize-result</t>
  </si>
  <si>
    <t>46.971</t>
  </si>
  <si>
    <t>String, Greedy, Enumeration</t>
  </si>
  <si>
    <t>Minimum Consecutive Cards to Pick Up</t>
  </si>
  <si>
    <t>https://leetcode.com/problems/minimum-consecutive-cards-to-pick-up</t>
  </si>
  <si>
    <t>53.121</t>
  </si>
  <si>
    <t>K Divisible Elements Subarrays</t>
  </si>
  <si>
    <t>https://leetcode.com/problems/k-divisible-elements-subarrays</t>
  </si>
  <si>
    <t>45.770</t>
  </si>
  <si>
    <t>Array, Hash Table, Trie, Rolling Hash, Hash Function, Enumeration</t>
  </si>
  <si>
    <t>Total Appeal of A String</t>
  </si>
  <si>
    <t>https://leetcode.com/problems/total-appeal-of-a-string</t>
  </si>
  <si>
    <t>54.685</t>
  </si>
  <si>
    <t>Make Array Non-decreasing or Non-increasing</t>
  </si>
  <si>
    <t>https://leetcode.com/problems/make-array-non-decreasing-or-non-increasing</t>
  </si>
  <si>
    <t>65.012</t>
  </si>
  <si>
    <t>Dynamic Programming, Greedy</t>
  </si>
  <si>
    <t>Largest 3-Same-Digit Number in String</t>
  </si>
  <si>
    <t>https://leetcode.com/problems/largest-3-same-digit-number-in-string</t>
  </si>
  <si>
    <t>58.815</t>
  </si>
  <si>
    <t>Count Nodes Equal to Average of Subtree</t>
  </si>
  <si>
    <t>https://leetcode.com/problems/count-nodes-equal-to-average-of-subtree</t>
  </si>
  <si>
    <t>85.367</t>
  </si>
  <si>
    <t>Count Number of Texts</t>
  </si>
  <si>
    <t>https://leetcode.com/problems/count-number-of-texts</t>
  </si>
  <si>
    <t>47.764</t>
  </si>
  <si>
    <t>Hash Table, Math, String, Dynamic Programming</t>
  </si>
  <si>
    <t xml:space="preserve"> Check if There Is a Valid Parentheses String Path</t>
  </si>
  <si>
    <t>https://leetcode.com/problems/check-if-there-is-a-valid-parentheses-string-path</t>
  </si>
  <si>
    <t>37.136</t>
  </si>
  <si>
    <t>Minimum Number of Keypresses</t>
  </si>
  <si>
    <t>https://leetcode.com/problems/minimum-number-of-keypresses</t>
  </si>
  <si>
    <t>78.286</t>
  </si>
  <si>
    <t>Array, String, Greedy, Sorting, Counting</t>
  </si>
  <si>
    <t>Find the K-Beauty of a Number</t>
  </si>
  <si>
    <t>https://leetcode.com/problems/find-the-k-beauty-of-a-number</t>
  </si>
  <si>
    <t>57.373</t>
  </si>
  <si>
    <t>Math, String, Sliding Window</t>
  </si>
  <si>
    <t>Number of Ways to Split Array</t>
  </si>
  <si>
    <t>https://leetcode.com/problems/number-of-ways-to-split-array</t>
  </si>
  <si>
    <t>43.158</t>
  </si>
  <si>
    <t>Maximum White Tiles Covered by a Carpet</t>
  </si>
  <si>
    <t>https://leetcode.com/problems/maximum-white-tiles-covered-by-a-carpet</t>
  </si>
  <si>
    <t>30.575</t>
  </si>
  <si>
    <t>Array, Binary Search, Greedy, Sorting, Prefix Sum</t>
  </si>
  <si>
    <t>Substring With Largest Variance</t>
  </si>
  <si>
    <t>https://leetcode.com/problems/substring-with-largest-variance</t>
  </si>
  <si>
    <t>32.520</t>
  </si>
  <si>
    <t>Find Resultant Array After Removing Anagrams</t>
  </si>
  <si>
    <t>https://leetcode.com/problems/find-resultant-array-after-removing-anagrams</t>
  </si>
  <si>
    <t>57.017</t>
  </si>
  <si>
    <t>Maximum Consecutive Floors Without Special Floors</t>
  </si>
  <si>
    <t>https://leetcode.com/problems/maximum-consecutive-floors-without-special-floors</t>
  </si>
  <si>
    <t>52.280</t>
  </si>
  <si>
    <t>Largest Combination With Bitwise AND Greater Than Zero</t>
  </si>
  <si>
    <t>https://leetcode.com/problems/largest-combination-with-bitwise-and-greater-than-zero</t>
  </si>
  <si>
    <t>71.545</t>
  </si>
  <si>
    <t>Count Integers in Intervals</t>
  </si>
  <si>
    <t>https://leetcode.com/problems/count-integers-in-intervals</t>
  </si>
  <si>
    <t>31.345</t>
  </si>
  <si>
    <t>Closest Node to Path in Tree</t>
  </si>
  <si>
    <t>https://leetcode.com/problems/closest-node-to-path-in-tree</t>
  </si>
  <si>
    <t>67.616</t>
  </si>
  <si>
    <t>Array, Tree, Depth-First Search, Breadth-First Search</t>
  </si>
  <si>
    <t>Percentage of Letter in String</t>
  </si>
  <si>
    <t>https://leetcode.com/problems/percentage-of-letter-in-string</t>
  </si>
  <si>
    <t>73.297</t>
  </si>
  <si>
    <t>Maximum Bags With Full Capacity of Rocks</t>
  </si>
  <si>
    <t>https://leetcode.com/problems/maximum-bags-with-full-capacity-of-rocks</t>
  </si>
  <si>
    <t>61.921</t>
  </si>
  <si>
    <t>Minimum Lines to Represent a Line Chart</t>
  </si>
  <si>
    <t>https://leetcode.com/problems/minimum-lines-to-represent-a-line-chart</t>
  </si>
  <si>
    <t>22.774</t>
  </si>
  <si>
    <t>Array, Math, Geometry, Sorting, Number Theory</t>
  </si>
  <si>
    <t>Sum of Total Strength of Wizards</t>
  </si>
  <si>
    <t>https://leetcode.com/problems/sum-of-total-strength-of-wizards</t>
  </si>
  <si>
    <t>23.551</t>
  </si>
  <si>
    <t>Number of People That Can Be Seen in a Grid</t>
  </si>
  <si>
    <t>https://leetcode.com/problems/number-of-people-that-can-be-seen-in-a-grid</t>
  </si>
  <si>
    <t>51.080</t>
  </si>
  <si>
    <t>Array, Stack, Matrix, Monotonic Stack</t>
  </si>
  <si>
    <t>Check if Number Has Equal Digit Count and Digit Value</t>
  </si>
  <si>
    <t>https://leetcode.com/problems/check-if-number-has-equal-digit-count-and-digit-value</t>
  </si>
  <si>
    <t>74.393</t>
  </si>
  <si>
    <t>Sender With Largest Word Count</t>
  </si>
  <si>
    <t>https://leetcode.com/problems/sender-with-largest-word-count</t>
  </si>
  <si>
    <t>55.053</t>
  </si>
  <si>
    <t>Maximum Total Importance of Roads</t>
  </si>
  <si>
    <t>https://leetcode.com/problems/maximum-total-importance-of-roads</t>
  </si>
  <si>
    <t>59.806</t>
  </si>
  <si>
    <t>Greedy, Graph, Sorting, Heap (Priority Queue)</t>
  </si>
  <si>
    <t>Booking Concert Tickets in Groups</t>
  </si>
  <si>
    <t>https://leetcode.com/problems/booking-concert-tickets-in-groups</t>
  </si>
  <si>
    <t>14.737</t>
  </si>
  <si>
    <t>Binary Search, Design, Binary Indexed Tree, Segment Tree</t>
  </si>
  <si>
    <t>Rearrange Characters to Make Target String</t>
  </si>
  <si>
    <t>https://leetcode.com/problems/rearrange-characters-to-make-target-string</t>
  </si>
  <si>
    <t>57.621</t>
  </si>
  <si>
    <t>Apply Discount to Prices</t>
  </si>
  <si>
    <t>https://leetcode.com/problems/apply-discount-to-prices</t>
  </si>
  <si>
    <t>26.346</t>
  </si>
  <si>
    <t>Steps to Make Array Non-decreasing</t>
  </si>
  <si>
    <t>https://leetcode.com/problems/steps-to-make-array-non-decreasing</t>
  </si>
  <si>
    <t>20.159</t>
  </si>
  <si>
    <t>Minimum Obstacle Removal to Reach Corner</t>
  </si>
  <si>
    <t>https://leetcode.com/problems/minimum-obstacle-removal-to-reach-corner</t>
  </si>
  <si>
    <t>Maximum Profit From Trading Stocks</t>
  </si>
  <si>
    <t>https://leetcode.com/problems/maximum-profit-from-trading-stocks</t>
  </si>
  <si>
    <t>49.680</t>
  </si>
  <si>
    <t>Products With Three or More Orders in Two Consecutive Years</t>
  </si>
  <si>
    <t>https://leetcode.com/problems/products-with-three-or-more-orders-in-two-consecutive-years</t>
  </si>
  <si>
    <t>40.020</t>
  </si>
  <si>
    <t>Min Max Game</t>
  </si>
  <si>
    <t>https://leetcode.com/problems/min-max-game</t>
  </si>
  <si>
    <t>63.709</t>
  </si>
  <si>
    <t>Partition Array Such That Maximum Difference Is K</t>
  </si>
  <si>
    <t>https://leetcode.com/problems/partition-array-such-that-maximum-difference-is-k</t>
  </si>
  <si>
    <t>71.257</t>
  </si>
  <si>
    <t>Replace Elements in an Array</t>
  </si>
  <si>
    <t>https://leetcode.com/problems/replace-elements-in-an-array</t>
  </si>
  <si>
    <t>56.887</t>
  </si>
  <si>
    <t>Design a Text Editor</t>
  </si>
  <si>
    <t>https://leetcode.com/problems/design-a-text-editor</t>
  </si>
  <si>
    <t>36.727</t>
  </si>
  <si>
    <t>Linked List, String, Stack, Design, Simulation, Doubly-Linked List</t>
  </si>
  <si>
    <t>Jump Game VIII</t>
  </si>
  <si>
    <t>https://leetcode.com/problems/jump-game-viii</t>
  </si>
  <si>
    <t>63.100</t>
  </si>
  <si>
    <t>Array, Dynamic Programming, Stack, Graph, Monotonic Stack, Shortest Path</t>
  </si>
  <si>
    <t>Tasks Count in the Weekend</t>
  </si>
  <si>
    <t>https://leetcode.com/problems/tasks-count-in-the-weekend</t>
  </si>
  <si>
    <t>87.397</t>
  </si>
  <si>
    <t>Strong Password Checker II</t>
  </si>
  <si>
    <t>https://leetcode.com/problems/strong-password-checker-ii</t>
  </si>
  <si>
    <t>56.521</t>
  </si>
  <si>
    <t>Successful Pairs of Spells and Potions</t>
  </si>
  <si>
    <t>https://leetcode.com/problems/successful-pairs-of-spells-and-potions</t>
  </si>
  <si>
    <t>30.057</t>
  </si>
  <si>
    <t>Match Substring After Replacement</t>
  </si>
  <si>
    <t>https://leetcode.com/problems/match-substring-after-replacement</t>
  </si>
  <si>
    <t>38.701</t>
  </si>
  <si>
    <t>Array, Hash Table, String, String Matching</t>
  </si>
  <si>
    <t>Count Subarrays With Score Less Than K</t>
  </si>
  <si>
    <t>https://leetcode.com/problems/count-subarrays-with-score-less-than-k</t>
  </si>
  <si>
    <t>50.692</t>
  </si>
  <si>
    <t>Calculate Amount Paid in Taxes</t>
  </si>
  <si>
    <t>https://leetcode.com/problems/calculate-amount-paid-in-taxes</t>
  </si>
  <si>
    <t>62.121</t>
  </si>
  <si>
    <t>Minimum Path Cost in a Grid</t>
  </si>
  <si>
    <t>https://leetcode.com/problems/minimum-path-cost-in-a-grid</t>
  </si>
  <si>
    <t>63.894</t>
  </si>
  <si>
    <t>Fair Distribution of Cookies</t>
  </si>
  <si>
    <t>https://leetcode.com/problems/fair-distribution-of-cookies</t>
  </si>
  <si>
    <t>63.759</t>
  </si>
  <si>
    <t>Naming a Company</t>
  </si>
  <si>
    <t>https://leetcode.com/problems/naming-a-company</t>
  </si>
  <si>
    <t>32.994</t>
  </si>
  <si>
    <t>Array, Hash Table, String, Bit Manipulation, Enumeration</t>
  </si>
  <si>
    <t>Check for Contradictions in Equations</t>
  </si>
  <si>
    <t>https://leetcode.com/problems/check-for-contradictions-in-equations</t>
  </si>
  <si>
    <t>35.143</t>
  </si>
  <si>
    <t>Array, Depth-First Search, Union Find, Graph</t>
  </si>
  <si>
    <t>Arrange Table by Gender</t>
  </si>
  <si>
    <t>https://leetcode.com/problems/arrange-table-by-gender</t>
  </si>
  <si>
    <t>78.527</t>
  </si>
  <si>
    <t>Greatest English Letter in Upper and Lower Case</t>
  </si>
  <si>
    <t>https://leetcode.com/problems/greatest-english-letter-in-upper-and-lower-case</t>
  </si>
  <si>
    <t>69.987</t>
  </si>
  <si>
    <t>Hash Table, String, Enumeration</t>
  </si>
  <si>
    <t>Sum of Numbers With Units Digit K</t>
  </si>
  <si>
    <t>https://leetcode.com/problems/sum-of-numbers-with-units-digit-k</t>
  </si>
  <si>
    <t>24.683</t>
  </si>
  <si>
    <t>Math, Dynamic Programming, Greedy, Enumeration</t>
  </si>
  <si>
    <t>Longest Binary Subsequence Less Than or Equal to K</t>
  </si>
  <si>
    <t>https://leetcode.com/problems/longest-binary-subsequence-less-than-or-equal-to-k</t>
  </si>
  <si>
    <t>34.687</t>
  </si>
  <si>
    <t>String, Dynamic Programming, Greedy, Memoization</t>
  </si>
  <si>
    <t>Selling Pieces of Wood</t>
  </si>
  <si>
    <t>https://leetcode.com/problems/selling-pieces-of-wood</t>
  </si>
  <si>
    <t>46.352</t>
  </si>
  <si>
    <t>Minimum Flips in Binary Tree to Get Result</t>
  </si>
  <si>
    <t>https://leetcode.com/problems/minimum-flips-in-binary-tree-to-get-result</t>
  </si>
  <si>
    <t>72.619</t>
  </si>
  <si>
    <t>The First Day of the Maximum Recorded Degree in Each City</t>
  </si>
  <si>
    <t>https://leetcode.com/problems/the-first-day-of-the-maximum-recorded-degree-in-each-city</t>
  </si>
  <si>
    <t>78.586</t>
  </si>
  <si>
    <t>Count Asterisks</t>
  </si>
  <si>
    <t>https://leetcode.com/problems/count-asterisks</t>
  </si>
  <si>
    <t>80.947</t>
  </si>
  <si>
    <t>Count Unreachable Pairs of Nodes in an Undirected Graph</t>
  </si>
  <si>
    <t>https://leetcode.com/problems/count-unreachable-pairs-of-nodes-in-an-undirected-graph</t>
  </si>
  <si>
    <t>37.573</t>
  </si>
  <si>
    <t xml:space="preserve">Maximum XOR After Operations </t>
  </si>
  <si>
    <t>https://leetcode.com/problems/maximum-xor-after-operations</t>
  </si>
  <si>
    <t>75.693</t>
  </si>
  <si>
    <t>Number of Distinct Roll Sequences</t>
  </si>
  <si>
    <t>https://leetcode.com/problems/number-of-distinct-roll-sequences</t>
  </si>
  <si>
    <t>54.332</t>
  </si>
  <si>
    <t>Check if Matrix Is X-Matrix</t>
  </si>
  <si>
    <t>https://leetcode.com/problems/check-if-matrix-is-x-matrix</t>
  </si>
  <si>
    <t>67.093</t>
  </si>
  <si>
    <t>Count Number of Ways to Place Houses</t>
  </si>
  <si>
    <t>https://leetcode.com/problems/count-number-of-ways-to-place-houses</t>
  </si>
  <si>
    <t>37.752</t>
  </si>
  <si>
    <t>Maximum Score Of Spliced Array</t>
  </si>
  <si>
    <t>https://leetcode.com/problems/maximum-score-of-spliced-array</t>
  </si>
  <si>
    <t>53.061</t>
  </si>
  <si>
    <t>Minimum Score After Removals on a Tree</t>
  </si>
  <si>
    <t>https://leetcode.com/problems/minimum-score-after-removals-on-a-tree</t>
  </si>
  <si>
    <t>48.124</t>
  </si>
  <si>
    <t>Array, Bit Manipulation, Tree, Depth-First Search</t>
  </si>
  <si>
    <t>Find Minimum Time to Finish All Jobs II</t>
  </si>
  <si>
    <t>https://leetcode.com/problems/find-minimum-time-to-finish-all-jobs-ii</t>
  </si>
  <si>
    <t>78.087</t>
  </si>
  <si>
    <t>Product Sales Analysis IV</t>
  </si>
  <si>
    <t>https://leetcode.com/problems/product-sales-analysis-iv</t>
  </si>
  <si>
    <t>84.615</t>
  </si>
  <si>
    <t>Decode the Message</t>
  </si>
  <si>
    <t>https://leetcode.com/problems/decode-the-message</t>
  </si>
  <si>
    <t>83.155</t>
  </si>
  <si>
    <t>Spiral Matrix IV</t>
  </si>
  <si>
    <t>https://leetcode.com/problems/spiral-matrix-iv</t>
  </si>
  <si>
    <t>73.819</t>
  </si>
  <si>
    <t>Number of People Aware of a Secret</t>
  </si>
  <si>
    <t>https://leetcode.com/problems/number-of-people-aware-of-a-secret</t>
  </si>
  <si>
    <t>42.584</t>
  </si>
  <si>
    <t>Number of Increasing Paths in a Grid</t>
  </si>
  <si>
    <t>https://leetcode.com/problems/number-of-increasing-paths-in-a-grid</t>
  </si>
  <si>
    <t>45.841</t>
  </si>
  <si>
    <t>Product Sales Analysis V</t>
  </si>
  <si>
    <t>https://leetcode.com/problems/product-sales-analysis-v</t>
  </si>
  <si>
    <t>83.544</t>
  </si>
  <si>
    <t>Arrays &amp; Hashing</t>
  </si>
  <si>
    <t>Stack</t>
  </si>
  <si>
    <t>Trees</t>
  </si>
  <si>
    <t>Tries</t>
  </si>
  <si>
    <t>Heap / Priority Queue</t>
  </si>
  <si>
    <t>Graphs</t>
  </si>
  <si>
    <t>Advanced Graphs</t>
  </si>
  <si>
    <t>Math &amp; Geometry</t>
  </si>
  <si>
    <t>JavaScript</t>
  </si>
  <si>
    <t>Two Sum II Input Array Is Sorted</t>
  </si>
  <si>
    <t>Coin Change II</t>
  </si>
  <si>
    <t>Neetcode</t>
  </si>
  <si>
    <t>Grind 169</t>
  </si>
  <si>
    <t>Blind75</t>
  </si>
  <si>
    <t>Find the Index of the First Occurrence in a String</t>
  </si>
  <si>
    <t>Question No</t>
  </si>
  <si>
    <t>Question Title</t>
  </si>
  <si>
    <t>Needs Review?</t>
  </si>
  <si>
    <t>Found Opt Solution?</t>
  </si>
  <si>
    <t>Solved?</t>
  </si>
  <si>
    <t>Time Spent (mins)</t>
  </si>
  <si>
    <t>Reflections</t>
  </si>
  <si>
    <t>Topic</t>
  </si>
  <si>
    <t>No</t>
  </si>
  <si>
    <t>Question</t>
  </si>
  <si>
    <t>Replace Elements With Greatest Element On Right Side</t>
  </si>
  <si>
    <t>Pascals Triangle</t>
  </si>
  <si>
    <t>Find All Numbers Disappeared in An Array</t>
  </si>
  <si>
    <t>Best Time to Buy And Sell Stock II</t>
  </si>
  <si>
    <t>Unique Length 3 Palindromic Subsequences</t>
  </si>
  <si>
    <t>Minimum Number of Swaps to Make The String Balanced</t>
  </si>
  <si>
    <t>Maximum Product of The Length of Two Palindromic Subsequences</t>
  </si>
  <si>
    <t>Find The Index of The First Occurrence in a String</t>
  </si>
  <si>
    <t>Insert Delete Get Random O(1)</t>
  </si>
  <si>
    <t>Check if a String Contains all Binary Codes of Size K</t>
  </si>
  <si>
    <t>Range Sum Query 2D Immutable</t>
  </si>
  <si>
    <t>Non Decreasing Array</t>
  </si>
  <si>
    <t>Sign of An Array</t>
  </si>
  <si>
    <t>Number of Zero-Filled Subarrays</t>
  </si>
  <si>
    <t>Optimal Partition of String</t>
  </si>
  <si>
    <t>Minimum Difference Between Highest And Lowest of K Scores</t>
  </si>
  <si>
    <t>Remove Duplicates From Sorted Array</t>
  </si>
  <si>
    <t>Remove Duplicates From Sorted Array II</t>
  </si>
  <si>
    <t>Number of Subsequences That Satisfy The Given Sum Condition</t>
  </si>
  <si>
    <t>Best Time to Buy And Sell Stock</t>
  </si>
  <si>
    <t>Number of Sub Arrays of Size K and Avg Greater than or Equal to Threshold</t>
  </si>
  <si>
    <t>Permutation In String</t>
  </si>
  <si>
    <t>Frequency of The Most Frequent Element</t>
  </si>
  <si>
    <t>Fruits into Basket</t>
  </si>
  <si>
    <t>Minimum Number of Flips to Make The Binary String Alternating</t>
  </si>
  <si>
    <t>Implement Stack Using Queues</t>
  </si>
  <si>
    <t>Removing Stars From a String</t>
  </si>
  <si>
    <t>Remove All Adjacent Duplicates In String II</t>
  </si>
  <si>
    <t>Largest Rectangle In Histogram</t>
  </si>
  <si>
    <t>Guess Number Higher Or Lower</t>
  </si>
  <si>
    <t>Capacity to Ship Packages</t>
  </si>
  <si>
    <t>Find Minimum In Rotated Sorted Array</t>
  </si>
  <si>
    <t>Search In Rotated Sorted Array</t>
  </si>
  <si>
    <t>Time Based Key Value Store</t>
  </si>
  <si>
    <t>Find First And Last Position of Element In Sorted Array</t>
  </si>
  <si>
    <t>Populating Next Right Pointers In Each Node</t>
  </si>
  <si>
    <t>Remove Duplicates From Sorted List</t>
  </si>
  <si>
    <t>Maximum Twin Sum Of A Linked List</t>
  </si>
  <si>
    <t>Copy List With Random Pointer</t>
  </si>
  <si>
    <t>Find The Duplicate Number</t>
  </si>
  <si>
    <t>Swap Nodes In Pairs</t>
  </si>
  <si>
    <t>Merge K Sorted Lists</t>
  </si>
  <si>
    <t>Reverse Nodes In K Group</t>
  </si>
  <si>
    <t>Construct String From Binary Tree</t>
  </si>
  <si>
    <t>Minimum Distance between BST Nodes</t>
  </si>
  <si>
    <t>Count Good Nodes In Binary Tree</t>
  </si>
  <si>
    <t>Kth Smallest Element In a Bst</t>
  </si>
  <si>
    <t>Construct Binary Tree From Preorder And Inorder Traversal</t>
  </si>
  <si>
    <t>Operations On Tree</t>
  </si>
  <si>
    <t>Convert Bst to Greater Tree</t>
  </si>
  <si>
    <t>Serialize And Deserialize Binary Tree</t>
  </si>
  <si>
    <t>Implement Trie Prefix Tree</t>
  </si>
  <si>
    <t>Design Add And Search Words Data Structure</t>
  </si>
  <si>
    <t>Kth Largest Element In a Stream</t>
  </si>
  <si>
    <t>Kth Largest Element In An Array</t>
  </si>
  <si>
    <t>Maximum Subsequence Score</t>
  </si>
  <si>
    <t>Single Threaded Cpu</t>
  </si>
  <si>
    <t>Find The Kth Largest Integer In The Array</t>
  </si>
  <si>
    <t>Find Median From Data Stream</t>
  </si>
  <si>
    <t>Maximum Length of a Concatenated String With Unique Characters</t>
  </si>
  <si>
    <t>N Queens</t>
  </si>
  <si>
    <t>N Queens II</t>
  </si>
  <si>
    <t>Verifying An Alien Dictionary</t>
  </si>
  <si>
    <t>Reorder Routes to Make All Paths Lead to The City Zero</t>
  </si>
  <si>
    <t>Walls And Gates</t>
  </si>
  <si>
    <t>Snakes And Ladders</t>
  </si>
  <si>
    <t>Open The Lock</t>
  </si>
  <si>
    <t>Check if Move Is Legal</t>
  </si>
  <si>
    <t>Number of Connected Components In An Undirected Graph</t>
  </si>
  <si>
    <t>Find Closest Node to Given Two Nodes</t>
  </si>
  <si>
    <t>Shortest Path in a Binary Matrix</t>
  </si>
  <si>
    <t>Minimum Fuel Cost to Report to the Capital</t>
  </si>
  <si>
    <t>Minimum Score of a Path Between Two Cities</t>
  </si>
  <si>
    <t>Minimum Number of Vertices to Reach all Nodes</t>
  </si>
  <si>
    <t>Swim In Rising Water</t>
  </si>
  <si>
    <t>Number of Good Paths</t>
  </si>
  <si>
    <t>1D DP</t>
  </si>
  <si>
    <t>Delete And Earn</t>
  </si>
  <si>
    <t>Maximum Subarray Min Product</t>
  </si>
  <si>
    <t>Count Ways to Build Good Strings</t>
  </si>
  <si>
    <t>Best Team with no Conflicts</t>
  </si>
  <si>
    <t>Maximize Score after N Operations</t>
  </si>
  <si>
    <t>2D DP</t>
  </si>
  <si>
    <t>Best Time to Buy And Sell Stock With Cooldown</t>
  </si>
  <si>
    <t>Longest Increasing Path In a Matrix</t>
  </si>
  <si>
    <t>Maximum Value of K Coins from Piles</t>
  </si>
  <si>
    <t>Longest Turbulent Array</t>
  </si>
  <si>
    <t>Minimize Maximum of Array</t>
  </si>
  <si>
    <t>Maximum Points You Can Obtain From Cards</t>
  </si>
  <si>
    <t>Non Overlapping Intervals</t>
  </si>
  <si>
    <t>Maximum Points on a Line</t>
  </si>
  <si>
    <t>Create Hello World Function (Closure - Day1)</t>
  </si>
  <si>
    <t>Counter (Closure - Day2)</t>
  </si>
  <si>
    <t>Counter (Closure - Day3)</t>
  </si>
  <si>
    <t>Apply Transform over each Element in Array (Transform)</t>
  </si>
  <si>
    <t>Filter Elements from Array (Transforms)</t>
  </si>
  <si>
    <t>Array Reduce Transformation (Transforms)</t>
  </si>
  <si>
    <t>Function Composition</t>
  </si>
  <si>
    <t>Allow One Function Call</t>
  </si>
  <si>
    <t>Memoize</t>
  </si>
  <si>
    <t>Curry</t>
  </si>
  <si>
    <t>Sleep</t>
  </si>
  <si>
    <t>Promise Time Limit</t>
  </si>
  <si>
    <t>Promise Pool</t>
  </si>
  <si>
    <t>Cache With Time Limit</t>
  </si>
  <si>
    <t>Debounce</t>
  </si>
  <si>
    <t>Throttle</t>
  </si>
  <si>
    <t>JSON Deep Equal</t>
  </si>
  <si>
    <t>Convert Object to JSON String</t>
  </si>
  <si>
    <t>Array of Objects to Matrix</t>
  </si>
  <si>
    <t>Difference Between Two Objects</t>
  </si>
  <si>
    <t>Chunk Array</t>
  </si>
  <si>
    <t>Flatten Deeply Nested Array</t>
  </si>
  <si>
    <t>Array Prototype Last</t>
  </si>
  <si>
    <t>Group By</t>
  </si>
  <si>
    <t>Check if Object Instance of Class</t>
  </si>
  <si>
    <t>Call Function with Custom Context</t>
  </si>
  <si>
    <t>Event Emitter</t>
  </si>
  <si>
    <t>Array Wrapper</t>
  </si>
  <si>
    <t>Generate Fibonacci Sequence</t>
  </si>
  <si>
    <t>Nested Array Generator</t>
  </si>
  <si>
    <t>Hash Table</t>
  </si>
  <si>
    <t>Explored various solutions?</t>
  </si>
  <si>
    <t>Coding?</t>
  </si>
  <si>
    <t>N</t>
  </si>
  <si>
    <t>Correct Big O?</t>
  </si>
  <si>
    <t>Struggled a lot with indexes, off by one errors etc.</t>
  </si>
  <si>
    <t>Using boundary indices is a good idea.</t>
  </si>
  <si>
    <t>Used a while loop but there is a more elegant solution.</t>
  </si>
  <si>
    <t>Took a little too long, try to code quicker next time</t>
  </si>
  <si>
    <t>Num of Attempts</t>
  </si>
  <si>
    <t>Implement the KMP algorithm for the O(m+n) solution. Need to internalize the KMP algorithm.</t>
  </si>
  <si>
    <t>Need to speed up</t>
  </si>
  <si>
    <t>Straightforward</t>
  </si>
  <si>
    <t>…</t>
  </si>
  <si>
    <t>I was way too slow</t>
  </si>
  <si>
    <t>Implement faster.</t>
  </si>
  <si>
    <t>Y (with hints)</t>
  </si>
  <si>
    <t>Try to solve it without the hints.</t>
  </si>
  <si>
    <t>Last Worked On</t>
  </si>
  <si>
    <t>Previously Worked On</t>
  </si>
  <si>
    <t>Try to solve it without using built-ins.</t>
  </si>
  <si>
    <t>slow</t>
  </si>
  <si>
    <t>Spent too much time on implementation. Instead of focusing on moving zeros at the end, focus on moving non-zero items to the front.</t>
  </si>
  <si>
    <t>I should have tried an example using an unhappy number and figured out how to break out of the infinite loop.</t>
  </si>
  <si>
    <t>I missed the requirement "you may not use the same element twice"</t>
  </si>
  <si>
    <t>n</t>
  </si>
  <si>
    <t>Solved First Time?</t>
  </si>
  <si>
    <t>I did not understand the question correctly. It says no two characters can map to the same character.</t>
  </si>
  <si>
    <t>Q/Day</t>
  </si>
  <si>
    <t>Success</t>
  </si>
  <si>
    <t>with hints</t>
  </si>
  <si>
    <t>Fail</t>
  </si>
  <si>
    <t>All</t>
  </si>
  <si>
    <t>Spent too much time in implementation.</t>
  </si>
  <si>
    <t>I did it recursively. I was not able to do it iteratively.</t>
  </si>
  <si>
    <t>Use collections.Counter(nums) to map nums to frequencies</t>
  </si>
  <si>
    <t xml:space="preserve">heapq.nlargest(k, nums) creates a heap with k largest items in nums. </t>
  </si>
  <si>
    <t>Try initially creating a min-heap using the elms in the first column. Then in the while loop we can add to the heap the elm in the same row as the current elm (no need to add the elm in the row below).</t>
  </si>
  <si>
    <t>too slow implementation. Need to get faster.</t>
  </si>
  <si>
    <t>There is a very elegant solution. See discussion.</t>
  </si>
  <si>
    <t>Forgot to check if the current_difference = pervious_min_difference</t>
  </si>
  <si>
    <t>The solution in the editorial is a little more elegant.</t>
  </si>
  <si>
    <t>Implemented the hash table solution. There is also another solution that is also O(n) time but space is O(1).</t>
  </si>
  <si>
    <t>Spent a lot of time trying to implement the iterative approach.</t>
  </si>
  <si>
    <t>Write a more concise recursion, see the editorial.</t>
  </si>
  <si>
    <t>Try to implement using constant space complexity.</t>
  </si>
  <si>
    <t>implementing using a trie took 25 mins.</t>
  </si>
  <si>
    <t>Maybe</t>
  </si>
  <si>
    <t>Total Solved</t>
  </si>
  <si>
    <t>Needs Review</t>
  </si>
  <si>
    <t>Confidence</t>
  </si>
  <si>
    <t>Total</t>
  </si>
  <si>
    <t>Success Rate</t>
  </si>
  <si>
    <t>Solve Time (mins)</t>
  </si>
  <si>
    <t>Week</t>
  </si>
  <si>
    <t>Try to speed up coding.</t>
  </si>
  <si>
    <t>Effort</t>
  </si>
  <si>
    <t>Use backtracking instead of copying the arrays at each level</t>
  </si>
  <si>
    <t>Rotating Oranges</t>
  </si>
  <si>
    <t>Try solving without using int() and str() functions</t>
  </si>
  <si>
    <t>implement the dutch national flag algorithm.</t>
  </si>
  <si>
    <t>Same as</t>
  </si>
  <si>
    <t>Count</t>
  </si>
  <si>
    <t>#</t>
  </si>
  <si>
    <t>https://leetcode.com/problems/maximum-subarray/ # Close enough</t>
  </si>
  <si>
    <t>https://leetcode.com/problems/minimum-size-subarray-sum/</t>
  </si>
  <si>
    <t>https://leetcode.com/problems/longest-substring-with-at-most-k-distinct-characters/</t>
  </si>
  <si>
    <t>https://leetcode.com/problems/fruit-into-baskets/</t>
  </si>
  <si>
    <t>https://leetcode.com/problems/longest-substring-without-repeating-characters/</t>
  </si>
  <si>
    <t>https://leetcode.com/problems/longest-repeating-character-replacement/</t>
  </si>
  <si>
    <t>https://leetcode.com/problems/max-consecutive-ones-iii/</t>
  </si>
  <si>
    <t>https://leetcode.com/problems/permutation-in-string/</t>
  </si>
  <si>
    <t>https://leetcode.com/problems/find-all-anagrams-in-a-string/</t>
  </si>
  <si>
    <t>https://leetcode.com/problems/minimum-window-substring/</t>
  </si>
  <si>
    <t>https://leetcode.com/problems/substring-with-concatenation-of-all-words/</t>
  </si>
  <si>
    <t>https://leetcode.com/problems/two-sum/</t>
  </si>
  <si>
    <t>https://leetcode.com/problems/remove-duplicates-from-sorted-array/</t>
  </si>
  <si>
    <t>https://leetcode.com/problems/squares-of-a-sorted-array/</t>
  </si>
  <si>
    <t>https://leetcode.com/problems/3sum/</t>
  </si>
  <si>
    <t>https://leetcode.com/problems/3sum-closest/</t>
  </si>
  <si>
    <t>https://leetcode.com/problems/3sum-smaller/</t>
  </si>
  <si>
    <t>https://leetcode.com/problems/subarray-product-less-than-k/</t>
  </si>
  <si>
    <t>https://leetcode.com/problems/sort-colors/</t>
  </si>
  <si>
    <t>https://leetcode.com/problems/4sum/</t>
  </si>
  <si>
    <t>https://leetcode.com/problems/backspace-string-compare/</t>
  </si>
  <si>
    <t>https://leetcode.com/problems/shortest-unsorted-continuous-subarray/</t>
  </si>
  <si>
    <t>https://leetcode.com/problems/linked-list-cycle/</t>
  </si>
  <si>
    <t>https://leetcode.com/problems/linked-list-cycle-ii/</t>
  </si>
  <si>
    <t>https://leetcode.com/problems/happy-number/</t>
  </si>
  <si>
    <t>https://leetcode.com/problems/middle-of-the-linked-list/</t>
  </si>
  <si>
    <t>https://leetcode.com/problems/palindrome-linked-list/</t>
  </si>
  <si>
    <t>https://leetcode.com/problems/reorder-list/</t>
  </si>
  <si>
    <t>https://leetcode.com/problems/circular-array-loop/</t>
  </si>
  <si>
    <t>Fast &amp; Slow pointers</t>
  </si>
  <si>
    <t>https://leetcode.com/problems/merge-intervals/</t>
  </si>
  <si>
    <t>https://leetcode.com/problems/insert-interval/</t>
  </si>
  <si>
    <t>https://leetcode.com/problems/interval-list-intersections/</t>
  </si>
  <si>
    <t>https://leetcode.com/problems/meeting-rooms-ii/</t>
  </si>
  <si>
    <t>https://leetcode.com/problems/employee-free-time/</t>
  </si>
  <si>
    <t>Cyclic Sort</t>
  </si>
  <si>
    <t>https://leetcode.com/problems/missing-number/discuss/859510/C%2B%2B-O(N)-O(1)-using-Cyclic-Sort</t>
  </si>
  <si>
    <t>https://leetcode.com/problems/missing-number/</t>
  </si>
  <si>
    <t>https://leetcode.com/problems/find-all-numbers-disappeared-in-an-array/</t>
  </si>
  <si>
    <t>https://leetcode.com/problems/find-all-duplicates-in-an-array/</t>
  </si>
  <si>
    <t>https://leetcode.com/problems/find-the-duplicate-number/ </t>
  </si>
  <si>
    <t>https://leetcode.com/problems/first-missing-positive/</t>
  </si>
  <si>
    <t>https://leetcode.com/problems/kth-missing-positive-number/</t>
  </si>
  <si>
    <t>https://leetcode.com/problems/reverse-linked-list/</t>
  </si>
  <si>
    <t>https://leetcode.com/problems/reverse-linked-list-ii/</t>
  </si>
  <si>
    <t>https://leetcode.com/problems/reverse-nodes-in-k-group/</t>
  </si>
  <si>
    <t>In-place Reversal of a LinkedList</t>
  </si>
  <si>
    <t>https://leetcode.com/problems/rotate-list/</t>
  </si>
  <si>
    <t>https://leetcode.com/problems/binary-tree-level-order-traversal/</t>
  </si>
  <si>
    <t>https://leetcode.com/problems/binary-tree-level-order-traversal-ii/</t>
  </si>
  <si>
    <t>https://leetcode.com/problems/binary-tree-zigzag-level-order-traversal/</t>
  </si>
  <si>
    <t>https://leetcode.com/problems/minimum-depth-of-binary-tree/</t>
  </si>
  <si>
    <t>https://leetcode.com/problems/inorder-successor-in-bst/ # Close, not exact</t>
  </si>
  <si>
    <t>https://leetcode.com/problems/populating-next-right-pointers-in-each-node/</t>
  </si>
  <si>
    <t>Breadth First Search</t>
  </si>
  <si>
    <t>https://leetcode.com/problems/binary-tree-right-side-view/</t>
  </si>
  <si>
    <t>https://leetcode.com/problems/path-sum/</t>
  </si>
  <si>
    <t>https://leetcode.com/problems/path-sum-ii/</t>
  </si>
  <si>
    <t>https://leetcode.com/problems/sum-root-to-leaf-numbers/</t>
  </si>
  <si>
    <t>https://leetcode.com/problems/check-if-a-string-is-a-valid-sequence-from-root-to-leaves-path-in-a-binary-tree/description/</t>
  </si>
  <si>
    <t>https://leetcode.com/problems/path-sum-iii/</t>
  </si>
  <si>
    <t>https://leetcode.com/problems/diameter-of-binary-tree/</t>
  </si>
  <si>
    <t>https://leetcode.com/problems/binary-tree-maximum-path-sum/</t>
  </si>
  <si>
    <t>Depth First Search</t>
  </si>
  <si>
    <t>https://leetcode.com/problems/find-median-from-data-stream/</t>
  </si>
  <si>
    <t>https://leetcode.com/problems/sliding-window-median/</t>
  </si>
  <si>
    <t>https://leetcode.com/problems/ipo/</t>
  </si>
  <si>
    <t>https://leetcode.com/problems/find-right-interval/</t>
  </si>
  <si>
    <t>Two Heaps</t>
  </si>
  <si>
    <t>https://leetcode.com/problems/subsets/</t>
  </si>
  <si>
    <t>https://leetcode.com/problems/subsets-ii/</t>
  </si>
  <si>
    <t>https://leetcode.com/problems/permutations/</t>
  </si>
  <si>
    <t>https://leetcode.com/problems/letter-case-permutation/</t>
  </si>
  <si>
    <t>https://leetcode.com/problems/generate-parentheses/</t>
  </si>
  <si>
    <t>https://leetcode.com/problems/generalized-abbreviation/</t>
  </si>
  <si>
    <t>https://leetcode.com/problems/different-ways-to-add-parentheses/</t>
  </si>
  <si>
    <t>https://leetcode.com/problems/unique-binary-search-trees-ii/</t>
  </si>
  <si>
    <t>https://leetcode.com/problems/unique-binary-search-trees/</t>
  </si>
  <si>
    <t>Modified Binary Search</t>
  </si>
  <si>
    <t>https://leetcode.com/problems/binary-search/ </t>
  </si>
  <si>
    <t>https://leetcode.com/problems/find-smallest-letter-greater-than-target/</t>
  </si>
  <si>
    <t>https://leetcode.com/problems/find-first-and-last-position-of-element-in-sorted-array/</t>
  </si>
  <si>
    <t>https://leetcode.com/problems/search-in-a-sorted-array-of-unknown-size/</t>
  </si>
  <si>
    <t>https://leetcode.com/problems/find-k-closest-elements/ (with K == 1)</t>
  </si>
  <si>
    <t>https://leetcode.com/problems/peak-index-in-a-mountain-array/</t>
  </si>
  <si>
    <t>https://leetcode.com/problems/find-in-mountain-array/</t>
  </si>
  <si>
    <t>https://leetcode.com/problems/search-in-rotated-sorted-array/</t>
  </si>
  <si>
    <t>https://leetcode.com/problems/single-number/</t>
  </si>
  <si>
    <t>https://leetcode.com/problems/single-number-iii/</t>
  </si>
  <si>
    <t>https://leetcode.com/problems/complement-of-base-10-integer/</t>
  </si>
  <si>
    <t>https://leetcode.com/problems/flipping-an-image/</t>
  </si>
  <si>
    <t>https://leetcode.com/problems/k-closest-points-to-origin/</t>
  </si>
  <si>
    <t>https://leetcode.com/problems/minimum-cost-to-connect-sticks/</t>
  </si>
  <si>
    <t>https://leetcode.com/problems/top-k-frequent-elements/</t>
  </si>
  <si>
    <t>https://leetcode.com/problems/sort-characters-by-frequency/</t>
  </si>
  <si>
    <t>https://leetcode.com/problems/kth-largest-element-in-a-stream/</t>
  </si>
  <si>
    <t>https://leetcode.com/problems/find-k-closest-elements/</t>
  </si>
  <si>
    <t>https://www.geeksforgeeks.org/sum-elements-k1th-k2th-smallest-elements/ no leetcode equivalent found</t>
  </si>
  <si>
    <t>https://leetcode.com/problems/reorganize-string/</t>
  </si>
  <si>
    <t>https://leetcode.com/problems/rearrange-string-k-distance-apart/</t>
  </si>
  <si>
    <t>https://leetcode.com/problems/task-scheduler/</t>
  </si>
  <si>
    <t>https://leetcode.com/problems/maximum-frequency-stack/</t>
  </si>
  <si>
    <t>Top 'K' elements</t>
  </si>
  <si>
    <t>https://leetcode.com/problems/least-number-of-unique-integers-after-k-removals/</t>
  </si>
  <si>
    <t>https://www.geeksforgeeks.org/maximum-distinct-elements-removing-k-elements/</t>
  </si>
  <si>
    <t>K-way merge</t>
  </si>
  <si>
    <t>https://leetcode.com/problems/merge-k-sorted-lists/</t>
  </si>
  <si>
    <t>https://leetcode.com/problems/kth-smallest-element-in-a-sorted-matrix/</t>
  </si>
  <si>
    <t>https://leetcode.com/problems/smallest-range-covering-elements-from-k-lists/</t>
  </si>
  <si>
    <t>https://leetcode.com/problems/find-k-pairs-with-smallest-sums/</t>
  </si>
  <si>
    <t>0/1 Knapsack</t>
  </si>
  <si>
    <t>https://www.educative.io/courses/grokking-dynamic-programming-patterns-for-coding-interviews/RM1BDv71V60</t>
  </si>
  <si>
    <t>https://www.educative.io/courses/grokking-dynamic-programming-patterns-for-coding-interviews/3j64vRY6JnR</t>
  </si>
  <si>
    <t>https://leetcode.com/problems/last-stone-weight-ii/</t>
  </si>
  <si>
    <t>https://leetcode.com/problems/combination-sum-ii/</t>
  </si>
  <si>
    <t>https://www.educative.io/courses/grokking-dynamic-programming-patterns-for-coding-interviews/3jEPRo5PDvx</t>
  </si>
  <si>
    <t>https://leetcode.com/problems/partition-equal-subset-sum/</t>
  </si>
  <si>
    <t>https://leetcode.com/problems/target-sum/</t>
  </si>
  <si>
    <t> https://leetcode.com/problems/ones-and-zeroes/</t>
  </si>
  <si>
    <t>Topological Sort</t>
  </si>
  <si>
    <t>https://leetcode.com/problems/course-schedule/</t>
  </si>
  <si>
    <t>https://leetcode.com/problems/course-schedule-ii/</t>
  </si>
  <si>
    <t>https://leetcode.com/problems/alien-dictionary/</t>
  </si>
  <si>
    <t>https://leetcode.com/problems/sequence-reconstruction/description/</t>
  </si>
  <si>
    <t>https://leetcode.com/problems/minimum-height-trees/</t>
  </si>
  <si>
    <t>https://gist.github.com/tykurtz/3548a31f673588c05c89f9ca42067bc4</t>
  </si>
  <si>
    <t> Find Maximum in Sliding Window</t>
  </si>
  <si>
    <t> Minimum Window Subsequence</t>
  </si>
  <si>
    <t> Repeated DNA Sequences</t>
  </si>
  <si>
    <t> Minimum Window Substring</t>
  </si>
  <si>
    <t> Longest Repeating Character Replacement</t>
  </si>
  <si>
    <t> Longest Substring without Repeating Characters</t>
  </si>
  <si>
    <t> Minimum Size Subarray Sum</t>
  </si>
  <si>
    <t> Best Time to Buy and Sell Stock</t>
  </si>
  <si>
    <t>https://github.com/navidre/new_grokking_to_leetcode</t>
  </si>
  <si>
    <t> Valid Palindrome</t>
  </si>
  <si>
    <t> Sum of Three Values</t>
  </si>
  <si>
    <t> Remove Nth Node From End of List</t>
  </si>
  <si>
    <t> Sort Colors</t>
  </si>
  <si>
    <t> Reverse Words in a String</t>
  </si>
  <si>
    <t> Valid Palindrome II</t>
  </si>
  <si>
    <t> Linked List Cycle</t>
  </si>
  <si>
    <t> Circular Array Loop</t>
  </si>
  <si>
    <t> Find the Duplicate Number</t>
  </si>
  <si>
    <t> Middle of the Linked List</t>
  </si>
  <si>
    <t> Palindrome Linked List</t>
  </si>
  <si>
    <t> Merge Intervals</t>
  </si>
  <si>
    <t> Insert Interval</t>
  </si>
  <si>
    <t> Interval List Intersections</t>
  </si>
  <si>
    <t> Employee Free Time</t>
  </si>
  <si>
    <t> Task Scheduler</t>
  </si>
  <si>
    <t> Meeting Rooms II</t>
  </si>
  <si>
    <t> Reverse Nodes in k-Group</t>
  </si>
  <si>
    <t> Reverse Linked List II</t>
  </si>
  <si>
    <t> Reorder List</t>
  </si>
  <si>
    <t> Swapping Nodes in a Linked List</t>
  </si>
  <si>
    <t> Reverse Nodes In Even Length Groups</t>
  </si>
  <si>
    <t> Swap Nodes in Pairs</t>
  </si>
  <si>
    <t> Maximize Capital</t>
  </si>
  <si>
    <t> Sliding Window Median</t>
  </si>
  <si>
    <t> Find Median from a Data Stream</t>
  </si>
  <si>
    <t> Schedule Tasks on Minimum Machines?</t>
  </si>
  <si>
    <t> Merge Sorted Array</t>
  </si>
  <si>
    <t> Kth Smallest Number in M Sorted Lists?</t>
  </si>
  <si>
    <t> Find K Pairs with Smallest Sums</t>
  </si>
  <si>
    <t> Merge K Sorted Lists</t>
  </si>
  <si>
    <t> Kth Smallest Element in a Sorted Matrix</t>
  </si>
  <si>
    <t> Median of Two Sorted Arrays</t>
  </si>
  <si>
    <t> Kth Largest Element in a Stream</t>
  </si>
  <si>
    <t> Reorganize String</t>
  </si>
  <si>
    <t> K Closest Points to Origin</t>
  </si>
  <si>
    <t> Top K Frequent Elements</t>
  </si>
  <si>
    <t> Kth Largest Element in an Array</t>
  </si>
  <si>
    <t> Kth Smallest Element in a BST</t>
  </si>
  <si>
    <t> Top K Frequent Words</t>
  </si>
  <si>
    <t> Search in Rotated Sorted Array</t>
  </si>
  <si>
    <t> First Bad Version</t>
  </si>
  <si>
    <t> Random Pick with Weight</t>
  </si>
  <si>
    <t> Find K Closest Elements</t>
  </si>
  <si>
    <t> Single Element in a Sorted Array</t>
  </si>
  <si>
    <t> Search in Rotated Sorted Array II</t>
  </si>
  <si>
    <t> Permutations</t>
  </si>
  <si>
    <t> Letter Combinations of a Phone Number</t>
  </si>
  <si>
    <t> Generate Parentheses</t>
  </si>
  <si>
    <t> Find K-Sum Subsets?</t>
  </si>
  <si>
    <t>Greedy Techniques</t>
  </si>
  <si>
    <t>Jump Game I</t>
  </si>
  <si>
    <t> Boats to Save People</t>
  </si>
  <si>
    <t> Gas Stations</t>
  </si>
  <si>
    <t> Two City Scheduling</t>
  </si>
  <si>
    <t> Jump Game II</t>
  </si>
  <si>
    <t> Word Search</t>
  </si>
  <si>
    <t> House Robber III</t>
  </si>
  <si>
    <t> Restore IP Addresses</t>
  </si>
  <si>
    <t> Flood Fill</t>
  </si>
  <si>
    <t> Sudoku Solver</t>
  </si>
  <si>
    <t> Matchsticks to Square</t>
  </si>
  <si>
    <t> 0/1 Knapsack?</t>
  </si>
  <si>
    <t> Coin Change</t>
  </si>
  <si>
    <t> N-th Tribonacci Number</t>
  </si>
  <si>
    <t> Partition Equal Subset Sum</t>
  </si>
  <si>
    <t> Counting Bits</t>
  </si>
  <si>
    <t> 01 Matrix</t>
  </si>
  <si>
    <t> House Robber II</t>
  </si>
  <si>
    <t> Word Break</t>
  </si>
  <si>
    <t> Word Break II</t>
  </si>
  <si>
    <t> Maximum Product Subarray</t>
  </si>
  <si>
    <t> Combination Sum</t>
  </si>
  <si>
    <t> Palindromic Substrings</t>
  </si>
  <si>
    <t> Longest Common Subsequence</t>
  </si>
  <si>
    <t> Decode Ways</t>
  </si>
  <si>
    <t> Minimum Number of Refueling Stops</t>
  </si>
  <si>
    <t> Climbing Stairs</t>
  </si>
  <si>
    <t> Missing Number</t>
  </si>
  <si>
    <t> First Missing Positive</t>
  </si>
  <si>
    <t> Find The Duplicate Number</t>
  </si>
  <si>
    <t> Find the Corrupt Pair?</t>
  </si>
  <si>
    <t> Find the First K Missing Positive Numbers</t>
  </si>
  <si>
    <t>Compilation Order?</t>
  </si>
  <si>
    <t> Alien Dictionary</t>
  </si>
  <si>
    <t> Verifying an Alien Dictionary</t>
  </si>
  <si>
    <t> Course Schedule II</t>
  </si>
  <si>
    <t> Course Schedule</t>
  </si>
  <si>
    <t> Find All Possible Recipes from Given Supplies</t>
  </si>
  <si>
    <t> Rotate Image</t>
  </si>
  <si>
    <t> Spiral Matrix</t>
  </si>
  <si>
    <t> Where Will the Ball Fall</t>
  </si>
  <si>
    <t>Matrices</t>
  </si>
  <si>
    <t>Stacks</t>
  </si>
  <si>
    <t> Basic Calculator</t>
  </si>
  <si>
    <t> Remove All Adjacent Duplicates In String</t>
  </si>
  <si>
    <t> Minimum Remove to Make Valid Parentheses</t>
  </si>
  <si>
    <t> Exclusive Execution Time of Functions</t>
  </si>
  <si>
    <t> Flatten Nested List Iterator</t>
  </si>
  <si>
    <t> Implement Queue using Stacks</t>
  </si>
  <si>
    <t> Valid Parentheses</t>
  </si>
  <si>
    <t> Network Delay Time</t>
  </si>
  <si>
    <t> Paths in Maze That Lead to Same Room</t>
  </si>
  <si>
    <t> Clone Graph</t>
  </si>
  <si>
    <t> Graph Valid Tree</t>
  </si>
  <si>
    <t> Bus Routes</t>
  </si>
  <si>
    <t> Flatten Binary Tree to Linked List</t>
  </si>
  <si>
    <t> Diameter of Binary Tree</t>
  </si>
  <si>
    <t> Serialize and Deserialize Binary Tree</t>
  </si>
  <si>
    <t> Invert Binary Tree</t>
  </si>
  <si>
    <t> Binary Tree Maximum Path Sum</t>
  </si>
  <si>
    <t> Convert Sorted Array to Binary Search Tree</t>
  </si>
  <si>
    <t> Construct Binary Tree from Preorder and Inorder Traversal</t>
  </si>
  <si>
    <t> Binary Tree Right Side View</t>
  </si>
  <si>
    <t> Lowest Common Ancestor of a Binary Tree</t>
  </si>
  <si>
    <t> Validate Binary Search Tree</t>
  </si>
  <si>
    <t> Maximum Depth of Binary Tree</t>
  </si>
  <si>
    <t>Level Order Traversal of Binary Tree</t>
  </si>
  <si>
    <t> Binary Tree Zigzag Level Order Traversal</t>
  </si>
  <si>
    <t> Populating Next Right Pointers in Each Node</t>
  </si>
  <si>
    <t> Vertical Order Traversal of a Binary Tree</t>
  </si>
  <si>
    <t> Symmetric Tree</t>
  </si>
  <si>
    <t> Word Ladder</t>
  </si>
  <si>
    <t> Connect All Siblings of a Binary Tree</t>
  </si>
  <si>
    <t> Implement Trie</t>
  </si>
  <si>
    <t> Search Suggestions System</t>
  </si>
  <si>
    <t> Replace Words</t>
  </si>
  <si>
    <t> Design Add and Search Words Data Structure</t>
  </si>
  <si>
    <t> Word Search II</t>
  </si>
  <si>
    <t> Lexicographical Numbers</t>
  </si>
  <si>
    <t>Design Hashmap</t>
  </si>
  <si>
    <t> Fraction to Recurring Decimal</t>
  </si>
  <si>
    <t> Logger Rate Limiter</t>
  </si>
  <si>
    <t> Next Greater Element</t>
  </si>
  <si>
    <t> Isomorphic Strings</t>
  </si>
  <si>
    <t> Longest Palindrome</t>
  </si>
  <si>
    <t>Hash Maps</t>
  </si>
  <si>
    <t> Palindrome Permutation</t>
  </si>
  <si>
    <t> Valid Anagram</t>
  </si>
  <si>
    <t> Design Tic-Tac-Toe</t>
  </si>
  <si>
    <t> Group Anagrams</t>
  </si>
  <si>
    <t> Maximum Frequency Stack</t>
  </si>
  <si>
    <t> First Unique Character in a String</t>
  </si>
  <si>
    <t> Find All Anagrams in a String</t>
  </si>
  <si>
    <t> Ransom Note</t>
  </si>
  <si>
    <t>Knowing What to Track</t>
  </si>
  <si>
    <t> Redundant Connection</t>
  </si>
  <si>
    <t> Number of Islands</t>
  </si>
  <si>
    <t> Most Stones Removed with Same Row or Column</t>
  </si>
  <si>
    <t> Longest Consecutive Sequence</t>
  </si>
  <si>
    <t> Last Day Where You Can Still Cross</t>
  </si>
  <si>
    <t> Regions Cut by Slashes</t>
  </si>
  <si>
    <t> Accounts Merge</t>
  </si>
  <si>
    <t> Minimize Malware Spread</t>
  </si>
  <si>
    <t> Evaluate Division</t>
  </si>
  <si>
    <t>Union Find</t>
  </si>
  <si>
    <t> Snapshot Array</t>
  </si>
  <si>
    <t> Time-Based Key-Value Store</t>
  </si>
  <si>
    <t> Implement LRU Cache</t>
  </si>
  <si>
    <t> Insert Delete GetRandom O(1)</t>
  </si>
  <si>
    <t> Min Stack</t>
  </si>
  <si>
    <t> LFU Cache</t>
  </si>
  <si>
    <t>Custom Data Structures</t>
  </si>
  <si>
    <t> Complement of Base 10 Number</t>
  </si>
  <si>
    <t> Flipping an Image</t>
  </si>
  <si>
    <t> Single Number</t>
  </si>
  <si>
    <t> Two Single Numbers</t>
  </si>
  <si>
    <t> Reverse Bits</t>
  </si>
  <si>
    <t>Bits</t>
  </si>
  <si>
    <t> Shortest Bridge</t>
  </si>
  <si>
    <t> Number of Connected Components in an Undirected Graph</t>
  </si>
  <si>
    <t> Pacific Atlantic Water Flow</t>
  </si>
  <si>
    <t> Contains Duplicate</t>
  </si>
  <si>
    <t> Maximum Subarray</t>
  </si>
  <si>
    <t> Two Sum</t>
  </si>
  <si>
    <t> Find Minimum in Rotated Sorted Array</t>
  </si>
  <si>
    <t> Non-overlapping Intervals</t>
  </si>
  <si>
    <t> Meeting Rooms</t>
  </si>
  <si>
    <t> Largest Rectangle in Histogram</t>
  </si>
  <si>
    <t> Subtree of Another Tree</t>
  </si>
  <si>
    <t> Sort List</t>
  </si>
  <si>
    <t> Number of 1 Bits</t>
  </si>
  <si>
    <t> Container with Most Water</t>
  </si>
  <si>
    <t> Evaluate Reverse Polish Notation</t>
  </si>
  <si>
    <t> 4Sum</t>
  </si>
  <si>
    <t> Loud and Rich</t>
  </si>
  <si>
    <t> Product of Array Except Self</t>
  </si>
  <si>
    <t> Longest Increasing Subsequence</t>
  </si>
  <si>
    <t> Sum of Two Integers</t>
  </si>
  <si>
    <t> Majority Element</t>
  </si>
  <si>
    <t> Unique Paths</t>
  </si>
  <si>
    <t> Longest Palindromic Substring</t>
  </si>
  <si>
    <t> Permutations II</t>
  </si>
  <si>
    <t> Number of Provinces</t>
  </si>
  <si>
    <t> Linked List Cycle II</t>
  </si>
  <si>
    <t> Minimum Flips to Make the Binary String Alternate</t>
  </si>
  <si>
    <t> Lemonade Change</t>
  </si>
  <si>
    <t> House Robber</t>
  </si>
  <si>
    <t> Find All Numbers Disappeared in an Array</t>
  </si>
  <si>
    <t> Find All Duplicates in an Array</t>
  </si>
  <si>
    <t> Same Tree</t>
  </si>
  <si>
    <t> Design In-Memory File System</t>
  </si>
  <si>
    <t> Design File System</t>
  </si>
  <si>
    <t> Asteroid Collision</t>
  </si>
  <si>
    <t> Rotting Oranges</t>
  </si>
  <si>
    <t> Add Binary</t>
  </si>
  <si>
    <t> Multiply Strings</t>
  </si>
  <si>
    <t>Challenge Yourself</t>
  </si>
  <si>
    <t>Fruit into Baskets</t>
  </si>
  <si>
    <t>Check if a String is a Valid Sequence from Root to Leaves Path in a Binary Tree</t>
  </si>
  <si>
    <t>Find k Pairs with Smallest Sums</t>
  </si>
  <si>
    <t>Remove All Adjacent Duplicates in String</t>
  </si>
  <si>
    <t>Daily Avg</t>
  </si>
  <si>
    <t>I misunderstood the question</t>
  </si>
  <si>
    <t>misunderstood the problem. Solved a different problem.</t>
  </si>
  <si>
    <t>Need to know how to determine if a DAG has a unique topological sorting</t>
  </si>
  <si>
    <t>there is a better solution than dp</t>
  </si>
  <si>
    <t>There is a faster solution than sweep line</t>
  </si>
  <si>
    <t>https://seanprashad.com/leetcode-patterns/</t>
  </si>
  <si>
    <t>Github</t>
  </si>
  <si>
    <t>Grokking the Coding Interview Patterns | #1 Course (designgurus.io)</t>
  </si>
  <si>
    <t>x</t>
  </si>
  <si>
    <t>Heaps</t>
  </si>
  <si>
    <t>QuickSelect</t>
  </si>
  <si>
    <t>Sorting / Cyclic Sorting</t>
  </si>
  <si>
    <t>Stacks (Monotonic)</t>
  </si>
  <si>
    <t>Matrices / Islands</t>
  </si>
  <si>
    <t>Ordered Set</t>
  </si>
  <si>
    <t>Multi-threaded</t>
  </si>
  <si>
    <t>https://leetcode.com/problems/koko-eating-bananas/description/</t>
  </si>
  <si>
    <t>https://leetcode.com/problems/minimum-number-of-days-to-make-m-bouquets/description/</t>
  </si>
  <si>
    <t>https://leetcode.com/problems/magnetic-force-between-two-balls/description/</t>
  </si>
  <si>
    <t>https://leetcode.com/problems/split-array-largest-sum/description/</t>
  </si>
  <si>
    <t>https://leetcode.com/problems/divide-chocolate/description/</t>
  </si>
  <si>
    <t>https://leetcode.com/problems/cutting-ribbons/description/</t>
  </si>
  <si>
    <t xml:space="preserve">You have a list of integers. Create m groups, each group must contain k adjacent integers. Want to minimize the largest number used. What is the min upper limit we need to create those groups </t>
  </si>
  <si>
    <t>Binary search the answer.</t>
  </si>
  <si>
    <t>Peak Index in a Mountain array</t>
  </si>
  <si>
    <t>Given a mountain array find the index of the peak element.</t>
  </si>
  <si>
    <t>Use while left &lt; right. This way, there is always going to be a mid + 1 index. So we can use:
        if arr[mid] &lt; arr[mid + 1]:
            left = mid + 1
        else:
            right = mid</t>
  </si>
  <si>
    <t>Intuition</t>
  </si>
  <si>
    <t>Problem</t>
  </si>
  <si>
    <t>Find number in an integer array that is sorted in ascending order and possibly rotated at an unknown pivot index.</t>
  </si>
  <si>
    <t>First find the pivot index using binary search. 
If nums[mid] &gt; nums[-1] then pivot lies in nums[mid:].
Otherwise, pivot lies in nums[:mid+1].
Then reconstruct the nums array in ascending order and do a binary search to find the target.</t>
  </si>
  <si>
    <t>Prefix sum</t>
  </si>
  <si>
    <t>Given an array of integers nums and an integer k, return the total number of subarrays whose sum equals to k.</t>
  </si>
  <si>
    <t>Iterate over the numbers, maintaining a running sum of elements and using a hash map to store the frequency of each prefix sum encountered. 
At each iteration check if we have encountered a sum that equals to the current running sum - k. 
If the difference between the current running sum and k has been seen before, it indicates that there is a subarray that sums to k.</t>
  </si>
  <si>
    <t>Length of Longest Subarray With at Most K Frequency</t>
  </si>
  <si>
    <t>Find Longest Special Substring That Occurs Thrice I</t>
  </si>
  <si>
    <t>Was not able to find optimim solution</t>
  </si>
  <si>
    <t>Not difficult. For some reason TLE for Python.</t>
  </si>
  <si>
    <t>Disjoint-set</t>
  </si>
  <si>
    <t>union by rank with path compression</t>
  </si>
  <si>
    <t>Remarks</t>
  </si>
  <si>
    <t>zeroing out the least significant nonzero bit</t>
  </si>
  <si>
    <t>pop_count</t>
  </si>
  <si>
    <t>DS or Algo</t>
  </si>
  <si>
    <t>binary tree orders</t>
  </si>
  <si>
    <t>pre-order, post-order, in-order etc</t>
  </si>
  <si>
    <t>Maximal Score After Applying K Operations</t>
  </si>
  <si>
    <t>Separate Black and White Balls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</si>
</sst>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d"/>
    <numFmt numFmtId="165" formatCode="0.0"/>
  </numFmts>
  <fonts count="11" x14ac:knownFonts="1">
    <font>
      <sz val="11"/>
      <color theme="1"/>
      <name val="Calibri"/>
      <family val="2"/>
      <scheme val="minor"/>
    </font>
    <font>
      <b/>
      <sz val="11"/>
      <color theme="1"/>
      <name val="Calibri"/>
      <family val="2"/>
      <scheme val="minor"/>
    </font>
    <font>
      <sz val="11"/>
      <color rgb="FF000000"/>
      <name val="Calibri"/>
      <family val="2"/>
    </font>
    <font>
      <u/>
      <sz val="11"/>
      <color theme="10"/>
      <name val="Calibri"/>
      <family val="2"/>
      <scheme val="minor"/>
    </font>
    <font>
      <sz val="11"/>
      <name val="Calibri"/>
      <family val="2"/>
      <scheme val="minor"/>
    </font>
    <font>
      <b/>
      <sz val="10"/>
      <color theme="1"/>
      <name val="Calibri"/>
      <family val="2"/>
      <scheme val="minor"/>
    </font>
    <font>
      <sz val="10"/>
      <color theme="1"/>
      <name val="Calibri"/>
      <family val="2"/>
      <scheme val="minor"/>
    </font>
    <font>
      <u/>
      <sz val="11"/>
      <name val="Calibri"/>
      <family val="2"/>
      <scheme val="minor"/>
    </font>
    <font>
      <sz val="11"/>
      <color theme="1"/>
      <name val="Calibri"/>
      <family val="2"/>
      <scheme val="minor"/>
    </font>
    <font>
      <b/>
      <sz val="11"/>
      <name val="Calibri"/>
      <family val="2"/>
      <scheme val="minor"/>
    </font>
    <font>
      <sz val="11"/>
      <color theme="1" tint="0.499984740745262"/>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3" fillId="0" borderId="0" applyNumberFormat="0" applyFill="0" applyBorder="0" applyAlignment="0" applyProtection="0"/>
    <xf numFmtId="9" fontId="8" fillId="0" borderId="0" applyFont="0" applyFill="0" applyBorder="0" applyAlignment="0" applyProtection="0"/>
  </cellStyleXfs>
  <cellXfs count="128">
    <xf numFmtId="0" fontId="0" fillId="0" borderId="0" xfId="0"/>
    <xf numFmtId="14" fontId="0" fillId="0" borderId="0" xfId="0" applyNumberFormat="1"/>
    <xf numFmtId="16" fontId="0" fillId="0" borderId="0" xfId="0" applyNumberFormat="1"/>
    <xf numFmtId="0" fontId="2" fillId="0" borderId="0" xfId="0" applyFont="1"/>
    <xf numFmtId="0" fontId="1" fillId="0" borderId="0" xfId="0" applyFont="1"/>
    <xf numFmtId="14" fontId="1" fillId="0" borderId="0" xfId="0" applyNumberFormat="1" applyFont="1"/>
    <xf numFmtId="14" fontId="0" fillId="0" borderId="0" xfId="0" applyNumberFormat="1" applyAlignment="1">
      <alignment vertical="center"/>
    </xf>
    <xf numFmtId="0" fontId="0" fillId="0" borderId="0" xfId="0" applyAlignment="1">
      <alignment vertical="center"/>
    </xf>
    <xf numFmtId="0" fontId="2" fillId="0" borderId="0" xfId="0" applyFont="1" applyAlignment="1">
      <alignment vertical="center" wrapText="1"/>
    </xf>
    <xf numFmtId="0" fontId="0" fillId="0" borderId="0" xfId="0" applyAlignment="1">
      <alignment vertical="center" wrapText="1"/>
    </xf>
    <xf numFmtId="0" fontId="2" fillId="0" borderId="0" xfId="0" applyFont="1" applyAlignment="1">
      <alignment wrapText="1"/>
    </xf>
    <xf numFmtId="0" fontId="5" fillId="0" borderId="0" xfId="0" applyFont="1"/>
    <xf numFmtId="0" fontId="6" fillId="0" borderId="0" xfId="0" applyFont="1"/>
    <xf numFmtId="0" fontId="7" fillId="0" borderId="0" xfId="1" applyFont="1" applyAlignment="1">
      <alignment vertical="center"/>
    </xf>
    <xf numFmtId="0" fontId="4" fillId="0" borderId="0" xfId="0" applyFont="1"/>
    <xf numFmtId="0" fontId="1" fillId="0" borderId="0" xfId="0" applyFont="1" applyAlignment="1">
      <alignment horizontal="left" vertical="top"/>
    </xf>
    <xf numFmtId="0" fontId="0" fillId="0" borderId="0" xfId="0" applyAlignment="1">
      <alignment horizontal="left" vertical="top"/>
    </xf>
    <xf numFmtId="0" fontId="1" fillId="0" borderId="1" xfId="0" applyFon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14" fontId="0" fillId="0" borderId="1" xfId="0" applyNumberFormat="1" applyBorder="1" applyAlignment="1">
      <alignment horizontal="left" vertical="top"/>
    </xf>
    <xf numFmtId="1" fontId="0" fillId="0" borderId="1" xfId="0" applyNumberFormat="1" applyBorder="1" applyAlignment="1">
      <alignment horizontal="left" vertical="top"/>
    </xf>
    <xf numFmtId="1" fontId="0" fillId="0" borderId="1" xfId="0" applyNumberFormat="1" applyBorder="1" applyAlignment="1">
      <alignment horizontal="left" vertical="top" wrapText="1"/>
    </xf>
    <xf numFmtId="1" fontId="0" fillId="0" borderId="0" xfId="0" applyNumberFormat="1" applyAlignment="1">
      <alignment horizontal="left" vertical="top"/>
    </xf>
    <xf numFmtId="14" fontId="0" fillId="0" borderId="1" xfId="0" applyNumberFormat="1"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164" fontId="0" fillId="0" borderId="2" xfId="0" applyNumberFormat="1" applyBorder="1" applyAlignment="1">
      <alignment horizontal="center" vertical="center"/>
    </xf>
    <xf numFmtId="14" fontId="0" fillId="0" borderId="3" xfId="0" applyNumberForma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64" fontId="0" fillId="0" borderId="5" xfId="0" applyNumberFormat="1" applyBorder="1" applyAlignment="1">
      <alignment horizontal="center" vertical="center"/>
    </xf>
    <xf numFmtId="0" fontId="0" fillId="0" borderId="6" xfId="0" applyBorder="1" applyAlignment="1">
      <alignment horizontal="center" vertical="center"/>
    </xf>
    <xf numFmtId="164" fontId="0" fillId="0" borderId="7" xfId="0" applyNumberFormat="1" applyBorder="1" applyAlignment="1">
      <alignment horizontal="center" vertical="center"/>
    </xf>
    <xf numFmtId="14" fontId="0" fillId="0" borderId="8" xfId="0" applyNumberForma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 xfId="0" applyBorder="1" applyAlignment="1">
      <alignment horizontal="center" vertical="center"/>
    </xf>
    <xf numFmtId="0" fontId="0" fillId="0" borderId="7" xfId="0" applyBorder="1" applyAlignment="1">
      <alignment horizontal="center" vertical="center"/>
    </xf>
    <xf numFmtId="0" fontId="1" fillId="0" borderId="8" xfId="0" applyFont="1" applyBorder="1" applyAlignment="1">
      <alignment horizontal="center" vertical="center"/>
    </xf>
    <xf numFmtId="0" fontId="1" fillId="2" borderId="8" xfId="0" applyFont="1" applyFill="1" applyBorder="1" applyAlignment="1">
      <alignment horizontal="center" vertical="center"/>
    </xf>
    <xf numFmtId="0" fontId="1" fillId="3" borderId="8" xfId="0" applyFont="1" applyFill="1" applyBorder="1" applyAlignment="1">
      <alignment horizontal="center" vertical="center"/>
    </xf>
    <xf numFmtId="0" fontId="1" fillId="4" borderId="9" xfId="0" applyFont="1" applyFill="1" applyBorder="1" applyAlignment="1">
      <alignment horizontal="center" vertical="center"/>
    </xf>
    <xf numFmtId="0" fontId="0" fillId="0" borderId="10" xfId="0" applyBorder="1" applyAlignment="1">
      <alignment horizontal="center" vertical="center"/>
    </xf>
    <xf numFmtId="0" fontId="1" fillId="5" borderId="14" xfId="0" applyFont="1" applyFill="1" applyBorder="1" applyAlignment="1">
      <alignment horizontal="center" vertical="center"/>
    </xf>
    <xf numFmtId="0" fontId="1" fillId="5" borderId="16"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5" xfId="0" applyBorder="1" applyAlignment="1">
      <alignment horizontal="center" vertical="center"/>
    </xf>
    <xf numFmtId="0" fontId="1" fillId="5" borderId="7" xfId="0" applyFont="1" applyFill="1" applyBorder="1" applyAlignment="1">
      <alignment horizontal="center" vertical="center"/>
    </xf>
    <xf numFmtId="0" fontId="0" fillId="6" borderId="10" xfId="0" applyFill="1" applyBorder="1" applyAlignment="1">
      <alignment horizontal="center" vertical="center"/>
    </xf>
    <xf numFmtId="0" fontId="0" fillId="6" borderId="15" xfId="0" applyFill="1" applyBorder="1" applyAlignment="1">
      <alignment horizontal="center" vertical="center"/>
    </xf>
    <xf numFmtId="0" fontId="0" fillId="6" borderId="14" xfId="0" applyFill="1" applyBorder="1" applyAlignment="1">
      <alignment horizontal="center" vertical="center"/>
    </xf>
    <xf numFmtId="0" fontId="0" fillId="6" borderId="2" xfId="0" applyFill="1" applyBorder="1" applyAlignment="1">
      <alignment horizontal="center" vertical="center"/>
    </xf>
    <xf numFmtId="0" fontId="0" fillId="6" borderId="5" xfId="0" applyFill="1" applyBorder="1" applyAlignment="1">
      <alignment horizontal="center" vertical="center"/>
    </xf>
    <xf numFmtId="0" fontId="0" fillId="6" borderId="7" xfId="0" applyFill="1" applyBorder="1" applyAlignment="1">
      <alignment horizontal="center" vertical="center"/>
    </xf>
    <xf numFmtId="0" fontId="0" fillId="6" borderId="12" xfId="0" applyFill="1" applyBorder="1" applyAlignment="1">
      <alignment horizontal="center" vertical="center"/>
    </xf>
    <xf numFmtId="0" fontId="0" fillId="6" borderId="17" xfId="0" applyFill="1" applyBorder="1" applyAlignment="1">
      <alignment horizontal="center" vertical="center"/>
    </xf>
    <xf numFmtId="0" fontId="0" fillId="6" borderId="16" xfId="0" applyFill="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1" fillId="0" borderId="1" xfId="0" applyFont="1" applyBorder="1"/>
    <xf numFmtId="9" fontId="0" fillId="0" borderId="1" xfId="2" applyFont="1" applyBorder="1" applyAlignment="1">
      <alignment horizontal="center" vertical="center"/>
    </xf>
    <xf numFmtId="165" fontId="0" fillId="0" borderId="1" xfId="0" applyNumberFormat="1" applyBorder="1" applyAlignment="1">
      <alignment horizontal="center" vertical="center"/>
    </xf>
    <xf numFmtId="9" fontId="0" fillId="0" borderId="8" xfId="2" applyFont="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9" fontId="0" fillId="0" borderId="25" xfId="2" applyFont="1" applyBorder="1" applyAlignment="1">
      <alignment horizontal="center" vertical="center"/>
    </xf>
    <xf numFmtId="0" fontId="1" fillId="0" borderId="7" xfId="0" applyFont="1" applyBorder="1" applyAlignment="1">
      <alignment horizontal="center" vertical="center"/>
    </xf>
    <xf numFmtId="0" fontId="1" fillId="0" borderId="9" xfId="0" applyFon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9" fontId="0" fillId="0" borderId="28" xfId="2" applyFont="1" applyBorder="1" applyAlignment="1">
      <alignment horizontal="center" vertical="center"/>
    </xf>
    <xf numFmtId="9" fontId="0" fillId="0" borderId="3" xfId="2" applyFont="1" applyBorder="1" applyAlignment="1">
      <alignment horizontal="center" vertical="center"/>
    </xf>
    <xf numFmtId="1" fontId="0" fillId="0" borderId="1" xfId="0" applyNumberFormat="1" applyBorder="1" applyAlignment="1">
      <alignment horizontal="center" vertical="center"/>
    </xf>
    <xf numFmtId="1" fontId="0" fillId="0" borderId="3" xfId="0" applyNumberFormat="1" applyBorder="1" applyAlignment="1">
      <alignment horizontal="center" vertical="center"/>
    </xf>
    <xf numFmtId="9" fontId="0" fillId="0" borderId="4" xfId="2" applyFont="1" applyBorder="1" applyAlignment="1">
      <alignment horizontal="center" vertical="center"/>
    </xf>
    <xf numFmtId="9" fontId="0" fillId="0" borderId="6" xfId="2" applyFont="1" applyBorder="1" applyAlignment="1">
      <alignment horizontal="center" vertical="center"/>
    </xf>
    <xf numFmtId="1" fontId="0" fillId="0" borderId="8" xfId="0" applyNumberFormat="1" applyBorder="1" applyAlignment="1">
      <alignment horizontal="center" vertical="center"/>
    </xf>
    <xf numFmtId="9" fontId="0" fillId="0" borderId="9" xfId="2" applyFont="1" applyBorder="1" applyAlignment="1">
      <alignment horizontal="center" vertical="center"/>
    </xf>
    <xf numFmtId="1" fontId="0" fillId="0" borderId="28" xfId="0" applyNumberFormat="1" applyBorder="1" applyAlignment="1">
      <alignment horizontal="center" vertical="center"/>
    </xf>
    <xf numFmtId="9" fontId="0" fillId="0" borderId="29" xfId="2" applyFont="1" applyBorder="1" applyAlignment="1">
      <alignment horizontal="center" vertical="center"/>
    </xf>
    <xf numFmtId="1" fontId="0" fillId="0" borderId="25" xfId="0" applyNumberFormat="1" applyBorder="1" applyAlignment="1">
      <alignment horizontal="center" vertical="center"/>
    </xf>
    <xf numFmtId="9" fontId="0" fillId="0" borderId="26" xfId="2" applyFont="1" applyBorder="1" applyAlignment="1">
      <alignment horizontal="center" vertical="center"/>
    </xf>
    <xf numFmtId="14" fontId="0" fillId="7" borderId="1" xfId="0" applyNumberFormat="1" applyFill="1" applyBorder="1" applyAlignment="1">
      <alignment horizontal="center" vertical="center"/>
    </xf>
    <xf numFmtId="14" fontId="0" fillId="7" borderId="3" xfId="0" applyNumberFormat="1" applyFill="1" applyBorder="1" applyAlignment="1">
      <alignment horizontal="center" vertical="center"/>
    </xf>
    <xf numFmtId="0" fontId="9" fillId="8" borderId="1" xfId="0" applyFont="1" applyFill="1" applyBorder="1" applyAlignment="1">
      <alignment horizontal="center" vertical="center"/>
    </xf>
    <xf numFmtId="1" fontId="0" fillId="0" borderId="0" xfId="0" applyNumberFormat="1"/>
    <xf numFmtId="0" fontId="0" fillId="0" borderId="0" xfId="0" applyAlignment="1">
      <alignment horizontal="center"/>
    </xf>
    <xf numFmtId="0" fontId="0" fillId="0" borderId="1" xfId="0" applyBorder="1" applyAlignment="1">
      <alignment horizontal="left"/>
    </xf>
    <xf numFmtId="0" fontId="0" fillId="0" borderId="1" xfId="0" applyBorder="1"/>
    <xf numFmtId="0" fontId="3" fillId="0" borderId="0" xfId="1" applyAlignment="1">
      <alignment horizontal="left" vertical="center" wrapText="1" indent="1"/>
    </xf>
    <xf numFmtId="0" fontId="3" fillId="0" borderId="0" xfId="1"/>
    <xf numFmtId="0" fontId="3" fillId="0" borderId="0" xfId="1" applyAlignment="1">
      <alignment horizontal="center" vertical="center" wrapText="1"/>
    </xf>
    <xf numFmtId="14" fontId="0" fillId="0" borderId="1" xfId="0" applyNumberFormat="1" applyBorder="1"/>
    <xf numFmtId="0" fontId="3" fillId="2" borderId="0" xfId="1" applyFill="1" applyAlignment="1">
      <alignment horizontal="left" vertical="center" wrapText="1" indent="1"/>
    </xf>
    <xf numFmtId="2" fontId="1" fillId="0" borderId="1" xfId="0" applyNumberFormat="1" applyFont="1" applyBorder="1" applyAlignment="1">
      <alignment horizontal="center" vertical="center"/>
    </xf>
    <xf numFmtId="16" fontId="0" fillId="0" borderId="1" xfId="0" applyNumberFormat="1" applyBorder="1" applyAlignment="1">
      <alignment horizontal="left" vertical="top"/>
    </xf>
    <xf numFmtId="0" fontId="3" fillId="0" borderId="1" xfId="1" applyBorder="1"/>
    <xf numFmtId="164" fontId="0" fillId="0" borderId="1" xfId="0" applyNumberFormat="1" applyBorder="1" applyAlignment="1">
      <alignment horizontal="center" vertical="center"/>
    </xf>
    <xf numFmtId="0" fontId="3" fillId="2" borderId="0" xfId="1" applyFill="1" applyAlignment="1">
      <alignment horizontal="center" vertical="center" wrapText="1"/>
    </xf>
    <xf numFmtId="0" fontId="10" fillId="0" borderId="1" xfId="0" applyFont="1" applyBorder="1" applyAlignment="1">
      <alignment horizontal="left"/>
    </xf>
    <xf numFmtId="0" fontId="0" fillId="2" borderId="0" xfId="0" applyFill="1"/>
    <xf numFmtId="0" fontId="0" fillId="0" borderId="0" xfId="0" applyAlignment="1">
      <alignment horizontal="left" vertical="top" wrapText="1"/>
    </xf>
    <xf numFmtId="0" fontId="1" fillId="0" borderId="0" xfId="0" applyFont="1" applyAlignment="1">
      <alignment horizontal="left" vertical="top" wrapText="1"/>
    </xf>
    <xf numFmtId="0" fontId="0" fillId="0" borderId="1" xfId="0" applyBorder="1" applyAlignment="1">
      <alignment horizontal="center" vertical="center"/>
    </xf>
    <xf numFmtId="14" fontId="0" fillId="0" borderId="0" xfId="0" applyNumberFormat="1" applyAlignment="1">
      <alignment horizontal="center" vertical="center"/>
    </xf>
    <xf numFmtId="0" fontId="1" fillId="0" borderId="14" xfId="0" applyFont="1" applyBorder="1" applyAlignment="1">
      <alignment horizontal="center" vertical="center"/>
    </xf>
    <xf numFmtId="14" fontId="0" fillId="0" borderId="10" xfId="0" applyNumberFormat="1" applyBorder="1" applyAlignment="1">
      <alignment horizontal="center" vertical="center"/>
    </xf>
    <xf numFmtId="14" fontId="0" fillId="0" borderId="15" xfId="0" applyNumberFormat="1" applyBorder="1" applyAlignment="1">
      <alignment horizontal="center" vertical="center"/>
    </xf>
    <xf numFmtId="14" fontId="0" fillId="0" borderId="14" xfId="0" applyNumberFormat="1" applyBorder="1" applyAlignment="1">
      <alignment horizontal="center" vertical="center"/>
    </xf>
    <xf numFmtId="14" fontId="0" fillId="7" borderId="10" xfId="0" applyNumberFormat="1" applyFill="1" applyBorder="1" applyAlignment="1">
      <alignment horizontal="center" vertical="center"/>
    </xf>
    <xf numFmtId="14" fontId="0" fillId="7" borderId="15" xfId="0" applyNumberFormat="1" applyFill="1" applyBorder="1" applyAlignment="1">
      <alignment horizontal="center" vertical="center"/>
    </xf>
    <xf numFmtId="14" fontId="0" fillId="0" borderId="1" xfId="0" applyNumberFormat="1" applyBorder="1" applyAlignment="1">
      <alignment horizontal="left"/>
    </xf>
    <xf numFmtId="14" fontId="0" fillId="0" borderId="1" xfId="0" applyNumberFormat="1" applyBorder="1" applyAlignment="1">
      <alignment horizontal="left"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23" xfId="0" applyBorder="1" applyAlignment="1">
      <alignment horizontal="center" vertical="center"/>
    </xf>
    <xf numFmtId="0" fontId="1" fillId="0" borderId="18"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0" xfId="0" applyFont="1" applyAlignment="1">
      <alignment horizontal="center"/>
    </xf>
    <xf numFmtId="0" fontId="0" fillId="0" borderId="1" xfId="0" applyBorder="1" applyAlignment="1">
      <alignment horizontal="center" vertical="center"/>
    </xf>
  </cellXfs>
  <cellStyles count="3">
    <cellStyle name="Hyperlink" xfId="1" builtinId="8"/>
    <cellStyle name="Normal" xfId="0" builtinId="0"/>
    <cellStyle name="Percent" xfId="2" builtinId="5"/>
  </cellStyles>
  <dxfs count="14">
    <dxf>
      <font>
        <b/>
        <i val="0"/>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b/>
        <i val="0"/>
        <color rgb="FF006100"/>
      </font>
      <fill>
        <patternFill>
          <bgColor rgb="FFC6EFCE"/>
        </patternFill>
      </fill>
    </dxf>
    <dxf>
      <font>
        <b/>
        <i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activeX1.xml><?xml version="1.0" encoding="utf-8"?>
<ax:ocx xmlns:ax="http://schemas.microsoft.com/office/2006/activeX" xmlns:r="http://schemas.openxmlformats.org/officeDocument/2006/relationships" ax:classid="{5512D116-5CC6-11CF-8D67-00AA00BDCE1D}" ax:persistence="persistStream" r:id="rId1"/>
</file>

<file path=xl/activeX/activeX2.xml><?xml version="1.0" encoding="utf-8"?>
<ax:ocx xmlns:ax="http://schemas.microsoft.com/office/2006/activeX" xmlns:r="http://schemas.openxmlformats.org/officeDocument/2006/relationships" ax:classid="{5512D116-5CC6-11CF-8D67-00AA00BDCE1D}" ax:persistence="persistStream" r:id="rId1"/>
</file>

<file path=xl/activeX/activeX3.xml><?xml version="1.0" encoding="utf-8"?>
<ax:ocx xmlns:ax="http://schemas.microsoft.com/office/2006/activeX" xmlns:r="http://schemas.openxmlformats.org/officeDocument/2006/relationships" ax:classid="{5512D116-5CC6-11CF-8D67-00AA00BDCE1D}" ax:persistence="persistStream" r:id="rId1"/>
</file>

<file path=xl/activeX/activeX4.xml><?xml version="1.0" encoding="utf-8"?>
<ax:ocx xmlns:ax="http://schemas.microsoft.com/office/2006/activeX" xmlns:r="http://schemas.openxmlformats.org/officeDocument/2006/relationships" ax:classid="{5512D116-5CC6-11CF-8D67-00AA00BDCE1D}" ax:persistence="persistStream" r:id="rId1"/>
</file>

<file path=xl/activeX/activeX5.xml><?xml version="1.0" encoding="utf-8"?>
<ax:ocx xmlns:ax="http://schemas.microsoft.com/office/2006/activeX" xmlns:r="http://schemas.openxmlformats.org/officeDocument/2006/relationships" ax:classid="{5512D116-5CC6-11CF-8D67-00AA00BDCE1D}" ax:persistence="persistStream" r:id="rId1"/>
</file>

<file path=xl/activeX/activeX6.xml><?xml version="1.0" encoding="utf-8"?>
<ax:ocx xmlns:ax="http://schemas.microsoft.com/office/2006/activeX" xmlns:r="http://schemas.openxmlformats.org/officeDocument/2006/relationships" ax:classid="{5512D116-5CC6-11CF-8D67-00AA00BDCE1D}" ax:persistence="persistStream" r:id="rId1"/>
</file>

<file path=xl/activeX/activeX7.xml><?xml version="1.0" encoding="utf-8"?>
<ax:ocx xmlns:ax="http://schemas.microsoft.com/office/2006/activeX" xmlns:r="http://schemas.openxmlformats.org/officeDocument/2006/relationships" ax:classid="{5512D116-5CC6-11CF-8D67-00AA00BDCE1D}" ax:persistence="persistStream" r:id="rId1"/>
</file>

<file path=xl/activeX/activeX8.xml><?xml version="1.0" encoding="utf-8"?>
<ax:ocx xmlns:ax="http://schemas.microsoft.com/office/2006/activeX" xmlns:r="http://schemas.openxmlformats.org/officeDocument/2006/relationships" ax:classid="{5512D116-5CC6-11CF-8D67-00AA00BDCE1D}" ax:persistence="persistStream" r:id="rId1"/>
</file>

<file path=xl/activeX/activeX9.xml><?xml version="1.0" encoding="utf-8"?>
<ax:ocx xmlns:ax="http://schemas.microsoft.com/office/2006/activeX" xmlns:r="http://schemas.openxmlformats.org/officeDocument/2006/relationships" ax:classid="{5512D116-5CC6-11CF-8D67-00AA00BDCE1D}" ax:persistence="persistStream" r:id="rId1"/>
</file>

<file path=xl/activeX/activeX10.xml><?xml version="1.0" encoding="utf-8"?>
<ax:ocx xmlns:ax="http://schemas.microsoft.com/office/2006/activeX" xmlns:r="http://schemas.openxmlformats.org/officeDocument/2006/relationships" ax:classid="{5512D116-5CC6-11CF-8D67-00AA00BDCE1D}" ax:persistence="persistStream" r:id="rId1"/>
</file>

<file path=xl/activeX/activeX11.xml><?xml version="1.0" encoding="utf-8"?>
<ax:ocx xmlns:ax="http://schemas.microsoft.com/office/2006/activeX" xmlns:r="http://schemas.openxmlformats.org/officeDocument/2006/relationships" ax:classid="{5512D116-5CC6-11CF-8D67-00AA00BDCE1D}" ax:persistence="persistStream" r:id="rId1"/>
</file>

<file path=xl/activeX/activeX12.xml><?xml version="1.0" encoding="utf-8"?>
<ax:ocx xmlns:ax="http://schemas.microsoft.com/office/2006/activeX" xmlns:r="http://schemas.openxmlformats.org/officeDocument/2006/relationships" ax:classid="{5512D116-5CC6-11CF-8D67-00AA00BDCE1D}" ax:persistence="persistStream" r:id="rId1"/>
</file>

<file path=xl/activeX/activeX13.xml><?xml version="1.0" encoding="utf-8"?>
<ax:ocx xmlns:ax="http://schemas.microsoft.com/office/2006/activeX" xmlns:r="http://schemas.openxmlformats.org/officeDocument/2006/relationships" ax:classid="{5512D116-5CC6-11CF-8D67-00AA00BDCE1D}" ax:persistence="persistStream" r:id="rId1"/>
</file>

<file path=xl/activeX/activeX14.xml><?xml version="1.0" encoding="utf-8"?>
<ax:ocx xmlns:ax="http://schemas.microsoft.com/office/2006/activeX" xmlns:r="http://schemas.openxmlformats.org/officeDocument/2006/relationships" ax:classid="{5512D116-5CC6-11CF-8D67-00AA00BDCE1D}" ax:persistence="persistStream" r:id="rId1"/>
</file>

<file path=xl/activeX/activeX15.xml><?xml version="1.0" encoding="utf-8"?>
<ax:ocx xmlns:ax="http://schemas.microsoft.com/office/2006/activeX" xmlns:r="http://schemas.openxmlformats.org/officeDocument/2006/relationships" ax:classid="{5512D116-5CC6-11CF-8D67-00AA00BDCE1D}" ax:persistence="persistStream" r:id="rId1"/>
</file>

<file path=xl/activeX/activeX16.xml><?xml version="1.0" encoding="utf-8"?>
<ax:ocx xmlns:ax="http://schemas.microsoft.com/office/2006/activeX" xmlns:r="http://schemas.openxmlformats.org/officeDocument/2006/relationships" ax:classid="{5512D116-5CC6-11CF-8D67-00AA00BDCE1D}" ax:persistence="persistStream" r:id="rId1"/>
</file>

<file path=xl/activeX/activeX17.xml><?xml version="1.0" encoding="utf-8"?>
<ax:ocx xmlns:ax="http://schemas.microsoft.com/office/2006/activeX" xmlns:r="http://schemas.openxmlformats.org/officeDocument/2006/relationships" ax:classid="{5512D116-5CC6-11CF-8D67-00AA00BDCE1D}" ax:persistence="persistStream" r:id="rId1"/>
</file>

<file path=xl/activeX/activeX18.xml><?xml version="1.0" encoding="utf-8"?>
<ax:ocx xmlns:ax="http://schemas.microsoft.com/office/2006/activeX" xmlns:r="http://schemas.openxmlformats.org/officeDocument/2006/relationships" ax:classid="{5512D116-5CC6-11CF-8D67-00AA00BDCE1D}" ax:persistence="persistStream" r:id="rId1"/>
</file>

<file path=xl/activeX/activeX19.xml><?xml version="1.0" encoding="utf-8"?>
<ax:ocx xmlns:ax="http://schemas.microsoft.com/office/2006/activeX" xmlns:r="http://schemas.openxmlformats.org/officeDocument/2006/relationships" ax:classid="{5512D116-5CC6-11CF-8D67-00AA00BDCE1D}" ax:persistence="persistStream" r:id="rId1"/>
</file>

<file path=xl/activeX/activeX20.xml><?xml version="1.0" encoding="utf-8"?>
<ax:ocx xmlns:ax="http://schemas.microsoft.com/office/2006/activeX" xmlns:r="http://schemas.openxmlformats.org/officeDocument/2006/relationships" ax:classid="{5512D116-5CC6-11CF-8D67-00AA00BDCE1D}" ax:persistence="persistStream" r:id="rId1"/>
</file>

<file path=xl/activeX/activeX21.xml><?xml version="1.0" encoding="utf-8"?>
<ax:ocx xmlns:ax="http://schemas.microsoft.com/office/2006/activeX" xmlns:r="http://schemas.openxmlformats.org/officeDocument/2006/relationships" ax:classid="{5512D116-5CC6-11CF-8D67-00AA00BDCE1D}" ax:persistence="persistStream" r:id="rId1"/>
</file>

<file path=xl/activeX/activeX22.xml><?xml version="1.0" encoding="utf-8"?>
<ax:ocx xmlns:ax="http://schemas.microsoft.com/office/2006/activeX" xmlns:r="http://schemas.openxmlformats.org/officeDocument/2006/relationships" ax:classid="{5512D116-5CC6-11CF-8D67-00AA00BDCE1D}" ax:persistence="persistStream" r:id="rId1"/>
</file>

<file path=xl/activeX/activeX23.xml><?xml version="1.0" encoding="utf-8"?>
<ax:ocx xmlns:ax="http://schemas.microsoft.com/office/2006/activeX" xmlns:r="http://schemas.openxmlformats.org/officeDocument/2006/relationships" ax:classid="{5512D116-5CC6-11CF-8D67-00AA00BDCE1D}" ax:persistence="persistStream" r:id="rId1"/>
</file>

<file path=xl/activeX/activeX24.xml><?xml version="1.0" encoding="utf-8"?>
<ax:ocx xmlns:ax="http://schemas.microsoft.com/office/2006/activeX" xmlns:r="http://schemas.openxmlformats.org/officeDocument/2006/relationships" ax:classid="{5512D116-5CC6-11CF-8D67-00AA00BDCE1D}" ax:persistence="persistStream" r:id="rId1"/>
</file>

<file path=xl/activeX/activeX25.xml><?xml version="1.0" encoding="utf-8"?>
<ax:ocx xmlns:ax="http://schemas.microsoft.com/office/2006/activeX" xmlns:r="http://schemas.openxmlformats.org/officeDocument/2006/relationships" ax:classid="{5512D116-5CC6-11CF-8D67-00AA00BDCE1D}" ax:persistence="persistStream" r:id="rId1"/>
</file>

<file path=xl/activeX/activeX26.xml><?xml version="1.0" encoding="utf-8"?>
<ax:ocx xmlns:ax="http://schemas.microsoft.com/office/2006/activeX" xmlns:r="http://schemas.openxmlformats.org/officeDocument/2006/relationships" ax:classid="{5512D116-5CC6-11CF-8D67-00AA00BDCE1D}" ax:persistence="persistStream" r:id="rId1"/>
</file>

<file path=xl/activeX/activeX27.xml><?xml version="1.0" encoding="utf-8"?>
<ax:ocx xmlns:ax="http://schemas.microsoft.com/office/2006/activeX" xmlns:r="http://schemas.openxmlformats.org/officeDocument/2006/relationships" ax:classid="{5512D116-5CC6-11CF-8D67-00AA00BDCE1D}" ax:persistence="persistStream" r:id="rId1"/>
</file>

<file path=xl/activeX/activeX28.xml><?xml version="1.0" encoding="utf-8"?>
<ax:ocx xmlns:ax="http://schemas.microsoft.com/office/2006/activeX" xmlns:r="http://schemas.openxmlformats.org/officeDocument/2006/relationships" ax:classid="{5512D116-5CC6-11CF-8D67-00AA00BDCE1D}" ax:persistence="persistStream" r:id="rId1"/>
</file>

<file path=xl/activeX/activeX29.xml><?xml version="1.0" encoding="utf-8"?>
<ax:ocx xmlns:ax="http://schemas.microsoft.com/office/2006/activeX" xmlns:r="http://schemas.openxmlformats.org/officeDocument/2006/relationships" ax:classid="{5512D116-5CC6-11CF-8D67-00AA00BDCE1D}" ax:persistence="persistStream" r:id="rId1"/>
</file>

<file path=xl/activeX/activeX30.xml><?xml version="1.0" encoding="utf-8"?>
<ax:ocx xmlns:ax="http://schemas.microsoft.com/office/2006/activeX" xmlns:r="http://schemas.openxmlformats.org/officeDocument/2006/relationships" ax:classid="{5512D116-5CC6-11CF-8D67-00AA00BDCE1D}" ax:persistence="persistStream" r:id="rId1"/>
</file>

<file path=xl/activeX/activeX31.xml><?xml version="1.0" encoding="utf-8"?>
<ax:ocx xmlns:ax="http://schemas.microsoft.com/office/2006/activeX" xmlns:r="http://schemas.openxmlformats.org/officeDocument/2006/relationships" ax:classid="{5512D116-5CC6-11CF-8D67-00AA00BDCE1D}" ax:persistence="persistStream" r:id="rId1"/>
</file>

<file path=xl/activeX/activeX32.xml><?xml version="1.0" encoding="utf-8"?>
<ax:ocx xmlns:ax="http://schemas.microsoft.com/office/2006/activeX" xmlns:r="http://schemas.openxmlformats.org/officeDocument/2006/relationships" ax:classid="{5512D116-5CC6-11CF-8D67-00AA00BDCE1D}" ax:persistence="persistStream" r:id="rId1"/>
</file>

<file path=xl/activeX/activeX33.xml><?xml version="1.0" encoding="utf-8"?>
<ax:ocx xmlns:ax="http://schemas.microsoft.com/office/2006/activeX" xmlns:r="http://schemas.openxmlformats.org/officeDocument/2006/relationships" ax:classid="{5512D116-5CC6-11CF-8D67-00AA00BDCE1D}" ax:persistence="persistStream" r:id="rId1"/>
</file>

<file path=xl/activeX/activeX34.xml><?xml version="1.0" encoding="utf-8"?>
<ax:ocx xmlns:ax="http://schemas.microsoft.com/office/2006/activeX" xmlns:r="http://schemas.openxmlformats.org/officeDocument/2006/relationships" ax:classid="{5512D116-5CC6-11CF-8D67-00AA00BDCE1D}" ax:persistence="persistStream" r:id="rId1"/>
</file>

<file path=xl/activeX/activeX35.xml><?xml version="1.0" encoding="utf-8"?>
<ax:ocx xmlns:ax="http://schemas.microsoft.com/office/2006/activeX" xmlns:r="http://schemas.openxmlformats.org/officeDocument/2006/relationships" ax:classid="{5512D116-5CC6-11CF-8D67-00AA00BDCE1D}" ax:persistence="persistStream" r:id="rId1"/>
</file>

<file path=xl/activeX/activeX36.xml><?xml version="1.0" encoding="utf-8"?>
<ax:ocx xmlns:ax="http://schemas.microsoft.com/office/2006/activeX" xmlns:r="http://schemas.openxmlformats.org/officeDocument/2006/relationships" ax:classid="{5512D116-5CC6-11CF-8D67-00AA00BDCE1D}" ax:persistence="persistStream" r:id="rId1"/>
</file>

<file path=xl/activeX/activeX37.xml><?xml version="1.0" encoding="utf-8"?>
<ax:ocx xmlns:ax="http://schemas.microsoft.com/office/2006/activeX" xmlns:r="http://schemas.openxmlformats.org/officeDocument/2006/relationships" ax:classid="{5512D116-5CC6-11CF-8D67-00AA00BDCE1D}" ax:persistence="persistStream" r:id="rId1"/>
</file>

<file path=xl/activeX/activeX38.xml><?xml version="1.0" encoding="utf-8"?>
<ax:ocx xmlns:ax="http://schemas.microsoft.com/office/2006/activeX" xmlns:r="http://schemas.openxmlformats.org/officeDocument/2006/relationships" ax:classid="{5512D116-5CC6-11CF-8D67-00AA00BDCE1D}" ax:persistence="persistStream" r:id="rId1"/>
</file>

<file path=xl/activeX/activeX39.xml><?xml version="1.0" encoding="utf-8"?>
<ax:ocx xmlns:ax="http://schemas.microsoft.com/office/2006/activeX" xmlns:r="http://schemas.openxmlformats.org/officeDocument/2006/relationships" ax:classid="{5512D116-5CC6-11CF-8D67-00AA00BDCE1D}" ax:persistence="persistStream" r:id="rId1"/>
</file>

<file path=xl/activeX/activeX40.xml><?xml version="1.0" encoding="utf-8"?>
<ax:ocx xmlns:ax="http://schemas.microsoft.com/office/2006/activeX" xmlns:r="http://schemas.openxmlformats.org/officeDocument/2006/relationships" ax:classid="{5512D116-5CC6-11CF-8D67-00AA00BDCE1D}" ax:persistence="persistStream" r:id="rId1"/>
</file>

<file path=xl/activeX/activeX41.xml><?xml version="1.0" encoding="utf-8"?>
<ax:ocx xmlns:ax="http://schemas.microsoft.com/office/2006/activeX" xmlns:r="http://schemas.openxmlformats.org/officeDocument/2006/relationships" ax:classid="{5512D116-5CC6-11CF-8D67-00AA00BDCE1D}" ax:persistence="persistStream" r:id="rId1"/>
</file>

<file path=xl/activeX/activeX42.xml><?xml version="1.0" encoding="utf-8"?>
<ax:ocx xmlns:ax="http://schemas.microsoft.com/office/2006/activeX" xmlns:r="http://schemas.openxmlformats.org/officeDocument/2006/relationships" ax:classid="{5512D116-5CC6-11CF-8D67-00AA00BDCE1D}" ax:persistence="persistStream" r:id="rId1"/>
</file>

<file path=xl/activeX/activeX43.xml><?xml version="1.0" encoding="utf-8"?>
<ax:ocx xmlns:ax="http://schemas.microsoft.com/office/2006/activeX" xmlns:r="http://schemas.openxmlformats.org/officeDocument/2006/relationships" ax:classid="{5512D116-5CC6-11CF-8D67-00AA00BDCE1D}" ax:persistence="persistStream" r:id="rId1"/>
</file>

<file path=xl/activeX/activeX44.xml><?xml version="1.0" encoding="utf-8"?>
<ax:ocx xmlns:ax="http://schemas.microsoft.com/office/2006/activeX" xmlns:r="http://schemas.openxmlformats.org/officeDocument/2006/relationships" ax:classid="{5512D116-5CC6-11CF-8D67-00AA00BDCE1D}" ax:persistence="persistStream" r:id="rId1"/>
</file>

<file path=xl/activeX/activeX45.xml><?xml version="1.0" encoding="utf-8"?>
<ax:ocx xmlns:ax="http://schemas.microsoft.com/office/2006/activeX" xmlns:r="http://schemas.openxmlformats.org/officeDocument/2006/relationships" ax:classid="{5512D116-5CC6-11CF-8D67-00AA00BDCE1D}" ax:persistence="persistStream" r:id="rId1"/>
</file>

<file path=xl/activeX/activeX46.xml><?xml version="1.0" encoding="utf-8"?>
<ax:ocx xmlns:ax="http://schemas.microsoft.com/office/2006/activeX" xmlns:r="http://schemas.openxmlformats.org/officeDocument/2006/relationships" ax:classid="{5512D116-5CC6-11CF-8D67-00AA00BDCE1D}" ax:persistence="persistStream" r:id="rId1"/>
</file>

<file path=xl/activeX/activeX47.xml><?xml version="1.0" encoding="utf-8"?>
<ax:ocx xmlns:ax="http://schemas.microsoft.com/office/2006/activeX" xmlns:r="http://schemas.openxmlformats.org/officeDocument/2006/relationships" ax:classid="{5512D116-5CC6-11CF-8D67-00AA00BDCE1D}" ax:persistence="persistStream" r:id="rId1"/>
</file>

<file path=xl/activeX/activeX48.xml><?xml version="1.0" encoding="utf-8"?>
<ax:ocx xmlns:ax="http://schemas.microsoft.com/office/2006/activeX" xmlns:r="http://schemas.openxmlformats.org/officeDocument/2006/relationships" ax:classid="{5512D116-5CC6-11CF-8D67-00AA00BDCE1D}" ax:persistence="persistStream" r:id="rId1"/>
</file>

<file path=xl/activeX/activeX49.xml><?xml version="1.0" encoding="utf-8"?>
<ax:ocx xmlns:ax="http://schemas.microsoft.com/office/2006/activeX" xmlns:r="http://schemas.openxmlformats.org/officeDocument/2006/relationships" ax:classid="{5512D116-5CC6-11CF-8D67-00AA00BDCE1D}" ax:persistence="persistStream" r:id="rId1"/>
</file>

<file path=xl/activeX/activeX50.xml><?xml version="1.0" encoding="utf-8"?>
<ax:ocx xmlns:ax="http://schemas.microsoft.com/office/2006/activeX" xmlns:r="http://schemas.openxmlformats.org/officeDocument/2006/relationships" ax:classid="{5512D116-5CC6-11CF-8D67-00AA00BDCE1D}" ax:persistence="persistStream" r:id="rId1"/>
</file>

<file path=xl/activeX/activeX51.xml><?xml version="1.0" encoding="utf-8"?>
<ax:ocx xmlns:ax="http://schemas.microsoft.com/office/2006/activeX" xmlns:r="http://schemas.openxmlformats.org/officeDocument/2006/relationships" ax:classid="{5512D116-5CC6-11CF-8D67-00AA00BDCE1D}" ax:persistence="persistStream" r:id="rId1"/>
</file>

<file path=xl/activeX/activeX52.xml><?xml version="1.0" encoding="utf-8"?>
<ax:ocx xmlns:ax="http://schemas.microsoft.com/office/2006/activeX" xmlns:r="http://schemas.openxmlformats.org/officeDocument/2006/relationships" ax:classid="{5512D116-5CC6-11CF-8D67-00AA00BDCE1D}" ax:persistence="persistStream" r:id="rId1"/>
</file>

<file path=xl/activeX/activeX53.xml><?xml version="1.0" encoding="utf-8"?>
<ax:ocx xmlns:ax="http://schemas.microsoft.com/office/2006/activeX" xmlns:r="http://schemas.openxmlformats.org/officeDocument/2006/relationships" ax:classid="{5512D116-5CC6-11CF-8D67-00AA00BDCE1D}" ax:persistence="persistStream" r:id="rId1"/>
</file>

<file path=xl/activeX/activeX54.xml><?xml version="1.0" encoding="utf-8"?>
<ax:ocx xmlns:ax="http://schemas.microsoft.com/office/2006/activeX" xmlns:r="http://schemas.openxmlformats.org/officeDocument/2006/relationships" ax:classid="{5512D116-5CC6-11CF-8D67-00AA00BDCE1D}" ax:persistence="persistStream" r:id="rId1"/>
</file>

<file path=xl/activeX/activeX55.xml><?xml version="1.0" encoding="utf-8"?>
<ax:ocx xmlns:ax="http://schemas.microsoft.com/office/2006/activeX" xmlns:r="http://schemas.openxmlformats.org/officeDocument/2006/relationships" ax:classid="{5512D116-5CC6-11CF-8D67-00AA00BDCE1D}" ax:persistence="persistStream" r:id="rId1"/>
</file>

<file path=xl/activeX/activeX56.xml><?xml version="1.0" encoding="utf-8"?>
<ax:ocx xmlns:ax="http://schemas.microsoft.com/office/2006/activeX" xmlns:r="http://schemas.openxmlformats.org/officeDocument/2006/relationships" ax:classid="{5512D116-5CC6-11CF-8D67-00AA00BDCE1D}" ax:persistence="persistStream" r:id="rId1"/>
</file>

<file path=xl/activeX/activeX57.xml><?xml version="1.0" encoding="utf-8"?>
<ax:ocx xmlns:ax="http://schemas.microsoft.com/office/2006/activeX" xmlns:r="http://schemas.openxmlformats.org/officeDocument/2006/relationships" ax:classid="{5512D116-5CC6-11CF-8D67-00AA00BDCE1D}" ax:persistence="persistStream" r:id="rId1"/>
</file>

<file path=xl/activeX/activeX58.xml><?xml version="1.0" encoding="utf-8"?>
<ax:ocx xmlns:ax="http://schemas.microsoft.com/office/2006/activeX" xmlns:r="http://schemas.openxmlformats.org/officeDocument/2006/relationships" ax:classid="{5512D116-5CC6-11CF-8D67-00AA00BDCE1D}" ax:persistence="persistStream" r:id="rId1"/>
</file>

<file path=xl/activeX/activeX59.xml><?xml version="1.0" encoding="utf-8"?>
<ax:ocx xmlns:ax="http://schemas.microsoft.com/office/2006/activeX" xmlns:r="http://schemas.openxmlformats.org/officeDocument/2006/relationships" ax:classid="{5512D116-5CC6-11CF-8D67-00AA00BDCE1D}" ax:persistence="persistStream" r:id="rId1"/>
</file>

<file path=xl/activeX/activeX60.xml><?xml version="1.0" encoding="utf-8"?>
<ax:ocx xmlns:ax="http://schemas.microsoft.com/office/2006/activeX" xmlns:r="http://schemas.openxmlformats.org/officeDocument/2006/relationships" ax:classid="{5512D116-5CC6-11CF-8D67-00AA00BDCE1D}" ax:persistence="persistStream" r:id="rId1"/>
</file>

<file path=xl/activeX/activeX61.xml><?xml version="1.0" encoding="utf-8"?>
<ax:ocx xmlns:ax="http://schemas.microsoft.com/office/2006/activeX" xmlns:r="http://schemas.openxmlformats.org/officeDocument/2006/relationships" ax:classid="{5512D116-5CC6-11CF-8D67-00AA00BDCE1D}" ax:persistence="persistStream" r:id="rId1"/>
</file>

<file path=xl/activeX/activeX62.xml><?xml version="1.0" encoding="utf-8"?>
<ax:ocx xmlns:ax="http://schemas.microsoft.com/office/2006/activeX" xmlns:r="http://schemas.openxmlformats.org/officeDocument/2006/relationships" ax:classid="{5512D116-5CC6-11CF-8D67-00AA00BDCE1D}" ax:persistence="persistStream" r:id="rId1"/>
</file>

<file path=xl/activeX/activeX63.xml><?xml version="1.0" encoding="utf-8"?>
<ax:ocx xmlns:ax="http://schemas.microsoft.com/office/2006/activeX" xmlns:r="http://schemas.openxmlformats.org/officeDocument/2006/relationships" ax:classid="{5512D116-5CC6-11CF-8D67-00AA00BDCE1D}" ax:persistence="persistStream" r:id="rId1"/>
</file>

<file path=xl/activeX/activeX64.xml><?xml version="1.0" encoding="utf-8"?>
<ax:ocx xmlns:ax="http://schemas.microsoft.com/office/2006/activeX" xmlns:r="http://schemas.openxmlformats.org/officeDocument/2006/relationships" ax:classid="{5512D116-5CC6-11CF-8D67-00AA00BDCE1D}" ax:persistence="persistStream" r:id="rId1"/>
</file>

<file path=xl/activeX/activeX65.xml><?xml version="1.0" encoding="utf-8"?>
<ax:ocx xmlns:ax="http://schemas.microsoft.com/office/2006/activeX" xmlns:r="http://schemas.openxmlformats.org/officeDocument/2006/relationships" ax:classid="{5512D116-5CC6-11CF-8D67-00AA00BDCE1D}" ax:persistence="persistStream" r:id="rId1"/>
</file>

<file path=xl/activeX/activeX66.xml><?xml version="1.0" encoding="utf-8"?>
<ax:ocx xmlns:ax="http://schemas.microsoft.com/office/2006/activeX" xmlns:r="http://schemas.openxmlformats.org/officeDocument/2006/relationships" ax:classid="{5512D116-5CC6-11CF-8D67-00AA00BDCE1D}" ax:persistence="persistStream" r:id="rId1"/>
</file>

<file path=xl/activeX/activeX67.xml><?xml version="1.0" encoding="utf-8"?>
<ax:ocx xmlns:ax="http://schemas.microsoft.com/office/2006/activeX" xmlns:r="http://schemas.openxmlformats.org/officeDocument/2006/relationships" ax:classid="{5512D116-5CC6-11CF-8D67-00AA00BDCE1D}" ax:persistence="persistStream" r:id="rId1"/>
</file>

<file path=xl/activeX/activeX68.xml><?xml version="1.0" encoding="utf-8"?>
<ax:ocx xmlns:ax="http://schemas.microsoft.com/office/2006/activeX" xmlns:r="http://schemas.openxmlformats.org/officeDocument/2006/relationships" ax:classid="{5512D116-5CC6-11CF-8D67-00AA00BDCE1D}" ax:persistence="persistStream" r:id="rId1"/>
</file>

<file path=xl/activeX/activeX69.xml><?xml version="1.0" encoding="utf-8"?>
<ax:ocx xmlns:ax="http://schemas.microsoft.com/office/2006/activeX" xmlns:r="http://schemas.openxmlformats.org/officeDocument/2006/relationships" ax:classid="{5512D116-5CC6-11CF-8D67-00AA00BDCE1D}" ax:persistence="persistStream" r:id="rId1"/>
</file>

<file path=xl/activeX/activeX70.xml><?xml version="1.0" encoding="utf-8"?>
<ax:ocx xmlns:ax="http://schemas.microsoft.com/office/2006/activeX" xmlns:r="http://schemas.openxmlformats.org/officeDocument/2006/relationships" ax:classid="{5512D116-5CC6-11CF-8D67-00AA00BDCE1D}" ax:persistence="persistStream" r:id="rId1"/>
</file>

<file path=xl/activeX/activeX71.xml><?xml version="1.0" encoding="utf-8"?>
<ax:ocx xmlns:ax="http://schemas.microsoft.com/office/2006/activeX" xmlns:r="http://schemas.openxmlformats.org/officeDocument/2006/relationships" ax:classid="{5512D116-5CC6-11CF-8D67-00AA00BDCE1D}" ax:persistence="persistStream" r:id="rId1"/>
</file>

<file path=xl/activeX/activeX72.xml><?xml version="1.0" encoding="utf-8"?>
<ax:ocx xmlns:ax="http://schemas.microsoft.com/office/2006/activeX" xmlns:r="http://schemas.openxmlformats.org/officeDocument/2006/relationships" ax:classid="{5512D116-5CC6-11CF-8D67-00AA00BDCE1D}" ax:persistence="persistStream" r:id="rId1"/>
</file>

<file path=xl/activeX/activeX73.xml><?xml version="1.0" encoding="utf-8"?>
<ax:ocx xmlns:ax="http://schemas.microsoft.com/office/2006/activeX" xmlns:r="http://schemas.openxmlformats.org/officeDocument/2006/relationships" ax:classid="{5512D116-5CC6-11CF-8D67-00AA00BDCE1D}" ax:persistence="persistStream" r:id="rId1"/>
</file>

<file path=xl/activeX/activeX74.xml><?xml version="1.0" encoding="utf-8"?>
<ax:ocx xmlns:ax="http://schemas.microsoft.com/office/2006/activeX" xmlns:r="http://schemas.openxmlformats.org/officeDocument/2006/relationships" ax:classid="{5512D116-5CC6-11CF-8D67-00AA00BDCE1D}" ax:persistence="persistStream" r:id="rId1"/>
</file>

<file path=xl/activeX/activeX75.xml><?xml version="1.0" encoding="utf-8"?>
<ax:ocx xmlns:ax="http://schemas.microsoft.com/office/2006/activeX" xmlns:r="http://schemas.openxmlformats.org/officeDocument/2006/relationships" ax:classid="{5512D116-5CC6-11CF-8D67-00AA00BDCE1D}" ax:persistence="persistStream" r:id="rId1"/>
</file>

<file path=xl/activeX/activeX76.xml><?xml version="1.0" encoding="utf-8"?>
<ax:ocx xmlns:ax="http://schemas.microsoft.com/office/2006/activeX" xmlns:r="http://schemas.openxmlformats.org/officeDocument/2006/relationships" ax:classid="{5512D116-5CC6-11CF-8D67-00AA00BDCE1D}" ax:persistence="persistStream" r:id="rId1"/>
</file>

<file path=xl/activeX/activeX77.xml><?xml version="1.0" encoding="utf-8"?>
<ax:ocx xmlns:ax="http://schemas.microsoft.com/office/2006/activeX" xmlns:r="http://schemas.openxmlformats.org/officeDocument/2006/relationships" ax:classid="{5512D116-5CC6-11CF-8D67-00AA00BDCE1D}" ax:persistence="persistStream" r:id="rId1"/>
</file>

<file path=xl/activeX/activeX78.xml><?xml version="1.0" encoding="utf-8"?>
<ax:ocx xmlns:ax="http://schemas.microsoft.com/office/2006/activeX" xmlns:r="http://schemas.openxmlformats.org/officeDocument/2006/relationships" ax:classid="{5512D116-5CC6-11CF-8D67-00AA00BDCE1D}" ax:persistence="persistStream" r:id="rId1"/>
</file>

<file path=xl/activeX/activeX79.xml><?xml version="1.0" encoding="utf-8"?>
<ax:ocx xmlns:ax="http://schemas.microsoft.com/office/2006/activeX" xmlns:r="http://schemas.openxmlformats.org/officeDocument/2006/relationships" ax:classid="{5512D116-5CC6-11CF-8D67-00AA00BDCE1D}" ax:persistence="persistStream" r:id="rId1"/>
</file>

<file path=xl/activeX/activeX80.xml><?xml version="1.0" encoding="utf-8"?>
<ax:ocx xmlns:ax="http://schemas.microsoft.com/office/2006/activeX" xmlns:r="http://schemas.openxmlformats.org/officeDocument/2006/relationships" ax:classid="{5512D116-5CC6-11CF-8D67-00AA00BDCE1D}" ax:persistence="persistStream" r:id="rId1"/>
</file>

<file path=xl/activeX/activeX81.xml><?xml version="1.0" encoding="utf-8"?>
<ax:ocx xmlns:ax="http://schemas.microsoft.com/office/2006/activeX" xmlns:r="http://schemas.openxmlformats.org/officeDocument/2006/relationships" ax:classid="{5512D116-5CC6-11CF-8D67-00AA00BDCE1D}" ax:persistence="persistStream" r:id="rId1"/>
</file>

<file path=xl/activeX/activeX82.xml><?xml version="1.0" encoding="utf-8"?>
<ax:ocx xmlns:ax="http://schemas.microsoft.com/office/2006/activeX" xmlns:r="http://schemas.openxmlformats.org/officeDocument/2006/relationships" ax:classid="{5512D116-5CC6-11CF-8D67-00AA00BDCE1D}" ax:persistence="persistStream" r:id="rId1"/>
</file>

<file path=xl/activeX/activeX83.xml><?xml version="1.0" encoding="utf-8"?>
<ax:ocx xmlns:ax="http://schemas.microsoft.com/office/2006/activeX" xmlns:r="http://schemas.openxmlformats.org/officeDocument/2006/relationships" ax:classid="{5512D116-5CC6-11CF-8D67-00AA00BDCE1D}" ax:persistence="persistStream" r:id="rId1"/>
</file>

<file path=xl/activeX/activeX84.xml><?xml version="1.0" encoding="utf-8"?>
<ax:ocx xmlns:ax="http://schemas.microsoft.com/office/2006/activeX" xmlns:r="http://schemas.openxmlformats.org/officeDocument/2006/relationships" ax:classid="{5512D116-5CC6-11CF-8D67-00AA00BDCE1D}" ax:persistence="persistStream" r:id="rId1"/>
</file>

<file path=xl/activeX/activeX85.xml><?xml version="1.0" encoding="utf-8"?>
<ax:ocx xmlns:ax="http://schemas.microsoft.com/office/2006/activeX" xmlns:r="http://schemas.openxmlformats.org/officeDocument/2006/relationships" ax:classid="{5512D116-5CC6-11CF-8D67-00AA00BDCE1D}" ax:persistence="persistStream" r:id="rId1"/>
</file>

<file path=xl/activeX/activeX86.xml><?xml version="1.0" encoding="utf-8"?>
<ax:ocx xmlns:ax="http://schemas.microsoft.com/office/2006/activeX" xmlns:r="http://schemas.openxmlformats.org/officeDocument/2006/relationships" ax:classid="{5512D116-5CC6-11CF-8D67-00AA00BDCE1D}" ax:persistence="persistStream" r:id="rId1"/>
</file>

<file path=xl/activeX/activeX87.xml><?xml version="1.0" encoding="utf-8"?>
<ax:ocx xmlns:ax="http://schemas.microsoft.com/office/2006/activeX" xmlns:r="http://schemas.openxmlformats.org/officeDocument/2006/relationships" ax:classid="{5512D116-5CC6-11CF-8D67-00AA00BDCE1D}" ax:persistence="persistStream" r:id="rId1"/>
</file>

<file path=xl/activeX/activeX88.xml><?xml version="1.0" encoding="utf-8"?>
<ax:ocx xmlns:ax="http://schemas.microsoft.com/office/2006/activeX" xmlns:r="http://schemas.openxmlformats.org/officeDocument/2006/relationships" ax:classid="{5512D116-5CC6-11CF-8D67-00AA00BDCE1D}" ax:persistence="persistStream" r:id="rId1"/>
</file>

<file path=xl/activeX/activeX89.xml><?xml version="1.0" encoding="utf-8"?>
<ax:ocx xmlns:ax="http://schemas.microsoft.com/office/2006/activeX" xmlns:r="http://schemas.openxmlformats.org/officeDocument/2006/relationships" ax:classid="{5512D116-5CC6-11CF-8D67-00AA00BDCE1D}" ax:persistence="persistStream" r:id="rId1"/>
</file>

<file path=xl/activeX/activeX90.xml><?xml version="1.0" encoding="utf-8"?>
<ax:ocx xmlns:ax="http://schemas.microsoft.com/office/2006/activeX" xmlns:r="http://schemas.openxmlformats.org/officeDocument/2006/relationships" ax:classid="{5512D116-5CC6-11CF-8D67-00AA00BDCE1D}" ax:persistence="persistStream" r:id="rId1"/>
</file>

<file path=xl/activeX/activeX91.xml><?xml version="1.0" encoding="utf-8"?>
<ax:ocx xmlns:ax="http://schemas.microsoft.com/office/2006/activeX" xmlns:r="http://schemas.openxmlformats.org/officeDocument/2006/relationships" ax:classid="{5512D116-5CC6-11CF-8D67-00AA00BDCE1D}" ax:persistence="persistStream" r:id="rId1"/>
</file>

<file path=xl/activeX/activeX92.xml><?xml version="1.0" encoding="utf-8"?>
<ax:ocx xmlns:ax="http://schemas.microsoft.com/office/2006/activeX" xmlns:r="http://schemas.openxmlformats.org/officeDocument/2006/relationships" ax:classid="{5512D116-5CC6-11CF-8D67-00AA00BDCE1D}" ax:persistence="persistStream" r:id="rId1"/>
</file>

<file path=xl/activeX/activeX93.xml><?xml version="1.0" encoding="utf-8"?>
<ax:ocx xmlns:ax="http://schemas.microsoft.com/office/2006/activeX" xmlns:r="http://schemas.openxmlformats.org/officeDocument/2006/relationships" ax:classid="{5512D116-5CC6-11CF-8D67-00AA00BDCE1D}" ax:persistence="persistStream" r:id="rId1"/>
</file>

<file path=xl/activeX/activeX94.xml><?xml version="1.0" encoding="utf-8"?>
<ax:ocx xmlns:ax="http://schemas.microsoft.com/office/2006/activeX" xmlns:r="http://schemas.openxmlformats.org/officeDocument/2006/relationships" ax:classid="{5512D116-5CC6-11CF-8D67-00AA00BDCE1D}" ax:persistence="persistStream" r:id="rId1"/>
</file>

<file path=xl/activeX/activeX95.xml><?xml version="1.0" encoding="utf-8"?>
<ax:ocx xmlns:ax="http://schemas.microsoft.com/office/2006/activeX" xmlns:r="http://schemas.openxmlformats.org/officeDocument/2006/relationships" ax:classid="{5512D116-5CC6-11CF-8D67-00AA00BDCE1D}" ax:persistence="persistStream" r:id="rId1"/>
</file>

<file path=xl/activeX/activeX96.xml><?xml version="1.0" encoding="utf-8"?>
<ax:ocx xmlns:ax="http://schemas.microsoft.com/office/2006/activeX" xmlns:r="http://schemas.openxmlformats.org/officeDocument/2006/relationships" ax:classid="{5512D116-5CC6-11CF-8D67-00AA00BDCE1D}" ax:persistence="persistStream" r:id="rId1"/>
</file>

<file path=xl/activeX/activeX97.xml><?xml version="1.0" encoding="utf-8"?>
<ax:ocx xmlns:ax="http://schemas.microsoft.com/office/2006/activeX" xmlns:r="http://schemas.openxmlformats.org/officeDocument/2006/relationships" ax:classid="{5512D116-5CC6-11CF-8D67-00AA00BDCE1D}" ax:persistence="persistStream" r:id="rId1"/>
</file>

<file path=xl/activeX/activeX98.xml><?xml version="1.0" encoding="utf-8"?>
<ax:ocx xmlns:ax="http://schemas.microsoft.com/office/2006/activeX" xmlns:r="http://schemas.openxmlformats.org/officeDocument/2006/relationships" ax:classid="{5512D116-5CC6-11CF-8D67-00AA00BDCE1D}" ax:persistence="persistStream" r:id="rId1"/>
</file>

<file path=xl/activeX/activeX99.xml><?xml version="1.0" encoding="utf-8"?>
<ax:ocx xmlns:ax="http://schemas.microsoft.com/office/2006/activeX" xmlns:r="http://schemas.openxmlformats.org/officeDocument/2006/relationships" ax:classid="{5512D116-5CC6-11CF-8D67-00AA00BDCE1D}" ax:persistence="persistStream" r:id="rId1"/>
</file>

<file path=xl/activeX/activeX100.xml><?xml version="1.0" encoding="utf-8"?>
<ax:ocx xmlns:ax="http://schemas.microsoft.com/office/2006/activeX" xmlns:r="http://schemas.openxmlformats.org/officeDocument/2006/relationships" ax:classid="{5512D116-5CC6-11CF-8D67-00AA00BDCE1D}" ax:persistence="persistStream" r:id="rId1"/>
</file>

<file path=xl/activeX/activeX101.xml><?xml version="1.0" encoding="utf-8"?>
<ax:ocx xmlns:ax="http://schemas.microsoft.com/office/2006/activeX" xmlns:r="http://schemas.openxmlformats.org/officeDocument/2006/relationships" ax:classid="{5512D116-5CC6-11CF-8D67-00AA00BDCE1D}" ax:persistence="persistStream" r:id="rId1"/>
</file>

<file path=xl/activeX/activeX102.xml><?xml version="1.0" encoding="utf-8"?>
<ax:ocx xmlns:ax="http://schemas.microsoft.com/office/2006/activeX" xmlns:r="http://schemas.openxmlformats.org/officeDocument/2006/relationships" ax:classid="{5512D116-5CC6-11CF-8D67-00AA00BDCE1D}" ax:persistence="persistStream" r:id="rId1"/>
</file>

<file path=xl/activeX/activeX103.xml><?xml version="1.0" encoding="utf-8"?>
<ax:ocx xmlns:ax="http://schemas.microsoft.com/office/2006/activeX" xmlns:r="http://schemas.openxmlformats.org/officeDocument/2006/relationships" ax:classid="{5512D116-5CC6-11CF-8D67-00AA00BDCE1D}" ax:persistence="persistStream" r:id="rId1"/>
</file>

<file path=xl/activeX/activeX104.xml><?xml version="1.0" encoding="utf-8"?>
<ax:ocx xmlns:ax="http://schemas.microsoft.com/office/2006/activeX" xmlns:r="http://schemas.openxmlformats.org/officeDocument/2006/relationships" ax:classid="{5512D116-5CC6-11CF-8D67-00AA00BDCE1D}" ax:persistence="persistStream" r:id="rId1"/>
</file>

<file path=xl/activeX/activeX105.xml><?xml version="1.0" encoding="utf-8"?>
<ax:ocx xmlns:ax="http://schemas.microsoft.com/office/2006/activeX" xmlns:r="http://schemas.openxmlformats.org/officeDocument/2006/relationships" ax:classid="{5512D116-5CC6-11CF-8D67-00AA00BDCE1D}" ax:persistence="persistStream" r:id="rId1"/>
</file>

<file path=xl/activeX/activeX106.xml><?xml version="1.0" encoding="utf-8"?>
<ax:ocx xmlns:ax="http://schemas.microsoft.com/office/2006/activeX" xmlns:r="http://schemas.openxmlformats.org/officeDocument/2006/relationships" ax:classid="{5512D116-5CC6-11CF-8D67-00AA00BDCE1D}" ax:persistence="persistStream" r:id="rId1"/>
</file>

<file path=xl/activeX/activeX107.xml><?xml version="1.0" encoding="utf-8"?>
<ax:ocx xmlns:ax="http://schemas.microsoft.com/office/2006/activeX" xmlns:r="http://schemas.openxmlformats.org/officeDocument/2006/relationships" ax:classid="{5512D116-5CC6-11CF-8D67-00AA00BDCE1D}" ax:persistence="persistStream" r:id="rId1"/>
</file>

<file path=xl/activeX/activeX108.xml><?xml version="1.0" encoding="utf-8"?>
<ax:ocx xmlns:ax="http://schemas.microsoft.com/office/2006/activeX" xmlns:r="http://schemas.openxmlformats.org/officeDocument/2006/relationships" ax:classid="{5512D116-5CC6-11CF-8D67-00AA00BDCE1D}" ax:persistence="persistStream" r:id="rId1"/>
</file>

<file path=xl/activeX/activeX109.xml><?xml version="1.0" encoding="utf-8"?>
<ax:ocx xmlns:ax="http://schemas.microsoft.com/office/2006/activeX" xmlns:r="http://schemas.openxmlformats.org/officeDocument/2006/relationships" ax:classid="{5512D116-5CC6-11CF-8D67-00AA00BDCE1D}" ax:persistence="persistStream" r:id="rId1"/>
</file>

<file path=xl/activeX/activeX110.xml><?xml version="1.0" encoding="utf-8"?>
<ax:ocx xmlns:ax="http://schemas.microsoft.com/office/2006/activeX" xmlns:r="http://schemas.openxmlformats.org/officeDocument/2006/relationships" ax:classid="{5512D116-5CC6-11CF-8D67-00AA00BDCE1D}" ax:persistence="persistStream" r:id="rId1"/>
</file>

<file path=xl/activeX/activeX111.xml><?xml version="1.0" encoding="utf-8"?>
<ax:ocx xmlns:ax="http://schemas.microsoft.com/office/2006/activeX" xmlns:r="http://schemas.openxmlformats.org/officeDocument/2006/relationships" ax:classid="{5512D116-5CC6-11CF-8D67-00AA00BDCE1D}" ax:persistence="persistStream" r:id="rId1"/>
</file>

<file path=xl/activeX/activeX112.xml><?xml version="1.0" encoding="utf-8"?>
<ax:ocx xmlns:ax="http://schemas.microsoft.com/office/2006/activeX" xmlns:r="http://schemas.openxmlformats.org/officeDocument/2006/relationships" ax:classid="{5512D116-5CC6-11CF-8D67-00AA00BDCE1D}" ax:persistence="persistStream" r:id="rId1"/>
</file>

<file path=xl/activeX/activeX113.xml><?xml version="1.0" encoding="utf-8"?>
<ax:ocx xmlns:ax="http://schemas.microsoft.com/office/2006/activeX" xmlns:r="http://schemas.openxmlformats.org/officeDocument/2006/relationships" ax:classid="{5512D116-5CC6-11CF-8D67-00AA00BDCE1D}" ax:persistence="persistStream" r:id="rId1"/>
</file>

<file path=xl/activeX/activeX114.xml><?xml version="1.0" encoding="utf-8"?>
<ax:ocx xmlns:ax="http://schemas.microsoft.com/office/2006/activeX" xmlns:r="http://schemas.openxmlformats.org/officeDocument/2006/relationships" ax:classid="{5512D116-5CC6-11CF-8D67-00AA00BDCE1D}" ax:persistence="persistStream" r:id="rId1"/>
</file>

<file path=xl/activeX/activeX115.xml><?xml version="1.0" encoding="utf-8"?>
<ax:ocx xmlns:ax="http://schemas.microsoft.com/office/2006/activeX" xmlns:r="http://schemas.openxmlformats.org/officeDocument/2006/relationships" ax:classid="{5512D116-5CC6-11CF-8D67-00AA00BDCE1D}" ax:persistence="persistStream" r:id="rId1"/>
</file>

<file path=xl/activeX/activeX116.xml><?xml version="1.0" encoding="utf-8"?>
<ax:ocx xmlns:ax="http://schemas.microsoft.com/office/2006/activeX" xmlns:r="http://schemas.openxmlformats.org/officeDocument/2006/relationships" ax:classid="{5512D116-5CC6-11CF-8D67-00AA00BDCE1D}" ax:persistence="persistStream" r:id="rId1"/>
</file>

<file path=xl/activeX/activeX117.xml><?xml version="1.0" encoding="utf-8"?>
<ax:ocx xmlns:ax="http://schemas.microsoft.com/office/2006/activeX" xmlns:r="http://schemas.openxmlformats.org/officeDocument/2006/relationships" ax:classid="{5512D116-5CC6-11CF-8D67-00AA00BDCE1D}" ax:persistence="persistStream" r:id="rId1"/>
</file>

<file path=xl/activeX/activeX118.xml><?xml version="1.0" encoding="utf-8"?>
<ax:ocx xmlns:ax="http://schemas.microsoft.com/office/2006/activeX" xmlns:r="http://schemas.openxmlformats.org/officeDocument/2006/relationships" ax:classid="{5512D116-5CC6-11CF-8D67-00AA00BDCE1D}" ax:persistence="persistStream" r:id="rId1"/>
</file>

<file path=xl/activeX/activeX119.xml><?xml version="1.0" encoding="utf-8"?>
<ax:ocx xmlns:ax="http://schemas.microsoft.com/office/2006/activeX" xmlns:r="http://schemas.openxmlformats.org/officeDocument/2006/relationships" ax:classid="{5512D116-5CC6-11CF-8D67-00AA00BDCE1D}" ax:persistence="persistStream" r:id="rId1"/>
</file>

<file path=xl/activeX/activeX120.xml><?xml version="1.0" encoding="utf-8"?>
<ax:ocx xmlns:ax="http://schemas.microsoft.com/office/2006/activeX" xmlns:r="http://schemas.openxmlformats.org/officeDocument/2006/relationships" ax:classid="{5512D116-5CC6-11CF-8D67-00AA00BDCE1D}" ax:persistence="persistStream" r:id="rId1"/>
</file>

<file path=xl/activeX/activeX121.xml><?xml version="1.0" encoding="utf-8"?>
<ax:ocx xmlns:ax="http://schemas.microsoft.com/office/2006/activeX" xmlns:r="http://schemas.openxmlformats.org/officeDocument/2006/relationships" ax:classid="{5512D116-5CC6-11CF-8D67-00AA00BDCE1D}" ax:persistence="persistStream" r:id="rId1"/>
</file>

<file path=xl/activeX/activeX122.xml><?xml version="1.0" encoding="utf-8"?>
<ax:ocx xmlns:ax="http://schemas.microsoft.com/office/2006/activeX" xmlns:r="http://schemas.openxmlformats.org/officeDocument/2006/relationships" ax:classid="{5512D116-5CC6-11CF-8D67-00AA00BDCE1D}" ax:persistence="persistStream" r:id="rId1"/>
</file>

<file path=xl/activeX/activeX123.xml><?xml version="1.0" encoding="utf-8"?>
<ax:ocx xmlns:ax="http://schemas.microsoft.com/office/2006/activeX" xmlns:r="http://schemas.openxmlformats.org/officeDocument/2006/relationships" ax:classid="{5512D116-5CC6-11CF-8D67-00AA00BDCE1D}" ax:persistence="persistStream" r:id="rId1"/>
</file>

<file path=xl/activeX/activeX124.xml><?xml version="1.0" encoding="utf-8"?>
<ax:ocx xmlns:ax="http://schemas.microsoft.com/office/2006/activeX" xmlns:r="http://schemas.openxmlformats.org/officeDocument/2006/relationships" ax:classid="{5512D116-5CC6-11CF-8D67-00AA00BDCE1D}" ax:persistence="persistStream" r:id="rId1"/>
</file>

<file path=xl/activeX/activeX125.xml><?xml version="1.0" encoding="utf-8"?>
<ax:ocx xmlns:ax="http://schemas.microsoft.com/office/2006/activeX" xmlns:r="http://schemas.openxmlformats.org/officeDocument/2006/relationships" ax:classid="{5512D116-5CC6-11CF-8D67-00AA00BDCE1D}" ax:persistence="persistStream" r:id="rId1"/>
</file>

<file path=xl/activeX/activeX126.xml><?xml version="1.0" encoding="utf-8"?>
<ax:ocx xmlns:ax="http://schemas.microsoft.com/office/2006/activeX" xmlns:r="http://schemas.openxmlformats.org/officeDocument/2006/relationships" ax:classid="{5512D116-5CC6-11CF-8D67-00AA00BDCE1D}" ax:persistence="persistStream" r:id="rId1"/>
</file>

<file path=xl/activeX/activeX127.xml><?xml version="1.0" encoding="utf-8"?>
<ax:ocx xmlns:ax="http://schemas.microsoft.com/office/2006/activeX" xmlns:r="http://schemas.openxmlformats.org/officeDocument/2006/relationships" ax:classid="{5512D116-5CC6-11CF-8D67-00AA00BDCE1D}" ax:persistence="persistStream" r:id="rId1"/>
</file>

<file path=xl/activeX/activeX128.xml><?xml version="1.0" encoding="utf-8"?>
<ax:ocx xmlns:ax="http://schemas.microsoft.com/office/2006/activeX" xmlns:r="http://schemas.openxmlformats.org/officeDocument/2006/relationships" ax:classid="{5512D116-5CC6-11CF-8D67-00AA00BDCE1D}" ax:persistence="persistStream" r:id="rId1"/>
</file>

<file path=xl/activeX/activeX129.xml><?xml version="1.0" encoding="utf-8"?>
<ax:ocx xmlns:ax="http://schemas.microsoft.com/office/2006/activeX" xmlns:r="http://schemas.openxmlformats.org/officeDocument/2006/relationships" ax:classid="{5512D116-5CC6-11CF-8D67-00AA00BDCE1D}" ax:persistence="persistStream" r:id="rId1"/>
</file>

<file path=xl/activeX/activeX130.xml><?xml version="1.0" encoding="utf-8"?>
<ax:ocx xmlns:ax="http://schemas.microsoft.com/office/2006/activeX" xmlns:r="http://schemas.openxmlformats.org/officeDocument/2006/relationships" ax:classid="{5512D116-5CC6-11CF-8D67-00AA00BDCE1D}" ax:persistence="persistStream" r:id="rId1"/>
</file>

<file path=xl/activeX/activeX131.xml><?xml version="1.0" encoding="utf-8"?>
<ax:ocx xmlns:ax="http://schemas.microsoft.com/office/2006/activeX" xmlns:r="http://schemas.openxmlformats.org/officeDocument/2006/relationships" ax:classid="{5512D116-5CC6-11CF-8D67-00AA00BDCE1D}" ax:persistence="persistStream" r:id="rId1"/>
</file>

<file path=xl/activeX/activeX132.xml><?xml version="1.0" encoding="utf-8"?>
<ax:ocx xmlns:ax="http://schemas.microsoft.com/office/2006/activeX" xmlns:r="http://schemas.openxmlformats.org/officeDocument/2006/relationships" ax:classid="{5512D116-5CC6-11CF-8D67-00AA00BDCE1D}" ax:persistence="persistStream" r:id="rId1"/>
</file>

<file path=xl/activeX/activeX133.xml><?xml version="1.0" encoding="utf-8"?>
<ax:ocx xmlns:ax="http://schemas.microsoft.com/office/2006/activeX" xmlns:r="http://schemas.openxmlformats.org/officeDocument/2006/relationships" ax:classid="{5512D116-5CC6-11CF-8D67-00AA00BDCE1D}" ax:persistence="persistStream" r:id="rId1"/>
</file>

<file path=xl/activeX/activeX134.xml><?xml version="1.0" encoding="utf-8"?>
<ax:ocx xmlns:ax="http://schemas.microsoft.com/office/2006/activeX" xmlns:r="http://schemas.openxmlformats.org/officeDocument/2006/relationships" ax:classid="{5512D116-5CC6-11CF-8D67-00AA00BDCE1D}" ax:persistence="persistStream" r:id="rId1"/>
</file>

<file path=xl/activeX/activeX135.xml><?xml version="1.0" encoding="utf-8"?>
<ax:ocx xmlns:ax="http://schemas.microsoft.com/office/2006/activeX" xmlns:r="http://schemas.openxmlformats.org/officeDocument/2006/relationships" ax:classid="{5512D116-5CC6-11CF-8D67-00AA00BDCE1D}" ax:persistence="persistStream" r:id="rId1"/>
</file>

<file path=xl/activeX/activeX136.xml><?xml version="1.0" encoding="utf-8"?>
<ax:ocx xmlns:ax="http://schemas.microsoft.com/office/2006/activeX" xmlns:r="http://schemas.openxmlformats.org/officeDocument/2006/relationships" ax:classid="{5512D116-5CC6-11CF-8D67-00AA00BDCE1D}" ax:persistence="persistStream" r:id="rId1"/>
</file>

<file path=xl/activeX/activeX137.xml><?xml version="1.0" encoding="utf-8"?>
<ax:ocx xmlns:ax="http://schemas.microsoft.com/office/2006/activeX" xmlns:r="http://schemas.openxmlformats.org/officeDocument/2006/relationships" ax:classid="{5512D116-5CC6-11CF-8D67-00AA00BDCE1D}" ax:persistence="persistStream" r:id="rId1"/>
</file>

<file path=xl/activeX/activeX138.xml><?xml version="1.0" encoding="utf-8"?>
<ax:ocx xmlns:ax="http://schemas.microsoft.com/office/2006/activeX" xmlns:r="http://schemas.openxmlformats.org/officeDocument/2006/relationships" ax:classid="{5512D116-5CC6-11CF-8D67-00AA00BDCE1D}" ax:persistence="persistStream" r:id="rId1"/>
</file>

<file path=xl/activeX/activeX139.xml><?xml version="1.0" encoding="utf-8"?>
<ax:ocx xmlns:ax="http://schemas.microsoft.com/office/2006/activeX" xmlns:r="http://schemas.openxmlformats.org/officeDocument/2006/relationships" ax:classid="{5512D116-5CC6-11CF-8D67-00AA00BDCE1D}" ax:persistence="persistStream" r:id="rId1"/>
</file>

<file path=xl/activeX/activeX140.xml><?xml version="1.0" encoding="utf-8"?>
<ax:ocx xmlns:ax="http://schemas.microsoft.com/office/2006/activeX" xmlns:r="http://schemas.openxmlformats.org/officeDocument/2006/relationships" ax:classid="{5512D116-5CC6-11CF-8D67-00AA00BDCE1D}" ax:persistence="persistStream" r:id="rId1"/>
</file>

<file path=xl/activeX/activeX141.xml><?xml version="1.0" encoding="utf-8"?>
<ax:ocx xmlns:ax="http://schemas.microsoft.com/office/2006/activeX" xmlns:r="http://schemas.openxmlformats.org/officeDocument/2006/relationships" ax:classid="{5512D116-5CC6-11CF-8D67-00AA00BDCE1D}" ax:persistence="persistStream" r:id="rId1"/>
</file>

<file path=xl/activeX/activeX142.xml><?xml version="1.0" encoding="utf-8"?>
<ax:ocx xmlns:ax="http://schemas.microsoft.com/office/2006/activeX" xmlns:r="http://schemas.openxmlformats.org/officeDocument/2006/relationships" ax:classid="{5512D116-5CC6-11CF-8D67-00AA00BDCE1D}" ax:persistence="persistStream" r:id="rId1"/>
</file>

<file path=xl/activeX/activeX143.xml><?xml version="1.0" encoding="utf-8"?>
<ax:ocx xmlns:ax="http://schemas.microsoft.com/office/2006/activeX" xmlns:r="http://schemas.openxmlformats.org/officeDocument/2006/relationships" ax:classid="{5512D116-5CC6-11CF-8D67-00AA00BDCE1D}" ax:persistence="persistStream" r:id="rId1"/>
</file>

<file path=xl/activeX/activeX144.xml><?xml version="1.0" encoding="utf-8"?>
<ax:ocx xmlns:ax="http://schemas.microsoft.com/office/2006/activeX" xmlns:r="http://schemas.openxmlformats.org/officeDocument/2006/relationships" ax:classid="{5512D116-5CC6-11CF-8D67-00AA00BDCE1D}" ax:persistence="persistStream" r:id="rId1"/>
</file>

<file path=xl/activeX/activeX145.xml><?xml version="1.0" encoding="utf-8"?>
<ax:ocx xmlns:ax="http://schemas.microsoft.com/office/2006/activeX" xmlns:r="http://schemas.openxmlformats.org/officeDocument/2006/relationships" ax:classid="{5512D116-5CC6-11CF-8D67-00AA00BDCE1D}" ax:persistence="persistStream" r:id="rId1"/>
</file>

<file path=xl/activeX/activeX146.xml><?xml version="1.0" encoding="utf-8"?>
<ax:ocx xmlns:ax="http://schemas.microsoft.com/office/2006/activeX" xmlns:r="http://schemas.openxmlformats.org/officeDocument/2006/relationships" ax:classid="{5512D116-5CC6-11CF-8D67-00AA00BDCE1D}" ax:persistence="persistStream" r:id="rId1"/>
</file>

<file path=xl/activeX/activeX147.xml><?xml version="1.0" encoding="utf-8"?>
<ax:ocx xmlns:ax="http://schemas.microsoft.com/office/2006/activeX" xmlns:r="http://schemas.openxmlformats.org/officeDocument/2006/relationships" ax:classid="{5512D116-5CC6-11CF-8D67-00AA00BDCE1D}" ax:persistence="persistStream" r:id="rId1"/>
</file>

<file path=xl/activeX/activeX148.xml><?xml version="1.0" encoding="utf-8"?>
<ax:ocx xmlns:ax="http://schemas.microsoft.com/office/2006/activeX" xmlns:r="http://schemas.openxmlformats.org/officeDocument/2006/relationships" ax:classid="{5512D116-5CC6-11CF-8D67-00AA00BDCE1D}" ax:persistence="persistStream" r:id="rId1"/>
</file>

<file path=xl/activeX/activeX149.xml><?xml version="1.0" encoding="utf-8"?>
<ax:ocx xmlns:ax="http://schemas.microsoft.com/office/2006/activeX" xmlns:r="http://schemas.openxmlformats.org/officeDocument/2006/relationships" ax:classid="{5512D116-5CC6-11CF-8D67-00AA00BDCE1D}" ax:persistence="persistStream" r:id="rId1"/>
</file>

<file path=xl/activeX/activeX150.xml><?xml version="1.0" encoding="utf-8"?>
<ax:ocx xmlns:ax="http://schemas.microsoft.com/office/2006/activeX" xmlns:r="http://schemas.openxmlformats.org/officeDocument/2006/relationships" ax:classid="{5512D116-5CC6-11CF-8D67-00AA00BDCE1D}" ax:persistence="persistStream" r:id="rId1"/>
</file>

<file path=xl/activeX/activeX151.xml><?xml version="1.0" encoding="utf-8"?>
<ax:ocx xmlns:ax="http://schemas.microsoft.com/office/2006/activeX" xmlns:r="http://schemas.openxmlformats.org/officeDocument/2006/relationships" ax:classid="{5512D116-5CC6-11CF-8D67-00AA00BDCE1D}" ax:persistence="persistStream" r:id="rId1"/>
</file>

<file path=xl/activeX/activeX152.xml><?xml version="1.0" encoding="utf-8"?>
<ax:ocx xmlns:ax="http://schemas.microsoft.com/office/2006/activeX" xmlns:r="http://schemas.openxmlformats.org/officeDocument/2006/relationships" ax:classid="{5512D116-5CC6-11CF-8D67-00AA00BDCE1D}" ax:persistence="persistStream" r:id="rId1"/>
</file>

<file path=xl/activeX/activeX153.xml><?xml version="1.0" encoding="utf-8"?>
<ax:ocx xmlns:ax="http://schemas.microsoft.com/office/2006/activeX" xmlns:r="http://schemas.openxmlformats.org/officeDocument/2006/relationships" ax:classid="{5512D116-5CC6-11CF-8D67-00AA00BDCE1D}" ax:persistence="persistStream" r:id="rId1"/>
</file>

<file path=xl/activeX/activeX154.xml><?xml version="1.0" encoding="utf-8"?>
<ax:ocx xmlns:ax="http://schemas.microsoft.com/office/2006/activeX" xmlns:r="http://schemas.openxmlformats.org/officeDocument/2006/relationships" ax:classid="{5512D116-5CC6-11CF-8D67-00AA00BDCE1D}" ax:persistence="persistStream" r:id="rId1"/>
</file>

<file path=xl/activeX/activeX155.xml><?xml version="1.0" encoding="utf-8"?>
<ax:ocx xmlns:ax="http://schemas.microsoft.com/office/2006/activeX" xmlns:r="http://schemas.openxmlformats.org/officeDocument/2006/relationships" ax:classid="{5512D116-5CC6-11CF-8D67-00AA00BDCE1D}" ax:persistence="persistStream" r:id="rId1"/>
</file>

<file path=xl/activeX/activeX156.xml><?xml version="1.0" encoding="utf-8"?>
<ax:ocx xmlns:ax="http://schemas.microsoft.com/office/2006/activeX" xmlns:r="http://schemas.openxmlformats.org/officeDocument/2006/relationships" ax:classid="{5512D116-5CC6-11CF-8D67-00AA00BDCE1D}" ax:persistence="persistStream" r:id="rId1"/>
</file>

<file path=xl/activeX/activeX157.xml><?xml version="1.0" encoding="utf-8"?>
<ax:ocx xmlns:ax="http://schemas.microsoft.com/office/2006/activeX" xmlns:r="http://schemas.openxmlformats.org/officeDocument/2006/relationships" ax:classid="{5512D116-5CC6-11CF-8D67-00AA00BDCE1D}" ax:persistence="persistStream" r:id="rId1"/>
</file>

<file path=xl/activeX/activeX158.xml><?xml version="1.0" encoding="utf-8"?>
<ax:ocx xmlns:ax="http://schemas.microsoft.com/office/2006/activeX" xmlns:r="http://schemas.openxmlformats.org/officeDocument/2006/relationships" ax:classid="{5512D116-5CC6-11CF-8D67-00AA00BDCE1D}" ax:persistence="persistStream" r:id="rId1"/>
</file>

<file path=xl/activeX/activeX159.xml><?xml version="1.0" encoding="utf-8"?>
<ax:ocx xmlns:ax="http://schemas.microsoft.com/office/2006/activeX" xmlns:r="http://schemas.openxmlformats.org/officeDocument/2006/relationships" ax:classid="{5512D116-5CC6-11CF-8D67-00AA00BDCE1D}" ax:persistence="persistStream" r:id="rId1"/>
</file>

<file path=xl/activeX/activeX160.xml><?xml version="1.0" encoding="utf-8"?>
<ax:ocx xmlns:ax="http://schemas.microsoft.com/office/2006/activeX" xmlns:r="http://schemas.openxmlformats.org/officeDocument/2006/relationships" ax:classid="{5512D116-5CC6-11CF-8D67-00AA00BDCE1D}" ax:persistence="persistStream" r:id="rId1"/>
</file>

<file path=xl/activeX/activeX161.xml><?xml version="1.0" encoding="utf-8"?>
<ax:ocx xmlns:ax="http://schemas.microsoft.com/office/2006/activeX" xmlns:r="http://schemas.openxmlformats.org/officeDocument/2006/relationships" ax:classid="{5512D116-5CC6-11CF-8D67-00AA00BDCE1D}" ax:persistence="persistStream" r:id="rId1"/>
</file>

<file path=xl/activeX/activeX162.xml><?xml version="1.0" encoding="utf-8"?>
<ax:ocx xmlns:ax="http://schemas.microsoft.com/office/2006/activeX" xmlns:r="http://schemas.openxmlformats.org/officeDocument/2006/relationships" ax:classid="{5512D116-5CC6-11CF-8D67-00AA00BDCE1D}" ax:persistence="persistStream" r:id="rId1"/>
</file>

<file path=xl/activeX/activeX163.xml><?xml version="1.0" encoding="utf-8"?>
<ax:ocx xmlns:ax="http://schemas.microsoft.com/office/2006/activeX" xmlns:r="http://schemas.openxmlformats.org/officeDocument/2006/relationships" ax:classid="{5512D116-5CC6-11CF-8D67-00AA00BDCE1D}" ax:persistence="persistStream" r:id="rId1"/>
</file>

<file path=xl/activeX/activeX164.xml><?xml version="1.0" encoding="utf-8"?>
<ax:ocx xmlns:ax="http://schemas.microsoft.com/office/2006/activeX" xmlns:r="http://schemas.openxmlformats.org/officeDocument/2006/relationships" ax:classid="{5512D116-5CC6-11CF-8D67-00AA00BDCE1D}" ax:persistence="persistStream" r:id="rId1"/>
</file>

<file path=xl/activeX/activeX165.xml><?xml version="1.0" encoding="utf-8"?>
<ax:ocx xmlns:ax="http://schemas.microsoft.com/office/2006/activeX" xmlns:r="http://schemas.openxmlformats.org/officeDocument/2006/relationships" ax:classid="{5512D116-5CC6-11CF-8D67-00AA00BDCE1D}" ax:persistence="persistStream" r:id="rId1"/>
</file>

<file path=xl/activeX/activeX166.xml><?xml version="1.0" encoding="utf-8"?>
<ax:ocx xmlns:ax="http://schemas.microsoft.com/office/2006/activeX" xmlns:r="http://schemas.openxmlformats.org/officeDocument/2006/relationships" ax:classid="{5512D116-5CC6-11CF-8D67-00AA00BDCE1D}" ax:persistence="persistStream" r:id="rId1"/>
</file>

<file path=xl/activeX/activeX167.xml><?xml version="1.0" encoding="utf-8"?>
<ax:ocx xmlns:ax="http://schemas.microsoft.com/office/2006/activeX" xmlns:r="http://schemas.openxmlformats.org/officeDocument/2006/relationships" ax:classid="{5512D116-5CC6-11CF-8D67-00AA00BDCE1D}" ax:persistence="persistStream" r:id="rId1"/>
</file>

<file path=xl/activeX/activeX168.xml><?xml version="1.0" encoding="utf-8"?>
<ax:ocx xmlns:ax="http://schemas.microsoft.com/office/2006/activeX" xmlns:r="http://schemas.openxmlformats.org/officeDocument/2006/relationships" ax:classid="{5512D116-5CC6-11CF-8D67-00AA00BDCE1D}" ax:persistence="persistStream" r:id="rId1"/>
</file>

<file path=xl/activeX/activeX169.xml><?xml version="1.0" encoding="utf-8"?>
<ax:ocx xmlns:ax="http://schemas.microsoft.com/office/2006/activeX" xmlns:r="http://schemas.openxmlformats.org/officeDocument/2006/relationships" ax:classid="{5512D116-5CC6-11CF-8D67-00AA00BDCE1D}" ax:persistence="persistStream" r:id="rId1"/>
</file>

<file path=xl/activeX/activeX170.xml><?xml version="1.0" encoding="utf-8"?>
<ax:ocx xmlns:ax="http://schemas.microsoft.com/office/2006/activeX" xmlns:r="http://schemas.openxmlformats.org/officeDocument/2006/relationships" ax:classid="{5512D116-5CC6-11CF-8D67-00AA00BDCE1D}" ax:persistence="persistStream" r:id="rId1"/>
</file>

<file path=xl/activeX/activeX171.xml><?xml version="1.0" encoding="utf-8"?>
<ax:ocx xmlns:ax="http://schemas.microsoft.com/office/2006/activeX" xmlns:r="http://schemas.openxmlformats.org/officeDocument/2006/relationships" ax:classid="{5512D116-5CC6-11CF-8D67-00AA00BDCE1D}" ax:persistence="persistStream" r:id="rId1"/>
</file>

<file path=xl/activeX/activeX172.xml><?xml version="1.0" encoding="utf-8"?>
<ax:ocx xmlns:ax="http://schemas.microsoft.com/office/2006/activeX" xmlns:r="http://schemas.openxmlformats.org/officeDocument/2006/relationships" ax:classid="{5512D116-5CC6-11CF-8D67-00AA00BDCE1D}" ax:persistence="persistStream" r:id="rId1"/>
</file>

<file path=xl/activeX/activeX173.xml><?xml version="1.0" encoding="utf-8"?>
<ax:ocx xmlns:ax="http://schemas.microsoft.com/office/2006/activeX" xmlns:r="http://schemas.openxmlformats.org/officeDocument/2006/relationships" ax:classid="{5512D116-5CC6-11CF-8D67-00AA00BDCE1D}" ax:persistence="persistStream" r:id="rId1"/>
</file>

<file path=xl/activeX/activeX174.xml><?xml version="1.0" encoding="utf-8"?>
<ax:ocx xmlns:ax="http://schemas.microsoft.com/office/2006/activeX" xmlns:r="http://schemas.openxmlformats.org/officeDocument/2006/relationships" ax:classid="{5512D116-5CC6-11CF-8D67-00AA00BDCE1D}" ax:persistence="persistStream" r:id="rId1"/>
</file>

<file path=xl/activeX/activeX175.xml><?xml version="1.0" encoding="utf-8"?>
<ax:ocx xmlns:ax="http://schemas.microsoft.com/office/2006/activeX" xmlns:r="http://schemas.openxmlformats.org/officeDocument/2006/relationships" ax:classid="{5512D116-5CC6-11CF-8D67-00AA00BDCE1D}" ax:persistence="persistStream" r:id="rId1"/>
</file>

<file path=xl/activeX/activeX176.xml><?xml version="1.0" encoding="utf-8"?>
<ax:ocx xmlns:ax="http://schemas.microsoft.com/office/2006/activeX" xmlns:r="http://schemas.openxmlformats.org/officeDocument/2006/relationships" ax:classid="{5512D116-5CC6-11CF-8D67-00AA00BDCE1D}" ax:persistence="persistStream" r:id="rId1"/>
</file>

<file path=xl/activeX/activeX177.xml><?xml version="1.0" encoding="utf-8"?>
<ax:ocx xmlns:ax="http://schemas.microsoft.com/office/2006/activeX" xmlns:r="http://schemas.openxmlformats.org/officeDocument/2006/relationships" ax:classid="{5512D116-5CC6-11CF-8D67-00AA00BDCE1D}" ax:persistence="persistStream" r:id="rId1"/>
</file>

<file path=xl/activeX/activeX178.xml><?xml version="1.0" encoding="utf-8"?>
<ax:ocx xmlns:ax="http://schemas.microsoft.com/office/2006/activeX" xmlns:r="http://schemas.openxmlformats.org/officeDocument/2006/relationships" ax:classid="{5512D116-5CC6-11CF-8D67-00AA00BDCE1D}" ax:persistence="persistStream" r:id="rId1"/>
</file>

<file path=xl/activeX/activeX179.xml><?xml version="1.0" encoding="utf-8"?>
<ax:ocx xmlns:ax="http://schemas.microsoft.com/office/2006/activeX" xmlns:r="http://schemas.openxmlformats.org/officeDocument/2006/relationships" ax:classid="{5512D116-5CC6-11CF-8D67-00AA00BDCE1D}" ax:persistence="persistStream" r:id="rId1"/>
</file>

<file path=xl/activeX/activeX180.xml><?xml version="1.0" encoding="utf-8"?>
<ax:ocx xmlns:ax="http://schemas.microsoft.com/office/2006/activeX" xmlns:r="http://schemas.openxmlformats.org/officeDocument/2006/relationships" ax:classid="{5512D116-5CC6-11CF-8D67-00AA00BDCE1D}" ax:persistence="persistStream" r:id="rId1"/>
</file>

<file path=xl/activeX/activeX181.xml><?xml version="1.0" encoding="utf-8"?>
<ax:ocx xmlns:ax="http://schemas.microsoft.com/office/2006/activeX" xmlns:r="http://schemas.openxmlformats.org/officeDocument/2006/relationships" ax:classid="{5512D116-5CC6-11CF-8D67-00AA00BDCE1D}" ax:persistence="persistStream" r:id="rId1"/>
</file>

<file path=xl/activeX/activeX182.xml><?xml version="1.0" encoding="utf-8"?>
<ax:ocx xmlns:ax="http://schemas.microsoft.com/office/2006/activeX" xmlns:r="http://schemas.openxmlformats.org/officeDocument/2006/relationships" ax:classid="{5512D116-5CC6-11CF-8D67-00AA00BDCE1D}" ax:persistence="persistStream" r:id="rId1"/>
</file>

<file path=xl/activeX/activeX183.xml><?xml version="1.0" encoding="utf-8"?>
<ax:ocx xmlns:ax="http://schemas.microsoft.com/office/2006/activeX" xmlns:r="http://schemas.openxmlformats.org/officeDocument/2006/relationships" ax:classid="{5512D116-5CC6-11CF-8D67-00AA00BDCE1D}" ax:persistence="persistStream" r:id="rId1"/>
</file>

<file path=xl/activeX/activeX184.xml><?xml version="1.0" encoding="utf-8"?>
<ax:ocx xmlns:ax="http://schemas.microsoft.com/office/2006/activeX" xmlns:r="http://schemas.openxmlformats.org/officeDocument/2006/relationships" ax:classid="{5512D116-5CC6-11CF-8D67-00AA00BDCE1D}" ax:persistence="persistStream" r:id="rId1"/>
</file>

<file path=xl/activeX/activeX185.xml><?xml version="1.0" encoding="utf-8"?>
<ax:ocx xmlns:ax="http://schemas.microsoft.com/office/2006/activeX" xmlns:r="http://schemas.openxmlformats.org/officeDocument/2006/relationships" ax:classid="{5512D116-5CC6-11CF-8D67-00AA00BDCE1D}" ax:persistence="persistStream" r:id="rId1"/>
</file>

<file path=xl/activeX/activeX186.xml><?xml version="1.0" encoding="utf-8"?>
<ax:ocx xmlns:ax="http://schemas.microsoft.com/office/2006/activeX" xmlns:r="http://schemas.openxmlformats.org/officeDocument/2006/relationships" ax:classid="{5512D116-5CC6-11CF-8D67-00AA00BDCE1D}" ax:persistence="persistStream" r:id="rId1"/>
</file>

<file path=xl/activeX/activeX187.xml><?xml version="1.0" encoding="utf-8"?>
<ax:ocx xmlns:ax="http://schemas.microsoft.com/office/2006/activeX" xmlns:r="http://schemas.openxmlformats.org/officeDocument/2006/relationships" ax:classid="{5512D116-5CC6-11CF-8D67-00AA00BDCE1D}" ax:persistence="persistStream" r:id="rId1"/>
</file>

<file path=xl/activeX/activeX188.xml><?xml version="1.0" encoding="utf-8"?>
<ax:ocx xmlns:ax="http://schemas.microsoft.com/office/2006/activeX" xmlns:r="http://schemas.openxmlformats.org/officeDocument/2006/relationships" ax:classid="{5512D116-5CC6-11CF-8D67-00AA00BDCE1D}" ax:persistence="persistStream" r:id="rId1"/>
</file>

<file path=xl/activeX/activeX189.xml><?xml version="1.0" encoding="utf-8"?>
<ax:ocx xmlns:ax="http://schemas.microsoft.com/office/2006/activeX" xmlns:r="http://schemas.openxmlformats.org/officeDocument/2006/relationships" ax:classid="{5512D116-5CC6-11CF-8D67-00AA00BDCE1D}" ax:persistence="persistStream" r:id="rId1"/>
</file>

<file path=xl/activeX/activeX190.xml><?xml version="1.0" encoding="utf-8"?>
<ax:ocx xmlns:ax="http://schemas.microsoft.com/office/2006/activeX" xmlns:r="http://schemas.openxmlformats.org/officeDocument/2006/relationships" ax:classid="{5512D116-5CC6-11CF-8D67-00AA00BDCE1D}" ax:persistence="persistStream" r:id="rId1"/>
</file>

<file path=xl/activeX/activeX191.xml><?xml version="1.0" encoding="utf-8"?>
<ax:ocx xmlns:ax="http://schemas.microsoft.com/office/2006/activeX" xmlns:r="http://schemas.openxmlformats.org/officeDocument/2006/relationships" ax:classid="{5512D116-5CC6-11CF-8D67-00AA00BDCE1D}" ax:persistence="persistStream" r:id="rId1"/>
</file>

<file path=xl/activeX/activeX192.xml><?xml version="1.0" encoding="utf-8"?>
<ax:ocx xmlns:ax="http://schemas.microsoft.com/office/2006/activeX" xmlns:r="http://schemas.openxmlformats.org/officeDocument/2006/relationships" ax:classid="{5512D116-5CC6-11CF-8D67-00AA00BDCE1D}" ax:persistence="persistStream" r:id="rId1"/>
</file>

<file path=xl/activeX/activeX193.xml><?xml version="1.0" encoding="utf-8"?>
<ax:ocx xmlns:ax="http://schemas.microsoft.com/office/2006/activeX" xmlns:r="http://schemas.openxmlformats.org/officeDocument/2006/relationships" ax:classid="{5512D116-5CC6-11CF-8D67-00AA00BDCE1D}" ax:persistence="persistStream" r:id="rId1"/>
</file>

<file path=xl/activeX/activeX194.xml><?xml version="1.0" encoding="utf-8"?>
<ax:ocx xmlns:ax="http://schemas.microsoft.com/office/2006/activeX" xmlns:r="http://schemas.openxmlformats.org/officeDocument/2006/relationships" ax:classid="{5512D116-5CC6-11CF-8D67-00AA00BDCE1D}" ax:persistence="persistStream" r:id="rId1"/>
</file>

<file path=xl/activeX/activeX195.xml><?xml version="1.0" encoding="utf-8"?>
<ax:ocx xmlns:ax="http://schemas.microsoft.com/office/2006/activeX" xmlns:r="http://schemas.openxmlformats.org/officeDocument/2006/relationships" ax:classid="{5512D116-5CC6-11CF-8D67-00AA00BDCE1D}" ax:persistence="persistStream"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Effort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Weekly!$A$18:$A$79</c:f>
              <c:numCache>
                <c:formatCode>General</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numCache>
            </c:numRef>
          </c:cat>
          <c:val>
            <c:numRef>
              <c:f>Weekly!$H$18:$H$79</c:f>
              <c:numCache>
                <c:formatCode>0.0</c:formatCode>
                <c:ptCount val="48"/>
                <c:pt idx="0">
                  <c:v>8.6805695142378561</c:v>
                </c:pt>
                <c:pt idx="1">
                  <c:v>8.372295688971171</c:v>
                </c:pt>
                <c:pt idx="2">
                  <c:v>7.7853843617045593</c:v>
                </c:pt>
                <c:pt idx="3">
                  <c:v>2.5360883364189371</c:v>
                </c:pt>
                <c:pt idx="4">
                  <c:v>6.6894475626997885</c:v>
                </c:pt>
                <c:pt idx="5">
                  <c:v>5.3772773875877116</c:v>
                </c:pt>
                <c:pt idx="6">
                  <c:v>4.5527159840789393</c:v>
                </c:pt>
                <c:pt idx="7">
                  <c:v>8.0381739757918886</c:v>
                </c:pt>
                <c:pt idx="8">
                  <c:v>13.955371235645414</c:v>
                </c:pt>
                <c:pt idx="9">
                  <c:v>0.20614035087719298</c:v>
                </c:pt>
                <c:pt idx="10">
                  <c:v>6.0294237594731301</c:v>
                </c:pt>
                <c:pt idx="11">
                  <c:v>7.174840740414222</c:v>
                </c:pt>
                <c:pt idx="12">
                  <c:v>9.3402511256738538</c:v>
                </c:pt>
                <c:pt idx="13">
                  <c:v>7.8477884875971808</c:v>
                </c:pt>
                <c:pt idx="14">
                  <c:v>9.3323736943326114</c:v>
                </c:pt>
                <c:pt idx="15">
                  <c:v>8.4948883468675422</c:v>
                </c:pt>
                <c:pt idx="16">
                  <c:v>5.6300670016750418</c:v>
                </c:pt>
                <c:pt idx="17">
                  <c:v>6.4962311557788945</c:v>
                </c:pt>
                <c:pt idx="18">
                  <c:v>0</c:v>
                </c:pt>
                <c:pt idx="19">
                  <c:v>0</c:v>
                </c:pt>
                <c:pt idx="20">
                  <c:v>1.7323283082077052</c:v>
                </c:pt>
                <c:pt idx="21">
                  <c:v>0</c:v>
                </c:pt>
                <c:pt idx="22">
                  <c:v>0</c:v>
                </c:pt>
                <c:pt idx="23">
                  <c:v>1.711526932910165</c:v>
                </c:pt>
                <c:pt idx="24">
                  <c:v>0</c:v>
                </c:pt>
                <c:pt idx="25">
                  <c:v>0</c:v>
                </c:pt>
                <c:pt idx="26">
                  <c:v>0</c:v>
                </c:pt>
                <c:pt idx="27">
                  <c:v>0.43308207705192631</c:v>
                </c:pt>
                <c:pt idx="28">
                  <c:v>0</c:v>
                </c:pt>
                <c:pt idx="29">
                  <c:v>0</c:v>
                </c:pt>
                <c:pt idx="30">
                  <c:v>0</c:v>
                </c:pt>
                <c:pt idx="31">
                  <c:v>0.84536277880631228</c:v>
                </c:pt>
                <c:pt idx="32">
                  <c:v>2.3715507361368249</c:v>
                </c:pt>
                <c:pt idx="33">
                  <c:v>2.1654103852596318</c:v>
                </c:pt>
                <c:pt idx="34">
                  <c:v>1.7323283082077052</c:v>
                </c:pt>
                <c:pt idx="35">
                  <c:v>1.7323283082077052</c:v>
                </c:pt>
                <c:pt idx="36">
                  <c:v>3.0315745393634841</c:v>
                </c:pt>
                <c:pt idx="37">
                  <c:v>3.8977386934673368</c:v>
                </c:pt>
                <c:pt idx="38">
                  <c:v>0.86616415410385261</c:v>
                </c:pt>
                <c:pt idx="39">
                  <c:v>0</c:v>
                </c:pt>
                <c:pt idx="40">
                  <c:v>0</c:v>
                </c:pt>
                <c:pt idx="41">
                  <c:v>0</c:v>
                </c:pt>
                <c:pt idx="42">
                  <c:v>0</c:v>
                </c:pt>
                <c:pt idx="43">
                  <c:v>0</c:v>
                </c:pt>
                <c:pt idx="44">
                  <c:v>1.2992462311557789</c:v>
                </c:pt>
                <c:pt idx="45">
                  <c:v>2.1446090099620911</c:v>
                </c:pt>
                <c:pt idx="46">
                  <c:v>0</c:v>
                </c:pt>
                <c:pt idx="47">
                  <c:v>1.0723045049810456</c:v>
                </c:pt>
              </c:numCache>
            </c:numRef>
          </c:val>
          <c:smooth val="0"/>
          <c:extLst>
            <c:ext xmlns:c16="http://schemas.microsoft.com/office/drawing/2014/chart" uri="{C3380CC4-5D6E-409C-BE32-E72D297353CC}">
              <c16:uniqueId val="{00000000-9579-4235-B6C2-9569AD807C90}"/>
            </c:ext>
          </c:extLst>
        </c:ser>
        <c:dLbls>
          <c:showLegendKey val="0"/>
          <c:showVal val="0"/>
          <c:showCatName val="0"/>
          <c:showSerName val="0"/>
          <c:showPercent val="0"/>
          <c:showBubbleSize val="0"/>
        </c:dLbls>
        <c:marker val="1"/>
        <c:smooth val="0"/>
        <c:axId val="1351673112"/>
        <c:axId val="1351670592"/>
      </c:lineChart>
      <c:catAx>
        <c:axId val="1351673112"/>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670592"/>
        <c:crosses val="autoZero"/>
        <c:auto val="1"/>
        <c:lblAlgn val="ctr"/>
        <c:lblOffset val="100"/>
        <c:noMultiLvlLbl val="1"/>
      </c:catAx>
      <c:valAx>
        <c:axId val="13516705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673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Success Rate</a:t>
            </a:r>
            <a:r>
              <a:rPr lang="en-US" b="1" baseline="0"/>
              <a:t> - Easy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Daily!$X$4:$X$440</c:f>
              <c:numCache>
                <c:formatCode>0%</c:formatCode>
                <c:ptCount val="335"/>
                <c:pt idx="0">
                  <c:v>1</c:v>
                </c:pt>
                <c:pt idx="1">
                  <c:v>1</c:v>
                </c:pt>
                <c:pt idx="2">
                  <c:v>1</c:v>
                </c:pt>
                <c:pt idx="3">
                  <c:v>1</c:v>
                </c:pt>
                <c:pt idx="4">
                  <c:v>1</c:v>
                </c:pt>
                <c:pt idx="5">
                  <c:v>0.9</c:v>
                </c:pt>
                <c:pt idx="6">
                  <c:v>0.90476190476190477</c:v>
                </c:pt>
                <c:pt idx="7">
                  <c:v>0.90476190476190477</c:v>
                </c:pt>
                <c:pt idx="8">
                  <c:v>0.90476190476190477</c:v>
                </c:pt>
                <c:pt idx="9">
                  <c:v>0.90476190476190477</c:v>
                </c:pt>
                <c:pt idx="10">
                  <c:v>0.90909090909090906</c:v>
                </c:pt>
                <c:pt idx="11">
                  <c:v>0.90909090909090906</c:v>
                </c:pt>
                <c:pt idx="12">
                  <c:v>0.92</c:v>
                </c:pt>
                <c:pt idx="13">
                  <c:v>0.8928571428571429</c:v>
                </c:pt>
                <c:pt idx="14">
                  <c:v>0.8928571428571429</c:v>
                </c:pt>
                <c:pt idx="15">
                  <c:v>0.8928571428571429</c:v>
                </c:pt>
                <c:pt idx="16">
                  <c:v>0.8928571428571429</c:v>
                </c:pt>
                <c:pt idx="17">
                  <c:v>0.90322580645161288</c:v>
                </c:pt>
                <c:pt idx="18">
                  <c:v>0.90909090909090906</c:v>
                </c:pt>
                <c:pt idx="19">
                  <c:v>0.91176470588235292</c:v>
                </c:pt>
                <c:pt idx="20">
                  <c:v>0.91666666666666663</c:v>
                </c:pt>
                <c:pt idx="21">
                  <c:v>0.91666666666666663</c:v>
                </c:pt>
                <c:pt idx="22">
                  <c:v>0.91666666666666663</c:v>
                </c:pt>
                <c:pt idx="23">
                  <c:v>0.91666666666666663</c:v>
                </c:pt>
                <c:pt idx="24">
                  <c:v>0.89743589743589747</c:v>
                </c:pt>
                <c:pt idx="25">
                  <c:v>0.90476190476190477</c:v>
                </c:pt>
                <c:pt idx="26">
                  <c:v>0.90476190476190477</c:v>
                </c:pt>
                <c:pt idx="27">
                  <c:v>0.90476190476190477</c:v>
                </c:pt>
                <c:pt idx="28">
                  <c:v>0.90476190476190477</c:v>
                </c:pt>
                <c:pt idx="29">
                  <c:v>0.90476190476190477</c:v>
                </c:pt>
                <c:pt idx="30">
                  <c:v>0.90476190476190477</c:v>
                </c:pt>
                <c:pt idx="31">
                  <c:v>0.90697674418604646</c:v>
                </c:pt>
                <c:pt idx="32">
                  <c:v>0.91304347826086951</c:v>
                </c:pt>
                <c:pt idx="33">
                  <c:v>0.91304347826086951</c:v>
                </c:pt>
                <c:pt idx="34">
                  <c:v>0.91304347826086951</c:v>
                </c:pt>
                <c:pt idx="35">
                  <c:v>0.91304347826086951</c:v>
                </c:pt>
                <c:pt idx="36">
                  <c:v>0.91304347826086951</c:v>
                </c:pt>
                <c:pt idx="37">
                  <c:v>0.91304347826086951</c:v>
                </c:pt>
                <c:pt idx="38">
                  <c:v>0.91836734693877553</c:v>
                </c:pt>
                <c:pt idx="39">
                  <c:v>0.92</c:v>
                </c:pt>
                <c:pt idx="40">
                  <c:v>0.92</c:v>
                </c:pt>
                <c:pt idx="41">
                  <c:v>0.92452830188679247</c:v>
                </c:pt>
                <c:pt idx="42">
                  <c:v>0.92452830188679247</c:v>
                </c:pt>
                <c:pt idx="43">
                  <c:v>0.92452830188679247</c:v>
                </c:pt>
                <c:pt idx="44">
                  <c:v>0.92452830188679247</c:v>
                </c:pt>
                <c:pt idx="45">
                  <c:v>0.92452830188679247</c:v>
                </c:pt>
                <c:pt idx="46">
                  <c:v>0.92592592592592593</c:v>
                </c:pt>
                <c:pt idx="47">
                  <c:v>0.9285714285714286</c:v>
                </c:pt>
                <c:pt idx="48">
                  <c:v>0.9285714285714286</c:v>
                </c:pt>
                <c:pt idx="49">
                  <c:v>0.9285714285714286</c:v>
                </c:pt>
                <c:pt idx="50">
                  <c:v>0.9285714285714286</c:v>
                </c:pt>
                <c:pt idx="51">
                  <c:v>0.9285714285714286</c:v>
                </c:pt>
                <c:pt idx="52">
                  <c:v>0.9285714285714286</c:v>
                </c:pt>
                <c:pt idx="53">
                  <c:v>0.92982456140350878</c:v>
                </c:pt>
                <c:pt idx="54">
                  <c:v>0.92982456140350878</c:v>
                </c:pt>
                <c:pt idx="55">
                  <c:v>0.92982456140350878</c:v>
                </c:pt>
                <c:pt idx="56">
                  <c:v>0.92982456140350878</c:v>
                </c:pt>
                <c:pt idx="57">
                  <c:v>0.92982456140350878</c:v>
                </c:pt>
                <c:pt idx="58">
                  <c:v>0.92982456140350878</c:v>
                </c:pt>
                <c:pt idx="59">
                  <c:v>0.93220338983050843</c:v>
                </c:pt>
                <c:pt idx="60">
                  <c:v>0.93333333333333335</c:v>
                </c:pt>
                <c:pt idx="61">
                  <c:v>0.93333333333333335</c:v>
                </c:pt>
                <c:pt idx="62">
                  <c:v>0.93333333333333335</c:v>
                </c:pt>
                <c:pt idx="63">
                  <c:v>0.93333333333333335</c:v>
                </c:pt>
                <c:pt idx="64">
                  <c:v>0.93333333333333335</c:v>
                </c:pt>
                <c:pt idx="65">
                  <c:v>0.93333333333333335</c:v>
                </c:pt>
                <c:pt idx="66">
                  <c:v>0.93333333333333335</c:v>
                </c:pt>
                <c:pt idx="67">
                  <c:v>0.93333333333333335</c:v>
                </c:pt>
                <c:pt idx="68">
                  <c:v>0.93333333333333335</c:v>
                </c:pt>
                <c:pt idx="69">
                  <c:v>0.93333333333333335</c:v>
                </c:pt>
                <c:pt idx="70">
                  <c:v>0.93442622950819676</c:v>
                </c:pt>
                <c:pt idx="71">
                  <c:v>0.93442622950819676</c:v>
                </c:pt>
                <c:pt idx="72">
                  <c:v>0.93442622950819676</c:v>
                </c:pt>
                <c:pt idx="73">
                  <c:v>0.93442622950819676</c:v>
                </c:pt>
                <c:pt idx="74">
                  <c:v>0.93442622950819676</c:v>
                </c:pt>
                <c:pt idx="75">
                  <c:v>0.93548387096774188</c:v>
                </c:pt>
                <c:pt idx="76">
                  <c:v>0.93650793650793651</c:v>
                </c:pt>
                <c:pt idx="77">
                  <c:v>0.9375</c:v>
                </c:pt>
                <c:pt idx="78">
                  <c:v>0.93846153846153846</c:v>
                </c:pt>
                <c:pt idx="79">
                  <c:v>0.93939393939393945</c:v>
                </c:pt>
                <c:pt idx="80">
                  <c:v>0.94029850746268662</c:v>
                </c:pt>
                <c:pt idx="81">
                  <c:v>0.94117647058823528</c:v>
                </c:pt>
                <c:pt idx="82">
                  <c:v>0.94202898550724634</c:v>
                </c:pt>
                <c:pt idx="83">
                  <c:v>0.94285714285714284</c:v>
                </c:pt>
                <c:pt idx="84">
                  <c:v>0.94444444444444442</c:v>
                </c:pt>
                <c:pt idx="85">
                  <c:v>0.94444444444444442</c:v>
                </c:pt>
                <c:pt idx="86">
                  <c:v>0.94444444444444442</c:v>
                </c:pt>
                <c:pt idx="87">
                  <c:v>0.94594594594594594</c:v>
                </c:pt>
                <c:pt idx="88">
                  <c:v>0.94666666666666666</c:v>
                </c:pt>
                <c:pt idx="89">
                  <c:v>0.94805194805194803</c:v>
                </c:pt>
                <c:pt idx="90">
                  <c:v>0.94805194805194803</c:v>
                </c:pt>
                <c:pt idx="91">
                  <c:v>0.94871794871794868</c:v>
                </c:pt>
                <c:pt idx="92">
                  <c:v>0.94871794871794868</c:v>
                </c:pt>
                <c:pt idx="93">
                  <c:v>0.94871794871794868</c:v>
                </c:pt>
                <c:pt idx="94">
                  <c:v>0.94936708860759489</c:v>
                </c:pt>
                <c:pt idx="95">
                  <c:v>0.95</c:v>
                </c:pt>
                <c:pt idx="96">
                  <c:v>0.95</c:v>
                </c:pt>
                <c:pt idx="97">
                  <c:v>0.95</c:v>
                </c:pt>
                <c:pt idx="98">
                  <c:v>0.95</c:v>
                </c:pt>
                <c:pt idx="99">
                  <c:v>0.95</c:v>
                </c:pt>
                <c:pt idx="100">
                  <c:v>0.95</c:v>
                </c:pt>
                <c:pt idx="101">
                  <c:v>0.95061728395061729</c:v>
                </c:pt>
                <c:pt idx="102">
                  <c:v>0.95121951219512191</c:v>
                </c:pt>
                <c:pt idx="103">
                  <c:v>0.95180722891566261</c:v>
                </c:pt>
                <c:pt idx="104">
                  <c:v>0.95180722891566261</c:v>
                </c:pt>
                <c:pt idx="105">
                  <c:v>0.95294117647058818</c:v>
                </c:pt>
                <c:pt idx="106">
                  <c:v>0.95294117647058818</c:v>
                </c:pt>
                <c:pt idx="107">
                  <c:v>0.95294117647058818</c:v>
                </c:pt>
                <c:pt idx="108">
                  <c:v>0.95348837209302328</c:v>
                </c:pt>
                <c:pt idx="109">
                  <c:v>0.95402298850574707</c:v>
                </c:pt>
                <c:pt idx="110">
                  <c:v>0.95454545454545459</c:v>
                </c:pt>
                <c:pt idx="111">
                  <c:v>0.9550561797752809</c:v>
                </c:pt>
                <c:pt idx="112">
                  <c:v>0.9550561797752809</c:v>
                </c:pt>
                <c:pt idx="113">
                  <c:v>0.9550561797752809</c:v>
                </c:pt>
                <c:pt idx="114">
                  <c:v>0.9550561797752809</c:v>
                </c:pt>
                <c:pt idx="115">
                  <c:v>0.9550561797752809</c:v>
                </c:pt>
                <c:pt idx="116">
                  <c:v>0.9550561797752809</c:v>
                </c:pt>
                <c:pt idx="117">
                  <c:v>0.9550561797752809</c:v>
                </c:pt>
                <c:pt idx="118">
                  <c:v>0.9550561797752809</c:v>
                </c:pt>
                <c:pt idx="119">
                  <c:v>0.9550561797752809</c:v>
                </c:pt>
                <c:pt idx="120">
                  <c:v>0.9550561797752809</c:v>
                </c:pt>
                <c:pt idx="121">
                  <c:v>0.9550561797752809</c:v>
                </c:pt>
                <c:pt idx="122">
                  <c:v>0.9550561797752809</c:v>
                </c:pt>
                <c:pt idx="123">
                  <c:v>0.9550561797752809</c:v>
                </c:pt>
                <c:pt idx="124">
                  <c:v>0.9550561797752809</c:v>
                </c:pt>
                <c:pt idx="125">
                  <c:v>0.9550561797752809</c:v>
                </c:pt>
                <c:pt idx="126">
                  <c:v>0.9550561797752809</c:v>
                </c:pt>
                <c:pt idx="127">
                  <c:v>0.9550561797752809</c:v>
                </c:pt>
                <c:pt idx="128">
                  <c:v>0.9550561797752809</c:v>
                </c:pt>
                <c:pt idx="129">
                  <c:v>0.9550561797752809</c:v>
                </c:pt>
                <c:pt idx="130">
                  <c:v>0.9550561797752809</c:v>
                </c:pt>
                <c:pt idx="131">
                  <c:v>0.9550561797752809</c:v>
                </c:pt>
                <c:pt idx="132">
                  <c:v>0.9550561797752809</c:v>
                </c:pt>
                <c:pt idx="133">
                  <c:v>0.9550561797752809</c:v>
                </c:pt>
                <c:pt idx="134">
                  <c:v>0.9550561797752809</c:v>
                </c:pt>
                <c:pt idx="135">
                  <c:v>0.9550561797752809</c:v>
                </c:pt>
                <c:pt idx="136">
                  <c:v>0.9550561797752809</c:v>
                </c:pt>
                <c:pt idx="137">
                  <c:v>0.9550561797752809</c:v>
                </c:pt>
                <c:pt idx="138">
                  <c:v>0.9550561797752809</c:v>
                </c:pt>
                <c:pt idx="139">
                  <c:v>0.9550561797752809</c:v>
                </c:pt>
                <c:pt idx="140">
                  <c:v>0.9550561797752809</c:v>
                </c:pt>
                <c:pt idx="141">
                  <c:v>0.9550561797752809</c:v>
                </c:pt>
                <c:pt idx="142">
                  <c:v>0.9550561797752809</c:v>
                </c:pt>
                <c:pt idx="143">
                  <c:v>0.9550561797752809</c:v>
                </c:pt>
                <c:pt idx="144">
                  <c:v>0.9550561797752809</c:v>
                </c:pt>
                <c:pt idx="145">
                  <c:v>0.9550561797752809</c:v>
                </c:pt>
                <c:pt idx="146">
                  <c:v>0.9550561797752809</c:v>
                </c:pt>
                <c:pt idx="147">
                  <c:v>0.9550561797752809</c:v>
                </c:pt>
                <c:pt idx="148">
                  <c:v>0.9550561797752809</c:v>
                </c:pt>
                <c:pt idx="149">
                  <c:v>0.9550561797752809</c:v>
                </c:pt>
                <c:pt idx="150">
                  <c:v>0.9550561797752809</c:v>
                </c:pt>
                <c:pt idx="151">
                  <c:v>0.9550561797752809</c:v>
                </c:pt>
                <c:pt idx="152">
                  <c:v>0.9550561797752809</c:v>
                </c:pt>
                <c:pt idx="153">
                  <c:v>0.9550561797752809</c:v>
                </c:pt>
                <c:pt idx="154">
                  <c:v>0.9550561797752809</c:v>
                </c:pt>
                <c:pt idx="155">
                  <c:v>0.9550561797752809</c:v>
                </c:pt>
                <c:pt idx="156">
                  <c:v>0.9550561797752809</c:v>
                </c:pt>
                <c:pt idx="157">
                  <c:v>0.9550561797752809</c:v>
                </c:pt>
                <c:pt idx="158">
                  <c:v>0.9550561797752809</c:v>
                </c:pt>
                <c:pt idx="159">
                  <c:v>0.9550561797752809</c:v>
                </c:pt>
                <c:pt idx="160">
                  <c:v>0.9550561797752809</c:v>
                </c:pt>
                <c:pt idx="161">
                  <c:v>0.9550561797752809</c:v>
                </c:pt>
                <c:pt idx="162">
                  <c:v>0.9550561797752809</c:v>
                </c:pt>
                <c:pt idx="163">
                  <c:v>0.9550561797752809</c:v>
                </c:pt>
                <c:pt idx="164">
                  <c:v>0.9550561797752809</c:v>
                </c:pt>
                <c:pt idx="165">
                  <c:v>0.9555555555555556</c:v>
                </c:pt>
                <c:pt idx="166">
                  <c:v>0.95604395604395609</c:v>
                </c:pt>
                <c:pt idx="167">
                  <c:v>0.95604395604395609</c:v>
                </c:pt>
                <c:pt idx="168">
                  <c:v>0.95604395604395609</c:v>
                </c:pt>
                <c:pt idx="169">
                  <c:v>0.95604395604395609</c:v>
                </c:pt>
                <c:pt idx="170">
                  <c:v>0.95604395604395609</c:v>
                </c:pt>
                <c:pt idx="171">
                  <c:v>0.95604395604395609</c:v>
                </c:pt>
                <c:pt idx="172">
                  <c:v>0.95604395604395609</c:v>
                </c:pt>
                <c:pt idx="173">
                  <c:v>0.95604395604395609</c:v>
                </c:pt>
                <c:pt idx="174">
                  <c:v>0.95604395604395609</c:v>
                </c:pt>
                <c:pt idx="175">
                  <c:v>0.95604395604395609</c:v>
                </c:pt>
                <c:pt idx="176">
                  <c:v>0.95604395604395609</c:v>
                </c:pt>
                <c:pt idx="177">
                  <c:v>0.95604395604395609</c:v>
                </c:pt>
                <c:pt idx="178">
                  <c:v>0.95604395604395609</c:v>
                </c:pt>
                <c:pt idx="179">
                  <c:v>0.95604395604395609</c:v>
                </c:pt>
                <c:pt idx="180">
                  <c:v>0.95604395604395609</c:v>
                </c:pt>
                <c:pt idx="181">
                  <c:v>0.95604395604395609</c:v>
                </c:pt>
                <c:pt idx="182">
                  <c:v>0.95604395604395609</c:v>
                </c:pt>
                <c:pt idx="183">
                  <c:v>0.95604395604395609</c:v>
                </c:pt>
                <c:pt idx="184">
                  <c:v>0.95604395604395609</c:v>
                </c:pt>
                <c:pt idx="185">
                  <c:v>0.95604395604395609</c:v>
                </c:pt>
                <c:pt idx="186">
                  <c:v>0.95604395604395609</c:v>
                </c:pt>
                <c:pt idx="187">
                  <c:v>0.95604395604395609</c:v>
                </c:pt>
                <c:pt idx="188">
                  <c:v>0.95604395604395609</c:v>
                </c:pt>
                <c:pt idx="189">
                  <c:v>0.95604395604395609</c:v>
                </c:pt>
                <c:pt idx="190">
                  <c:v>0.95604395604395609</c:v>
                </c:pt>
                <c:pt idx="191">
                  <c:v>0.95604395604395609</c:v>
                </c:pt>
                <c:pt idx="192">
                  <c:v>0.95604395604395609</c:v>
                </c:pt>
                <c:pt idx="193">
                  <c:v>0.95604395604395609</c:v>
                </c:pt>
                <c:pt idx="194">
                  <c:v>0.95604395604395609</c:v>
                </c:pt>
                <c:pt idx="195">
                  <c:v>0.95604395604395609</c:v>
                </c:pt>
                <c:pt idx="196">
                  <c:v>0.95604395604395609</c:v>
                </c:pt>
                <c:pt idx="197">
                  <c:v>0.95604395604395609</c:v>
                </c:pt>
                <c:pt idx="198">
                  <c:v>0.95604395604395609</c:v>
                </c:pt>
                <c:pt idx="199">
                  <c:v>0.95604395604395609</c:v>
                </c:pt>
                <c:pt idx="200">
                  <c:v>0.95604395604395609</c:v>
                </c:pt>
                <c:pt idx="201">
                  <c:v>0.95604395604395609</c:v>
                </c:pt>
                <c:pt idx="202">
                  <c:v>0.95604395604395609</c:v>
                </c:pt>
                <c:pt idx="203">
                  <c:v>0.95604395604395609</c:v>
                </c:pt>
                <c:pt idx="204">
                  <c:v>0.95604395604395609</c:v>
                </c:pt>
                <c:pt idx="205">
                  <c:v>0.95604395604395609</c:v>
                </c:pt>
                <c:pt idx="206">
                  <c:v>0.95604395604395609</c:v>
                </c:pt>
                <c:pt idx="207">
                  <c:v>0.95604395604395609</c:v>
                </c:pt>
                <c:pt idx="208">
                  <c:v>0.95604395604395609</c:v>
                </c:pt>
                <c:pt idx="209">
                  <c:v>0.95604395604395609</c:v>
                </c:pt>
                <c:pt idx="210">
                  <c:v>0.95604395604395609</c:v>
                </c:pt>
                <c:pt idx="211">
                  <c:v>0.95604395604395609</c:v>
                </c:pt>
                <c:pt idx="212">
                  <c:v>0.95604395604395609</c:v>
                </c:pt>
                <c:pt idx="213">
                  <c:v>0.95604395604395609</c:v>
                </c:pt>
                <c:pt idx="214">
                  <c:v>0.95604395604395609</c:v>
                </c:pt>
                <c:pt idx="215">
                  <c:v>0.95604395604395609</c:v>
                </c:pt>
                <c:pt idx="216">
                  <c:v>0.95604395604395609</c:v>
                </c:pt>
                <c:pt idx="217">
                  <c:v>0.95604395604395609</c:v>
                </c:pt>
                <c:pt idx="218">
                  <c:v>0.95604395604395609</c:v>
                </c:pt>
                <c:pt idx="219">
                  <c:v>0.95604395604395609</c:v>
                </c:pt>
                <c:pt idx="220">
                  <c:v>0.95604395604395609</c:v>
                </c:pt>
                <c:pt idx="221">
                  <c:v>0.95604395604395609</c:v>
                </c:pt>
                <c:pt idx="222">
                  <c:v>0.95604395604395609</c:v>
                </c:pt>
                <c:pt idx="223">
                  <c:v>0.956989247311828</c:v>
                </c:pt>
                <c:pt idx="224">
                  <c:v>0.956989247311828</c:v>
                </c:pt>
                <c:pt idx="225">
                  <c:v>0.956989247311828</c:v>
                </c:pt>
                <c:pt idx="226">
                  <c:v>0.956989247311828</c:v>
                </c:pt>
                <c:pt idx="227">
                  <c:v>0.95744680851063835</c:v>
                </c:pt>
                <c:pt idx="228">
                  <c:v>0.95744680851063835</c:v>
                </c:pt>
                <c:pt idx="229">
                  <c:v>0.95744680851063835</c:v>
                </c:pt>
                <c:pt idx="230">
                  <c:v>0.95744680851063835</c:v>
                </c:pt>
                <c:pt idx="231">
                  <c:v>0.95744680851063835</c:v>
                </c:pt>
                <c:pt idx="232">
                  <c:v>0.95744680851063835</c:v>
                </c:pt>
                <c:pt idx="233">
                  <c:v>0.95744680851063835</c:v>
                </c:pt>
                <c:pt idx="234">
                  <c:v>0.95744680851063835</c:v>
                </c:pt>
                <c:pt idx="235">
                  <c:v>0.95744680851063835</c:v>
                </c:pt>
                <c:pt idx="236">
                  <c:v>0.95744680851063835</c:v>
                </c:pt>
                <c:pt idx="237">
                  <c:v>0.95744680851063835</c:v>
                </c:pt>
                <c:pt idx="238">
                  <c:v>0.95744680851063835</c:v>
                </c:pt>
                <c:pt idx="239">
                  <c:v>0.95744680851063835</c:v>
                </c:pt>
                <c:pt idx="240">
                  <c:v>0.95744680851063835</c:v>
                </c:pt>
                <c:pt idx="241">
                  <c:v>0.95744680851063835</c:v>
                </c:pt>
                <c:pt idx="242">
                  <c:v>0.95744680851063835</c:v>
                </c:pt>
                <c:pt idx="243">
                  <c:v>0.95744680851063835</c:v>
                </c:pt>
                <c:pt idx="244">
                  <c:v>0.95744680851063835</c:v>
                </c:pt>
                <c:pt idx="245">
                  <c:v>0.95744680851063835</c:v>
                </c:pt>
                <c:pt idx="246">
                  <c:v>0.95744680851063835</c:v>
                </c:pt>
                <c:pt idx="247">
                  <c:v>0.95744680851063835</c:v>
                </c:pt>
                <c:pt idx="248">
                  <c:v>0.95744680851063835</c:v>
                </c:pt>
                <c:pt idx="249">
                  <c:v>0.95744680851063835</c:v>
                </c:pt>
                <c:pt idx="250">
                  <c:v>0.95744680851063835</c:v>
                </c:pt>
                <c:pt idx="251">
                  <c:v>0.95744680851063835</c:v>
                </c:pt>
                <c:pt idx="252">
                  <c:v>0.95744680851063835</c:v>
                </c:pt>
                <c:pt idx="253">
                  <c:v>0.95744680851063835</c:v>
                </c:pt>
                <c:pt idx="254">
                  <c:v>0.95744680851063835</c:v>
                </c:pt>
                <c:pt idx="255">
                  <c:v>0.95744680851063835</c:v>
                </c:pt>
                <c:pt idx="256">
                  <c:v>0.95744680851063835</c:v>
                </c:pt>
                <c:pt idx="257">
                  <c:v>0.95744680851063835</c:v>
                </c:pt>
                <c:pt idx="258">
                  <c:v>0.95744680851063835</c:v>
                </c:pt>
                <c:pt idx="259">
                  <c:v>0.95744680851063835</c:v>
                </c:pt>
                <c:pt idx="260">
                  <c:v>0.95744680851063835</c:v>
                </c:pt>
                <c:pt idx="261">
                  <c:v>0.95744680851063835</c:v>
                </c:pt>
                <c:pt idx="262">
                  <c:v>0.95744680851063835</c:v>
                </c:pt>
                <c:pt idx="263">
                  <c:v>0.95744680851063835</c:v>
                </c:pt>
                <c:pt idx="264">
                  <c:v>0.95744680851063835</c:v>
                </c:pt>
                <c:pt idx="265">
                  <c:v>0.95744680851063835</c:v>
                </c:pt>
                <c:pt idx="266">
                  <c:v>0.95744680851063835</c:v>
                </c:pt>
                <c:pt idx="267">
                  <c:v>0.95744680851063835</c:v>
                </c:pt>
                <c:pt idx="268">
                  <c:v>0.95744680851063835</c:v>
                </c:pt>
                <c:pt idx="269">
                  <c:v>0.95744680851063835</c:v>
                </c:pt>
                <c:pt idx="270">
                  <c:v>0.95744680851063835</c:v>
                </c:pt>
                <c:pt idx="271">
                  <c:v>0.95744680851063835</c:v>
                </c:pt>
                <c:pt idx="272">
                  <c:v>0.95744680851063835</c:v>
                </c:pt>
                <c:pt idx="273">
                  <c:v>0.95744680851063835</c:v>
                </c:pt>
                <c:pt idx="274">
                  <c:v>0.95744680851063835</c:v>
                </c:pt>
                <c:pt idx="275">
                  <c:v>0.95744680851063835</c:v>
                </c:pt>
                <c:pt idx="276">
                  <c:v>0.95744680851063835</c:v>
                </c:pt>
                <c:pt idx="277">
                  <c:v>0.95744680851063835</c:v>
                </c:pt>
                <c:pt idx="278">
                  <c:v>0.95744680851063835</c:v>
                </c:pt>
                <c:pt idx="279">
                  <c:v>0.95744680851063835</c:v>
                </c:pt>
                <c:pt idx="280">
                  <c:v>0.95744680851063835</c:v>
                </c:pt>
                <c:pt idx="281">
                  <c:v>0.95744680851063835</c:v>
                </c:pt>
                <c:pt idx="282">
                  <c:v>0.95744680851063835</c:v>
                </c:pt>
                <c:pt idx="283">
                  <c:v>0.95744680851063835</c:v>
                </c:pt>
                <c:pt idx="284">
                  <c:v>0.95744680851063835</c:v>
                </c:pt>
                <c:pt idx="285">
                  <c:v>0.95744680851063835</c:v>
                </c:pt>
                <c:pt idx="286">
                  <c:v>0.95744680851063835</c:v>
                </c:pt>
                <c:pt idx="287">
                  <c:v>0.95744680851063835</c:v>
                </c:pt>
                <c:pt idx="288">
                  <c:v>0.95744680851063835</c:v>
                </c:pt>
                <c:pt idx="289">
                  <c:v>0.95744680851063835</c:v>
                </c:pt>
                <c:pt idx="290">
                  <c:v>0.95744680851063835</c:v>
                </c:pt>
                <c:pt idx="291">
                  <c:v>0.95744680851063835</c:v>
                </c:pt>
                <c:pt idx="292">
                  <c:v>0.95744680851063835</c:v>
                </c:pt>
                <c:pt idx="293">
                  <c:v>0.95744680851063835</c:v>
                </c:pt>
                <c:pt idx="294">
                  <c:v>0.95744680851063835</c:v>
                </c:pt>
                <c:pt idx="295">
                  <c:v>0.95744680851063835</c:v>
                </c:pt>
                <c:pt idx="296">
                  <c:v>0.95744680851063835</c:v>
                </c:pt>
                <c:pt idx="297">
                  <c:v>0.95744680851063835</c:v>
                </c:pt>
                <c:pt idx="298">
                  <c:v>0.95744680851063835</c:v>
                </c:pt>
                <c:pt idx="299">
                  <c:v>0.95744680851063835</c:v>
                </c:pt>
                <c:pt idx="300">
                  <c:v>0.95744680851063835</c:v>
                </c:pt>
                <c:pt idx="301">
                  <c:v>0.95744680851063835</c:v>
                </c:pt>
                <c:pt idx="302">
                  <c:v>0.95744680851063835</c:v>
                </c:pt>
                <c:pt idx="303">
                  <c:v>0.95744680851063835</c:v>
                </c:pt>
                <c:pt idx="304">
                  <c:v>0.95744680851063835</c:v>
                </c:pt>
                <c:pt idx="305">
                  <c:v>0.95744680851063835</c:v>
                </c:pt>
                <c:pt idx="306">
                  <c:v>0.95744680851063835</c:v>
                </c:pt>
                <c:pt idx="307">
                  <c:v>0.95744680851063835</c:v>
                </c:pt>
                <c:pt idx="308">
                  <c:v>0.95744680851063835</c:v>
                </c:pt>
                <c:pt idx="309">
                  <c:v>0.95744680851063835</c:v>
                </c:pt>
                <c:pt idx="310">
                  <c:v>0.95744680851063835</c:v>
                </c:pt>
                <c:pt idx="311">
                  <c:v>0.95744680851063835</c:v>
                </c:pt>
                <c:pt idx="312">
                  <c:v>0.95744680851063835</c:v>
                </c:pt>
                <c:pt idx="313">
                  <c:v>0.95744680851063835</c:v>
                </c:pt>
                <c:pt idx="314">
                  <c:v>0.95744680851063835</c:v>
                </c:pt>
                <c:pt idx="315">
                  <c:v>0.95744680851063835</c:v>
                </c:pt>
                <c:pt idx="316">
                  <c:v>0.95744680851063835</c:v>
                </c:pt>
                <c:pt idx="317">
                  <c:v>0.95744680851063835</c:v>
                </c:pt>
                <c:pt idx="318">
                  <c:v>0.95744680851063835</c:v>
                </c:pt>
                <c:pt idx="319">
                  <c:v>0.95789473684210524</c:v>
                </c:pt>
                <c:pt idx="320">
                  <c:v>0.95833333333333337</c:v>
                </c:pt>
                <c:pt idx="321">
                  <c:v>0.95833333333333337</c:v>
                </c:pt>
                <c:pt idx="322">
                  <c:v>0.95833333333333337</c:v>
                </c:pt>
                <c:pt idx="323">
                  <c:v>0.95833333333333337</c:v>
                </c:pt>
                <c:pt idx="324">
                  <c:v>0.95833333333333337</c:v>
                </c:pt>
                <c:pt idx="325">
                  <c:v>0.95833333333333337</c:v>
                </c:pt>
                <c:pt idx="326">
                  <c:v>0.95833333333333337</c:v>
                </c:pt>
                <c:pt idx="327">
                  <c:v>0.95833333333333337</c:v>
                </c:pt>
                <c:pt idx="328">
                  <c:v>0.95833333333333337</c:v>
                </c:pt>
                <c:pt idx="329">
                  <c:v>0.95833333333333337</c:v>
                </c:pt>
                <c:pt idx="330">
                  <c:v>0.95833333333333337</c:v>
                </c:pt>
                <c:pt idx="331">
                  <c:v>0.95833333333333337</c:v>
                </c:pt>
                <c:pt idx="332">
                  <c:v>0.95833333333333337</c:v>
                </c:pt>
                <c:pt idx="333">
                  <c:v>0.95833333333333337</c:v>
                </c:pt>
                <c:pt idx="334">
                  <c:v>0.95876288659793818</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min val="0.70000000000000007"/>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Success Rate</a:t>
            </a:r>
            <a:r>
              <a:rPr lang="en-US" b="1" baseline="0"/>
              <a:t> - Medium</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Daily!$AC$4:$AC$440</c:f>
              <c:numCache>
                <c:formatCode>0%</c:formatCode>
                <c:ptCount val="335"/>
                <c:pt idx="0">
                  <c:v>1</c:v>
                </c:pt>
                <c:pt idx="1">
                  <c:v>1</c:v>
                </c:pt>
                <c:pt idx="2">
                  <c:v>1</c:v>
                </c:pt>
                <c:pt idx="3">
                  <c:v>1</c:v>
                </c:pt>
                <c:pt idx="4">
                  <c:v>0.75</c:v>
                </c:pt>
                <c:pt idx="5">
                  <c:v>0.83333333333333337</c:v>
                </c:pt>
                <c:pt idx="6">
                  <c:v>0.75</c:v>
                </c:pt>
                <c:pt idx="7">
                  <c:v>0.75</c:v>
                </c:pt>
                <c:pt idx="8">
                  <c:v>0.75</c:v>
                </c:pt>
                <c:pt idx="9">
                  <c:v>0.75</c:v>
                </c:pt>
                <c:pt idx="10">
                  <c:v>0.6428571428571429</c:v>
                </c:pt>
                <c:pt idx="11">
                  <c:v>0.6470588235294118</c:v>
                </c:pt>
                <c:pt idx="12">
                  <c:v>0.63157894736842102</c:v>
                </c:pt>
                <c:pt idx="13">
                  <c:v>0.65217391304347827</c:v>
                </c:pt>
                <c:pt idx="14">
                  <c:v>0.66666666666666663</c:v>
                </c:pt>
                <c:pt idx="15">
                  <c:v>0.66666666666666663</c:v>
                </c:pt>
                <c:pt idx="16">
                  <c:v>0.6428571428571429</c:v>
                </c:pt>
                <c:pt idx="17">
                  <c:v>0.6428571428571429</c:v>
                </c:pt>
                <c:pt idx="18">
                  <c:v>0.65625</c:v>
                </c:pt>
                <c:pt idx="19">
                  <c:v>0.6470588235294118</c:v>
                </c:pt>
                <c:pt idx="20">
                  <c:v>0.63888888888888884</c:v>
                </c:pt>
                <c:pt idx="21">
                  <c:v>0.63888888888888884</c:v>
                </c:pt>
                <c:pt idx="22">
                  <c:v>0.63888888888888884</c:v>
                </c:pt>
                <c:pt idx="23">
                  <c:v>0.63888888888888884</c:v>
                </c:pt>
                <c:pt idx="24">
                  <c:v>0.63888888888888884</c:v>
                </c:pt>
                <c:pt idx="25">
                  <c:v>0.65789473684210531</c:v>
                </c:pt>
                <c:pt idx="26">
                  <c:v>0.65789473684210531</c:v>
                </c:pt>
                <c:pt idx="27">
                  <c:v>0.65789473684210531</c:v>
                </c:pt>
                <c:pt idx="28">
                  <c:v>0.64102564102564108</c:v>
                </c:pt>
                <c:pt idx="29">
                  <c:v>0.64102564102564108</c:v>
                </c:pt>
                <c:pt idx="30">
                  <c:v>0.64102564102564108</c:v>
                </c:pt>
                <c:pt idx="31">
                  <c:v>0.68181818181818177</c:v>
                </c:pt>
                <c:pt idx="32">
                  <c:v>0.67391304347826086</c:v>
                </c:pt>
                <c:pt idx="33">
                  <c:v>0.70588235294117652</c:v>
                </c:pt>
                <c:pt idx="34">
                  <c:v>0.70588235294117652</c:v>
                </c:pt>
                <c:pt idx="35">
                  <c:v>0.70588235294117652</c:v>
                </c:pt>
                <c:pt idx="36">
                  <c:v>0.70588235294117652</c:v>
                </c:pt>
                <c:pt idx="37">
                  <c:v>0.70588235294117652</c:v>
                </c:pt>
                <c:pt idx="38">
                  <c:v>0.71153846153846156</c:v>
                </c:pt>
                <c:pt idx="39">
                  <c:v>0.72727272727272729</c:v>
                </c:pt>
                <c:pt idx="40">
                  <c:v>0.7142857142857143</c:v>
                </c:pt>
                <c:pt idx="41">
                  <c:v>0.70175438596491224</c:v>
                </c:pt>
                <c:pt idx="42">
                  <c:v>0.70175438596491224</c:v>
                </c:pt>
                <c:pt idx="43">
                  <c:v>0.70175438596491224</c:v>
                </c:pt>
                <c:pt idx="44">
                  <c:v>0.70175438596491224</c:v>
                </c:pt>
                <c:pt idx="45">
                  <c:v>0.70175438596491224</c:v>
                </c:pt>
                <c:pt idx="46">
                  <c:v>0.69491525423728817</c:v>
                </c:pt>
                <c:pt idx="47">
                  <c:v>0.7</c:v>
                </c:pt>
                <c:pt idx="48">
                  <c:v>0.70967741935483875</c:v>
                </c:pt>
                <c:pt idx="49">
                  <c:v>0.7142857142857143</c:v>
                </c:pt>
                <c:pt idx="50">
                  <c:v>0.7142857142857143</c:v>
                </c:pt>
                <c:pt idx="51">
                  <c:v>0.7142857142857143</c:v>
                </c:pt>
                <c:pt idx="52">
                  <c:v>0.73134328358208955</c:v>
                </c:pt>
                <c:pt idx="53">
                  <c:v>0.74285714285714288</c:v>
                </c:pt>
                <c:pt idx="54">
                  <c:v>0.75</c:v>
                </c:pt>
                <c:pt idx="55">
                  <c:v>0.7466666666666667</c:v>
                </c:pt>
                <c:pt idx="56">
                  <c:v>0.74358974358974361</c:v>
                </c:pt>
                <c:pt idx="57">
                  <c:v>0.74358974358974361</c:v>
                </c:pt>
                <c:pt idx="58">
                  <c:v>0.74358974358974361</c:v>
                </c:pt>
                <c:pt idx="59">
                  <c:v>0.74698795180722888</c:v>
                </c:pt>
                <c:pt idx="60">
                  <c:v>0.7558139534883721</c:v>
                </c:pt>
                <c:pt idx="61">
                  <c:v>0.75555555555555554</c:v>
                </c:pt>
                <c:pt idx="62">
                  <c:v>0.75268817204301075</c:v>
                </c:pt>
                <c:pt idx="63">
                  <c:v>0.76530612244897955</c:v>
                </c:pt>
                <c:pt idx="64">
                  <c:v>0.76530612244897955</c:v>
                </c:pt>
                <c:pt idx="65">
                  <c:v>0.76530612244897955</c:v>
                </c:pt>
                <c:pt idx="66">
                  <c:v>0.76530612244897955</c:v>
                </c:pt>
                <c:pt idx="67">
                  <c:v>0.76530612244897955</c:v>
                </c:pt>
                <c:pt idx="68">
                  <c:v>0.76530612244897955</c:v>
                </c:pt>
                <c:pt idx="69">
                  <c:v>0.76530612244897955</c:v>
                </c:pt>
                <c:pt idx="70">
                  <c:v>0.76530612244897955</c:v>
                </c:pt>
                <c:pt idx="71">
                  <c:v>0.76530612244897955</c:v>
                </c:pt>
                <c:pt idx="72">
                  <c:v>0.76530612244897955</c:v>
                </c:pt>
                <c:pt idx="73">
                  <c:v>0.76530612244897955</c:v>
                </c:pt>
                <c:pt idx="74">
                  <c:v>0.77450980392156865</c:v>
                </c:pt>
                <c:pt idx="75">
                  <c:v>0.77884615384615385</c:v>
                </c:pt>
                <c:pt idx="76">
                  <c:v>0.78095238095238095</c:v>
                </c:pt>
                <c:pt idx="77">
                  <c:v>0.78301886792452835</c:v>
                </c:pt>
                <c:pt idx="78">
                  <c:v>0.78504672897196259</c:v>
                </c:pt>
                <c:pt idx="79">
                  <c:v>0.78703703703703709</c:v>
                </c:pt>
                <c:pt idx="80">
                  <c:v>0.78181818181818186</c:v>
                </c:pt>
                <c:pt idx="81">
                  <c:v>0.78378378378378377</c:v>
                </c:pt>
                <c:pt idx="82">
                  <c:v>0.7857142857142857</c:v>
                </c:pt>
                <c:pt idx="83">
                  <c:v>0.78761061946902655</c:v>
                </c:pt>
                <c:pt idx="84">
                  <c:v>0.78947368421052633</c:v>
                </c:pt>
                <c:pt idx="85">
                  <c:v>0.78947368421052633</c:v>
                </c:pt>
                <c:pt idx="86">
                  <c:v>0.78947368421052633</c:v>
                </c:pt>
                <c:pt idx="87">
                  <c:v>0.7931034482758621</c:v>
                </c:pt>
                <c:pt idx="88">
                  <c:v>0.79831932773109249</c:v>
                </c:pt>
                <c:pt idx="89">
                  <c:v>0.79338842975206614</c:v>
                </c:pt>
                <c:pt idx="90">
                  <c:v>0.79508196721311475</c:v>
                </c:pt>
                <c:pt idx="91">
                  <c:v>0.8</c:v>
                </c:pt>
                <c:pt idx="92">
                  <c:v>0.8</c:v>
                </c:pt>
                <c:pt idx="93">
                  <c:v>0.8</c:v>
                </c:pt>
                <c:pt idx="94">
                  <c:v>0.80158730158730163</c:v>
                </c:pt>
                <c:pt idx="95">
                  <c:v>0.80620155038759689</c:v>
                </c:pt>
                <c:pt idx="96">
                  <c:v>0.81060606060606055</c:v>
                </c:pt>
                <c:pt idx="97">
                  <c:v>0.80882352941176472</c:v>
                </c:pt>
                <c:pt idx="98">
                  <c:v>0.80882352941176472</c:v>
                </c:pt>
                <c:pt idx="99">
                  <c:v>0.80882352941176472</c:v>
                </c:pt>
                <c:pt idx="100">
                  <c:v>0.80882352941176472</c:v>
                </c:pt>
                <c:pt idx="101">
                  <c:v>0.81560283687943258</c:v>
                </c:pt>
                <c:pt idx="102">
                  <c:v>0.81118881118881114</c:v>
                </c:pt>
                <c:pt idx="103">
                  <c:v>0.8125</c:v>
                </c:pt>
                <c:pt idx="104">
                  <c:v>0.80952380952380953</c:v>
                </c:pt>
                <c:pt idx="105">
                  <c:v>0.81208053691275173</c:v>
                </c:pt>
                <c:pt idx="106">
                  <c:v>0.81208053691275173</c:v>
                </c:pt>
                <c:pt idx="107">
                  <c:v>0.81208053691275173</c:v>
                </c:pt>
                <c:pt idx="108">
                  <c:v>0.81333333333333335</c:v>
                </c:pt>
                <c:pt idx="109">
                  <c:v>0.81456953642384111</c:v>
                </c:pt>
                <c:pt idx="110">
                  <c:v>0.80921052631578949</c:v>
                </c:pt>
                <c:pt idx="111">
                  <c:v>0.80519480519480524</c:v>
                </c:pt>
                <c:pt idx="112">
                  <c:v>0.80503144654088055</c:v>
                </c:pt>
                <c:pt idx="113">
                  <c:v>0.80503144654088055</c:v>
                </c:pt>
                <c:pt idx="114">
                  <c:v>0.80503144654088055</c:v>
                </c:pt>
                <c:pt idx="115">
                  <c:v>0.80745341614906829</c:v>
                </c:pt>
                <c:pt idx="116">
                  <c:v>0.80487804878048785</c:v>
                </c:pt>
                <c:pt idx="117">
                  <c:v>0.80722891566265065</c:v>
                </c:pt>
                <c:pt idx="118">
                  <c:v>0.81065088757396453</c:v>
                </c:pt>
                <c:pt idx="119">
                  <c:v>0.81395348837209303</c:v>
                </c:pt>
                <c:pt idx="120">
                  <c:v>0.81395348837209303</c:v>
                </c:pt>
                <c:pt idx="121">
                  <c:v>0.81395348837209303</c:v>
                </c:pt>
                <c:pt idx="122">
                  <c:v>0.81714285714285717</c:v>
                </c:pt>
                <c:pt idx="123">
                  <c:v>0.8146067415730337</c:v>
                </c:pt>
                <c:pt idx="124">
                  <c:v>0.81767955801104975</c:v>
                </c:pt>
                <c:pt idx="125">
                  <c:v>0.81521739130434778</c:v>
                </c:pt>
                <c:pt idx="126">
                  <c:v>0.81818181818181823</c:v>
                </c:pt>
                <c:pt idx="127">
                  <c:v>0.81818181818181823</c:v>
                </c:pt>
                <c:pt idx="128">
                  <c:v>0.81818181818181823</c:v>
                </c:pt>
                <c:pt idx="129">
                  <c:v>0.81818181818181823</c:v>
                </c:pt>
                <c:pt idx="130">
                  <c:v>0.81818181818181823</c:v>
                </c:pt>
                <c:pt idx="131">
                  <c:v>0.81818181818181823</c:v>
                </c:pt>
                <c:pt idx="132">
                  <c:v>0.81818181818181823</c:v>
                </c:pt>
                <c:pt idx="133">
                  <c:v>0.81818181818181823</c:v>
                </c:pt>
                <c:pt idx="134">
                  <c:v>0.81818181818181823</c:v>
                </c:pt>
                <c:pt idx="135">
                  <c:v>0.81818181818181823</c:v>
                </c:pt>
                <c:pt idx="136">
                  <c:v>0.81818181818181823</c:v>
                </c:pt>
                <c:pt idx="137">
                  <c:v>0.81818181818181823</c:v>
                </c:pt>
                <c:pt idx="138">
                  <c:v>0.81818181818181823</c:v>
                </c:pt>
                <c:pt idx="139">
                  <c:v>0.81818181818181823</c:v>
                </c:pt>
                <c:pt idx="140">
                  <c:v>0.81818181818181823</c:v>
                </c:pt>
                <c:pt idx="141">
                  <c:v>0.81818181818181823</c:v>
                </c:pt>
                <c:pt idx="142">
                  <c:v>0.81818181818181823</c:v>
                </c:pt>
                <c:pt idx="143">
                  <c:v>0.82010582010582012</c:v>
                </c:pt>
                <c:pt idx="144">
                  <c:v>0.82010582010582012</c:v>
                </c:pt>
                <c:pt idx="145">
                  <c:v>0.82010582010582012</c:v>
                </c:pt>
                <c:pt idx="146">
                  <c:v>0.82198952879581155</c:v>
                </c:pt>
                <c:pt idx="147">
                  <c:v>0.82198952879581155</c:v>
                </c:pt>
                <c:pt idx="148">
                  <c:v>0.82198952879581155</c:v>
                </c:pt>
                <c:pt idx="149">
                  <c:v>0.82198952879581155</c:v>
                </c:pt>
                <c:pt idx="150">
                  <c:v>0.82198952879581155</c:v>
                </c:pt>
                <c:pt idx="151">
                  <c:v>0.82198952879581155</c:v>
                </c:pt>
                <c:pt idx="152">
                  <c:v>0.82198952879581155</c:v>
                </c:pt>
                <c:pt idx="153">
                  <c:v>0.82198952879581155</c:v>
                </c:pt>
                <c:pt idx="154">
                  <c:v>0.82198952879581155</c:v>
                </c:pt>
                <c:pt idx="155">
                  <c:v>0.82198952879581155</c:v>
                </c:pt>
                <c:pt idx="156">
                  <c:v>0.82198952879581155</c:v>
                </c:pt>
                <c:pt idx="157">
                  <c:v>0.82198952879581155</c:v>
                </c:pt>
                <c:pt idx="158">
                  <c:v>0.82198952879581155</c:v>
                </c:pt>
                <c:pt idx="159">
                  <c:v>0.82198952879581155</c:v>
                </c:pt>
                <c:pt idx="160">
                  <c:v>0.82198952879581155</c:v>
                </c:pt>
                <c:pt idx="161">
                  <c:v>0.82198952879581155</c:v>
                </c:pt>
                <c:pt idx="162">
                  <c:v>0.82198952879581155</c:v>
                </c:pt>
                <c:pt idx="163">
                  <c:v>0.82198952879581155</c:v>
                </c:pt>
                <c:pt idx="164">
                  <c:v>0.82198952879581155</c:v>
                </c:pt>
                <c:pt idx="165">
                  <c:v>0.82291666666666663</c:v>
                </c:pt>
                <c:pt idx="166">
                  <c:v>0.82474226804123707</c:v>
                </c:pt>
                <c:pt idx="167">
                  <c:v>0.82474226804123707</c:v>
                </c:pt>
                <c:pt idx="168">
                  <c:v>0.82474226804123707</c:v>
                </c:pt>
                <c:pt idx="169">
                  <c:v>0.82474226804123707</c:v>
                </c:pt>
                <c:pt idx="170">
                  <c:v>0.82474226804123707</c:v>
                </c:pt>
                <c:pt idx="171">
                  <c:v>0.82474226804123707</c:v>
                </c:pt>
                <c:pt idx="172">
                  <c:v>0.82474226804123707</c:v>
                </c:pt>
                <c:pt idx="173">
                  <c:v>0.82474226804123707</c:v>
                </c:pt>
                <c:pt idx="174">
                  <c:v>0.82474226804123707</c:v>
                </c:pt>
                <c:pt idx="175">
                  <c:v>0.82474226804123707</c:v>
                </c:pt>
                <c:pt idx="176">
                  <c:v>0.82474226804123707</c:v>
                </c:pt>
                <c:pt idx="177">
                  <c:v>0.82474226804123707</c:v>
                </c:pt>
                <c:pt idx="178">
                  <c:v>0.82474226804123707</c:v>
                </c:pt>
                <c:pt idx="179">
                  <c:v>0.82474226804123707</c:v>
                </c:pt>
                <c:pt idx="180">
                  <c:v>0.82474226804123707</c:v>
                </c:pt>
                <c:pt idx="181">
                  <c:v>0.82474226804123707</c:v>
                </c:pt>
                <c:pt idx="182">
                  <c:v>0.82474226804123707</c:v>
                </c:pt>
                <c:pt idx="183">
                  <c:v>0.82474226804123707</c:v>
                </c:pt>
                <c:pt idx="184">
                  <c:v>0.82474226804123707</c:v>
                </c:pt>
                <c:pt idx="185">
                  <c:v>0.82474226804123707</c:v>
                </c:pt>
                <c:pt idx="186">
                  <c:v>0.82474226804123707</c:v>
                </c:pt>
                <c:pt idx="187">
                  <c:v>0.82474226804123707</c:v>
                </c:pt>
                <c:pt idx="188">
                  <c:v>0.82474226804123707</c:v>
                </c:pt>
                <c:pt idx="189">
                  <c:v>0.82474226804123707</c:v>
                </c:pt>
                <c:pt idx="190">
                  <c:v>0.82474226804123707</c:v>
                </c:pt>
                <c:pt idx="191">
                  <c:v>0.82474226804123707</c:v>
                </c:pt>
                <c:pt idx="192">
                  <c:v>0.82564102564102559</c:v>
                </c:pt>
                <c:pt idx="193">
                  <c:v>0.82564102564102559</c:v>
                </c:pt>
                <c:pt idx="194">
                  <c:v>0.82564102564102559</c:v>
                </c:pt>
                <c:pt idx="195">
                  <c:v>0.82564102564102559</c:v>
                </c:pt>
                <c:pt idx="196">
                  <c:v>0.82564102564102559</c:v>
                </c:pt>
                <c:pt idx="197">
                  <c:v>0.82564102564102559</c:v>
                </c:pt>
                <c:pt idx="198">
                  <c:v>0.82564102564102559</c:v>
                </c:pt>
                <c:pt idx="199">
                  <c:v>0.82564102564102559</c:v>
                </c:pt>
                <c:pt idx="200">
                  <c:v>0.82564102564102559</c:v>
                </c:pt>
                <c:pt idx="201">
                  <c:v>0.82564102564102559</c:v>
                </c:pt>
                <c:pt idx="202">
                  <c:v>0.82564102564102559</c:v>
                </c:pt>
                <c:pt idx="203">
                  <c:v>0.82564102564102559</c:v>
                </c:pt>
                <c:pt idx="204">
                  <c:v>0.82564102564102559</c:v>
                </c:pt>
                <c:pt idx="205">
                  <c:v>0.82564102564102559</c:v>
                </c:pt>
                <c:pt idx="206">
                  <c:v>0.82564102564102559</c:v>
                </c:pt>
                <c:pt idx="207">
                  <c:v>0.82564102564102559</c:v>
                </c:pt>
                <c:pt idx="208">
                  <c:v>0.82564102564102559</c:v>
                </c:pt>
                <c:pt idx="209">
                  <c:v>0.82564102564102559</c:v>
                </c:pt>
                <c:pt idx="210">
                  <c:v>0.82564102564102559</c:v>
                </c:pt>
                <c:pt idx="211">
                  <c:v>0.82564102564102559</c:v>
                </c:pt>
                <c:pt idx="212">
                  <c:v>0.82564102564102559</c:v>
                </c:pt>
                <c:pt idx="213">
                  <c:v>0.82564102564102559</c:v>
                </c:pt>
                <c:pt idx="214">
                  <c:v>0.82564102564102559</c:v>
                </c:pt>
                <c:pt idx="215">
                  <c:v>0.82564102564102559</c:v>
                </c:pt>
                <c:pt idx="216">
                  <c:v>0.82564102564102559</c:v>
                </c:pt>
                <c:pt idx="217">
                  <c:v>0.82564102564102559</c:v>
                </c:pt>
                <c:pt idx="218">
                  <c:v>0.82564102564102559</c:v>
                </c:pt>
                <c:pt idx="219">
                  <c:v>0.82564102564102559</c:v>
                </c:pt>
                <c:pt idx="220">
                  <c:v>0.82564102564102559</c:v>
                </c:pt>
                <c:pt idx="221">
                  <c:v>0.82564102564102559</c:v>
                </c:pt>
                <c:pt idx="222">
                  <c:v>0.82564102564102559</c:v>
                </c:pt>
                <c:pt idx="223">
                  <c:v>0.82653061224489799</c:v>
                </c:pt>
                <c:pt idx="224">
                  <c:v>0.82653061224489799</c:v>
                </c:pt>
                <c:pt idx="225">
                  <c:v>0.82653061224489799</c:v>
                </c:pt>
                <c:pt idx="226">
                  <c:v>0.82653061224489799</c:v>
                </c:pt>
                <c:pt idx="227">
                  <c:v>0.81818181818181823</c:v>
                </c:pt>
                <c:pt idx="228">
                  <c:v>0.82089552238805974</c:v>
                </c:pt>
                <c:pt idx="229">
                  <c:v>0.82089552238805974</c:v>
                </c:pt>
                <c:pt idx="230">
                  <c:v>0.82089552238805974</c:v>
                </c:pt>
                <c:pt idx="231">
                  <c:v>0.82089552238805974</c:v>
                </c:pt>
                <c:pt idx="232">
                  <c:v>0.82089552238805974</c:v>
                </c:pt>
                <c:pt idx="233">
                  <c:v>0.82089552238805974</c:v>
                </c:pt>
                <c:pt idx="234">
                  <c:v>0.82266009852216748</c:v>
                </c:pt>
                <c:pt idx="235">
                  <c:v>0.81463414634146336</c:v>
                </c:pt>
                <c:pt idx="236">
                  <c:v>0.81067961165048541</c:v>
                </c:pt>
                <c:pt idx="237">
                  <c:v>0.81067961165048541</c:v>
                </c:pt>
                <c:pt idx="238">
                  <c:v>0.81067961165048541</c:v>
                </c:pt>
                <c:pt idx="239">
                  <c:v>0.81067961165048541</c:v>
                </c:pt>
                <c:pt idx="240">
                  <c:v>0.81067961165048541</c:v>
                </c:pt>
                <c:pt idx="241">
                  <c:v>0.80676328502415462</c:v>
                </c:pt>
                <c:pt idx="242">
                  <c:v>0.80861244019138756</c:v>
                </c:pt>
                <c:pt idx="243">
                  <c:v>0.80952380952380953</c:v>
                </c:pt>
                <c:pt idx="244">
                  <c:v>0.80952380952380953</c:v>
                </c:pt>
                <c:pt idx="245">
                  <c:v>0.80952380952380953</c:v>
                </c:pt>
                <c:pt idx="246">
                  <c:v>0.80952380952380953</c:v>
                </c:pt>
                <c:pt idx="247">
                  <c:v>0.80952380952380953</c:v>
                </c:pt>
                <c:pt idx="248">
                  <c:v>0.81042654028436023</c:v>
                </c:pt>
                <c:pt idx="249">
                  <c:v>0.81042654028436023</c:v>
                </c:pt>
                <c:pt idx="250">
                  <c:v>0.80660377358490565</c:v>
                </c:pt>
                <c:pt idx="251">
                  <c:v>0.80373831775700932</c:v>
                </c:pt>
                <c:pt idx="252">
                  <c:v>0.80373831775700932</c:v>
                </c:pt>
                <c:pt idx="253">
                  <c:v>0.80373831775700932</c:v>
                </c:pt>
                <c:pt idx="254">
                  <c:v>0.80373831775700932</c:v>
                </c:pt>
                <c:pt idx="255">
                  <c:v>0.80373831775700932</c:v>
                </c:pt>
                <c:pt idx="256">
                  <c:v>0.80555555555555558</c:v>
                </c:pt>
                <c:pt idx="257">
                  <c:v>0.80542986425339369</c:v>
                </c:pt>
                <c:pt idx="258">
                  <c:v>0.80542986425339369</c:v>
                </c:pt>
                <c:pt idx="259">
                  <c:v>0.80542986425339369</c:v>
                </c:pt>
                <c:pt idx="260">
                  <c:v>0.80542986425339369</c:v>
                </c:pt>
                <c:pt idx="261">
                  <c:v>0.80542986425339369</c:v>
                </c:pt>
                <c:pt idx="262">
                  <c:v>0.8080357142857143</c:v>
                </c:pt>
                <c:pt idx="263">
                  <c:v>0.80973451327433632</c:v>
                </c:pt>
                <c:pt idx="264">
                  <c:v>0.80263157894736847</c:v>
                </c:pt>
                <c:pt idx="265">
                  <c:v>0.80349344978165937</c:v>
                </c:pt>
                <c:pt idx="266">
                  <c:v>0.80434782608695654</c:v>
                </c:pt>
                <c:pt idx="267">
                  <c:v>0.80434782608695654</c:v>
                </c:pt>
                <c:pt idx="268">
                  <c:v>0.80434782608695654</c:v>
                </c:pt>
                <c:pt idx="269">
                  <c:v>0.80519480519480524</c:v>
                </c:pt>
                <c:pt idx="270">
                  <c:v>0.80519480519480524</c:v>
                </c:pt>
                <c:pt idx="271">
                  <c:v>0.80172413793103448</c:v>
                </c:pt>
                <c:pt idx="272">
                  <c:v>0.80172413793103448</c:v>
                </c:pt>
                <c:pt idx="273">
                  <c:v>0.80172413793103448</c:v>
                </c:pt>
                <c:pt idx="274">
                  <c:v>0.80172413793103448</c:v>
                </c:pt>
                <c:pt idx="275">
                  <c:v>0.80172413793103448</c:v>
                </c:pt>
                <c:pt idx="276">
                  <c:v>0.80172413793103448</c:v>
                </c:pt>
                <c:pt idx="277">
                  <c:v>0.80172413793103448</c:v>
                </c:pt>
                <c:pt idx="278">
                  <c:v>0.80172413793103448</c:v>
                </c:pt>
                <c:pt idx="279">
                  <c:v>0.80172413793103448</c:v>
                </c:pt>
                <c:pt idx="280">
                  <c:v>0.80172413793103448</c:v>
                </c:pt>
                <c:pt idx="281">
                  <c:v>0.80172413793103448</c:v>
                </c:pt>
                <c:pt idx="282">
                  <c:v>0.80172413793103448</c:v>
                </c:pt>
                <c:pt idx="283">
                  <c:v>0.80172413793103448</c:v>
                </c:pt>
                <c:pt idx="284">
                  <c:v>0.80172413793103448</c:v>
                </c:pt>
                <c:pt idx="285">
                  <c:v>0.80172413793103448</c:v>
                </c:pt>
                <c:pt idx="286">
                  <c:v>0.80172413793103448</c:v>
                </c:pt>
                <c:pt idx="287">
                  <c:v>0.80172413793103448</c:v>
                </c:pt>
                <c:pt idx="288">
                  <c:v>0.80172413793103448</c:v>
                </c:pt>
                <c:pt idx="289">
                  <c:v>0.80172413793103448</c:v>
                </c:pt>
                <c:pt idx="290">
                  <c:v>0.80172413793103448</c:v>
                </c:pt>
                <c:pt idx="291">
                  <c:v>0.80172413793103448</c:v>
                </c:pt>
                <c:pt idx="292">
                  <c:v>0.80172413793103448</c:v>
                </c:pt>
                <c:pt idx="293">
                  <c:v>0.80172413793103448</c:v>
                </c:pt>
                <c:pt idx="294">
                  <c:v>0.80172413793103448</c:v>
                </c:pt>
                <c:pt idx="295">
                  <c:v>0.80172413793103448</c:v>
                </c:pt>
                <c:pt idx="296">
                  <c:v>0.80172413793103448</c:v>
                </c:pt>
                <c:pt idx="297">
                  <c:v>0.80172413793103448</c:v>
                </c:pt>
                <c:pt idx="298">
                  <c:v>0.80172413793103448</c:v>
                </c:pt>
                <c:pt idx="299">
                  <c:v>0.80172413793103448</c:v>
                </c:pt>
                <c:pt idx="300">
                  <c:v>0.80172413793103448</c:v>
                </c:pt>
                <c:pt idx="301">
                  <c:v>0.80172413793103448</c:v>
                </c:pt>
                <c:pt idx="302">
                  <c:v>0.80172413793103448</c:v>
                </c:pt>
                <c:pt idx="303">
                  <c:v>0.80172413793103448</c:v>
                </c:pt>
                <c:pt idx="304">
                  <c:v>0.80172413793103448</c:v>
                </c:pt>
                <c:pt idx="305">
                  <c:v>0.80172413793103448</c:v>
                </c:pt>
                <c:pt idx="306">
                  <c:v>0.80172413793103448</c:v>
                </c:pt>
                <c:pt idx="307">
                  <c:v>0.80172413793103448</c:v>
                </c:pt>
                <c:pt idx="308">
                  <c:v>0.80172413793103448</c:v>
                </c:pt>
                <c:pt idx="309">
                  <c:v>0.80172413793103448</c:v>
                </c:pt>
                <c:pt idx="310">
                  <c:v>0.80172413793103448</c:v>
                </c:pt>
                <c:pt idx="311">
                  <c:v>0.80172413793103448</c:v>
                </c:pt>
                <c:pt idx="312">
                  <c:v>0.80172413793103448</c:v>
                </c:pt>
                <c:pt idx="313">
                  <c:v>0.80172413793103448</c:v>
                </c:pt>
                <c:pt idx="314">
                  <c:v>0.80172413793103448</c:v>
                </c:pt>
                <c:pt idx="315">
                  <c:v>0.80172413793103448</c:v>
                </c:pt>
                <c:pt idx="316">
                  <c:v>0.79914529914529919</c:v>
                </c:pt>
                <c:pt idx="317">
                  <c:v>0.79574468085106387</c:v>
                </c:pt>
                <c:pt idx="318">
                  <c:v>0.79574468085106387</c:v>
                </c:pt>
                <c:pt idx="319">
                  <c:v>0.7932489451476793</c:v>
                </c:pt>
                <c:pt idx="320">
                  <c:v>0.79497907949790791</c:v>
                </c:pt>
                <c:pt idx="321">
                  <c:v>0.79497907949790791</c:v>
                </c:pt>
                <c:pt idx="322">
                  <c:v>0.79497907949790791</c:v>
                </c:pt>
                <c:pt idx="323">
                  <c:v>0.79497907949790791</c:v>
                </c:pt>
                <c:pt idx="324">
                  <c:v>0.79497907949790791</c:v>
                </c:pt>
                <c:pt idx="325">
                  <c:v>0.79497907949790791</c:v>
                </c:pt>
                <c:pt idx="326">
                  <c:v>0.79497907949790791</c:v>
                </c:pt>
                <c:pt idx="327">
                  <c:v>0.79497907949790791</c:v>
                </c:pt>
                <c:pt idx="328">
                  <c:v>0.79497907949790791</c:v>
                </c:pt>
                <c:pt idx="329">
                  <c:v>0.79497907949790791</c:v>
                </c:pt>
                <c:pt idx="330">
                  <c:v>0.79497907949790791</c:v>
                </c:pt>
                <c:pt idx="331">
                  <c:v>0.79497907949790791</c:v>
                </c:pt>
                <c:pt idx="332">
                  <c:v>0.79497907949790791</c:v>
                </c:pt>
                <c:pt idx="333">
                  <c:v>0.79497907949790791</c:v>
                </c:pt>
                <c:pt idx="334">
                  <c:v>0.79668049792531115</c:v>
                </c:pt>
              </c:numCache>
            </c:numRef>
          </c:yVal>
          <c:smooth val="0"/>
          <c:extLst>
            <c:ext xmlns:c16="http://schemas.microsoft.com/office/drawing/2014/chart" uri="{C3380CC4-5D6E-409C-BE32-E72D297353CC}">
              <c16:uniqueId val="{00000000-E617-42BC-934D-258B7C2B242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Success Rate</a:t>
            </a:r>
            <a:r>
              <a:rPr lang="en-US" b="1" baseline="0"/>
              <a:t> - Hard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Daily!$AH$4:$AH$440</c:f>
              <c:numCache>
                <c:formatCode>0%</c:formatCode>
                <c:ptCount val="3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c:v>
                </c:pt>
                <c:pt idx="21">
                  <c:v>0.25</c:v>
                </c:pt>
                <c:pt idx="22">
                  <c:v>0.25</c:v>
                </c:pt>
                <c:pt idx="23">
                  <c:v>0.25</c:v>
                </c:pt>
                <c:pt idx="24">
                  <c:v>0.25</c:v>
                </c:pt>
                <c:pt idx="25">
                  <c:v>0.25</c:v>
                </c:pt>
                <c:pt idx="26">
                  <c:v>0.25</c:v>
                </c:pt>
                <c:pt idx="27">
                  <c:v>0.25</c:v>
                </c:pt>
                <c:pt idx="28">
                  <c:v>0.25</c:v>
                </c:pt>
                <c:pt idx="29">
                  <c:v>0.25</c:v>
                </c:pt>
                <c:pt idx="30">
                  <c:v>0.25</c:v>
                </c:pt>
                <c:pt idx="31">
                  <c:v>0.25</c:v>
                </c:pt>
                <c:pt idx="32">
                  <c:v>0.25</c:v>
                </c:pt>
                <c:pt idx="33">
                  <c:v>0.4</c:v>
                </c:pt>
                <c:pt idx="34">
                  <c:v>0.4</c:v>
                </c:pt>
                <c:pt idx="35">
                  <c:v>0.4</c:v>
                </c:pt>
                <c:pt idx="36">
                  <c:v>0.4</c:v>
                </c:pt>
                <c:pt idx="37">
                  <c:v>0.4</c:v>
                </c:pt>
                <c:pt idx="38">
                  <c:v>0.5</c:v>
                </c:pt>
                <c:pt idx="39">
                  <c:v>0.5</c:v>
                </c:pt>
                <c:pt idx="40">
                  <c:v>0.5</c:v>
                </c:pt>
                <c:pt idx="41">
                  <c:v>0.5714285714285714</c:v>
                </c:pt>
                <c:pt idx="42">
                  <c:v>0.5714285714285714</c:v>
                </c:pt>
                <c:pt idx="43">
                  <c:v>0.5714285714285714</c:v>
                </c:pt>
                <c:pt idx="44">
                  <c:v>0.5714285714285714</c:v>
                </c:pt>
                <c:pt idx="45">
                  <c:v>0.625</c:v>
                </c:pt>
                <c:pt idx="46">
                  <c:v>0.66666666666666663</c:v>
                </c:pt>
                <c:pt idx="47">
                  <c:v>0.66666666666666663</c:v>
                </c:pt>
                <c:pt idx="48">
                  <c:v>0.66666666666666663</c:v>
                </c:pt>
                <c:pt idx="49">
                  <c:v>0.66666666666666663</c:v>
                </c:pt>
                <c:pt idx="50">
                  <c:v>0.66666666666666663</c:v>
                </c:pt>
                <c:pt idx="51">
                  <c:v>0.66666666666666663</c:v>
                </c:pt>
                <c:pt idx="52">
                  <c:v>0.66666666666666663</c:v>
                </c:pt>
                <c:pt idx="53">
                  <c:v>0.6</c:v>
                </c:pt>
                <c:pt idx="54">
                  <c:v>0.6</c:v>
                </c:pt>
                <c:pt idx="55">
                  <c:v>0.6</c:v>
                </c:pt>
                <c:pt idx="56">
                  <c:v>0.54545454545454541</c:v>
                </c:pt>
                <c:pt idx="57">
                  <c:v>0.54545454545454541</c:v>
                </c:pt>
                <c:pt idx="58">
                  <c:v>0.54545454545454541</c:v>
                </c:pt>
                <c:pt idx="59">
                  <c:v>0.58333333333333337</c:v>
                </c:pt>
                <c:pt idx="60">
                  <c:v>0.6</c:v>
                </c:pt>
                <c:pt idx="61">
                  <c:v>0.6</c:v>
                </c:pt>
                <c:pt idx="62">
                  <c:v>0.6</c:v>
                </c:pt>
                <c:pt idx="63">
                  <c:v>0.66666666666666663</c:v>
                </c:pt>
                <c:pt idx="64">
                  <c:v>0.66666666666666663</c:v>
                </c:pt>
                <c:pt idx="65">
                  <c:v>0.66666666666666663</c:v>
                </c:pt>
                <c:pt idx="66">
                  <c:v>0.66666666666666663</c:v>
                </c:pt>
                <c:pt idx="67">
                  <c:v>0.66666666666666663</c:v>
                </c:pt>
                <c:pt idx="68">
                  <c:v>0.66666666666666663</c:v>
                </c:pt>
                <c:pt idx="69">
                  <c:v>0.66666666666666663</c:v>
                </c:pt>
                <c:pt idx="70">
                  <c:v>0.66666666666666663</c:v>
                </c:pt>
                <c:pt idx="71">
                  <c:v>0.66666666666666663</c:v>
                </c:pt>
                <c:pt idx="72">
                  <c:v>0.66666666666666663</c:v>
                </c:pt>
                <c:pt idx="73">
                  <c:v>0.66666666666666663</c:v>
                </c:pt>
                <c:pt idx="74">
                  <c:v>0.66666666666666663</c:v>
                </c:pt>
                <c:pt idx="75">
                  <c:v>0.66666666666666663</c:v>
                </c:pt>
                <c:pt idx="76">
                  <c:v>0.66666666666666663</c:v>
                </c:pt>
                <c:pt idx="77">
                  <c:v>0.63157894736842102</c:v>
                </c:pt>
                <c:pt idx="78">
                  <c:v>0.63157894736842102</c:v>
                </c:pt>
                <c:pt idx="79">
                  <c:v>0.63157894736842102</c:v>
                </c:pt>
                <c:pt idx="80">
                  <c:v>0.65</c:v>
                </c:pt>
                <c:pt idx="81">
                  <c:v>0.66666666666666663</c:v>
                </c:pt>
                <c:pt idx="82">
                  <c:v>0.63636363636363635</c:v>
                </c:pt>
                <c:pt idx="83">
                  <c:v>0.63636363636363635</c:v>
                </c:pt>
                <c:pt idx="84">
                  <c:v>0.58333333333333337</c:v>
                </c:pt>
                <c:pt idx="85">
                  <c:v>0.58333333333333337</c:v>
                </c:pt>
                <c:pt idx="86">
                  <c:v>0.58333333333333337</c:v>
                </c:pt>
                <c:pt idx="87">
                  <c:v>0.6</c:v>
                </c:pt>
                <c:pt idx="88">
                  <c:v>0.61538461538461542</c:v>
                </c:pt>
                <c:pt idx="89">
                  <c:v>0.61538461538461542</c:v>
                </c:pt>
                <c:pt idx="90">
                  <c:v>0.6071428571428571</c:v>
                </c:pt>
                <c:pt idx="91">
                  <c:v>0.62068965517241381</c:v>
                </c:pt>
                <c:pt idx="92">
                  <c:v>0.62068965517241381</c:v>
                </c:pt>
                <c:pt idx="93">
                  <c:v>0.62068965517241381</c:v>
                </c:pt>
                <c:pt idx="94">
                  <c:v>0.6</c:v>
                </c:pt>
                <c:pt idx="95">
                  <c:v>0.625</c:v>
                </c:pt>
                <c:pt idx="96">
                  <c:v>0.625</c:v>
                </c:pt>
                <c:pt idx="97">
                  <c:v>0.63636363636363635</c:v>
                </c:pt>
                <c:pt idx="98">
                  <c:v>0.63636363636363635</c:v>
                </c:pt>
                <c:pt idx="99">
                  <c:v>0.63636363636363635</c:v>
                </c:pt>
                <c:pt idx="100">
                  <c:v>0.63636363636363635</c:v>
                </c:pt>
                <c:pt idx="101">
                  <c:v>0.6470588235294118</c:v>
                </c:pt>
                <c:pt idx="102">
                  <c:v>0.6470588235294118</c:v>
                </c:pt>
                <c:pt idx="103">
                  <c:v>0.65714285714285714</c:v>
                </c:pt>
                <c:pt idx="104">
                  <c:v>0.63888888888888884</c:v>
                </c:pt>
                <c:pt idx="105">
                  <c:v>0.64864864864864868</c:v>
                </c:pt>
                <c:pt idx="106">
                  <c:v>0.64864864864864868</c:v>
                </c:pt>
                <c:pt idx="107">
                  <c:v>0.64864864864864868</c:v>
                </c:pt>
                <c:pt idx="108">
                  <c:v>0.63157894736842102</c:v>
                </c:pt>
                <c:pt idx="109">
                  <c:v>0.65</c:v>
                </c:pt>
                <c:pt idx="110">
                  <c:v>0.63414634146341464</c:v>
                </c:pt>
                <c:pt idx="111">
                  <c:v>0.6428571428571429</c:v>
                </c:pt>
                <c:pt idx="112">
                  <c:v>0.6428571428571429</c:v>
                </c:pt>
                <c:pt idx="113">
                  <c:v>0.6428571428571429</c:v>
                </c:pt>
                <c:pt idx="114">
                  <c:v>0.6428571428571429</c:v>
                </c:pt>
                <c:pt idx="115">
                  <c:v>0.6428571428571429</c:v>
                </c:pt>
                <c:pt idx="116">
                  <c:v>0.6428571428571429</c:v>
                </c:pt>
                <c:pt idx="117">
                  <c:v>0.6428571428571429</c:v>
                </c:pt>
                <c:pt idx="118">
                  <c:v>0.6428571428571429</c:v>
                </c:pt>
                <c:pt idx="119">
                  <c:v>0.6428571428571429</c:v>
                </c:pt>
                <c:pt idx="120">
                  <c:v>0.6428571428571429</c:v>
                </c:pt>
                <c:pt idx="121">
                  <c:v>0.6428571428571429</c:v>
                </c:pt>
                <c:pt idx="122">
                  <c:v>0.6428571428571429</c:v>
                </c:pt>
                <c:pt idx="123">
                  <c:v>0.6428571428571429</c:v>
                </c:pt>
                <c:pt idx="124">
                  <c:v>0.6428571428571429</c:v>
                </c:pt>
                <c:pt idx="125">
                  <c:v>0.6428571428571429</c:v>
                </c:pt>
                <c:pt idx="126">
                  <c:v>0.6428571428571429</c:v>
                </c:pt>
                <c:pt idx="127">
                  <c:v>0.6428571428571429</c:v>
                </c:pt>
                <c:pt idx="128">
                  <c:v>0.6428571428571429</c:v>
                </c:pt>
                <c:pt idx="129">
                  <c:v>0.6428571428571429</c:v>
                </c:pt>
                <c:pt idx="130">
                  <c:v>0.6428571428571429</c:v>
                </c:pt>
                <c:pt idx="131">
                  <c:v>0.6428571428571429</c:v>
                </c:pt>
                <c:pt idx="132">
                  <c:v>0.6428571428571429</c:v>
                </c:pt>
                <c:pt idx="133">
                  <c:v>0.6428571428571429</c:v>
                </c:pt>
                <c:pt idx="134">
                  <c:v>0.6428571428571429</c:v>
                </c:pt>
                <c:pt idx="135">
                  <c:v>0.6428571428571429</c:v>
                </c:pt>
                <c:pt idx="136">
                  <c:v>0.6428571428571429</c:v>
                </c:pt>
                <c:pt idx="137">
                  <c:v>0.6428571428571429</c:v>
                </c:pt>
                <c:pt idx="138">
                  <c:v>0.6428571428571429</c:v>
                </c:pt>
                <c:pt idx="139">
                  <c:v>0.6428571428571429</c:v>
                </c:pt>
                <c:pt idx="140">
                  <c:v>0.6428571428571429</c:v>
                </c:pt>
                <c:pt idx="141">
                  <c:v>0.6428571428571429</c:v>
                </c:pt>
                <c:pt idx="142">
                  <c:v>0.6428571428571429</c:v>
                </c:pt>
                <c:pt idx="143">
                  <c:v>0.6428571428571429</c:v>
                </c:pt>
                <c:pt idx="144">
                  <c:v>0.6428571428571429</c:v>
                </c:pt>
                <c:pt idx="145">
                  <c:v>0.6428571428571429</c:v>
                </c:pt>
                <c:pt idx="146">
                  <c:v>0.6428571428571429</c:v>
                </c:pt>
                <c:pt idx="147">
                  <c:v>0.6428571428571429</c:v>
                </c:pt>
                <c:pt idx="148">
                  <c:v>0.6428571428571429</c:v>
                </c:pt>
                <c:pt idx="149">
                  <c:v>0.6428571428571429</c:v>
                </c:pt>
                <c:pt idx="150">
                  <c:v>0.6428571428571429</c:v>
                </c:pt>
                <c:pt idx="151">
                  <c:v>0.6428571428571429</c:v>
                </c:pt>
                <c:pt idx="152">
                  <c:v>0.6428571428571429</c:v>
                </c:pt>
                <c:pt idx="153">
                  <c:v>0.6428571428571429</c:v>
                </c:pt>
                <c:pt idx="154">
                  <c:v>0.6428571428571429</c:v>
                </c:pt>
                <c:pt idx="155">
                  <c:v>0.6428571428571429</c:v>
                </c:pt>
                <c:pt idx="156">
                  <c:v>0.6428571428571429</c:v>
                </c:pt>
                <c:pt idx="157">
                  <c:v>0.6428571428571429</c:v>
                </c:pt>
                <c:pt idx="158">
                  <c:v>0.6428571428571429</c:v>
                </c:pt>
                <c:pt idx="159">
                  <c:v>0.6428571428571429</c:v>
                </c:pt>
                <c:pt idx="160">
                  <c:v>0.6428571428571429</c:v>
                </c:pt>
                <c:pt idx="161">
                  <c:v>0.6428571428571429</c:v>
                </c:pt>
                <c:pt idx="162">
                  <c:v>0.6428571428571429</c:v>
                </c:pt>
                <c:pt idx="163">
                  <c:v>0.6428571428571429</c:v>
                </c:pt>
                <c:pt idx="164">
                  <c:v>0.6428571428571429</c:v>
                </c:pt>
                <c:pt idx="165">
                  <c:v>0.6428571428571429</c:v>
                </c:pt>
                <c:pt idx="166">
                  <c:v>0.6428571428571429</c:v>
                </c:pt>
                <c:pt idx="167">
                  <c:v>0.6428571428571429</c:v>
                </c:pt>
                <c:pt idx="168">
                  <c:v>0.6428571428571429</c:v>
                </c:pt>
                <c:pt idx="169">
                  <c:v>0.6428571428571429</c:v>
                </c:pt>
                <c:pt idx="170">
                  <c:v>0.6428571428571429</c:v>
                </c:pt>
                <c:pt idx="171">
                  <c:v>0.6428571428571429</c:v>
                </c:pt>
                <c:pt idx="172">
                  <c:v>0.6428571428571429</c:v>
                </c:pt>
                <c:pt idx="173">
                  <c:v>0.6428571428571429</c:v>
                </c:pt>
                <c:pt idx="174">
                  <c:v>0.6428571428571429</c:v>
                </c:pt>
                <c:pt idx="175">
                  <c:v>0.6428571428571429</c:v>
                </c:pt>
                <c:pt idx="176">
                  <c:v>0.6428571428571429</c:v>
                </c:pt>
                <c:pt idx="177">
                  <c:v>0.6428571428571429</c:v>
                </c:pt>
                <c:pt idx="178">
                  <c:v>0.6428571428571429</c:v>
                </c:pt>
                <c:pt idx="179">
                  <c:v>0.6428571428571429</c:v>
                </c:pt>
                <c:pt idx="180">
                  <c:v>0.6428571428571429</c:v>
                </c:pt>
                <c:pt idx="181">
                  <c:v>0.6428571428571429</c:v>
                </c:pt>
                <c:pt idx="182">
                  <c:v>0.6428571428571429</c:v>
                </c:pt>
                <c:pt idx="183">
                  <c:v>0.6428571428571429</c:v>
                </c:pt>
                <c:pt idx="184">
                  <c:v>0.6428571428571429</c:v>
                </c:pt>
                <c:pt idx="185">
                  <c:v>0.6428571428571429</c:v>
                </c:pt>
                <c:pt idx="186">
                  <c:v>0.6428571428571429</c:v>
                </c:pt>
                <c:pt idx="187">
                  <c:v>0.6428571428571429</c:v>
                </c:pt>
                <c:pt idx="188">
                  <c:v>0.6428571428571429</c:v>
                </c:pt>
                <c:pt idx="189">
                  <c:v>0.6428571428571429</c:v>
                </c:pt>
                <c:pt idx="190">
                  <c:v>0.6428571428571429</c:v>
                </c:pt>
                <c:pt idx="191">
                  <c:v>0.6428571428571429</c:v>
                </c:pt>
                <c:pt idx="192">
                  <c:v>0.6428571428571429</c:v>
                </c:pt>
                <c:pt idx="193">
                  <c:v>0.6428571428571429</c:v>
                </c:pt>
                <c:pt idx="194">
                  <c:v>0.6428571428571429</c:v>
                </c:pt>
                <c:pt idx="195">
                  <c:v>0.6428571428571429</c:v>
                </c:pt>
                <c:pt idx="196">
                  <c:v>0.6428571428571429</c:v>
                </c:pt>
                <c:pt idx="197">
                  <c:v>0.6428571428571429</c:v>
                </c:pt>
                <c:pt idx="198">
                  <c:v>0.6428571428571429</c:v>
                </c:pt>
                <c:pt idx="199">
                  <c:v>0.6428571428571429</c:v>
                </c:pt>
                <c:pt idx="200">
                  <c:v>0.6428571428571429</c:v>
                </c:pt>
                <c:pt idx="201">
                  <c:v>0.6428571428571429</c:v>
                </c:pt>
                <c:pt idx="202">
                  <c:v>0.6428571428571429</c:v>
                </c:pt>
                <c:pt idx="203">
                  <c:v>0.6428571428571429</c:v>
                </c:pt>
                <c:pt idx="204">
                  <c:v>0.6428571428571429</c:v>
                </c:pt>
                <c:pt idx="205">
                  <c:v>0.6428571428571429</c:v>
                </c:pt>
                <c:pt idx="206">
                  <c:v>0.6428571428571429</c:v>
                </c:pt>
                <c:pt idx="207">
                  <c:v>0.6428571428571429</c:v>
                </c:pt>
                <c:pt idx="208">
                  <c:v>0.6428571428571429</c:v>
                </c:pt>
                <c:pt idx="209">
                  <c:v>0.6428571428571429</c:v>
                </c:pt>
                <c:pt idx="210">
                  <c:v>0.6428571428571429</c:v>
                </c:pt>
                <c:pt idx="211">
                  <c:v>0.6428571428571429</c:v>
                </c:pt>
                <c:pt idx="212">
                  <c:v>0.6428571428571429</c:v>
                </c:pt>
                <c:pt idx="213">
                  <c:v>0.6428571428571429</c:v>
                </c:pt>
                <c:pt idx="214">
                  <c:v>0.6428571428571429</c:v>
                </c:pt>
                <c:pt idx="215">
                  <c:v>0.6428571428571429</c:v>
                </c:pt>
                <c:pt idx="216">
                  <c:v>0.6428571428571429</c:v>
                </c:pt>
                <c:pt idx="217">
                  <c:v>0.6428571428571429</c:v>
                </c:pt>
                <c:pt idx="218">
                  <c:v>0.6428571428571429</c:v>
                </c:pt>
                <c:pt idx="219">
                  <c:v>0.6428571428571429</c:v>
                </c:pt>
                <c:pt idx="220">
                  <c:v>0.6428571428571429</c:v>
                </c:pt>
                <c:pt idx="221">
                  <c:v>0.6428571428571429</c:v>
                </c:pt>
                <c:pt idx="222">
                  <c:v>0.6428571428571429</c:v>
                </c:pt>
                <c:pt idx="223">
                  <c:v>0.6428571428571429</c:v>
                </c:pt>
                <c:pt idx="224">
                  <c:v>0.6428571428571429</c:v>
                </c:pt>
                <c:pt idx="225">
                  <c:v>0.6428571428571429</c:v>
                </c:pt>
                <c:pt idx="226">
                  <c:v>0.6428571428571429</c:v>
                </c:pt>
                <c:pt idx="227">
                  <c:v>0.6428571428571429</c:v>
                </c:pt>
                <c:pt idx="228">
                  <c:v>0.6428571428571429</c:v>
                </c:pt>
                <c:pt idx="229">
                  <c:v>0.6428571428571429</c:v>
                </c:pt>
                <c:pt idx="230">
                  <c:v>0.6428571428571429</c:v>
                </c:pt>
                <c:pt idx="231">
                  <c:v>0.6428571428571429</c:v>
                </c:pt>
                <c:pt idx="232">
                  <c:v>0.6428571428571429</c:v>
                </c:pt>
                <c:pt idx="233">
                  <c:v>0.6428571428571429</c:v>
                </c:pt>
                <c:pt idx="234">
                  <c:v>0.6428571428571429</c:v>
                </c:pt>
                <c:pt idx="235">
                  <c:v>0.6428571428571429</c:v>
                </c:pt>
                <c:pt idx="236">
                  <c:v>0.6428571428571429</c:v>
                </c:pt>
                <c:pt idx="237">
                  <c:v>0.6428571428571429</c:v>
                </c:pt>
                <c:pt idx="238">
                  <c:v>0.6428571428571429</c:v>
                </c:pt>
                <c:pt idx="239">
                  <c:v>0.6428571428571429</c:v>
                </c:pt>
                <c:pt idx="240">
                  <c:v>0.6428571428571429</c:v>
                </c:pt>
                <c:pt idx="241">
                  <c:v>0.6428571428571429</c:v>
                </c:pt>
                <c:pt idx="242">
                  <c:v>0.6428571428571429</c:v>
                </c:pt>
                <c:pt idx="243">
                  <c:v>0.6428571428571429</c:v>
                </c:pt>
                <c:pt idx="244">
                  <c:v>0.6428571428571429</c:v>
                </c:pt>
                <c:pt idx="245">
                  <c:v>0.6428571428571429</c:v>
                </c:pt>
                <c:pt idx="246">
                  <c:v>0.6428571428571429</c:v>
                </c:pt>
                <c:pt idx="247">
                  <c:v>0.6428571428571429</c:v>
                </c:pt>
                <c:pt idx="248">
                  <c:v>0.6428571428571429</c:v>
                </c:pt>
                <c:pt idx="249">
                  <c:v>0.6428571428571429</c:v>
                </c:pt>
                <c:pt idx="250">
                  <c:v>0.6428571428571429</c:v>
                </c:pt>
                <c:pt idx="251">
                  <c:v>0.6428571428571429</c:v>
                </c:pt>
                <c:pt idx="252">
                  <c:v>0.6428571428571429</c:v>
                </c:pt>
                <c:pt idx="253">
                  <c:v>0.6428571428571429</c:v>
                </c:pt>
                <c:pt idx="254">
                  <c:v>0.6428571428571429</c:v>
                </c:pt>
                <c:pt idx="255">
                  <c:v>0.6428571428571429</c:v>
                </c:pt>
                <c:pt idx="256">
                  <c:v>0.6428571428571429</c:v>
                </c:pt>
                <c:pt idx="257">
                  <c:v>0.6428571428571429</c:v>
                </c:pt>
                <c:pt idx="258">
                  <c:v>0.6428571428571429</c:v>
                </c:pt>
                <c:pt idx="259">
                  <c:v>0.6428571428571429</c:v>
                </c:pt>
                <c:pt idx="260">
                  <c:v>0.6428571428571429</c:v>
                </c:pt>
                <c:pt idx="261">
                  <c:v>0.6428571428571429</c:v>
                </c:pt>
                <c:pt idx="262">
                  <c:v>0.6428571428571429</c:v>
                </c:pt>
                <c:pt idx="263">
                  <c:v>0.6428571428571429</c:v>
                </c:pt>
                <c:pt idx="264">
                  <c:v>0.6428571428571429</c:v>
                </c:pt>
                <c:pt idx="265">
                  <c:v>0.6428571428571429</c:v>
                </c:pt>
                <c:pt idx="266">
                  <c:v>0.6428571428571429</c:v>
                </c:pt>
                <c:pt idx="267">
                  <c:v>0.6428571428571429</c:v>
                </c:pt>
                <c:pt idx="268">
                  <c:v>0.6428571428571429</c:v>
                </c:pt>
                <c:pt idx="269">
                  <c:v>0.6428571428571429</c:v>
                </c:pt>
                <c:pt idx="270">
                  <c:v>0.6428571428571429</c:v>
                </c:pt>
                <c:pt idx="271">
                  <c:v>0.6428571428571429</c:v>
                </c:pt>
                <c:pt idx="272">
                  <c:v>0.6428571428571429</c:v>
                </c:pt>
                <c:pt idx="273">
                  <c:v>0.6428571428571429</c:v>
                </c:pt>
                <c:pt idx="274">
                  <c:v>0.6428571428571429</c:v>
                </c:pt>
                <c:pt idx="275">
                  <c:v>0.6428571428571429</c:v>
                </c:pt>
                <c:pt idx="276">
                  <c:v>0.6428571428571429</c:v>
                </c:pt>
                <c:pt idx="277">
                  <c:v>0.6428571428571429</c:v>
                </c:pt>
                <c:pt idx="278">
                  <c:v>0.6428571428571429</c:v>
                </c:pt>
                <c:pt idx="279">
                  <c:v>0.6428571428571429</c:v>
                </c:pt>
                <c:pt idx="280">
                  <c:v>0.6428571428571429</c:v>
                </c:pt>
                <c:pt idx="281">
                  <c:v>0.6428571428571429</c:v>
                </c:pt>
                <c:pt idx="282">
                  <c:v>0.6428571428571429</c:v>
                </c:pt>
                <c:pt idx="283">
                  <c:v>0.6428571428571429</c:v>
                </c:pt>
                <c:pt idx="284">
                  <c:v>0.6428571428571429</c:v>
                </c:pt>
                <c:pt idx="285">
                  <c:v>0.6428571428571429</c:v>
                </c:pt>
                <c:pt idx="286">
                  <c:v>0.6428571428571429</c:v>
                </c:pt>
                <c:pt idx="287">
                  <c:v>0.6428571428571429</c:v>
                </c:pt>
                <c:pt idx="288">
                  <c:v>0.6428571428571429</c:v>
                </c:pt>
                <c:pt idx="289">
                  <c:v>0.6428571428571429</c:v>
                </c:pt>
                <c:pt idx="290">
                  <c:v>0.6428571428571429</c:v>
                </c:pt>
                <c:pt idx="291">
                  <c:v>0.6428571428571429</c:v>
                </c:pt>
                <c:pt idx="292">
                  <c:v>0.6428571428571429</c:v>
                </c:pt>
                <c:pt idx="293">
                  <c:v>0.6428571428571429</c:v>
                </c:pt>
                <c:pt idx="294">
                  <c:v>0.6428571428571429</c:v>
                </c:pt>
                <c:pt idx="295">
                  <c:v>0.6428571428571429</c:v>
                </c:pt>
                <c:pt idx="296">
                  <c:v>0.6428571428571429</c:v>
                </c:pt>
                <c:pt idx="297">
                  <c:v>0.6428571428571429</c:v>
                </c:pt>
                <c:pt idx="298">
                  <c:v>0.6428571428571429</c:v>
                </c:pt>
                <c:pt idx="299">
                  <c:v>0.6428571428571429</c:v>
                </c:pt>
                <c:pt idx="300">
                  <c:v>0.6428571428571429</c:v>
                </c:pt>
                <c:pt idx="301">
                  <c:v>0.6428571428571429</c:v>
                </c:pt>
                <c:pt idx="302">
                  <c:v>0.6428571428571429</c:v>
                </c:pt>
                <c:pt idx="303">
                  <c:v>0.6428571428571429</c:v>
                </c:pt>
                <c:pt idx="304">
                  <c:v>0.6428571428571429</c:v>
                </c:pt>
                <c:pt idx="305">
                  <c:v>0.6428571428571429</c:v>
                </c:pt>
                <c:pt idx="306">
                  <c:v>0.6428571428571429</c:v>
                </c:pt>
                <c:pt idx="307">
                  <c:v>0.6428571428571429</c:v>
                </c:pt>
                <c:pt idx="308">
                  <c:v>0.6428571428571429</c:v>
                </c:pt>
                <c:pt idx="309">
                  <c:v>0.6428571428571429</c:v>
                </c:pt>
                <c:pt idx="310">
                  <c:v>0.6428571428571429</c:v>
                </c:pt>
                <c:pt idx="311">
                  <c:v>0.6428571428571429</c:v>
                </c:pt>
                <c:pt idx="312">
                  <c:v>0.6428571428571429</c:v>
                </c:pt>
                <c:pt idx="313">
                  <c:v>0.6428571428571429</c:v>
                </c:pt>
                <c:pt idx="314">
                  <c:v>0.6428571428571429</c:v>
                </c:pt>
                <c:pt idx="315">
                  <c:v>0.6428571428571429</c:v>
                </c:pt>
                <c:pt idx="316">
                  <c:v>0.6428571428571429</c:v>
                </c:pt>
                <c:pt idx="317">
                  <c:v>0.6428571428571429</c:v>
                </c:pt>
                <c:pt idx="318">
                  <c:v>0.6428571428571429</c:v>
                </c:pt>
                <c:pt idx="319">
                  <c:v>0.6428571428571429</c:v>
                </c:pt>
                <c:pt idx="320">
                  <c:v>0.6428571428571429</c:v>
                </c:pt>
                <c:pt idx="321">
                  <c:v>0.6428571428571429</c:v>
                </c:pt>
                <c:pt idx="322">
                  <c:v>0.6428571428571429</c:v>
                </c:pt>
                <c:pt idx="323">
                  <c:v>0.6428571428571429</c:v>
                </c:pt>
                <c:pt idx="324">
                  <c:v>0.6428571428571429</c:v>
                </c:pt>
                <c:pt idx="325">
                  <c:v>0.6428571428571429</c:v>
                </c:pt>
                <c:pt idx="326">
                  <c:v>0.6428571428571429</c:v>
                </c:pt>
                <c:pt idx="327">
                  <c:v>0.6428571428571429</c:v>
                </c:pt>
                <c:pt idx="328">
                  <c:v>0.6428571428571429</c:v>
                </c:pt>
                <c:pt idx="329">
                  <c:v>0.6428571428571429</c:v>
                </c:pt>
                <c:pt idx="330">
                  <c:v>0.6428571428571429</c:v>
                </c:pt>
                <c:pt idx="331">
                  <c:v>0.6428571428571429</c:v>
                </c:pt>
                <c:pt idx="332">
                  <c:v>0.6428571428571429</c:v>
                </c:pt>
                <c:pt idx="333">
                  <c:v>0.6428571428571429</c:v>
                </c:pt>
                <c:pt idx="334">
                  <c:v>0.6428571428571429</c:v>
                </c:pt>
              </c:numCache>
            </c:numRef>
          </c:yVal>
          <c:smooth val="0"/>
          <c:extLst>
            <c:ext xmlns:c16="http://schemas.microsoft.com/office/drawing/2014/chart" uri="{C3380CC4-5D6E-409C-BE32-E72D297353CC}">
              <c16:uniqueId val="{00000000-E617-42BC-934D-258B7C2B242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Success Rate</a:t>
            </a:r>
            <a:r>
              <a:rPr lang="en-US" b="1" baseline="0"/>
              <a:t> - Total</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Daily!$AM$4:$AM$440</c:f>
              <c:numCache>
                <c:formatCode>0%</c:formatCode>
                <c:ptCount val="335"/>
                <c:pt idx="0">
                  <c:v>1</c:v>
                </c:pt>
                <c:pt idx="1">
                  <c:v>1</c:v>
                </c:pt>
                <c:pt idx="2">
                  <c:v>1</c:v>
                </c:pt>
                <c:pt idx="3">
                  <c:v>1</c:v>
                </c:pt>
                <c:pt idx="4">
                  <c:v>0.93333333333333335</c:v>
                </c:pt>
                <c:pt idx="5">
                  <c:v>0.88461538461538458</c:v>
                </c:pt>
                <c:pt idx="6">
                  <c:v>0.86206896551724133</c:v>
                </c:pt>
                <c:pt idx="7">
                  <c:v>0.84848484848484851</c:v>
                </c:pt>
                <c:pt idx="8">
                  <c:v>0.84848484848484851</c:v>
                </c:pt>
                <c:pt idx="9">
                  <c:v>0.84848484848484851</c:v>
                </c:pt>
                <c:pt idx="10">
                  <c:v>0.80555555555555558</c:v>
                </c:pt>
                <c:pt idx="11">
                  <c:v>0.79487179487179482</c:v>
                </c:pt>
                <c:pt idx="12">
                  <c:v>0.79545454545454541</c:v>
                </c:pt>
                <c:pt idx="13">
                  <c:v>0.78431372549019607</c:v>
                </c:pt>
                <c:pt idx="14">
                  <c:v>0.78181818181818186</c:v>
                </c:pt>
                <c:pt idx="15">
                  <c:v>0.78181818181818186</c:v>
                </c:pt>
                <c:pt idx="16">
                  <c:v>0.7678571428571429</c:v>
                </c:pt>
                <c:pt idx="17">
                  <c:v>0.76666666666666672</c:v>
                </c:pt>
                <c:pt idx="18">
                  <c:v>0.77272727272727271</c:v>
                </c:pt>
                <c:pt idx="19">
                  <c:v>0.76811594202898548</c:v>
                </c:pt>
                <c:pt idx="20">
                  <c:v>0.77027027027027029</c:v>
                </c:pt>
                <c:pt idx="21">
                  <c:v>0.75</c:v>
                </c:pt>
                <c:pt idx="22">
                  <c:v>0.75</c:v>
                </c:pt>
                <c:pt idx="23">
                  <c:v>0.75</c:v>
                </c:pt>
                <c:pt idx="24">
                  <c:v>0.74683544303797467</c:v>
                </c:pt>
                <c:pt idx="25">
                  <c:v>0.76190476190476186</c:v>
                </c:pt>
                <c:pt idx="26">
                  <c:v>0.76190476190476186</c:v>
                </c:pt>
                <c:pt idx="27">
                  <c:v>0.76190476190476186</c:v>
                </c:pt>
                <c:pt idx="28">
                  <c:v>0.75294117647058822</c:v>
                </c:pt>
                <c:pt idx="29">
                  <c:v>0.75294117647058822</c:v>
                </c:pt>
                <c:pt idx="30">
                  <c:v>0.75294117647058822</c:v>
                </c:pt>
                <c:pt idx="31">
                  <c:v>0.76923076923076927</c:v>
                </c:pt>
                <c:pt idx="32">
                  <c:v>0.77083333333333337</c:v>
                </c:pt>
                <c:pt idx="33">
                  <c:v>0.78431372549019607</c:v>
                </c:pt>
                <c:pt idx="34">
                  <c:v>0.78431372549019607</c:v>
                </c:pt>
                <c:pt idx="35">
                  <c:v>0.78431372549019607</c:v>
                </c:pt>
                <c:pt idx="36">
                  <c:v>0.78431372549019607</c:v>
                </c:pt>
                <c:pt idx="37">
                  <c:v>0.78431372549019607</c:v>
                </c:pt>
                <c:pt idx="38">
                  <c:v>0.79439252336448596</c:v>
                </c:pt>
                <c:pt idx="39">
                  <c:v>0.80180180180180183</c:v>
                </c:pt>
                <c:pt idx="40">
                  <c:v>0.7946428571428571</c:v>
                </c:pt>
                <c:pt idx="41">
                  <c:v>0.79487179487179482</c:v>
                </c:pt>
                <c:pt idx="42">
                  <c:v>0.79487179487179482</c:v>
                </c:pt>
                <c:pt idx="43">
                  <c:v>0.79487179487179482</c:v>
                </c:pt>
                <c:pt idx="44">
                  <c:v>0.79487179487179482</c:v>
                </c:pt>
                <c:pt idx="45">
                  <c:v>0.79661016949152541</c:v>
                </c:pt>
                <c:pt idx="46">
                  <c:v>0.79508196721311475</c:v>
                </c:pt>
                <c:pt idx="47">
                  <c:v>0.8</c:v>
                </c:pt>
                <c:pt idx="48">
                  <c:v>0.80314960629921262</c:v>
                </c:pt>
                <c:pt idx="49">
                  <c:v>0.8046875</c:v>
                </c:pt>
                <c:pt idx="50">
                  <c:v>0.8046875</c:v>
                </c:pt>
                <c:pt idx="51">
                  <c:v>0.8046875</c:v>
                </c:pt>
                <c:pt idx="52">
                  <c:v>0.81060606060606055</c:v>
                </c:pt>
                <c:pt idx="53">
                  <c:v>0.81021897810218979</c:v>
                </c:pt>
                <c:pt idx="54">
                  <c:v>0.81294964028776984</c:v>
                </c:pt>
                <c:pt idx="55">
                  <c:v>0.8098591549295775</c:v>
                </c:pt>
                <c:pt idx="56">
                  <c:v>0.80136986301369861</c:v>
                </c:pt>
                <c:pt idx="57">
                  <c:v>0.80136986301369861</c:v>
                </c:pt>
                <c:pt idx="58">
                  <c:v>0.80136986301369861</c:v>
                </c:pt>
                <c:pt idx="59">
                  <c:v>0.80519480519480524</c:v>
                </c:pt>
                <c:pt idx="60">
                  <c:v>0.80745341614906829</c:v>
                </c:pt>
                <c:pt idx="61">
                  <c:v>0.80606060606060603</c:v>
                </c:pt>
                <c:pt idx="62">
                  <c:v>0.8035714285714286</c:v>
                </c:pt>
                <c:pt idx="63">
                  <c:v>0.8125</c:v>
                </c:pt>
                <c:pt idx="64">
                  <c:v>0.8125</c:v>
                </c:pt>
                <c:pt idx="65">
                  <c:v>0.8125</c:v>
                </c:pt>
                <c:pt idx="66">
                  <c:v>0.8125</c:v>
                </c:pt>
                <c:pt idx="67">
                  <c:v>0.8125</c:v>
                </c:pt>
                <c:pt idx="68">
                  <c:v>0.8125</c:v>
                </c:pt>
                <c:pt idx="69">
                  <c:v>0.8125</c:v>
                </c:pt>
                <c:pt idx="70">
                  <c:v>0.81355932203389836</c:v>
                </c:pt>
                <c:pt idx="71">
                  <c:v>0.81355932203389836</c:v>
                </c:pt>
                <c:pt idx="72">
                  <c:v>0.81355932203389836</c:v>
                </c:pt>
                <c:pt idx="73">
                  <c:v>0.81355932203389836</c:v>
                </c:pt>
                <c:pt idx="74">
                  <c:v>0.81767955801104975</c:v>
                </c:pt>
                <c:pt idx="75">
                  <c:v>0.82065217391304346</c:v>
                </c:pt>
                <c:pt idx="76">
                  <c:v>0.82258064516129037</c:v>
                </c:pt>
                <c:pt idx="77">
                  <c:v>0.82010582010582012</c:v>
                </c:pt>
                <c:pt idx="78">
                  <c:v>0.82198952879581155</c:v>
                </c:pt>
                <c:pt idx="79">
                  <c:v>0.82383419689119175</c:v>
                </c:pt>
                <c:pt idx="80">
                  <c:v>0.82233502538071068</c:v>
                </c:pt>
                <c:pt idx="81">
                  <c:v>0.82499999999999996</c:v>
                </c:pt>
                <c:pt idx="82">
                  <c:v>0.82266009852216748</c:v>
                </c:pt>
                <c:pt idx="83">
                  <c:v>0.82439024390243898</c:v>
                </c:pt>
                <c:pt idx="84">
                  <c:v>0.81904761904761902</c:v>
                </c:pt>
                <c:pt idx="85">
                  <c:v>0.81904761904761902</c:v>
                </c:pt>
                <c:pt idx="86">
                  <c:v>0.81904761904761902</c:v>
                </c:pt>
                <c:pt idx="87">
                  <c:v>0.82325581395348835</c:v>
                </c:pt>
                <c:pt idx="88">
                  <c:v>0.82727272727272727</c:v>
                </c:pt>
                <c:pt idx="89">
                  <c:v>0.8258928571428571</c:v>
                </c:pt>
                <c:pt idx="90">
                  <c:v>0.82378854625550657</c:v>
                </c:pt>
                <c:pt idx="91">
                  <c:v>0.82758620689655171</c:v>
                </c:pt>
                <c:pt idx="92">
                  <c:v>0.82758620689655171</c:v>
                </c:pt>
                <c:pt idx="93">
                  <c:v>0.82758620689655171</c:v>
                </c:pt>
                <c:pt idx="94">
                  <c:v>0.82553191489361699</c:v>
                </c:pt>
                <c:pt idx="95">
                  <c:v>0.82987551867219922</c:v>
                </c:pt>
                <c:pt idx="96">
                  <c:v>0.83196721311475408</c:v>
                </c:pt>
                <c:pt idx="97">
                  <c:v>0.83132530120481929</c:v>
                </c:pt>
                <c:pt idx="98">
                  <c:v>0.83132530120481929</c:v>
                </c:pt>
                <c:pt idx="99">
                  <c:v>0.83132530120481929</c:v>
                </c:pt>
                <c:pt idx="100">
                  <c:v>0.83132530120481929</c:v>
                </c:pt>
                <c:pt idx="101">
                  <c:v>0.8359375</c:v>
                </c:pt>
                <c:pt idx="102">
                  <c:v>0.83397683397683398</c:v>
                </c:pt>
                <c:pt idx="103">
                  <c:v>0.83587786259541985</c:v>
                </c:pt>
                <c:pt idx="104">
                  <c:v>0.83082706766917291</c:v>
                </c:pt>
                <c:pt idx="105">
                  <c:v>0.83394833948339486</c:v>
                </c:pt>
                <c:pt idx="106">
                  <c:v>0.83394833948339486</c:v>
                </c:pt>
                <c:pt idx="107">
                  <c:v>0.83394833948339486</c:v>
                </c:pt>
                <c:pt idx="108">
                  <c:v>0.83211678832116787</c:v>
                </c:pt>
                <c:pt idx="109">
                  <c:v>0.83453237410071945</c:v>
                </c:pt>
                <c:pt idx="110">
                  <c:v>0.8291814946619217</c:v>
                </c:pt>
                <c:pt idx="111">
                  <c:v>0.82807017543859651</c:v>
                </c:pt>
                <c:pt idx="112">
                  <c:v>0.82758620689655171</c:v>
                </c:pt>
                <c:pt idx="113">
                  <c:v>0.82758620689655171</c:v>
                </c:pt>
                <c:pt idx="114">
                  <c:v>0.82758620689655171</c:v>
                </c:pt>
                <c:pt idx="115">
                  <c:v>0.82876712328767121</c:v>
                </c:pt>
                <c:pt idx="116">
                  <c:v>0.82711864406779656</c:v>
                </c:pt>
                <c:pt idx="117">
                  <c:v>0.82828282828282829</c:v>
                </c:pt>
                <c:pt idx="118">
                  <c:v>0.83</c:v>
                </c:pt>
                <c:pt idx="119">
                  <c:v>0.83168316831683164</c:v>
                </c:pt>
                <c:pt idx="120">
                  <c:v>0.83168316831683164</c:v>
                </c:pt>
                <c:pt idx="121">
                  <c:v>0.83168316831683164</c:v>
                </c:pt>
                <c:pt idx="122">
                  <c:v>0.83333333333333337</c:v>
                </c:pt>
                <c:pt idx="123">
                  <c:v>0.83171521035598706</c:v>
                </c:pt>
                <c:pt idx="124">
                  <c:v>0.83333333333333337</c:v>
                </c:pt>
                <c:pt idx="125">
                  <c:v>0.83174603174603179</c:v>
                </c:pt>
                <c:pt idx="126">
                  <c:v>0.83333333333333337</c:v>
                </c:pt>
                <c:pt idx="127">
                  <c:v>0.83333333333333337</c:v>
                </c:pt>
                <c:pt idx="128">
                  <c:v>0.83333333333333337</c:v>
                </c:pt>
                <c:pt idx="129">
                  <c:v>0.83333333333333337</c:v>
                </c:pt>
                <c:pt idx="130">
                  <c:v>0.83333333333333337</c:v>
                </c:pt>
                <c:pt idx="131">
                  <c:v>0.83333333333333337</c:v>
                </c:pt>
                <c:pt idx="132">
                  <c:v>0.83333333333333337</c:v>
                </c:pt>
                <c:pt idx="133">
                  <c:v>0.83333333333333337</c:v>
                </c:pt>
                <c:pt idx="134">
                  <c:v>0.83333333333333337</c:v>
                </c:pt>
                <c:pt idx="135">
                  <c:v>0.83333333333333337</c:v>
                </c:pt>
                <c:pt idx="136">
                  <c:v>0.83333333333333337</c:v>
                </c:pt>
                <c:pt idx="137">
                  <c:v>0.83333333333333337</c:v>
                </c:pt>
                <c:pt idx="138">
                  <c:v>0.83333333333333337</c:v>
                </c:pt>
                <c:pt idx="139">
                  <c:v>0.83333333333333337</c:v>
                </c:pt>
                <c:pt idx="140">
                  <c:v>0.83333333333333337</c:v>
                </c:pt>
                <c:pt idx="141">
                  <c:v>0.83333333333333337</c:v>
                </c:pt>
                <c:pt idx="142">
                  <c:v>0.83333333333333337</c:v>
                </c:pt>
                <c:pt idx="143">
                  <c:v>0.83437499999999998</c:v>
                </c:pt>
                <c:pt idx="144">
                  <c:v>0.83437499999999998</c:v>
                </c:pt>
                <c:pt idx="145">
                  <c:v>0.83437499999999998</c:v>
                </c:pt>
                <c:pt idx="146">
                  <c:v>0.8354037267080745</c:v>
                </c:pt>
                <c:pt idx="147">
                  <c:v>0.8354037267080745</c:v>
                </c:pt>
                <c:pt idx="148">
                  <c:v>0.8354037267080745</c:v>
                </c:pt>
                <c:pt idx="149">
                  <c:v>0.8354037267080745</c:v>
                </c:pt>
                <c:pt idx="150">
                  <c:v>0.8354037267080745</c:v>
                </c:pt>
                <c:pt idx="151">
                  <c:v>0.8354037267080745</c:v>
                </c:pt>
                <c:pt idx="152">
                  <c:v>0.8354037267080745</c:v>
                </c:pt>
                <c:pt idx="153">
                  <c:v>0.8354037267080745</c:v>
                </c:pt>
                <c:pt idx="154">
                  <c:v>0.8354037267080745</c:v>
                </c:pt>
                <c:pt idx="155">
                  <c:v>0.8354037267080745</c:v>
                </c:pt>
                <c:pt idx="156">
                  <c:v>0.8354037267080745</c:v>
                </c:pt>
                <c:pt idx="157">
                  <c:v>0.8354037267080745</c:v>
                </c:pt>
                <c:pt idx="158">
                  <c:v>0.8354037267080745</c:v>
                </c:pt>
                <c:pt idx="159">
                  <c:v>0.8354037267080745</c:v>
                </c:pt>
                <c:pt idx="160">
                  <c:v>0.8354037267080745</c:v>
                </c:pt>
                <c:pt idx="161">
                  <c:v>0.8354037267080745</c:v>
                </c:pt>
                <c:pt idx="162">
                  <c:v>0.8354037267080745</c:v>
                </c:pt>
                <c:pt idx="163">
                  <c:v>0.8354037267080745</c:v>
                </c:pt>
                <c:pt idx="164">
                  <c:v>0.8354037267080745</c:v>
                </c:pt>
                <c:pt idx="165">
                  <c:v>0.8364197530864198</c:v>
                </c:pt>
                <c:pt idx="166">
                  <c:v>0.8379204892966361</c:v>
                </c:pt>
                <c:pt idx="167">
                  <c:v>0.8379204892966361</c:v>
                </c:pt>
                <c:pt idx="168">
                  <c:v>0.8379204892966361</c:v>
                </c:pt>
                <c:pt idx="169">
                  <c:v>0.8379204892966361</c:v>
                </c:pt>
                <c:pt idx="170">
                  <c:v>0.8379204892966361</c:v>
                </c:pt>
                <c:pt idx="171">
                  <c:v>0.8379204892966361</c:v>
                </c:pt>
                <c:pt idx="172">
                  <c:v>0.8379204892966361</c:v>
                </c:pt>
                <c:pt idx="173">
                  <c:v>0.8379204892966361</c:v>
                </c:pt>
                <c:pt idx="174">
                  <c:v>0.8379204892966361</c:v>
                </c:pt>
                <c:pt idx="175">
                  <c:v>0.8379204892966361</c:v>
                </c:pt>
                <c:pt idx="176">
                  <c:v>0.8379204892966361</c:v>
                </c:pt>
                <c:pt idx="177">
                  <c:v>0.8379204892966361</c:v>
                </c:pt>
                <c:pt idx="178">
                  <c:v>0.8379204892966361</c:v>
                </c:pt>
                <c:pt idx="179">
                  <c:v>0.8379204892966361</c:v>
                </c:pt>
                <c:pt idx="180">
                  <c:v>0.8379204892966361</c:v>
                </c:pt>
                <c:pt idx="181">
                  <c:v>0.8379204892966361</c:v>
                </c:pt>
                <c:pt idx="182">
                  <c:v>0.8379204892966361</c:v>
                </c:pt>
                <c:pt idx="183">
                  <c:v>0.8379204892966361</c:v>
                </c:pt>
                <c:pt idx="184">
                  <c:v>0.8379204892966361</c:v>
                </c:pt>
                <c:pt idx="185">
                  <c:v>0.8379204892966361</c:v>
                </c:pt>
                <c:pt idx="186">
                  <c:v>0.8379204892966361</c:v>
                </c:pt>
                <c:pt idx="187">
                  <c:v>0.8379204892966361</c:v>
                </c:pt>
                <c:pt idx="188">
                  <c:v>0.8379204892966361</c:v>
                </c:pt>
                <c:pt idx="189">
                  <c:v>0.8379204892966361</c:v>
                </c:pt>
                <c:pt idx="190">
                  <c:v>0.8379204892966361</c:v>
                </c:pt>
                <c:pt idx="191">
                  <c:v>0.8379204892966361</c:v>
                </c:pt>
                <c:pt idx="192">
                  <c:v>0.83841463414634143</c:v>
                </c:pt>
                <c:pt idx="193">
                  <c:v>0.83841463414634143</c:v>
                </c:pt>
                <c:pt idx="194">
                  <c:v>0.83841463414634143</c:v>
                </c:pt>
                <c:pt idx="195">
                  <c:v>0.83841463414634143</c:v>
                </c:pt>
                <c:pt idx="196">
                  <c:v>0.83841463414634143</c:v>
                </c:pt>
                <c:pt idx="197">
                  <c:v>0.83841463414634143</c:v>
                </c:pt>
                <c:pt idx="198">
                  <c:v>0.83841463414634143</c:v>
                </c:pt>
                <c:pt idx="199">
                  <c:v>0.83841463414634143</c:v>
                </c:pt>
                <c:pt idx="200">
                  <c:v>0.83841463414634143</c:v>
                </c:pt>
                <c:pt idx="201">
                  <c:v>0.83841463414634143</c:v>
                </c:pt>
                <c:pt idx="202">
                  <c:v>0.83841463414634143</c:v>
                </c:pt>
                <c:pt idx="203">
                  <c:v>0.83841463414634143</c:v>
                </c:pt>
                <c:pt idx="204">
                  <c:v>0.83841463414634143</c:v>
                </c:pt>
                <c:pt idx="205">
                  <c:v>0.83841463414634143</c:v>
                </c:pt>
                <c:pt idx="206">
                  <c:v>0.83841463414634143</c:v>
                </c:pt>
                <c:pt idx="207">
                  <c:v>0.83841463414634143</c:v>
                </c:pt>
                <c:pt idx="208">
                  <c:v>0.83841463414634143</c:v>
                </c:pt>
                <c:pt idx="209">
                  <c:v>0.83841463414634143</c:v>
                </c:pt>
                <c:pt idx="210">
                  <c:v>0.83841463414634143</c:v>
                </c:pt>
                <c:pt idx="211">
                  <c:v>0.83841463414634143</c:v>
                </c:pt>
                <c:pt idx="212">
                  <c:v>0.83841463414634143</c:v>
                </c:pt>
                <c:pt idx="213">
                  <c:v>0.83841463414634143</c:v>
                </c:pt>
                <c:pt idx="214">
                  <c:v>0.83841463414634143</c:v>
                </c:pt>
                <c:pt idx="215">
                  <c:v>0.83841463414634143</c:v>
                </c:pt>
                <c:pt idx="216">
                  <c:v>0.83841463414634143</c:v>
                </c:pt>
                <c:pt idx="217">
                  <c:v>0.83841463414634143</c:v>
                </c:pt>
                <c:pt idx="218">
                  <c:v>0.83841463414634143</c:v>
                </c:pt>
                <c:pt idx="219">
                  <c:v>0.83841463414634143</c:v>
                </c:pt>
                <c:pt idx="220">
                  <c:v>0.83841463414634143</c:v>
                </c:pt>
                <c:pt idx="221">
                  <c:v>0.83841463414634143</c:v>
                </c:pt>
                <c:pt idx="222">
                  <c:v>0.83841463414634143</c:v>
                </c:pt>
                <c:pt idx="223">
                  <c:v>0.83987915407854985</c:v>
                </c:pt>
                <c:pt idx="224">
                  <c:v>0.83987915407854985</c:v>
                </c:pt>
                <c:pt idx="225">
                  <c:v>0.83987915407854985</c:v>
                </c:pt>
                <c:pt idx="226">
                  <c:v>0.83987915407854985</c:v>
                </c:pt>
                <c:pt idx="227">
                  <c:v>0.83532934131736525</c:v>
                </c:pt>
                <c:pt idx="228">
                  <c:v>0.83679525222551931</c:v>
                </c:pt>
                <c:pt idx="229">
                  <c:v>0.83679525222551931</c:v>
                </c:pt>
                <c:pt idx="230">
                  <c:v>0.83679525222551931</c:v>
                </c:pt>
                <c:pt idx="231">
                  <c:v>0.83679525222551931</c:v>
                </c:pt>
                <c:pt idx="232">
                  <c:v>0.83679525222551931</c:v>
                </c:pt>
                <c:pt idx="233">
                  <c:v>0.83679525222551931</c:v>
                </c:pt>
                <c:pt idx="234">
                  <c:v>0.83775811209439532</c:v>
                </c:pt>
                <c:pt idx="235">
                  <c:v>0.83284457478005869</c:v>
                </c:pt>
                <c:pt idx="236">
                  <c:v>0.83040935672514615</c:v>
                </c:pt>
                <c:pt idx="237">
                  <c:v>0.83040935672514615</c:v>
                </c:pt>
                <c:pt idx="238">
                  <c:v>0.83040935672514615</c:v>
                </c:pt>
                <c:pt idx="239">
                  <c:v>0.83040935672514615</c:v>
                </c:pt>
                <c:pt idx="240">
                  <c:v>0.83040935672514615</c:v>
                </c:pt>
                <c:pt idx="241">
                  <c:v>0.82798833819241979</c:v>
                </c:pt>
                <c:pt idx="242">
                  <c:v>0.82898550724637676</c:v>
                </c:pt>
                <c:pt idx="243">
                  <c:v>0.82947976878612717</c:v>
                </c:pt>
                <c:pt idx="244">
                  <c:v>0.82947976878612717</c:v>
                </c:pt>
                <c:pt idx="245">
                  <c:v>0.82947976878612717</c:v>
                </c:pt>
                <c:pt idx="246">
                  <c:v>0.82947976878612717</c:v>
                </c:pt>
                <c:pt idx="247">
                  <c:v>0.82947976878612717</c:v>
                </c:pt>
                <c:pt idx="248">
                  <c:v>0.82997118155619598</c:v>
                </c:pt>
                <c:pt idx="249">
                  <c:v>0.82997118155619598</c:v>
                </c:pt>
                <c:pt idx="250">
                  <c:v>0.82758620689655171</c:v>
                </c:pt>
                <c:pt idx="251">
                  <c:v>0.82571428571428573</c:v>
                </c:pt>
                <c:pt idx="252">
                  <c:v>0.82571428571428573</c:v>
                </c:pt>
                <c:pt idx="253">
                  <c:v>0.82571428571428573</c:v>
                </c:pt>
                <c:pt idx="254">
                  <c:v>0.82571428571428573</c:v>
                </c:pt>
                <c:pt idx="255">
                  <c:v>0.82571428571428573</c:v>
                </c:pt>
                <c:pt idx="256">
                  <c:v>0.82670454545454541</c:v>
                </c:pt>
                <c:pt idx="257">
                  <c:v>0.8263305322128851</c:v>
                </c:pt>
                <c:pt idx="258">
                  <c:v>0.8263305322128851</c:v>
                </c:pt>
                <c:pt idx="259">
                  <c:v>0.8263305322128851</c:v>
                </c:pt>
                <c:pt idx="260">
                  <c:v>0.8263305322128851</c:v>
                </c:pt>
                <c:pt idx="261">
                  <c:v>0.8263305322128851</c:v>
                </c:pt>
                <c:pt idx="262">
                  <c:v>0.82777777777777772</c:v>
                </c:pt>
                <c:pt idx="263">
                  <c:v>0.82872928176795579</c:v>
                </c:pt>
                <c:pt idx="264">
                  <c:v>0.82417582417582413</c:v>
                </c:pt>
                <c:pt idx="265">
                  <c:v>0.8246575342465754</c:v>
                </c:pt>
                <c:pt idx="266">
                  <c:v>0.82513661202185795</c:v>
                </c:pt>
                <c:pt idx="267">
                  <c:v>0.82513661202185795</c:v>
                </c:pt>
                <c:pt idx="268">
                  <c:v>0.82513661202185795</c:v>
                </c:pt>
                <c:pt idx="269">
                  <c:v>0.82561307901907355</c:v>
                </c:pt>
                <c:pt idx="270">
                  <c:v>0.82561307901907355</c:v>
                </c:pt>
                <c:pt idx="271">
                  <c:v>0.82336956521739135</c:v>
                </c:pt>
                <c:pt idx="272">
                  <c:v>0.82336956521739135</c:v>
                </c:pt>
                <c:pt idx="273">
                  <c:v>0.82336956521739135</c:v>
                </c:pt>
                <c:pt idx="274">
                  <c:v>0.82336956521739135</c:v>
                </c:pt>
                <c:pt idx="275">
                  <c:v>0.82336956521739135</c:v>
                </c:pt>
                <c:pt idx="276">
                  <c:v>0.82336956521739135</c:v>
                </c:pt>
                <c:pt idx="277">
                  <c:v>0.82336956521739135</c:v>
                </c:pt>
                <c:pt idx="278">
                  <c:v>0.82336956521739135</c:v>
                </c:pt>
                <c:pt idx="279">
                  <c:v>0.82336956521739135</c:v>
                </c:pt>
                <c:pt idx="280">
                  <c:v>0.82336956521739135</c:v>
                </c:pt>
                <c:pt idx="281">
                  <c:v>0.82336956521739135</c:v>
                </c:pt>
                <c:pt idx="282">
                  <c:v>0.82336956521739135</c:v>
                </c:pt>
                <c:pt idx="283">
                  <c:v>0.82336956521739135</c:v>
                </c:pt>
                <c:pt idx="284">
                  <c:v>0.82336956521739135</c:v>
                </c:pt>
                <c:pt idx="285">
                  <c:v>0.82336956521739135</c:v>
                </c:pt>
                <c:pt idx="286">
                  <c:v>0.82336956521739135</c:v>
                </c:pt>
                <c:pt idx="287">
                  <c:v>0.82336956521739135</c:v>
                </c:pt>
                <c:pt idx="288">
                  <c:v>0.82336956521739135</c:v>
                </c:pt>
                <c:pt idx="289">
                  <c:v>0.82336956521739135</c:v>
                </c:pt>
                <c:pt idx="290">
                  <c:v>0.82336956521739135</c:v>
                </c:pt>
                <c:pt idx="291">
                  <c:v>0.82336956521739135</c:v>
                </c:pt>
                <c:pt idx="292">
                  <c:v>0.82336956521739135</c:v>
                </c:pt>
                <c:pt idx="293">
                  <c:v>0.82336956521739135</c:v>
                </c:pt>
                <c:pt idx="294">
                  <c:v>0.82336956521739135</c:v>
                </c:pt>
                <c:pt idx="295">
                  <c:v>0.82336956521739135</c:v>
                </c:pt>
                <c:pt idx="296">
                  <c:v>0.82336956521739135</c:v>
                </c:pt>
                <c:pt idx="297">
                  <c:v>0.82336956521739135</c:v>
                </c:pt>
                <c:pt idx="298">
                  <c:v>0.82336956521739135</c:v>
                </c:pt>
                <c:pt idx="299">
                  <c:v>0.82336956521739135</c:v>
                </c:pt>
                <c:pt idx="300">
                  <c:v>0.82336956521739135</c:v>
                </c:pt>
                <c:pt idx="301">
                  <c:v>0.82336956521739135</c:v>
                </c:pt>
                <c:pt idx="302">
                  <c:v>0.82336956521739135</c:v>
                </c:pt>
                <c:pt idx="303">
                  <c:v>0.82336956521739135</c:v>
                </c:pt>
                <c:pt idx="304">
                  <c:v>0.82336956521739135</c:v>
                </c:pt>
                <c:pt idx="305">
                  <c:v>0.82336956521739135</c:v>
                </c:pt>
                <c:pt idx="306">
                  <c:v>0.82336956521739135</c:v>
                </c:pt>
                <c:pt idx="307">
                  <c:v>0.82336956521739135</c:v>
                </c:pt>
                <c:pt idx="308">
                  <c:v>0.82336956521739135</c:v>
                </c:pt>
                <c:pt idx="309">
                  <c:v>0.82336956521739135</c:v>
                </c:pt>
                <c:pt idx="310">
                  <c:v>0.82336956521739135</c:v>
                </c:pt>
                <c:pt idx="311">
                  <c:v>0.82336956521739135</c:v>
                </c:pt>
                <c:pt idx="312">
                  <c:v>0.82336956521739135</c:v>
                </c:pt>
                <c:pt idx="313">
                  <c:v>0.82336956521739135</c:v>
                </c:pt>
                <c:pt idx="314">
                  <c:v>0.82336956521739135</c:v>
                </c:pt>
                <c:pt idx="315">
                  <c:v>0.82336956521739135</c:v>
                </c:pt>
                <c:pt idx="316">
                  <c:v>0.82162162162162167</c:v>
                </c:pt>
                <c:pt idx="317">
                  <c:v>0.81940700808625333</c:v>
                </c:pt>
                <c:pt idx="318">
                  <c:v>0.81940700808625333</c:v>
                </c:pt>
                <c:pt idx="319">
                  <c:v>0.81818181818181823</c:v>
                </c:pt>
                <c:pt idx="320">
                  <c:v>0.81962864721485407</c:v>
                </c:pt>
                <c:pt idx="321">
                  <c:v>0.81962864721485407</c:v>
                </c:pt>
                <c:pt idx="322">
                  <c:v>0.81962864721485407</c:v>
                </c:pt>
                <c:pt idx="323">
                  <c:v>0.81962864721485407</c:v>
                </c:pt>
                <c:pt idx="324">
                  <c:v>0.81962864721485407</c:v>
                </c:pt>
                <c:pt idx="325">
                  <c:v>0.81962864721485407</c:v>
                </c:pt>
                <c:pt idx="326">
                  <c:v>0.81962864721485407</c:v>
                </c:pt>
                <c:pt idx="327">
                  <c:v>0.81962864721485407</c:v>
                </c:pt>
                <c:pt idx="328">
                  <c:v>0.81962864721485407</c:v>
                </c:pt>
                <c:pt idx="329">
                  <c:v>0.81962864721485407</c:v>
                </c:pt>
                <c:pt idx="330">
                  <c:v>0.81962864721485407</c:v>
                </c:pt>
                <c:pt idx="331">
                  <c:v>0.81962864721485407</c:v>
                </c:pt>
                <c:pt idx="332">
                  <c:v>0.81962864721485407</c:v>
                </c:pt>
                <c:pt idx="333">
                  <c:v>0.81962864721485407</c:v>
                </c:pt>
                <c:pt idx="334">
                  <c:v>0.82105263157894737</c:v>
                </c:pt>
              </c:numCache>
            </c:numRef>
          </c:yVal>
          <c:smooth val="0"/>
          <c:extLst>
            <c:ext xmlns:c16="http://schemas.microsoft.com/office/drawing/2014/chart" uri="{C3380CC4-5D6E-409C-BE32-E72D297353CC}">
              <c16:uniqueId val="{00000000-E617-42BC-934D-258B7C2B242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Solve Time </a:t>
            </a:r>
            <a:r>
              <a:rPr lang="en-US" b="1" baseline="0"/>
              <a:t>- Easy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Daily!$Y$4:$Y$440</c:f>
              <c:numCache>
                <c:formatCode>0</c:formatCode>
                <c:ptCount val="335"/>
                <c:pt idx="0">
                  <c:v>22</c:v>
                </c:pt>
                <c:pt idx="1">
                  <c:v>22</c:v>
                </c:pt>
                <c:pt idx="2">
                  <c:v>22</c:v>
                </c:pt>
                <c:pt idx="3">
                  <c:v>15.714285714285714</c:v>
                </c:pt>
                <c:pt idx="4">
                  <c:v>15.909090909090908</c:v>
                </c:pt>
                <c:pt idx="5">
                  <c:v>13.055555555555555</c:v>
                </c:pt>
                <c:pt idx="6">
                  <c:v>12.526315789473685</c:v>
                </c:pt>
                <c:pt idx="7">
                  <c:v>12.526315789473685</c:v>
                </c:pt>
                <c:pt idx="8">
                  <c:v>12.526315789473685</c:v>
                </c:pt>
                <c:pt idx="9">
                  <c:v>12.526315789473685</c:v>
                </c:pt>
                <c:pt idx="10">
                  <c:v>12.6</c:v>
                </c:pt>
                <c:pt idx="11">
                  <c:v>12.6</c:v>
                </c:pt>
                <c:pt idx="12">
                  <c:v>13.173913043478262</c:v>
                </c:pt>
                <c:pt idx="13">
                  <c:v>13.08</c:v>
                </c:pt>
                <c:pt idx="14">
                  <c:v>13.08</c:v>
                </c:pt>
                <c:pt idx="15">
                  <c:v>13.08</c:v>
                </c:pt>
                <c:pt idx="16">
                  <c:v>13.08</c:v>
                </c:pt>
                <c:pt idx="17">
                  <c:v>12.714285714285714</c:v>
                </c:pt>
                <c:pt idx="18">
                  <c:v>13.3</c:v>
                </c:pt>
                <c:pt idx="19">
                  <c:v>13.064516129032258</c:v>
                </c:pt>
                <c:pt idx="20">
                  <c:v>12.787878787878787</c:v>
                </c:pt>
                <c:pt idx="21">
                  <c:v>12.787878787878787</c:v>
                </c:pt>
                <c:pt idx="22">
                  <c:v>12.787878787878787</c:v>
                </c:pt>
                <c:pt idx="23">
                  <c:v>12.787878787878787</c:v>
                </c:pt>
                <c:pt idx="24">
                  <c:v>13.914285714285715</c:v>
                </c:pt>
                <c:pt idx="25">
                  <c:v>13.710526315789474</c:v>
                </c:pt>
                <c:pt idx="26">
                  <c:v>13.710526315789474</c:v>
                </c:pt>
                <c:pt idx="27">
                  <c:v>13.710526315789474</c:v>
                </c:pt>
                <c:pt idx="28">
                  <c:v>13.710526315789474</c:v>
                </c:pt>
                <c:pt idx="29">
                  <c:v>13.710526315789474</c:v>
                </c:pt>
                <c:pt idx="30">
                  <c:v>13.710526315789474</c:v>
                </c:pt>
                <c:pt idx="31">
                  <c:v>13.871794871794872</c:v>
                </c:pt>
                <c:pt idx="32">
                  <c:v>13.666666666666666</c:v>
                </c:pt>
                <c:pt idx="33">
                  <c:v>13.666666666666666</c:v>
                </c:pt>
                <c:pt idx="34">
                  <c:v>13.666666666666666</c:v>
                </c:pt>
                <c:pt idx="35">
                  <c:v>13.666666666666666</c:v>
                </c:pt>
                <c:pt idx="36">
                  <c:v>13.666666666666666</c:v>
                </c:pt>
                <c:pt idx="37">
                  <c:v>13.666666666666666</c:v>
                </c:pt>
                <c:pt idx="38">
                  <c:v>13.488888888888889</c:v>
                </c:pt>
                <c:pt idx="39">
                  <c:v>13.347826086956522</c:v>
                </c:pt>
                <c:pt idx="40">
                  <c:v>13.347826086956522</c:v>
                </c:pt>
                <c:pt idx="41">
                  <c:v>13.428571428571429</c:v>
                </c:pt>
                <c:pt idx="42">
                  <c:v>13.428571428571429</c:v>
                </c:pt>
                <c:pt idx="43">
                  <c:v>13.428571428571429</c:v>
                </c:pt>
                <c:pt idx="44">
                  <c:v>13.428571428571429</c:v>
                </c:pt>
                <c:pt idx="45">
                  <c:v>13.428571428571429</c:v>
                </c:pt>
                <c:pt idx="46">
                  <c:v>13.24</c:v>
                </c:pt>
                <c:pt idx="47">
                  <c:v>13.192307692307692</c:v>
                </c:pt>
                <c:pt idx="48">
                  <c:v>13.192307692307692</c:v>
                </c:pt>
                <c:pt idx="49">
                  <c:v>13.192307692307692</c:v>
                </c:pt>
                <c:pt idx="50">
                  <c:v>13.192307692307692</c:v>
                </c:pt>
                <c:pt idx="51">
                  <c:v>13.192307692307692</c:v>
                </c:pt>
                <c:pt idx="52">
                  <c:v>13.192307692307692</c:v>
                </c:pt>
                <c:pt idx="53">
                  <c:v>13.132075471698114</c:v>
                </c:pt>
                <c:pt idx="54">
                  <c:v>13.132075471698114</c:v>
                </c:pt>
                <c:pt idx="55">
                  <c:v>13.132075471698114</c:v>
                </c:pt>
                <c:pt idx="56">
                  <c:v>13.132075471698114</c:v>
                </c:pt>
                <c:pt idx="57">
                  <c:v>13.132075471698114</c:v>
                </c:pt>
                <c:pt idx="58">
                  <c:v>13.132075471698114</c:v>
                </c:pt>
                <c:pt idx="59">
                  <c:v>13.072727272727272</c:v>
                </c:pt>
                <c:pt idx="60">
                  <c:v>13.035714285714286</c:v>
                </c:pt>
                <c:pt idx="61">
                  <c:v>13.035714285714286</c:v>
                </c:pt>
                <c:pt idx="62">
                  <c:v>13.035714285714286</c:v>
                </c:pt>
                <c:pt idx="63">
                  <c:v>13.035714285714286</c:v>
                </c:pt>
                <c:pt idx="64">
                  <c:v>13.035714285714286</c:v>
                </c:pt>
                <c:pt idx="65">
                  <c:v>13.035714285714286</c:v>
                </c:pt>
                <c:pt idx="66">
                  <c:v>13.035714285714286</c:v>
                </c:pt>
                <c:pt idx="67">
                  <c:v>13.035714285714286</c:v>
                </c:pt>
                <c:pt idx="68">
                  <c:v>13.035714285714286</c:v>
                </c:pt>
                <c:pt idx="69">
                  <c:v>13.035714285714286</c:v>
                </c:pt>
                <c:pt idx="70">
                  <c:v>12.964912280701755</c:v>
                </c:pt>
                <c:pt idx="71">
                  <c:v>12.964912280701755</c:v>
                </c:pt>
                <c:pt idx="72">
                  <c:v>12.964912280701755</c:v>
                </c:pt>
                <c:pt idx="73">
                  <c:v>12.964912280701755</c:v>
                </c:pt>
                <c:pt idx="74">
                  <c:v>12.964912280701755</c:v>
                </c:pt>
                <c:pt idx="75">
                  <c:v>12.896551724137931</c:v>
                </c:pt>
                <c:pt idx="76">
                  <c:v>12.830508474576272</c:v>
                </c:pt>
                <c:pt idx="77">
                  <c:v>12.716666666666667</c:v>
                </c:pt>
                <c:pt idx="78">
                  <c:v>12.655737704918034</c:v>
                </c:pt>
                <c:pt idx="79">
                  <c:v>12.693548387096774</c:v>
                </c:pt>
                <c:pt idx="80">
                  <c:v>12.682539682539682</c:v>
                </c:pt>
                <c:pt idx="81">
                  <c:v>12.703125</c:v>
                </c:pt>
                <c:pt idx="82">
                  <c:v>12.676923076923076</c:v>
                </c:pt>
                <c:pt idx="83">
                  <c:v>12.606060606060606</c:v>
                </c:pt>
                <c:pt idx="84">
                  <c:v>12.676470588235293</c:v>
                </c:pt>
                <c:pt idx="85">
                  <c:v>12.676470588235293</c:v>
                </c:pt>
                <c:pt idx="86">
                  <c:v>12.676470588235293</c:v>
                </c:pt>
                <c:pt idx="87">
                  <c:v>12.485714285714286</c:v>
                </c:pt>
                <c:pt idx="88">
                  <c:v>12.47887323943662</c:v>
                </c:pt>
                <c:pt idx="89">
                  <c:v>12.493150684931507</c:v>
                </c:pt>
                <c:pt idx="90">
                  <c:v>12.493150684931507</c:v>
                </c:pt>
                <c:pt idx="91">
                  <c:v>12.486486486486486</c:v>
                </c:pt>
                <c:pt idx="92">
                  <c:v>12.486486486486486</c:v>
                </c:pt>
                <c:pt idx="93">
                  <c:v>12.486486486486486</c:v>
                </c:pt>
                <c:pt idx="94">
                  <c:v>12.533333333333333</c:v>
                </c:pt>
                <c:pt idx="95">
                  <c:v>12.486842105263158</c:v>
                </c:pt>
                <c:pt idx="96">
                  <c:v>12.486842105263158</c:v>
                </c:pt>
                <c:pt idx="97">
                  <c:v>12.486842105263158</c:v>
                </c:pt>
                <c:pt idx="98">
                  <c:v>12.486842105263158</c:v>
                </c:pt>
                <c:pt idx="99">
                  <c:v>12.486842105263158</c:v>
                </c:pt>
                <c:pt idx="100">
                  <c:v>12.486842105263158</c:v>
                </c:pt>
                <c:pt idx="101">
                  <c:v>12.415584415584416</c:v>
                </c:pt>
                <c:pt idx="102">
                  <c:v>12.294871794871796</c:v>
                </c:pt>
                <c:pt idx="103">
                  <c:v>12.278481012658228</c:v>
                </c:pt>
                <c:pt idx="104">
                  <c:v>12.278481012658228</c:v>
                </c:pt>
                <c:pt idx="105">
                  <c:v>12.345679012345679</c:v>
                </c:pt>
                <c:pt idx="106">
                  <c:v>12.345679012345679</c:v>
                </c:pt>
                <c:pt idx="107">
                  <c:v>12.345679012345679</c:v>
                </c:pt>
                <c:pt idx="108">
                  <c:v>12.390243902439025</c:v>
                </c:pt>
                <c:pt idx="109">
                  <c:v>12.301204819277109</c:v>
                </c:pt>
                <c:pt idx="110">
                  <c:v>12.273809523809524</c:v>
                </c:pt>
                <c:pt idx="111">
                  <c:v>12.658823529411764</c:v>
                </c:pt>
                <c:pt idx="112">
                  <c:v>12.658823529411764</c:v>
                </c:pt>
                <c:pt idx="113">
                  <c:v>12.658823529411764</c:v>
                </c:pt>
                <c:pt idx="114">
                  <c:v>12.658823529411764</c:v>
                </c:pt>
                <c:pt idx="115">
                  <c:v>12.658823529411764</c:v>
                </c:pt>
                <c:pt idx="116">
                  <c:v>12.658823529411764</c:v>
                </c:pt>
                <c:pt idx="117">
                  <c:v>12.658823529411764</c:v>
                </c:pt>
                <c:pt idx="118">
                  <c:v>12.658823529411764</c:v>
                </c:pt>
                <c:pt idx="119">
                  <c:v>12.658823529411764</c:v>
                </c:pt>
                <c:pt idx="120">
                  <c:v>12.658823529411764</c:v>
                </c:pt>
                <c:pt idx="121">
                  <c:v>12.658823529411764</c:v>
                </c:pt>
                <c:pt idx="122">
                  <c:v>12.658823529411764</c:v>
                </c:pt>
                <c:pt idx="123">
                  <c:v>12.658823529411764</c:v>
                </c:pt>
                <c:pt idx="124">
                  <c:v>12.658823529411764</c:v>
                </c:pt>
                <c:pt idx="125">
                  <c:v>12.658823529411764</c:v>
                </c:pt>
                <c:pt idx="126">
                  <c:v>12.658823529411764</c:v>
                </c:pt>
                <c:pt idx="127">
                  <c:v>12.658823529411764</c:v>
                </c:pt>
                <c:pt idx="128">
                  <c:v>12.658823529411764</c:v>
                </c:pt>
                <c:pt idx="129">
                  <c:v>12.658823529411764</c:v>
                </c:pt>
                <c:pt idx="130">
                  <c:v>12.658823529411764</c:v>
                </c:pt>
                <c:pt idx="131">
                  <c:v>12.658823529411764</c:v>
                </c:pt>
                <c:pt idx="132">
                  <c:v>12.658823529411764</c:v>
                </c:pt>
                <c:pt idx="133">
                  <c:v>12.658823529411764</c:v>
                </c:pt>
                <c:pt idx="134">
                  <c:v>12.658823529411764</c:v>
                </c:pt>
                <c:pt idx="135">
                  <c:v>12.658823529411764</c:v>
                </c:pt>
                <c:pt idx="136">
                  <c:v>12.658823529411764</c:v>
                </c:pt>
                <c:pt idx="137">
                  <c:v>12.658823529411764</c:v>
                </c:pt>
                <c:pt idx="138">
                  <c:v>12.658823529411764</c:v>
                </c:pt>
                <c:pt idx="139">
                  <c:v>12.658823529411764</c:v>
                </c:pt>
                <c:pt idx="140">
                  <c:v>12.658823529411764</c:v>
                </c:pt>
                <c:pt idx="141">
                  <c:v>12.658823529411764</c:v>
                </c:pt>
                <c:pt idx="142">
                  <c:v>12.658823529411764</c:v>
                </c:pt>
                <c:pt idx="143">
                  <c:v>12.658823529411764</c:v>
                </c:pt>
                <c:pt idx="144">
                  <c:v>12.658823529411764</c:v>
                </c:pt>
                <c:pt idx="145">
                  <c:v>12.658823529411764</c:v>
                </c:pt>
                <c:pt idx="146">
                  <c:v>12.658823529411764</c:v>
                </c:pt>
                <c:pt idx="147">
                  <c:v>12.658823529411764</c:v>
                </c:pt>
                <c:pt idx="148">
                  <c:v>12.658823529411764</c:v>
                </c:pt>
                <c:pt idx="149">
                  <c:v>12.658823529411764</c:v>
                </c:pt>
                <c:pt idx="150">
                  <c:v>12.658823529411764</c:v>
                </c:pt>
                <c:pt idx="151">
                  <c:v>12.658823529411764</c:v>
                </c:pt>
                <c:pt idx="152">
                  <c:v>12.658823529411764</c:v>
                </c:pt>
                <c:pt idx="153">
                  <c:v>12.658823529411764</c:v>
                </c:pt>
                <c:pt idx="154">
                  <c:v>12.658823529411764</c:v>
                </c:pt>
                <c:pt idx="155">
                  <c:v>12.658823529411764</c:v>
                </c:pt>
                <c:pt idx="156">
                  <c:v>12.658823529411764</c:v>
                </c:pt>
                <c:pt idx="157">
                  <c:v>12.658823529411764</c:v>
                </c:pt>
                <c:pt idx="158">
                  <c:v>12.658823529411764</c:v>
                </c:pt>
                <c:pt idx="159">
                  <c:v>12.658823529411764</c:v>
                </c:pt>
                <c:pt idx="160">
                  <c:v>12.658823529411764</c:v>
                </c:pt>
                <c:pt idx="161">
                  <c:v>12.658823529411764</c:v>
                </c:pt>
                <c:pt idx="162">
                  <c:v>12.658823529411764</c:v>
                </c:pt>
                <c:pt idx="163">
                  <c:v>12.658823529411764</c:v>
                </c:pt>
                <c:pt idx="164">
                  <c:v>12.658823529411764</c:v>
                </c:pt>
                <c:pt idx="165">
                  <c:v>12.627906976744185</c:v>
                </c:pt>
                <c:pt idx="166">
                  <c:v>12.574712643678161</c:v>
                </c:pt>
                <c:pt idx="167">
                  <c:v>12.574712643678161</c:v>
                </c:pt>
                <c:pt idx="168">
                  <c:v>12.574712643678161</c:v>
                </c:pt>
                <c:pt idx="169">
                  <c:v>12.574712643678161</c:v>
                </c:pt>
                <c:pt idx="170">
                  <c:v>12.574712643678161</c:v>
                </c:pt>
                <c:pt idx="171">
                  <c:v>12.574712643678161</c:v>
                </c:pt>
                <c:pt idx="172">
                  <c:v>12.574712643678161</c:v>
                </c:pt>
                <c:pt idx="173">
                  <c:v>12.574712643678161</c:v>
                </c:pt>
                <c:pt idx="174">
                  <c:v>12.574712643678161</c:v>
                </c:pt>
                <c:pt idx="175">
                  <c:v>12.574712643678161</c:v>
                </c:pt>
                <c:pt idx="176">
                  <c:v>12.574712643678161</c:v>
                </c:pt>
                <c:pt idx="177">
                  <c:v>12.574712643678161</c:v>
                </c:pt>
                <c:pt idx="178">
                  <c:v>12.574712643678161</c:v>
                </c:pt>
                <c:pt idx="179">
                  <c:v>12.574712643678161</c:v>
                </c:pt>
                <c:pt idx="180">
                  <c:v>12.574712643678161</c:v>
                </c:pt>
                <c:pt idx="181">
                  <c:v>12.574712643678161</c:v>
                </c:pt>
                <c:pt idx="182">
                  <c:v>12.574712643678161</c:v>
                </c:pt>
                <c:pt idx="183">
                  <c:v>12.574712643678161</c:v>
                </c:pt>
                <c:pt idx="184">
                  <c:v>12.574712643678161</c:v>
                </c:pt>
                <c:pt idx="185">
                  <c:v>12.574712643678161</c:v>
                </c:pt>
                <c:pt idx="186">
                  <c:v>12.574712643678161</c:v>
                </c:pt>
                <c:pt idx="187">
                  <c:v>12.574712643678161</c:v>
                </c:pt>
                <c:pt idx="188">
                  <c:v>12.574712643678161</c:v>
                </c:pt>
                <c:pt idx="189">
                  <c:v>12.574712643678161</c:v>
                </c:pt>
                <c:pt idx="190">
                  <c:v>12.574712643678161</c:v>
                </c:pt>
                <c:pt idx="191">
                  <c:v>12.574712643678161</c:v>
                </c:pt>
                <c:pt idx="192">
                  <c:v>12.574712643678161</c:v>
                </c:pt>
                <c:pt idx="193">
                  <c:v>12.574712643678161</c:v>
                </c:pt>
                <c:pt idx="194">
                  <c:v>12.574712643678161</c:v>
                </c:pt>
                <c:pt idx="195">
                  <c:v>12.574712643678161</c:v>
                </c:pt>
                <c:pt idx="196">
                  <c:v>12.574712643678161</c:v>
                </c:pt>
                <c:pt idx="197">
                  <c:v>12.574712643678161</c:v>
                </c:pt>
                <c:pt idx="198">
                  <c:v>12.574712643678161</c:v>
                </c:pt>
                <c:pt idx="199">
                  <c:v>12.574712643678161</c:v>
                </c:pt>
                <c:pt idx="200">
                  <c:v>12.574712643678161</c:v>
                </c:pt>
                <c:pt idx="201">
                  <c:v>12.574712643678161</c:v>
                </c:pt>
                <c:pt idx="202">
                  <c:v>12.574712643678161</c:v>
                </c:pt>
                <c:pt idx="203">
                  <c:v>12.574712643678161</c:v>
                </c:pt>
                <c:pt idx="204">
                  <c:v>12.574712643678161</c:v>
                </c:pt>
                <c:pt idx="205">
                  <c:v>12.574712643678161</c:v>
                </c:pt>
                <c:pt idx="206">
                  <c:v>12.574712643678161</c:v>
                </c:pt>
                <c:pt idx="207">
                  <c:v>12.574712643678161</c:v>
                </c:pt>
                <c:pt idx="208">
                  <c:v>12.574712643678161</c:v>
                </c:pt>
                <c:pt idx="209">
                  <c:v>12.574712643678161</c:v>
                </c:pt>
                <c:pt idx="210">
                  <c:v>12.574712643678161</c:v>
                </c:pt>
                <c:pt idx="211">
                  <c:v>12.574712643678161</c:v>
                </c:pt>
                <c:pt idx="212">
                  <c:v>12.574712643678161</c:v>
                </c:pt>
                <c:pt idx="213">
                  <c:v>12.574712643678161</c:v>
                </c:pt>
                <c:pt idx="214">
                  <c:v>12.574712643678161</c:v>
                </c:pt>
                <c:pt idx="215">
                  <c:v>12.574712643678161</c:v>
                </c:pt>
                <c:pt idx="216">
                  <c:v>12.574712643678161</c:v>
                </c:pt>
                <c:pt idx="217">
                  <c:v>12.574712643678161</c:v>
                </c:pt>
                <c:pt idx="218">
                  <c:v>12.574712643678161</c:v>
                </c:pt>
                <c:pt idx="219">
                  <c:v>12.574712643678161</c:v>
                </c:pt>
                <c:pt idx="220">
                  <c:v>12.574712643678161</c:v>
                </c:pt>
                <c:pt idx="221">
                  <c:v>12.574712643678161</c:v>
                </c:pt>
                <c:pt idx="222">
                  <c:v>12.574712643678161</c:v>
                </c:pt>
                <c:pt idx="223">
                  <c:v>12.460674157303371</c:v>
                </c:pt>
                <c:pt idx="224">
                  <c:v>12.460674157303371</c:v>
                </c:pt>
                <c:pt idx="225">
                  <c:v>12.460674157303371</c:v>
                </c:pt>
                <c:pt idx="226">
                  <c:v>12.460674157303371</c:v>
                </c:pt>
                <c:pt idx="227">
                  <c:v>12.4</c:v>
                </c:pt>
                <c:pt idx="228">
                  <c:v>12.4</c:v>
                </c:pt>
                <c:pt idx="229">
                  <c:v>12.4</c:v>
                </c:pt>
                <c:pt idx="230">
                  <c:v>12.4</c:v>
                </c:pt>
                <c:pt idx="231">
                  <c:v>12.4</c:v>
                </c:pt>
                <c:pt idx="232">
                  <c:v>12.4</c:v>
                </c:pt>
                <c:pt idx="233">
                  <c:v>12.4</c:v>
                </c:pt>
                <c:pt idx="234">
                  <c:v>12.4</c:v>
                </c:pt>
                <c:pt idx="235">
                  <c:v>12.4</c:v>
                </c:pt>
                <c:pt idx="236">
                  <c:v>12.4</c:v>
                </c:pt>
                <c:pt idx="237">
                  <c:v>12.4</c:v>
                </c:pt>
                <c:pt idx="238">
                  <c:v>12.4</c:v>
                </c:pt>
                <c:pt idx="239">
                  <c:v>12.4</c:v>
                </c:pt>
                <c:pt idx="240">
                  <c:v>12.4</c:v>
                </c:pt>
                <c:pt idx="241">
                  <c:v>12.4</c:v>
                </c:pt>
                <c:pt idx="242">
                  <c:v>12.4</c:v>
                </c:pt>
                <c:pt idx="243">
                  <c:v>12.4</c:v>
                </c:pt>
                <c:pt idx="244">
                  <c:v>12.4</c:v>
                </c:pt>
                <c:pt idx="245">
                  <c:v>12.4</c:v>
                </c:pt>
                <c:pt idx="246">
                  <c:v>12.4</c:v>
                </c:pt>
                <c:pt idx="247">
                  <c:v>12.4</c:v>
                </c:pt>
                <c:pt idx="248">
                  <c:v>12.4</c:v>
                </c:pt>
                <c:pt idx="249">
                  <c:v>12.4</c:v>
                </c:pt>
                <c:pt idx="250">
                  <c:v>12.4</c:v>
                </c:pt>
                <c:pt idx="251">
                  <c:v>12.4</c:v>
                </c:pt>
                <c:pt idx="252">
                  <c:v>12.4</c:v>
                </c:pt>
                <c:pt idx="253">
                  <c:v>12.4</c:v>
                </c:pt>
                <c:pt idx="254">
                  <c:v>12.4</c:v>
                </c:pt>
                <c:pt idx="255">
                  <c:v>12.4</c:v>
                </c:pt>
                <c:pt idx="256">
                  <c:v>12.4</c:v>
                </c:pt>
                <c:pt idx="257">
                  <c:v>12.4</c:v>
                </c:pt>
                <c:pt idx="258">
                  <c:v>12.4</c:v>
                </c:pt>
                <c:pt idx="259">
                  <c:v>12.4</c:v>
                </c:pt>
                <c:pt idx="260">
                  <c:v>12.4</c:v>
                </c:pt>
                <c:pt idx="261">
                  <c:v>12.4</c:v>
                </c:pt>
                <c:pt idx="262">
                  <c:v>12.4</c:v>
                </c:pt>
                <c:pt idx="263">
                  <c:v>12.4</c:v>
                </c:pt>
                <c:pt idx="264">
                  <c:v>12.4</c:v>
                </c:pt>
                <c:pt idx="265">
                  <c:v>12.4</c:v>
                </c:pt>
                <c:pt idx="266">
                  <c:v>12.4</c:v>
                </c:pt>
                <c:pt idx="267">
                  <c:v>12.4</c:v>
                </c:pt>
                <c:pt idx="268">
                  <c:v>12.4</c:v>
                </c:pt>
                <c:pt idx="269">
                  <c:v>12.4</c:v>
                </c:pt>
                <c:pt idx="270">
                  <c:v>12.4</c:v>
                </c:pt>
                <c:pt idx="271">
                  <c:v>12.4</c:v>
                </c:pt>
                <c:pt idx="272">
                  <c:v>12.4</c:v>
                </c:pt>
                <c:pt idx="273">
                  <c:v>12.4</c:v>
                </c:pt>
                <c:pt idx="274">
                  <c:v>12.4</c:v>
                </c:pt>
                <c:pt idx="275">
                  <c:v>12.4</c:v>
                </c:pt>
                <c:pt idx="276">
                  <c:v>12.4</c:v>
                </c:pt>
                <c:pt idx="277">
                  <c:v>12.4</c:v>
                </c:pt>
                <c:pt idx="278">
                  <c:v>12.4</c:v>
                </c:pt>
                <c:pt idx="279">
                  <c:v>12.4</c:v>
                </c:pt>
                <c:pt idx="280">
                  <c:v>12.4</c:v>
                </c:pt>
                <c:pt idx="281">
                  <c:v>12.4</c:v>
                </c:pt>
                <c:pt idx="282">
                  <c:v>12.4</c:v>
                </c:pt>
                <c:pt idx="283">
                  <c:v>12.4</c:v>
                </c:pt>
                <c:pt idx="284">
                  <c:v>12.4</c:v>
                </c:pt>
                <c:pt idx="285">
                  <c:v>12.4</c:v>
                </c:pt>
                <c:pt idx="286">
                  <c:v>12.4</c:v>
                </c:pt>
                <c:pt idx="287">
                  <c:v>12.4</c:v>
                </c:pt>
                <c:pt idx="288">
                  <c:v>12.4</c:v>
                </c:pt>
                <c:pt idx="289">
                  <c:v>12.4</c:v>
                </c:pt>
                <c:pt idx="290">
                  <c:v>12.4</c:v>
                </c:pt>
                <c:pt idx="291">
                  <c:v>12.4</c:v>
                </c:pt>
                <c:pt idx="292">
                  <c:v>12.4</c:v>
                </c:pt>
                <c:pt idx="293">
                  <c:v>12.4</c:v>
                </c:pt>
                <c:pt idx="294">
                  <c:v>12.4</c:v>
                </c:pt>
                <c:pt idx="295">
                  <c:v>12.4</c:v>
                </c:pt>
                <c:pt idx="296">
                  <c:v>12.4</c:v>
                </c:pt>
                <c:pt idx="297">
                  <c:v>12.4</c:v>
                </c:pt>
                <c:pt idx="298">
                  <c:v>12.4</c:v>
                </c:pt>
                <c:pt idx="299">
                  <c:v>12.4</c:v>
                </c:pt>
                <c:pt idx="300">
                  <c:v>12.4</c:v>
                </c:pt>
                <c:pt idx="301">
                  <c:v>12.4</c:v>
                </c:pt>
                <c:pt idx="302">
                  <c:v>12.4</c:v>
                </c:pt>
                <c:pt idx="303">
                  <c:v>12.4</c:v>
                </c:pt>
                <c:pt idx="304">
                  <c:v>12.4</c:v>
                </c:pt>
                <c:pt idx="305">
                  <c:v>12.4</c:v>
                </c:pt>
                <c:pt idx="306">
                  <c:v>12.4</c:v>
                </c:pt>
                <c:pt idx="307">
                  <c:v>12.4</c:v>
                </c:pt>
                <c:pt idx="308">
                  <c:v>12.4</c:v>
                </c:pt>
                <c:pt idx="309">
                  <c:v>12.4</c:v>
                </c:pt>
                <c:pt idx="310">
                  <c:v>12.4</c:v>
                </c:pt>
                <c:pt idx="311">
                  <c:v>12.4</c:v>
                </c:pt>
                <c:pt idx="312">
                  <c:v>12.4</c:v>
                </c:pt>
                <c:pt idx="313">
                  <c:v>12.4</c:v>
                </c:pt>
                <c:pt idx="314">
                  <c:v>12.4</c:v>
                </c:pt>
                <c:pt idx="315">
                  <c:v>12.4</c:v>
                </c:pt>
                <c:pt idx="316">
                  <c:v>12.4</c:v>
                </c:pt>
                <c:pt idx="317">
                  <c:v>12.4</c:v>
                </c:pt>
                <c:pt idx="318">
                  <c:v>12.4</c:v>
                </c:pt>
                <c:pt idx="319">
                  <c:v>12.494505494505495</c:v>
                </c:pt>
                <c:pt idx="320">
                  <c:v>12.423913043478262</c:v>
                </c:pt>
                <c:pt idx="321">
                  <c:v>12.423913043478262</c:v>
                </c:pt>
                <c:pt idx="322">
                  <c:v>12.423913043478262</c:v>
                </c:pt>
                <c:pt idx="323">
                  <c:v>12.423913043478262</c:v>
                </c:pt>
                <c:pt idx="324">
                  <c:v>12.423913043478262</c:v>
                </c:pt>
                <c:pt idx="325">
                  <c:v>12.423913043478262</c:v>
                </c:pt>
                <c:pt idx="326">
                  <c:v>12.423913043478262</c:v>
                </c:pt>
                <c:pt idx="327">
                  <c:v>12.423913043478262</c:v>
                </c:pt>
                <c:pt idx="328">
                  <c:v>12.423913043478262</c:v>
                </c:pt>
                <c:pt idx="329">
                  <c:v>12.423913043478262</c:v>
                </c:pt>
                <c:pt idx="330">
                  <c:v>12.423913043478262</c:v>
                </c:pt>
                <c:pt idx="331">
                  <c:v>12.423913043478262</c:v>
                </c:pt>
                <c:pt idx="332">
                  <c:v>12.423913043478262</c:v>
                </c:pt>
                <c:pt idx="333">
                  <c:v>12.423913043478262</c:v>
                </c:pt>
                <c:pt idx="334">
                  <c:v>12.473118279569892</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3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Solve Time </a:t>
            </a:r>
            <a:r>
              <a:rPr lang="en-US" b="1" baseline="0"/>
              <a:t>- Medium</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Daily!$AD$4:$AD$440</c:f>
              <c:numCache>
                <c:formatCode>0</c:formatCode>
                <c:ptCount val="335"/>
                <c:pt idx="0">
                  <c:v>54</c:v>
                </c:pt>
                <c:pt idx="1">
                  <c:v>54</c:v>
                </c:pt>
                <c:pt idx="2">
                  <c:v>54</c:v>
                </c:pt>
                <c:pt idx="3">
                  <c:v>54</c:v>
                </c:pt>
                <c:pt idx="4">
                  <c:v>35.333333333333336</c:v>
                </c:pt>
                <c:pt idx="5">
                  <c:v>27.4</c:v>
                </c:pt>
                <c:pt idx="6">
                  <c:v>28.666666666666668</c:v>
                </c:pt>
                <c:pt idx="7">
                  <c:v>29.666666666666668</c:v>
                </c:pt>
                <c:pt idx="8">
                  <c:v>29.666666666666668</c:v>
                </c:pt>
                <c:pt idx="9">
                  <c:v>29.666666666666668</c:v>
                </c:pt>
                <c:pt idx="10">
                  <c:v>29.666666666666668</c:v>
                </c:pt>
                <c:pt idx="11">
                  <c:v>28.727272727272727</c:v>
                </c:pt>
                <c:pt idx="12">
                  <c:v>28.75</c:v>
                </c:pt>
                <c:pt idx="13">
                  <c:v>24.866666666666667</c:v>
                </c:pt>
                <c:pt idx="14">
                  <c:v>24.222222222222221</c:v>
                </c:pt>
                <c:pt idx="15">
                  <c:v>24.222222222222221</c:v>
                </c:pt>
                <c:pt idx="16">
                  <c:v>24.222222222222221</c:v>
                </c:pt>
                <c:pt idx="17">
                  <c:v>24.222222222222221</c:v>
                </c:pt>
                <c:pt idx="18">
                  <c:v>25</c:v>
                </c:pt>
                <c:pt idx="19">
                  <c:v>24.636363636363637</c:v>
                </c:pt>
                <c:pt idx="20">
                  <c:v>24.565217391304348</c:v>
                </c:pt>
                <c:pt idx="21">
                  <c:v>24.565217391304348</c:v>
                </c:pt>
                <c:pt idx="22">
                  <c:v>24.565217391304348</c:v>
                </c:pt>
                <c:pt idx="23">
                  <c:v>24.565217391304348</c:v>
                </c:pt>
                <c:pt idx="24">
                  <c:v>24.565217391304348</c:v>
                </c:pt>
                <c:pt idx="25">
                  <c:v>24.76</c:v>
                </c:pt>
                <c:pt idx="26">
                  <c:v>24.76</c:v>
                </c:pt>
                <c:pt idx="27">
                  <c:v>24.76</c:v>
                </c:pt>
                <c:pt idx="28">
                  <c:v>24.76</c:v>
                </c:pt>
                <c:pt idx="29">
                  <c:v>24.76</c:v>
                </c:pt>
                <c:pt idx="30">
                  <c:v>24.76</c:v>
                </c:pt>
                <c:pt idx="31">
                  <c:v>25</c:v>
                </c:pt>
                <c:pt idx="32">
                  <c:v>25.548387096774192</c:v>
                </c:pt>
                <c:pt idx="33">
                  <c:v>26.916666666666668</c:v>
                </c:pt>
                <c:pt idx="34">
                  <c:v>26.916666666666668</c:v>
                </c:pt>
                <c:pt idx="35">
                  <c:v>26.916666666666668</c:v>
                </c:pt>
                <c:pt idx="36">
                  <c:v>26.916666666666668</c:v>
                </c:pt>
                <c:pt idx="37">
                  <c:v>26.916666666666668</c:v>
                </c:pt>
                <c:pt idx="38">
                  <c:v>26.513513513513512</c:v>
                </c:pt>
                <c:pt idx="39">
                  <c:v>26.4</c:v>
                </c:pt>
                <c:pt idx="40">
                  <c:v>26.4</c:v>
                </c:pt>
                <c:pt idx="41">
                  <c:v>26.4</c:v>
                </c:pt>
                <c:pt idx="42">
                  <c:v>26.4</c:v>
                </c:pt>
                <c:pt idx="43">
                  <c:v>26.4</c:v>
                </c:pt>
                <c:pt idx="44">
                  <c:v>26.4</c:v>
                </c:pt>
                <c:pt idx="45">
                  <c:v>26.4</c:v>
                </c:pt>
                <c:pt idx="46">
                  <c:v>26.26829268292683</c:v>
                </c:pt>
                <c:pt idx="47">
                  <c:v>26.214285714285715</c:v>
                </c:pt>
                <c:pt idx="48">
                  <c:v>26.227272727272727</c:v>
                </c:pt>
                <c:pt idx="49">
                  <c:v>26</c:v>
                </c:pt>
                <c:pt idx="50">
                  <c:v>26</c:v>
                </c:pt>
                <c:pt idx="51">
                  <c:v>26</c:v>
                </c:pt>
                <c:pt idx="52">
                  <c:v>25.551020408163264</c:v>
                </c:pt>
                <c:pt idx="53">
                  <c:v>25.403846153846153</c:v>
                </c:pt>
                <c:pt idx="54">
                  <c:v>26.37037037037037</c:v>
                </c:pt>
                <c:pt idx="55">
                  <c:v>26.767857142857142</c:v>
                </c:pt>
                <c:pt idx="56">
                  <c:v>26.758620689655171</c:v>
                </c:pt>
                <c:pt idx="57">
                  <c:v>26.758620689655171</c:v>
                </c:pt>
                <c:pt idx="58">
                  <c:v>26.758620689655171</c:v>
                </c:pt>
                <c:pt idx="59">
                  <c:v>25.887096774193548</c:v>
                </c:pt>
                <c:pt idx="60">
                  <c:v>25.246153846153845</c:v>
                </c:pt>
                <c:pt idx="61">
                  <c:v>25.676470588235293</c:v>
                </c:pt>
                <c:pt idx="62">
                  <c:v>25.557142857142857</c:v>
                </c:pt>
                <c:pt idx="63">
                  <c:v>25.106666666666666</c:v>
                </c:pt>
                <c:pt idx="64">
                  <c:v>25.106666666666666</c:v>
                </c:pt>
                <c:pt idx="65">
                  <c:v>25.106666666666666</c:v>
                </c:pt>
                <c:pt idx="66">
                  <c:v>25.106666666666666</c:v>
                </c:pt>
                <c:pt idx="67">
                  <c:v>25.106666666666666</c:v>
                </c:pt>
                <c:pt idx="68">
                  <c:v>25.106666666666666</c:v>
                </c:pt>
                <c:pt idx="69">
                  <c:v>25.106666666666666</c:v>
                </c:pt>
                <c:pt idx="70">
                  <c:v>25.106666666666666</c:v>
                </c:pt>
                <c:pt idx="71">
                  <c:v>25.106666666666666</c:v>
                </c:pt>
                <c:pt idx="72">
                  <c:v>25.106666666666666</c:v>
                </c:pt>
                <c:pt idx="73">
                  <c:v>25.106666666666666</c:v>
                </c:pt>
                <c:pt idx="74">
                  <c:v>25.164556962025316</c:v>
                </c:pt>
                <c:pt idx="75">
                  <c:v>24.901234567901234</c:v>
                </c:pt>
                <c:pt idx="76">
                  <c:v>24.695121951219512</c:v>
                </c:pt>
                <c:pt idx="77">
                  <c:v>24.783132530120483</c:v>
                </c:pt>
                <c:pt idx="78">
                  <c:v>24.69047619047619</c:v>
                </c:pt>
                <c:pt idx="79">
                  <c:v>24.941176470588236</c:v>
                </c:pt>
                <c:pt idx="80">
                  <c:v>25.069767441860463</c:v>
                </c:pt>
                <c:pt idx="81">
                  <c:v>25.011494252873565</c:v>
                </c:pt>
                <c:pt idx="82">
                  <c:v>24.886363636363637</c:v>
                </c:pt>
                <c:pt idx="83">
                  <c:v>25.011235955056179</c:v>
                </c:pt>
                <c:pt idx="84">
                  <c:v>25.233333333333334</c:v>
                </c:pt>
                <c:pt idx="85">
                  <c:v>25.233333333333334</c:v>
                </c:pt>
                <c:pt idx="86">
                  <c:v>25.233333333333334</c:v>
                </c:pt>
                <c:pt idx="87">
                  <c:v>25.130434782608695</c:v>
                </c:pt>
                <c:pt idx="88">
                  <c:v>25.515789473684212</c:v>
                </c:pt>
                <c:pt idx="89">
                  <c:v>25.34375</c:v>
                </c:pt>
                <c:pt idx="90">
                  <c:v>25.298969072164947</c:v>
                </c:pt>
                <c:pt idx="91">
                  <c:v>25.56</c:v>
                </c:pt>
                <c:pt idx="92">
                  <c:v>25.56</c:v>
                </c:pt>
                <c:pt idx="93">
                  <c:v>25.56</c:v>
                </c:pt>
                <c:pt idx="94">
                  <c:v>25.613861386138613</c:v>
                </c:pt>
                <c:pt idx="95">
                  <c:v>25.846153846153847</c:v>
                </c:pt>
                <c:pt idx="96">
                  <c:v>25.635514018691588</c:v>
                </c:pt>
                <c:pt idx="97">
                  <c:v>26.045454545454547</c:v>
                </c:pt>
                <c:pt idx="98">
                  <c:v>26.045454545454547</c:v>
                </c:pt>
                <c:pt idx="99">
                  <c:v>26.045454545454547</c:v>
                </c:pt>
                <c:pt idx="100">
                  <c:v>26.045454545454547</c:v>
                </c:pt>
                <c:pt idx="101">
                  <c:v>25.53913043478261</c:v>
                </c:pt>
                <c:pt idx="102">
                  <c:v>25.5</c:v>
                </c:pt>
                <c:pt idx="103">
                  <c:v>25.367521367521366</c:v>
                </c:pt>
                <c:pt idx="104">
                  <c:v>25.588235294117649</c:v>
                </c:pt>
                <c:pt idx="105">
                  <c:v>25.694214876033058</c:v>
                </c:pt>
                <c:pt idx="106">
                  <c:v>25.694214876033058</c:v>
                </c:pt>
                <c:pt idx="107">
                  <c:v>25.694214876033058</c:v>
                </c:pt>
                <c:pt idx="108">
                  <c:v>25.622950819672131</c:v>
                </c:pt>
                <c:pt idx="109">
                  <c:v>25.86178861788618</c:v>
                </c:pt>
                <c:pt idx="110">
                  <c:v>25.86178861788618</c:v>
                </c:pt>
                <c:pt idx="111">
                  <c:v>25.75</c:v>
                </c:pt>
                <c:pt idx="112">
                  <c:v>25.6640625</c:v>
                </c:pt>
                <c:pt idx="113">
                  <c:v>25.6640625</c:v>
                </c:pt>
                <c:pt idx="114">
                  <c:v>25.6640625</c:v>
                </c:pt>
                <c:pt idx="115">
                  <c:v>26.107692307692307</c:v>
                </c:pt>
                <c:pt idx="116">
                  <c:v>26.060606060606062</c:v>
                </c:pt>
                <c:pt idx="117">
                  <c:v>26.21641791044776</c:v>
                </c:pt>
                <c:pt idx="118">
                  <c:v>26.350364963503651</c:v>
                </c:pt>
                <c:pt idx="119">
                  <c:v>26.085714285714285</c:v>
                </c:pt>
                <c:pt idx="120">
                  <c:v>26.085714285714285</c:v>
                </c:pt>
                <c:pt idx="121">
                  <c:v>26.085714285714285</c:v>
                </c:pt>
                <c:pt idx="122">
                  <c:v>26.23076923076923</c:v>
                </c:pt>
                <c:pt idx="123">
                  <c:v>26.565517241379311</c:v>
                </c:pt>
                <c:pt idx="124">
                  <c:v>26.513513513513512</c:v>
                </c:pt>
                <c:pt idx="125">
                  <c:v>26.413333333333334</c:v>
                </c:pt>
                <c:pt idx="126">
                  <c:v>26.281045751633986</c:v>
                </c:pt>
                <c:pt idx="127">
                  <c:v>26.281045751633986</c:v>
                </c:pt>
                <c:pt idx="128">
                  <c:v>26.281045751633986</c:v>
                </c:pt>
                <c:pt idx="129">
                  <c:v>26.281045751633986</c:v>
                </c:pt>
                <c:pt idx="130">
                  <c:v>26.281045751633986</c:v>
                </c:pt>
                <c:pt idx="131">
                  <c:v>26.281045751633986</c:v>
                </c:pt>
                <c:pt idx="132">
                  <c:v>26.281045751633986</c:v>
                </c:pt>
                <c:pt idx="133">
                  <c:v>26.281045751633986</c:v>
                </c:pt>
                <c:pt idx="134">
                  <c:v>26.281045751633986</c:v>
                </c:pt>
                <c:pt idx="135">
                  <c:v>26.281045751633986</c:v>
                </c:pt>
                <c:pt idx="136">
                  <c:v>26.281045751633986</c:v>
                </c:pt>
                <c:pt idx="137">
                  <c:v>26.281045751633986</c:v>
                </c:pt>
                <c:pt idx="138">
                  <c:v>26.281045751633986</c:v>
                </c:pt>
                <c:pt idx="139">
                  <c:v>26.281045751633986</c:v>
                </c:pt>
                <c:pt idx="140">
                  <c:v>26.281045751633986</c:v>
                </c:pt>
                <c:pt idx="141">
                  <c:v>26.281045751633986</c:v>
                </c:pt>
                <c:pt idx="142">
                  <c:v>26.281045751633986</c:v>
                </c:pt>
                <c:pt idx="143">
                  <c:v>26.587096774193547</c:v>
                </c:pt>
                <c:pt idx="144">
                  <c:v>26.587096774193547</c:v>
                </c:pt>
                <c:pt idx="145">
                  <c:v>26.587096774193547</c:v>
                </c:pt>
                <c:pt idx="146">
                  <c:v>26.579617834394906</c:v>
                </c:pt>
                <c:pt idx="147">
                  <c:v>26.579617834394906</c:v>
                </c:pt>
                <c:pt idx="148">
                  <c:v>26.579617834394906</c:v>
                </c:pt>
                <c:pt idx="149">
                  <c:v>26.579617834394906</c:v>
                </c:pt>
                <c:pt idx="150">
                  <c:v>26.579617834394906</c:v>
                </c:pt>
                <c:pt idx="151">
                  <c:v>26.579617834394906</c:v>
                </c:pt>
                <c:pt idx="152">
                  <c:v>26.579617834394906</c:v>
                </c:pt>
                <c:pt idx="153">
                  <c:v>26.579617834394906</c:v>
                </c:pt>
                <c:pt idx="154">
                  <c:v>26.579617834394906</c:v>
                </c:pt>
                <c:pt idx="155">
                  <c:v>26.579617834394906</c:v>
                </c:pt>
                <c:pt idx="156">
                  <c:v>26.579617834394906</c:v>
                </c:pt>
                <c:pt idx="157">
                  <c:v>26.579617834394906</c:v>
                </c:pt>
                <c:pt idx="158">
                  <c:v>26.579617834394906</c:v>
                </c:pt>
                <c:pt idx="159">
                  <c:v>26.579617834394906</c:v>
                </c:pt>
                <c:pt idx="160">
                  <c:v>26.579617834394906</c:v>
                </c:pt>
                <c:pt idx="161">
                  <c:v>26.579617834394906</c:v>
                </c:pt>
                <c:pt idx="162">
                  <c:v>26.579617834394906</c:v>
                </c:pt>
                <c:pt idx="163">
                  <c:v>26.579617834394906</c:v>
                </c:pt>
                <c:pt idx="164">
                  <c:v>26.579617834394906</c:v>
                </c:pt>
                <c:pt idx="165">
                  <c:v>26.556962025316455</c:v>
                </c:pt>
                <c:pt idx="166">
                  <c:v>26.40625</c:v>
                </c:pt>
                <c:pt idx="167">
                  <c:v>26.40625</c:v>
                </c:pt>
                <c:pt idx="168">
                  <c:v>26.40625</c:v>
                </c:pt>
                <c:pt idx="169">
                  <c:v>26.40625</c:v>
                </c:pt>
                <c:pt idx="170">
                  <c:v>26.40625</c:v>
                </c:pt>
                <c:pt idx="171">
                  <c:v>26.40625</c:v>
                </c:pt>
                <c:pt idx="172">
                  <c:v>26.40625</c:v>
                </c:pt>
                <c:pt idx="173">
                  <c:v>26.40625</c:v>
                </c:pt>
                <c:pt idx="174">
                  <c:v>26.40625</c:v>
                </c:pt>
                <c:pt idx="175">
                  <c:v>26.40625</c:v>
                </c:pt>
                <c:pt idx="176">
                  <c:v>26.40625</c:v>
                </c:pt>
                <c:pt idx="177">
                  <c:v>26.40625</c:v>
                </c:pt>
                <c:pt idx="178">
                  <c:v>26.40625</c:v>
                </c:pt>
                <c:pt idx="179">
                  <c:v>26.40625</c:v>
                </c:pt>
                <c:pt idx="180">
                  <c:v>26.40625</c:v>
                </c:pt>
                <c:pt idx="181">
                  <c:v>26.40625</c:v>
                </c:pt>
                <c:pt idx="182">
                  <c:v>26.40625</c:v>
                </c:pt>
                <c:pt idx="183">
                  <c:v>26.40625</c:v>
                </c:pt>
                <c:pt idx="184">
                  <c:v>26.40625</c:v>
                </c:pt>
                <c:pt idx="185">
                  <c:v>26.40625</c:v>
                </c:pt>
                <c:pt idx="186">
                  <c:v>26.40625</c:v>
                </c:pt>
                <c:pt idx="187">
                  <c:v>26.40625</c:v>
                </c:pt>
                <c:pt idx="188">
                  <c:v>26.40625</c:v>
                </c:pt>
                <c:pt idx="189">
                  <c:v>26.40625</c:v>
                </c:pt>
                <c:pt idx="190">
                  <c:v>26.40625</c:v>
                </c:pt>
                <c:pt idx="191">
                  <c:v>26.40625</c:v>
                </c:pt>
                <c:pt idx="192">
                  <c:v>26.378881987577639</c:v>
                </c:pt>
                <c:pt idx="193">
                  <c:v>26.378881987577639</c:v>
                </c:pt>
                <c:pt idx="194">
                  <c:v>26.378881987577639</c:v>
                </c:pt>
                <c:pt idx="195">
                  <c:v>26.378881987577639</c:v>
                </c:pt>
                <c:pt idx="196">
                  <c:v>26.378881987577639</c:v>
                </c:pt>
                <c:pt idx="197">
                  <c:v>26.378881987577639</c:v>
                </c:pt>
                <c:pt idx="198">
                  <c:v>26.378881987577639</c:v>
                </c:pt>
                <c:pt idx="199">
                  <c:v>26.378881987577639</c:v>
                </c:pt>
                <c:pt idx="200">
                  <c:v>26.378881987577639</c:v>
                </c:pt>
                <c:pt idx="201">
                  <c:v>26.378881987577639</c:v>
                </c:pt>
                <c:pt idx="202">
                  <c:v>26.378881987577639</c:v>
                </c:pt>
                <c:pt idx="203">
                  <c:v>26.378881987577639</c:v>
                </c:pt>
                <c:pt idx="204">
                  <c:v>26.378881987577639</c:v>
                </c:pt>
                <c:pt idx="205">
                  <c:v>26.378881987577639</c:v>
                </c:pt>
                <c:pt idx="206">
                  <c:v>26.378881987577639</c:v>
                </c:pt>
                <c:pt idx="207">
                  <c:v>26.378881987577639</c:v>
                </c:pt>
                <c:pt idx="208">
                  <c:v>26.378881987577639</c:v>
                </c:pt>
                <c:pt idx="209">
                  <c:v>26.378881987577639</c:v>
                </c:pt>
                <c:pt idx="210">
                  <c:v>26.378881987577639</c:v>
                </c:pt>
                <c:pt idx="211">
                  <c:v>26.378881987577639</c:v>
                </c:pt>
                <c:pt idx="212">
                  <c:v>26.378881987577639</c:v>
                </c:pt>
                <c:pt idx="213">
                  <c:v>26.378881987577639</c:v>
                </c:pt>
                <c:pt idx="214">
                  <c:v>26.378881987577639</c:v>
                </c:pt>
                <c:pt idx="215">
                  <c:v>26.378881987577639</c:v>
                </c:pt>
                <c:pt idx="216">
                  <c:v>26.378881987577639</c:v>
                </c:pt>
                <c:pt idx="217">
                  <c:v>26.378881987577639</c:v>
                </c:pt>
                <c:pt idx="218">
                  <c:v>26.378881987577639</c:v>
                </c:pt>
                <c:pt idx="219">
                  <c:v>26.378881987577639</c:v>
                </c:pt>
                <c:pt idx="220">
                  <c:v>26.378881987577639</c:v>
                </c:pt>
                <c:pt idx="221">
                  <c:v>26.378881987577639</c:v>
                </c:pt>
                <c:pt idx="222">
                  <c:v>26.378881987577639</c:v>
                </c:pt>
                <c:pt idx="223">
                  <c:v>26.320987654320987</c:v>
                </c:pt>
                <c:pt idx="224">
                  <c:v>26.320987654320987</c:v>
                </c:pt>
                <c:pt idx="225">
                  <c:v>26.320987654320987</c:v>
                </c:pt>
                <c:pt idx="226">
                  <c:v>26.320987654320987</c:v>
                </c:pt>
                <c:pt idx="227">
                  <c:v>26.320987654320987</c:v>
                </c:pt>
                <c:pt idx="228">
                  <c:v>26.272727272727273</c:v>
                </c:pt>
                <c:pt idx="229">
                  <c:v>26.272727272727273</c:v>
                </c:pt>
                <c:pt idx="230">
                  <c:v>26.272727272727273</c:v>
                </c:pt>
                <c:pt idx="231">
                  <c:v>26.272727272727273</c:v>
                </c:pt>
                <c:pt idx="232">
                  <c:v>26.272727272727273</c:v>
                </c:pt>
                <c:pt idx="233">
                  <c:v>26.272727272727273</c:v>
                </c:pt>
                <c:pt idx="234">
                  <c:v>26.407185628742514</c:v>
                </c:pt>
                <c:pt idx="235">
                  <c:v>26.407185628742514</c:v>
                </c:pt>
                <c:pt idx="236">
                  <c:v>26.407185628742514</c:v>
                </c:pt>
                <c:pt idx="237">
                  <c:v>26.407185628742514</c:v>
                </c:pt>
                <c:pt idx="238">
                  <c:v>26.407185628742514</c:v>
                </c:pt>
                <c:pt idx="239">
                  <c:v>26.407185628742514</c:v>
                </c:pt>
                <c:pt idx="240">
                  <c:v>26.407185628742514</c:v>
                </c:pt>
                <c:pt idx="241">
                  <c:v>26.407185628742514</c:v>
                </c:pt>
                <c:pt idx="242">
                  <c:v>26.319526627218934</c:v>
                </c:pt>
                <c:pt idx="243">
                  <c:v>26.252941176470589</c:v>
                </c:pt>
                <c:pt idx="244">
                  <c:v>26.252941176470589</c:v>
                </c:pt>
                <c:pt idx="245">
                  <c:v>26.252941176470589</c:v>
                </c:pt>
                <c:pt idx="246">
                  <c:v>26.252941176470589</c:v>
                </c:pt>
                <c:pt idx="247">
                  <c:v>26.252941176470589</c:v>
                </c:pt>
                <c:pt idx="248">
                  <c:v>26.222222222222221</c:v>
                </c:pt>
                <c:pt idx="249">
                  <c:v>26.222222222222221</c:v>
                </c:pt>
                <c:pt idx="250">
                  <c:v>26.222222222222221</c:v>
                </c:pt>
                <c:pt idx="251">
                  <c:v>26.151162790697676</c:v>
                </c:pt>
                <c:pt idx="252">
                  <c:v>26.151162790697676</c:v>
                </c:pt>
                <c:pt idx="253">
                  <c:v>26.151162790697676</c:v>
                </c:pt>
                <c:pt idx="254">
                  <c:v>26.151162790697676</c:v>
                </c:pt>
                <c:pt idx="255">
                  <c:v>26.151162790697676</c:v>
                </c:pt>
                <c:pt idx="256">
                  <c:v>26.086206896551722</c:v>
                </c:pt>
                <c:pt idx="257">
                  <c:v>25.983146067415731</c:v>
                </c:pt>
                <c:pt idx="258">
                  <c:v>25.983146067415731</c:v>
                </c:pt>
                <c:pt idx="259">
                  <c:v>25.983146067415731</c:v>
                </c:pt>
                <c:pt idx="260">
                  <c:v>25.983146067415731</c:v>
                </c:pt>
                <c:pt idx="261">
                  <c:v>25.983146067415731</c:v>
                </c:pt>
                <c:pt idx="262">
                  <c:v>25.767955801104971</c:v>
                </c:pt>
                <c:pt idx="263">
                  <c:v>25.928961748633881</c:v>
                </c:pt>
                <c:pt idx="264">
                  <c:v>25.928961748633881</c:v>
                </c:pt>
                <c:pt idx="265">
                  <c:v>25.875</c:v>
                </c:pt>
                <c:pt idx="266">
                  <c:v>25.859459459459458</c:v>
                </c:pt>
                <c:pt idx="267">
                  <c:v>25.859459459459458</c:v>
                </c:pt>
                <c:pt idx="268">
                  <c:v>25.859459459459458</c:v>
                </c:pt>
                <c:pt idx="269">
                  <c:v>25.77956989247312</c:v>
                </c:pt>
                <c:pt idx="270">
                  <c:v>25.77956989247312</c:v>
                </c:pt>
                <c:pt idx="271">
                  <c:v>25.77956989247312</c:v>
                </c:pt>
                <c:pt idx="272">
                  <c:v>25.77956989247312</c:v>
                </c:pt>
                <c:pt idx="273">
                  <c:v>25.77956989247312</c:v>
                </c:pt>
                <c:pt idx="274">
                  <c:v>25.77956989247312</c:v>
                </c:pt>
                <c:pt idx="275">
                  <c:v>25.77956989247312</c:v>
                </c:pt>
                <c:pt idx="276">
                  <c:v>25.77956989247312</c:v>
                </c:pt>
                <c:pt idx="277">
                  <c:v>25.77956989247312</c:v>
                </c:pt>
                <c:pt idx="278">
                  <c:v>25.77956989247312</c:v>
                </c:pt>
                <c:pt idx="279">
                  <c:v>25.77956989247312</c:v>
                </c:pt>
                <c:pt idx="280">
                  <c:v>25.77956989247312</c:v>
                </c:pt>
                <c:pt idx="281">
                  <c:v>25.77956989247312</c:v>
                </c:pt>
                <c:pt idx="282">
                  <c:v>25.77956989247312</c:v>
                </c:pt>
                <c:pt idx="283">
                  <c:v>25.77956989247312</c:v>
                </c:pt>
                <c:pt idx="284">
                  <c:v>25.77956989247312</c:v>
                </c:pt>
                <c:pt idx="285">
                  <c:v>25.77956989247312</c:v>
                </c:pt>
                <c:pt idx="286">
                  <c:v>25.77956989247312</c:v>
                </c:pt>
                <c:pt idx="287">
                  <c:v>25.77956989247312</c:v>
                </c:pt>
                <c:pt idx="288">
                  <c:v>25.77956989247312</c:v>
                </c:pt>
                <c:pt idx="289">
                  <c:v>25.77956989247312</c:v>
                </c:pt>
                <c:pt idx="290">
                  <c:v>25.77956989247312</c:v>
                </c:pt>
                <c:pt idx="291">
                  <c:v>25.77956989247312</c:v>
                </c:pt>
                <c:pt idx="292">
                  <c:v>25.77956989247312</c:v>
                </c:pt>
                <c:pt idx="293">
                  <c:v>25.77956989247312</c:v>
                </c:pt>
                <c:pt idx="294">
                  <c:v>25.77956989247312</c:v>
                </c:pt>
                <c:pt idx="295">
                  <c:v>25.77956989247312</c:v>
                </c:pt>
                <c:pt idx="296">
                  <c:v>25.77956989247312</c:v>
                </c:pt>
                <c:pt idx="297">
                  <c:v>25.77956989247312</c:v>
                </c:pt>
                <c:pt idx="298">
                  <c:v>25.77956989247312</c:v>
                </c:pt>
                <c:pt idx="299">
                  <c:v>25.77956989247312</c:v>
                </c:pt>
                <c:pt idx="300">
                  <c:v>25.77956989247312</c:v>
                </c:pt>
                <c:pt idx="301">
                  <c:v>25.77956989247312</c:v>
                </c:pt>
                <c:pt idx="302">
                  <c:v>25.77956989247312</c:v>
                </c:pt>
                <c:pt idx="303">
                  <c:v>25.77956989247312</c:v>
                </c:pt>
                <c:pt idx="304">
                  <c:v>25.77956989247312</c:v>
                </c:pt>
                <c:pt idx="305">
                  <c:v>25.77956989247312</c:v>
                </c:pt>
                <c:pt idx="306">
                  <c:v>25.77956989247312</c:v>
                </c:pt>
                <c:pt idx="307">
                  <c:v>25.77956989247312</c:v>
                </c:pt>
                <c:pt idx="308">
                  <c:v>25.77956989247312</c:v>
                </c:pt>
                <c:pt idx="309">
                  <c:v>25.77956989247312</c:v>
                </c:pt>
                <c:pt idx="310">
                  <c:v>25.77956989247312</c:v>
                </c:pt>
                <c:pt idx="311">
                  <c:v>25.77956989247312</c:v>
                </c:pt>
                <c:pt idx="312">
                  <c:v>25.77956989247312</c:v>
                </c:pt>
                <c:pt idx="313">
                  <c:v>25.77956989247312</c:v>
                </c:pt>
                <c:pt idx="314">
                  <c:v>25.77956989247312</c:v>
                </c:pt>
                <c:pt idx="315">
                  <c:v>25.77956989247312</c:v>
                </c:pt>
                <c:pt idx="316">
                  <c:v>25.770053475935828</c:v>
                </c:pt>
                <c:pt idx="317">
                  <c:v>25.770053475935828</c:v>
                </c:pt>
                <c:pt idx="318">
                  <c:v>25.770053475935828</c:v>
                </c:pt>
                <c:pt idx="319">
                  <c:v>25.856382978723403</c:v>
                </c:pt>
                <c:pt idx="320">
                  <c:v>25.894736842105264</c:v>
                </c:pt>
                <c:pt idx="321">
                  <c:v>25.894736842105264</c:v>
                </c:pt>
                <c:pt idx="322">
                  <c:v>25.894736842105264</c:v>
                </c:pt>
                <c:pt idx="323">
                  <c:v>25.894736842105264</c:v>
                </c:pt>
                <c:pt idx="324">
                  <c:v>25.894736842105264</c:v>
                </c:pt>
                <c:pt idx="325">
                  <c:v>25.894736842105264</c:v>
                </c:pt>
                <c:pt idx="326">
                  <c:v>25.894736842105264</c:v>
                </c:pt>
                <c:pt idx="327">
                  <c:v>25.894736842105264</c:v>
                </c:pt>
                <c:pt idx="328">
                  <c:v>25.894736842105264</c:v>
                </c:pt>
                <c:pt idx="329">
                  <c:v>25.894736842105264</c:v>
                </c:pt>
                <c:pt idx="330">
                  <c:v>25.894736842105264</c:v>
                </c:pt>
                <c:pt idx="331">
                  <c:v>25.894736842105264</c:v>
                </c:pt>
                <c:pt idx="332">
                  <c:v>25.894736842105264</c:v>
                </c:pt>
                <c:pt idx="333">
                  <c:v>25.894736842105264</c:v>
                </c:pt>
                <c:pt idx="334">
                  <c:v>26.005208333333332</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6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Solve Time </a:t>
            </a:r>
            <a:r>
              <a:rPr lang="en-US" b="1" baseline="0"/>
              <a:t>- Hard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Daily!$AI$4:$AI$440</c:f>
              <c:numCache>
                <c:formatCode>0</c:formatCode>
                <c:ptCount val="3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41</c:v>
                </c:pt>
                <c:pt idx="34">
                  <c:v>41</c:v>
                </c:pt>
                <c:pt idx="35">
                  <c:v>41</c:v>
                </c:pt>
                <c:pt idx="36">
                  <c:v>41</c:v>
                </c:pt>
                <c:pt idx="37">
                  <c:v>41</c:v>
                </c:pt>
                <c:pt idx="38">
                  <c:v>44.666666666666664</c:v>
                </c:pt>
                <c:pt idx="39">
                  <c:v>44.666666666666664</c:v>
                </c:pt>
                <c:pt idx="40">
                  <c:v>44.666666666666664</c:v>
                </c:pt>
                <c:pt idx="41">
                  <c:v>39</c:v>
                </c:pt>
                <c:pt idx="42">
                  <c:v>39</c:v>
                </c:pt>
                <c:pt idx="43">
                  <c:v>39</c:v>
                </c:pt>
                <c:pt idx="44">
                  <c:v>39</c:v>
                </c:pt>
                <c:pt idx="45">
                  <c:v>45.6</c:v>
                </c:pt>
                <c:pt idx="46">
                  <c:v>43.666666666666664</c:v>
                </c:pt>
                <c:pt idx="47">
                  <c:v>43.666666666666664</c:v>
                </c:pt>
                <c:pt idx="48">
                  <c:v>43.666666666666664</c:v>
                </c:pt>
                <c:pt idx="49">
                  <c:v>43.666666666666664</c:v>
                </c:pt>
                <c:pt idx="50">
                  <c:v>43.666666666666664</c:v>
                </c:pt>
                <c:pt idx="51">
                  <c:v>43.666666666666664</c:v>
                </c:pt>
                <c:pt idx="52">
                  <c:v>43.666666666666664</c:v>
                </c:pt>
                <c:pt idx="53">
                  <c:v>43.666666666666664</c:v>
                </c:pt>
                <c:pt idx="54">
                  <c:v>43.666666666666664</c:v>
                </c:pt>
                <c:pt idx="55">
                  <c:v>43.666666666666664</c:v>
                </c:pt>
                <c:pt idx="56">
                  <c:v>43.666666666666664</c:v>
                </c:pt>
                <c:pt idx="57">
                  <c:v>43.666666666666664</c:v>
                </c:pt>
                <c:pt idx="58">
                  <c:v>43.666666666666664</c:v>
                </c:pt>
                <c:pt idx="59">
                  <c:v>48</c:v>
                </c:pt>
                <c:pt idx="60">
                  <c:v>41.888888888888886</c:v>
                </c:pt>
                <c:pt idx="61">
                  <c:v>41.888888888888886</c:v>
                </c:pt>
                <c:pt idx="62">
                  <c:v>41.888888888888886</c:v>
                </c:pt>
                <c:pt idx="63">
                  <c:v>41.916666666666664</c:v>
                </c:pt>
                <c:pt idx="64">
                  <c:v>41.916666666666664</c:v>
                </c:pt>
                <c:pt idx="65">
                  <c:v>41.916666666666664</c:v>
                </c:pt>
                <c:pt idx="66">
                  <c:v>41.916666666666664</c:v>
                </c:pt>
                <c:pt idx="67">
                  <c:v>41.916666666666664</c:v>
                </c:pt>
                <c:pt idx="68">
                  <c:v>41.916666666666664</c:v>
                </c:pt>
                <c:pt idx="69">
                  <c:v>41.916666666666664</c:v>
                </c:pt>
                <c:pt idx="70">
                  <c:v>41.916666666666664</c:v>
                </c:pt>
                <c:pt idx="71">
                  <c:v>41.916666666666664</c:v>
                </c:pt>
                <c:pt idx="72">
                  <c:v>41.916666666666664</c:v>
                </c:pt>
                <c:pt idx="73">
                  <c:v>41.916666666666664</c:v>
                </c:pt>
                <c:pt idx="74">
                  <c:v>41.916666666666664</c:v>
                </c:pt>
                <c:pt idx="75">
                  <c:v>41.916666666666664</c:v>
                </c:pt>
                <c:pt idx="76">
                  <c:v>41.916666666666664</c:v>
                </c:pt>
                <c:pt idx="77">
                  <c:v>41.916666666666664</c:v>
                </c:pt>
                <c:pt idx="78">
                  <c:v>41.916666666666664</c:v>
                </c:pt>
                <c:pt idx="79">
                  <c:v>41.916666666666664</c:v>
                </c:pt>
                <c:pt idx="80">
                  <c:v>40.769230769230766</c:v>
                </c:pt>
                <c:pt idx="81">
                  <c:v>40.928571428571431</c:v>
                </c:pt>
                <c:pt idx="82">
                  <c:v>40.928571428571431</c:v>
                </c:pt>
                <c:pt idx="83">
                  <c:v>40.928571428571431</c:v>
                </c:pt>
                <c:pt idx="84">
                  <c:v>40.928571428571431</c:v>
                </c:pt>
                <c:pt idx="85">
                  <c:v>40.928571428571431</c:v>
                </c:pt>
                <c:pt idx="86">
                  <c:v>40.928571428571431</c:v>
                </c:pt>
                <c:pt idx="87">
                  <c:v>39.93333333333333</c:v>
                </c:pt>
                <c:pt idx="88">
                  <c:v>41.0625</c:v>
                </c:pt>
                <c:pt idx="89">
                  <c:v>41.0625</c:v>
                </c:pt>
                <c:pt idx="90">
                  <c:v>39.588235294117645</c:v>
                </c:pt>
                <c:pt idx="91">
                  <c:v>39.833333333333336</c:v>
                </c:pt>
                <c:pt idx="92">
                  <c:v>39.833333333333336</c:v>
                </c:pt>
                <c:pt idx="93">
                  <c:v>39.833333333333336</c:v>
                </c:pt>
                <c:pt idx="94">
                  <c:v>39.833333333333336</c:v>
                </c:pt>
                <c:pt idx="95">
                  <c:v>39.15</c:v>
                </c:pt>
                <c:pt idx="96">
                  <c:v>39.15</c:v>
                </c:pt>
                <c:pt idx="97">
                  <c:v>38.571428571428569</c:v>
                </c:pt>
                <c:pt idx="98">
                  <c:v>38.571428571428569</c:v>
                </c:pt>
                <c:pt idx="99">
                  <c:v>38.571428571428569</c:v>
                </c:pt>
                <c:pt idx="100">
                  <c:v>38.571428571428569</c:v>
                </c:pt>
                <c:pt idx="101">
                  <c:v>38.090909090909093</c:v>
                </c:pt>
                <c:pt idx="102">
                  <c:v>38.090909090909093</c:v>
                </c:pt>
                <c:pt idx="103">
                  <c:v>39.695652173913047</c:v>
                </c:pt>
                <c:pt idx="104">
                  <c:v>39.695652173913047</c:v>
                </c:pt>
                <c:pt idx="105">
                  <c:v>39.166666666666664</c:v>
                </c:pt>
                <c:pt idx="106">
                  <c:v>39.166666666666664</c:v>
                </c:pt>
                <c:pt idx="107">
                  <c:v>39.166666666666664</c:v>
                </c:pt>
                <c:pt idx="108">
                  <c:v>39.166666666666664</c:v>
                </c:pt>
                <c:pt idx="109">
                  <c:v>40.153846153846153</c:v>
                </c:pt>
                <c:pt idx="110">
                  <c:v>40.153846153846153</c:v>
                </c:pt>
                <c:pt idx="111">
                  <c:v>40.074074074074076</c:v>
                </c:pt>
                <c:pt idx="112">
                  <c:v>40.074074074074076</c:v>
                </c:pt>
                <c:pt idx="113">
                  <c:v>40.074074074074076</c:v>
                </c:pt>
                <c:pt idx="114">
                  <c:v>40.074074074074076</c:v>
                </c:pt>
                <c:pt idx="115">
                  <c:v>40.074074074074076</c:v>
                </c:pt>
                <c:pt idx="116">
                  <c:v>40.074074074074076</c:v>
                </c:pt>
                <c:pt idx="117">
                  <c:v>40.074074074074076</c:v>
                </c:pt>
                <c:pt idx="118">
                  <c:v>40.074074074074076</c:v>
                </c:pt>
                <c:pt idx="119">
                  <c:v>40.074074074074076</c:v>
                </c:pt>
                <c:pt idx="120">
                  <c:v>40.074074074074076</c:v>
                </c:pt>
                <c:pt idx="121">
                  <c:v>40.074074074074076</c:v>
                </c:pt>
                <c:pt idx="122">
                  <c:v>40.074074074074076</c:v>
                </c:pt>
                <c:pt idx="123">
                  <c:v>40.074074074074076</c:v>
                </c:pt>
                <c:pt idx="124">
                  <c:v>40.074074074074076</c:v>
                </c:pt>
                <c:pt idx="125">
                  <c:v>40.074074074074076</c:v>
                </c:pt>
                <c:pt idx="126">
                  <c:v>40.074074074074076</c:v>
                </c:pt>
                <c:pt idx="127">
                  <c:v>40.074074074074076</c:v>
                </c:pt>
                <c:pt idx="128">
                  <c:v>40.074074074074076</c:v>
                </c:pt>
                <c:pt idx="129">
                  <c:v>40.074074074074076</c:v>
                </c:pt>
                <c:pt idx="130">
                  <c:v>40.074074074074076</c:v>
                </c:pt>
                <c:pt idx="131">
                  <c:v>40.074074074074076</c:v>
                </c:pt>
                <c:pt idx="132">
                  <c:v>40.074074074074076</c:v>
                </c:pt>
                <c:pt idx="133">
                  <c:v>40.074074074074076</c:v>
                </c:pt>
                <c:pt idx="134">
                  <c:v>40.074074074074076</c:v>
                </c:pt>
                <c:pt idx="135">
                  <c:v>40.074074074074076</c:v>
                </c:pt>
                <c:pt idx="136">
                  <c:v>40.074074074074076</c:v>
                </c:pt>
                <c:pt idx="137">
                  <c:v>40.074074074074076</c:v>
                </c:pt>
                <c:pt idx="138">
                  <c:v>40.074074074074076</c:v>
                </c:pt>
                <c:pt idx="139">
                  <c:v>40.074074074074076</c:v>
                </c:pt>
                <c:pt idx="140">
                  <c:v>40.074074074074076</c:v>
                </c:pt>
                <c:pt idx="141">
                  <c:v>40.074074074074076</c:v>
                </c:pt>
                <c:pt idx="142">
                  <c:v>40.074074074074076</c:v>
                </c:pt>
                <c:pt idx="143">
                  <c:v>40.074074074074076</c:v>
                </c:pt>
                <c:pt idx="144">
                  <c:v>40.074074074074076</c:v>
                </c:pt>
                <c:pt idx="145">
                  <c:v>40.074074074074076</c:v>
                </c:pt>
                <c:pt idx="146">
                  <c:v>40.074074074074076</c:v>
                </c:pt>
                <c:pt idx="147">
                  <c:v>40.074074074074076</c:v>
                </c:pt>
                <c:pt idx="148">
                  <c:v>40.074074074074076</c:v>
                </c:pt>
                <c:pt idx="149">
                  <c:v>40.074074074074076</c:v>
                </c:pt>
                <c:pt idx="150">
                  <c:v>40.074074074074076</c:v>
                </c:pt>
                <c:pt idx="151">
                  <c:v>40.074074074074076</c:v>
                </c:pt>
                <c:pt idx="152">
                  <c:v>40.074074074074076</c:v>
                </c:pt>
                <c:pt idx="153">
                  <c:v>40.074074074074076</c:v>
                </c:pt>
                <c:pt idx="154">
                  <c:v>40.074074074074076</c:v>
                </c:pt>
                <c:pt idx="155">
                  <c:v>40.074074074074076</c:v>
                </c:pt>
                <c:pt idx="156">
                  <c:v>40.074074074074076</c:v>
                </c:pt>
                <c:pt idx="157">
                  <c:v>40.074074074074076</c:v>
                </c:pt>
                <c:pt idx="158">
                  <c:v>40.074074074074076</c:v>
                </c:pt>
                <c:pt idx="159">
                  <c:v>40.074074074074076</c:v>
                </c:pt>
                <c:pt idx="160">
                  <c:v>40.074074074074076</c:v>
                </c:pt>
                <c:pt idx="161">
                  <c:v>40.074074074074076</c:v>
                </c:pt>
                <c:pt idx="162">
                  <c:v>40.074074074074076</c:v>
                </c:pt>
                <c:pt idx="163">
                  <c:v>40.074074074074076</c:v>
                </c:pt>
                <c:pt idx="164">
                  <c:v>40.074074074074076</c:v>
                </c:pt>
                <c:pt idx="165">
                  <c:v>40.074074074074076</c:v>
                </c:pt>
                <c:pt idx="166">
                  <c:v>40.074074074074076</c:v>
                </c:pt>
                <c:pt idx="167">
                  <c:v>40.074074074074076</c:v>
                </c:pt>
                <c:pt idx="168">
                  <c:v>40.074074074074076</c:v>
                </c:pt>
                <c:pt idx="169">
                  <c:v>40.074074074074076</c:v>
                </c:pt>
                <c:pt idx="170">
                  <c:v>40.074074074074076</c:v>
                </c:pt>
                <c:pt idx="171">
                  <c:v>40.074074074074076</c:v>
                </c:pt>
                <c:pt idx="172">
                  <c:v>40.074074074074076</c:v>
                </c:pt>
                <c:pt idx="173">
                  <c:v>40.074074074074076</c:v>
                </c:pt>
                <c:pt idx="174">
                  <c:v>40.074074074074076</c:v>
                </c:pt>
                <c:pt idx="175">
                  <c:v>40.074074074074076</c:v>
                </c:pt>
                <c:pt idx="176">
                  <c:v>40.074074074074076</c:v>
                </c:pt>
                <c:pt idx="177">
                  <c:v>40.074074074074076</c:v>
                </c:pt>
                <c:pt idx="178">
                  <c:v>40.074074074074076</c:v>
                </c:pt>
                <c:pt idx="179">
                  <c:v>40.074074074074076</c:v>
                </c:pt>
                <c:pt idx="180">
                  <c:v>40.074074074074076</c:v>
                </c:pt>
                <c:pt idx="181">
                  <c:v>40.074074074074076</c:v>
                </c:pt>
                <c:pt idx="182">
                  <c:v>40.074074074074076</c:v>
                </c:pt>
                <c:pt idx="183">
                  <c:v>40.074074074074076</c:v>
                </c:pt>
                <c:pt idx="184">
                  <c:v>40.074074074074076</c:v>
                </c:pt>
                <c:pt idx="185">
                  <c:v>40.074074074074076</c:v>
                </c:pt>
                <c:pt idx="186">
                  <c:v>40.074074074074076</c:v>
                </c:pt>
                <c:pt idx="187">
                  <c:v>40.074074074074076</c:v>
                </c:pt>
                <c:pt idx="188">
                  <c:v>40.074074074074076</c:v>
                </c:pt>
                <c:pt idx="189">
                  <c:v>40.074074074074076</c:v>
                </c:pt>
                <c:pt idx="190">
                  <c:v>40.074074074074076</c:v>
                </c:pt>
                <c:pt idx="191">
                  <c:v>40.074074074074076</c:v>
                </c:pt>
                <c:pt idx="192">
                  <c:v>40.074074074074076</c:v>
                </c:pt>
                <c:pt idx="193">
                  <c:v>40.074074074074076</c:v>
                </c:pt>
                <c:pt idx="194">
                  <c:v>40.074074074074076</c:v>
                </c:pt>
                <c:pt idx="195">
                  <c:v>40.074074074074076</c:v>
                </c:pt>
                <c:pt idx="196">
                  <c:v>40.074074074074076</c:v>
                </c:pt>
                <c:pt idx="197">
                  <c:v>40.074074074074076</c:v>
                </c:pt>
                <c:pt idx="198">
                  <c:v>40.074074074074076</c:v>
                </c:pt>
                <c:pt idx="199">
                  <c:v>40.074074074074076</c:v>
                </c:pt>
                <c:pt idx="200">
                  <c:v>40.074074074074076</c:v>
                </c:pt>
                <c:pt idx="201">
                  <c:v>40.074074074074076</c:v>
                </c:pt>
                <c:pt idx="202">
                  <c:v>40.074074074074076</c:v>
                </c:pt>
                <c:pt idx="203">
                  <c:v>40.074074074074076</c:v>
                </c:pt>
                <c:pt idx="204">
                  <c:v>40.074074074074076</c:v>
                </c:pt>
                <c:pt idx="205">
                  <c:v>40.074074074074076</c:v>
                </c:pt>
                <c:pt idx="206">
                  <c:v>40.074074074074076</c:v>
                </c:pt>
                <c:pt idx="207">
                  <c:v>40.074074074074076</c:v>
                </c:pt>
                <c:pt idx="208">
                  <c:v>40.074074074074076</c:v>
                </c:pt>
                <c:pt idx="209">
                  <c:v>40.074074074074076</c:v>
                </c:pt>
                <c:pt idx="210">
                  <c:v>40.074074074074076</c:v>
                </c:pt>
                <c:pt idx="211">
                  <c:v>40.074074074074076</c:v>
                </c:pt>
                <c:pt idx="212">
                  <c:v>40.074074074074076</c:v>
                </c:pt>
                <c:pt idx="213">
                  <c:v>40.074074074074076</c:v>
                </c:pt>
                <c:pt idx="214">
                  <c:v>40.074074074074076</c:v>
                </c:pt>
                <c:pt idx="215">
                  <c:v>40.074074074074076</c:v>
                </c:pt>
                <c:pt idx="216">
                  <c:v>40.074074074074076</c:v>
                </c:pt>
                <c:pt idx="217">
                  <c:v>40.074074074074076</c:v>
                </c:pt>
                <c:pt idx="218">
                  <c:v>40.074074074074076</c:v>
                </c:pt>
                <c:pt idx="219">
                  <c:v>40.074074074074076</c:v>
                </c:pt>
                <c:pt idx="220">
                  <c:v>40.074074074074076</c:v>
                </c:pt>
                <c:pt idx="221">
                  <c:v>40.074074074074076</c:v>
                </c:pt>
                <c:pt idx="222">
                  <c:v>40.074074074074076</c:v>
                </c:pt>
                <c:pt idx="223">
                  <c:v>40.074074074074076</c:v>
                </c:pt>
                <c:pt idx="224">
                  <c:v>40.074074074074076</c:v>
                </c:pt>
                <c:pt idx="225">
                  <c:v>40.074074074074076</c:v>
                </c:pt>
                <c:pt idx="226">
                  <c:v>40.074074074074076</c:v>
                </c:pt>
                <c:pt idx="227">
                  <c:v>40.074074074074076</c:v>
                </c:pt>
                <c:pt idx="228">
                  <c:v>40.074074074074076</c:v>
                </c:pt>
                <c:pt idx="229">
                  <c:v>40.074074074074076</c:v>
                </c:pt>
                <c:pt idx="230">
                  <c:v>40.074074074074076</c:v>
                </c:pt>
                <c:pt idx="231">
                  <c:v>40.074074074074076</c:v>
                </c:pt>
                <c:pt idx="232">
                  <c:v>40.074074074074076</c:v>
                </c:pt>
                <c:pt idx="233">
                  <c:v>40.074074074074076</c:v>
                </c:pt>
                <c:pt idx="234">
                  <c:v>40.074074074074076</c:v>
                </c:pt>
                <c:pt idx="235">
                  <c:v>40.074074074074076</c:v>
                </c:pt>
                <c:pt idx="236">
                  <c:v>40.074074074074076</c:v>
                </c:pt>
                <c:pt idx="237">
                  <c:v>40.074074074074076</c:v>
                </c:pt>
                <c:pt idx="238">
                  <c:v>40.074074074074076</c:v>
                </c:pt>
                <c:pt idx="239">
                  <c:v>40.074074074074076</c:v>
                </c:pt>
                <c:pt idx="240">
                  <c:v>40.074074074074076</c:v>
                </c:pt>
                <c:pt idx="241">
                  <c:v>40.074074074074076</c:v>
                </c:pt>
                <c:pt idx="242">
                  <c:v>40.074074074074076</c:v>
                </c:pt>
                <c:pt idx="243">
                  <c:v>40.074074074074076</c:v>
                </c:pt>
                <c:pt idx="244">
                  <c:v>40.074074074074076</c:v>
                </c:pt>
                <c:pt idx="245">
                  <c:v>40.074074074074076</c:v>
                </c:pt>
                <c:pt idx="246">
                  <c:v>40.074074074074076</c:v>
                </c:pt>
                <c:pt idx="247">
                  <c:v>40.074074074074076</c:v>
                </c:pt>
                <c:pt idx="248">
                  <c:v>40.074074074074076</c:v>
                </c:pt>
                <c:pt idx="249">
                  <c:v>40.074074074074076</c:v>
                </c:pt>
                <c:pt idx="250">
                  <c:v>40.074074074074076</c:v>
                </c:pt>
                <c:pt idx="251">
                  <c:v>40.074074074074076</c:v>
                </c:pt>
                <c:pt idx="252">
                  <c:v>40.074074074074076</c:v>
                </c:pt>
                <c:pt idx="253">
                  <c:v>40.074074074074076</c:v>
                </c:pt>
                <c:pt idx="254">
                  <c:v>40.074074074074076</c:v>
                </c:pt>
                <c:pt idx="255">
                  <c:v>40.074074074074076</c:v>
                </c:pt>
                <c:pt idx="256">
                  <c:v>40.074074074074076</c:v>
                </c:pt>
                <c:pt idx="257">
                  <c:v>40.074074074074076</c:v>
                </c:pt>
                <c:pt idx="258">
                  <c:v>40.074074074074076</c:v>
                </c:pt>
                <c:pt idx="259">
                  <c:v>40.074074074074076</c:v>
                </c:pt>
                <c:pt idx="260">
                  <c:v>40.074074074074076</c:v>
                </c:pt>
                <c:pt idx="261">
                  <c:v>40.074074074074076</c:v>
                </c:pt>
                <c:pt idx="262">
                  <c:v>40.074074074074076</c:v>
                </c:pt>
                <c:pt idx="263">
                  <c:v>40.074074074074076</c:v>
                </c:pt>
                <c:pt idx="264">
                  <c:v>40.074074074074076</c:v>
                </c:pt>
                <c:pt idx="265">
                  <c:v>40.074074074074076</c:v>
                </c:pt>
                <c:pt idx="266">
                  <c:v>40.074074074074076</c:v>
                </c:pt>
                <c:pt idx="267">
                  <c:v>40.074074074074076</c:v>
                </c:pt>
                <c:pt idx="268">
                  <c:v>40.074074074074076</c:v>
                </c:pt>
                <c:pt idx="269">
                  <c:v>40.074074074074076</c:v>
                </c:pt>
                <c:pt idx="270">
                  <c:v>40.074074074074076</c:v>
                </c:pt>
                <c:pt idx="271">
                  <c:v>40.074074074074076</c:v>
                </c:pt>
                <c:pt idx="272">
                  <c:v>40.074074074074076</c:v>
                </c:pt>
                <c:pt idx="273">
                  <c:v>40.074074074074076</c:v>
                </c:pt>
                <c:pt idx="274">
                  <c:v>40.074074074074076</c:v>
                </c:pt>
                <c:pt idx="275">
                  <c:v>40.074074074074076</c:v>
                </c:pt>
                <c:pt idx="276">
                  <c:v>40.074074074074076</c:v>
                </c:pt>
                <c:pt idx="277">
                  <c:v>40.074074074074076</c:v>
                </c:pt>
                <c:pt idx="278">
                  <c:v>40.074074074074076</c:v>
                </c:pt>
                <c:pt idx="279">
                  <c:v>40.074074074074076</c:v>
                </c:pt>
                <c:pt idx="280">
                  <c:v>40.074074074074076</c:v>
                </c:pt>
                <c:pt idx="281">
                  <c:v>40.074074074074076</c:v>
                </c:pt>
                <c:pt idx="282">
                  <c:v>40.074074074074076</c:v>
                </c:pt>
                <c:pt idx="283">
                  <c:v>40.074074074074076</c:v>
                </c:pt>
                <c:pt idx="284">
                  <c:v>40.074074074074076</c:v>
                </c:pt>
                <c:pt idx="285">
                  <c:v>40.074074074074076</c:v>
                </c:pt>
                <c:pt idx="286">
                  <c:v>40.074074074074076</c:v>
                </c:pt>
                <c:pt idx="287">
                  <c:v>40.074074074074076</c:v>
                </c:pt>
                <c:pt idx="288">
                  <c:v>40.074074074074076</c:v>
                </c:pt>
                <c:pt idx="289">
                  <c:v>40.074074074074076</c:v>
                </c:pt>
                <c:pt idx="290">
                  <c:v>40.074074074074076</c:v>
                </c:pt>
                <c:pt idx="291">
                  <c:v>40.074074074074076</c:v>
                </c:pt>
                <c:pt idx="292">
                  <c:v>40.074074074074076</c:v>
                </c:pt>
                <c:pt idx="293">
                  <c:v>40.074074074074076</c:v>
                </c:pt>
                <c:pt idx="294">
                  <c:v>40.074074074074076</c:v>
                </c:pt>
                <c:pt idx="295">
                  <c:v>40.074074074074076</c:v>
                </c:pt>
                <c:pt idx="296">
                  <c:v>40.074074074074076</c:v>
                </c:pt>
                <c:pt idx="297">
                  <c:v>40.074074074074076</c:v>
                </c:pt>
                <c:pt idx="298">
                  <c:v>40.074074074074076</c:v>
                </c:pt>
                <c:pt idx="299">
                  <c:v>40.074074074074076</c:v>
                </c:pt>
                <c:pt idx="300">
                  <c:v>40.074074074074076</c:v>
                </c:pt>
                <c:pt idx="301">
                  <c:v>40.074074074074076</c:v>
                </c:pt>
                <c:pt idx="302">
                  <c:v>40.074074074074076</c:v>
                </c:pt>
                <c:pt idx="303">
                  <c:v>40.074074074074076</c:v>
                </c:pt>
                <c:pt idx="304">
                  <c:v>40.074074074074076</c:v>
                </c:pt>
                <c:pt idx="305">
                  <c:v>40.074074074074076</c:v>
                </c:pt>
                <c:pt idx="306">
                  <c:v>40.074074074074076</c:v>
                </c:pt>
                <c:pt idx="307">
                  <c:v>40.074074074074076</c:v>
                </c:pt>
                <c:pt idx="308">
                  <c:v>40.074074074074076</c:v>
                </c:pt>
                <c:pt idx="309">
                  <c:v>40.074074074074076</c:v>
                </c:pt>
                <c:pt idx="310">
                  <c:v>40.074074074074076</c:v>
                </c:pt>
                <c:pt idx="311">
                  <c:v>40.074074074074076</c:v>
                </c:pt>
                <c:pt idx="312">
                  <c:v>40.074074074074076</c:v>
                </c:pt>
                <c:pt idx="313">
                  <c:v>40.074074074074076</c:v>
                </c:pt>
                <c:pt idx="314">
                  <c:v>40.074074074074076</c:v>
                </c:pt>
                <c:pt idx="315">
                  <c:v>40.074074074074076</c:v>
                </c:pt>
                <c:pt idx="316">
                  <c:v>40.074074074074076</c:v>
                </c:pt>
                <c:pt idx="317">
                  <c:v>40.074074074074076</c:v>
                </c:pt>
                <c:pt idx="318">
                  <c:v>40.074074074074076</c:v>
                </c:pt>
                <c:pt idx="319">
                  <c:v>40.074074074074076</c:v>
                </c:pt>
                <c:pt idx="320">
                  <c:v>40.074074074074076</c:v>
                </c:pt>
                <c:pt idx="321">
                  <c:v>40.074074074074076</c:v>
                </c:pt>
                <c:pt idx="322">
                  <c:v>40.074074074074076</c:v>
                </c:pt>
                <c:pt idx="323">
                  <c:v>40.074074074074076</c:v>
                </c:pt>
                <c:pt idx="324">
                  <c:v>40.074074074074076</c:v>
                </c:pt>
                <c:pt idx="325">
                  <c:v>40.074074074074076</c:v>
                </c:pt>
                <c:pt idx="326">
                  <c:v>40.074074074074076</c:v>
                </c:pt>
                <c:pt idx="327">
                  <c:v>40.074074074074076</c:v>
                </c:pt>
                <c:pt idx="328">
                  <c:v>40.074074074074076</c:v>
                </c:pt>
                <c:pt idx="329">
                  <c:v>40.074074074074076</c:v>
                </c:pt>
                <c:pt idx="330">
                  <c:v>40.074074074074076</c:v>
                </c:pt>
                <c:pt idx="331">
                  <c:v>40.074074074074076</c:v>
                </c:pt>
                <c:pt idx="332">
                  <c:v>40.074074074074076</c:v>
                </c:pt>
                <c:pt idx="333">
                  <c:v>40.074074074074076</c:v>
                </c:pt>
                <c:pt idx="334">
                  <c:v>40.074074074074076</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6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Solve Time </a:t>
            </a:r>
            <a:r>
              <a:rPr lang="en-US" b="1" baseline="0"/>
              <a:t>- Total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Daily!$AN$4:$AN$440</c:f>
              <c:numCache>
                <c:formatCode>0</c:formatCode>
                <c:ptCount val="335"/>
                <c:pt idx="0">
                  <c:v>32.666666666666664</c:v>
                </c:pt>
                <c:pt idx="1">
                  <c:v>32.666666666666664</c:v>
                </c:pt>
                <c:pt idx="2">
                  <c:v>32.666666666666664</c:v>
                </c:pt>
                <c:pt idx="3">
                  <c:v>20.5</c:v>
                </c:pt>
                <c:pt idx="4">
                  <c:v>20.071428571428573</c:v>
                </c:pt>
                <c:pt idx="5">
                  <c:v>16.173913043478262</c:v>
                </c:pt>
                <c:pt idx="6">
                  <c:v>16.399999999999999</c:v>
                </c:pt>
                <c:pt idx="7">
                  <c:v>18.035714285714285</c:v>
                </c:pt>
                <c:pt idx="8">
                  <c:v>18.035714285714285</c:v>
                </c:pt>
                <c:pt idx="9">
                  <c:v>18.035714285714285</c:v>
                </c:pt>
                <c:pt idx="10">
                  <c:v>17.896551724137932</c:v>
                </c:pt>
                <c:pt idx="11">
                  <c:v>18.322580645161292</c:v>
                </c:pt>
                <c:pt idx="12">
                  <c:v>18.514285714285716</c:v>
                </c:pt>
                <c:pt idx="13">
                  <c:v>17.5</c:v>
                </c:pt>
                <c:pt idx="14">
                  <c:v>17.744186046511629</c:v>
                </c:pt>
                <c:pt idx="15">
                  <c:v>17.744186046511629</c:v>
                </c:pt>
                <c:pt idx="16">
                  <c:v>17.744186046511629</c:v>
                </c:pt>
                <c:pt idx="17">
                  <c:v>17.217391304347824</c:v>
                </c:pt>
                <c:pt idx="18">
                  <c:v>18.117647058823529</c:v>
                </c:pt>
                <c:pt idx="19">
                  <c:v>17.867924528301888</c:v>
                </c:pt>
                <c:pt idx="20">
                  <c:v>17.754385964912281</c:v>
                </c:pt>
                <c:pt idx="21">
                  <c:v>17.754385964912281</c:v>
                </c:pt>
                <c:pt idx="22">
                  <c:v>17.754385964912281</c:v>
                </c:pt>
                <c:pt idx="23">
                  <c:v>17.754385964912281</c:v>
                </c:pt>
                <c:pt idx="24">
                  <c:v>18.254237288135592</c:v>
                </c:pt>
                <c:pt idx="25">
                  <c:v>18.203125</c:v>
                </c:pt>
                <c:pt idx="26">
                  <c:v>18.203125</c:v>
                </c:pt>
                <c:pt idx="27">
                  <c:v>18.203125</c:v>
                </c:pt>
                <c:pt idx="28">
                  <c:v>18.203125</c:v>
                </c:pt>
                <c:pt idx="29">
                  <c:v>18.203125</c:v>
                </c:pt>
                <c:pt idx="30">
                  <c:v>18.203125</c:v>
                </c:pt>
                <c:pt idx="31">
                  <c:v>18.8</c:v>
                </c:pt>
                <c:pt idx="32">
                  <c:v>18.797297297297298</c:v>
                </c:pt>
                <c:pt idx="33">
                  <c:v>20.3125</c:v>
                </c:pt>
                <c:pt idx="34">
                  <c:v>20.3125</c:v>
                </c:pt>
                <c:pt idx="35">
                  <c:v>20.3125</c:v>
                </c:pt>
                <c:pt idx="36">
                  <c:v>20.3125</c:v>
                </c:pt>
                <c:pt idx="37">
                  <c:v>20.3125</c:v>
                </c:pt>
                <c:pt idx="38">
                  <c:v>20.258823529411764</c:v>
                </c:pt>
                <c:pt idx="39">
                  <c:v>20.269662921348313</c:v>
                </c:pt>
                <c:pt idx="40">
                  <c:v>20.269662921348313</c:v>
                </c:pt>
                <c:pt idx="41">
                  <c:v>20.107526881720432</c:v>
                </c:pt>
                <c:pt idx="42">
                  <c:v>20.107526881720432</c:v>
                </c:pt>
                <c:pt idx="43">
                  <c:v>20.107526881720432</c:v>
                </c:pt>
                <c:pt idx="44">
                  <c:v>20.107526881720432</c:v>
                </c:pt>
                <c:pt idx="45">
                  <c:v>20.659574468085108</c:v>
                </c:pt>
                <c:pt idx="46">
                  <c:v>20.628865979381445</c:v>
                </c:pt>
                <c:pt idx="47">
                  <c:v>20.49</c:v>
                </c:pt>
                <c:pt idx="48">
                  <c:v>20.607843137254903</c:v>
                </c:pt>
                <c:pt idx="49">
                  <c:v>20.563106796116504</c:v>
                </c:pt>
                <c:pt idx="50">
                  <c:v>20.563106796116504</c:v>
                </c:pt>
                <c:pt idx="51">
                  <c:v>20.563106796116504</c:v>
                </c:pt>
                <c:pt idx="52">
                  <c:v>20.560747663551403</c:v>
                </c:pt>
                <c:pt idx="53">
                  <c:v>20.531531531531531</c:v>
                </c:pt>
                <c:pt idx="54">
                  <c:v>21.079646017699115</c:v>
                </c:pt>
                <c:pt idx="55">
                  <c:v>21.365217391304348</c:v>
                </c:pt>
                <c:pt idx="56">
                  <c:v>21.452991452991451</c:v>
                </c:pt>
                <c:pt idx="57">
                  <c:v>21.452991452991451</c:v>
                </c:pt>
                <c:pt idx="58">
                  <c:v>21.452991452991451</c:v>
                </c:pt>
                <c:pt idx="59">
                  <c:v>21.451612903225808</c:v>
                </c:pt>
                <c:pt idx="60">
                  <c:v>21.138461538461538</c:v>
                </c:pt>
                <c:pt idx="61">
                  <c:v>21.451127819548873</c:v>
                </c:pt>
                <c:pt idx="62">
                  <c:v>21.451851851851853</c:v>
                </c:pt>
                <c:pt idx="63">
                  <c:v>21.79020979020979</c:v>
                </c:pt>
                <c:pt idx="64">
                  <c:v>21.79020979020979</c:v>
                </c:pt>
                <c:pt idx="65">
                  <c:v>21.79020979020979</c:v>
                </c:pt>
                <c:pt idx="66">
                  <c:v>21.79020979020979</c:v>
                </c:pt>
                <c:pt idx="67">
                  <c:v>21.79020979020979</c:v>
                </c:pt>
                <c:pt idx="68">
                  <c:v>21.79020979020979</c:v>
                </c:pt>
                <c:pt idx="69">
                  <c:v>21.79020979020979</c:v>
                </c:pt>
                <c:pt idx="70">
                  <c:v>21.701388888888889</c:v>
                </c:pt>
                <c:pt idx="71">
                  <c:v>21.701388888888889</c:v>
                </c:pt>
                <c:pt idx="72">
                  <c:v>21.701388888888889</c:v>
                </c:pt>
                <c:pt idx="73">
                  <c:v>21.701388888888889</c:v>
                </c:pt>
                <c:pt idx="74">
                  <c:v>21.824324324324323</c:v>
                </c:pt>
                <c:pt idx="75">
                  <c:v>21.642384105960264</c:v>
                </c:pt>
                <c:pt idx="76">
                  <c:v>21.470588235294116</c:v>
                </c:pt>
                <c:pt idx="77">
                  <c:v>21.438709677419354</c:v>
                </c:pt>
                <c:pt idx="78">
                  <c:v>21.331210191082803</c:v>
                </c:pt>
                <c:pt idx="79">
                  <c:v>21.446540880503143</c:v>
                </c:pt>
                <c:pt idx="80">
                  <c:v>21.512345679012345</c:v>
                </c:pt>
                <c:pt idx="81">
                  <c:v>21.587878787878786</c:v>
                </c:pt>
                <c:pt idx="82">
                  <c:v>21.479041916167663</c:v>
                </c:pt>
                <c:pt idx="83">
                  <c:v>21.485207100591715</c:v>
                </c:pt>
                <c:pt idx="84">
                  <c:v>21.546511627906977</c:v>
                </c:pt>
                <c:pt idx="85">
                  <c:v>21.546511627906977</c:v>
                </c:pt>
                <c:pt idx="86">
                  <c:v>21.546511627906977</c:v>
                </c:pt>
                <c:pt idx="87">
                  <c:v>21.384180790960453</c:v>
                </c:pt>
                <c:pt idx="88">
                  <c:v>21.796703296703296</c:v>
                </c:pt>
                <c:pt idx="89">
                  <c:v>21.632432432432431</c:v>
                </c:pt>
                <c:pt idx="90">
                  <c:v>21.598930481283421</c:v>
                </c:pt>
                <c:pt idx="91">
                  <c:v>21.859375</c:v>
                </c:pt>
                <c:pt idx="92">
                  <c:v>21.859375</c:v>
                </c:pt>
                <c:pt idx="93">
                  <c:v>21.859375</c:v>
                </c:pt>
                <c:pt idx="94">
                  <c:v>21.876288659793815</c:v>
                </c:pt>
                <c:pt idx="95">
                  <c:v>22.1</c:v>
                </c:pt>
                <c:pt idx="96">
                  <c:v>22.044334975369459</c:v>
                </c:pt>
                <c:pt idx="97">
                  <c:v>22.338164251207729</c:v>
                </c:pt>
                <c:pt idx="98">
                  <c:v>22.338164251207729</c:v>
                </c:pt>
                <c:pt idx="99">
                  <c:v>22.338164251207729</c:v>
                </c:pt>
                <c:pt idx="100">
                  <c:v>22.338164251207729</c:v>
                </c:pt>
                <c:pt idx="101">
                  <c:v>22.107476635514018</c:v>
                </c:pt>
                <c:pt idx="102">
                  <c:v>22.013888888888889</c:v>
                </c:pt>
                <c:pt idx="103">
                  <c:v>22.150684931506849</c:v>
                </c:pt>
                <c:pt idx="104">
                  <c:v>22.298642533936651</c:v>
                </c:pt>
                <c:pt idx="105">
                  <c:v>22.340707964601769</c:v>
                </c:pt>
                <c:pt idx="106">
                  <c:v>22.340707964601769</c:v>
                </c:pt>
                <c:pt idx="107">
                  <c:v>22.340707964601769</c:v>
                </c:pt>
                <c:pt idx="108">
                  <c:v>22.289473684210527</c:v>
                </c:pt>
                <c:pt idx="109">
                  <c:v>22.612068965517242</c:v>
                </c:pt>
                <c:pt idx="110">
                  <c:v>22.557939914163089</c:v>
                </c:pt>
                <c:pt idx="111">
                  <c:v>22.673728813559322</c:v>
                </c:pt>
                <c:pt idx="112">
                  <c:v>22.679166666666667</c:v>
                </c:pt>
                <c:pt idx="113">
                  <c:v>22.679166666666667</c:v>
                </c:pt>
                <c:pt idx="114">
                  <c:v>22.679166666666667</c:v>
                </c:pt>
                <c:pt idx="115">
                  <c:v>22.942148760330578</c:v>
                </c:pt>
                <c:pt idx="116">
                  <c:v>22.942622950819672</c:v>
                </c:pt>
                <c:pt idx="117">
                  <c:v>23.052845528455286</c:v>
                </c:pt>
                <c:pt idx="118">
                  <c:v>23.164658634538153</c:v>
                </c:pt>
                <c:pt idx="119">
                  <c:v>23.055555555555557</c:v>
                </c:pt>
                <c:pt idx="120">
                  <c:v>23.055555555555557</c:v>
                </c:pt>
                <c:pt idx="121">
                  <c:v>23.055555555555557</c:v>
                </c:pt>
                <c:pt idx="122">
                  <c:v>23.172549019607843</c:v>
                </c:pt>
                <c:pt idx="123">
                  <c:v>23.3852140077821</c:v>
                </c:pt>
                <c:pt idx="124">
                  <c:v>23.392307692307693</c:v>
                </c:pt>
                <c:pt idx="125">
                  <c:v>23.358778625954198</c:v>
                </c:pt>
                <c:pt idx="126">
                  <c:v>23.316981132075473</c:v>
                </c:pt>
                <c:pt idx="127">
                  <c:v>23.316981132075473</c:v>
                </c:pt>
                <c:pt idx="128">
                  <c:v>23.316981132075473</c:v>
                </c:pt>
                <c:pt idx="129">
                  <c:v>23.316981132075473</c:v>
                </c:pt>
                <c:pt idx="130">
                  <c:v>23.316981132075473</c:v>
                </c:pt>
                <c:pt idx="131">
                  <c:v>23.316981132075473</c:v>
                </c:pt>
                <c:pt idx="132">
                  <c:v>23.316981132075473</c:v>
                </c:pt>
                <c:pt idx="133">
                  <c:v>23.316981132075473</c:v>
                </c:pt>
                <c:pt idx="134">
                  <c:v>23.316981132075473</c:v>
                </c:pt>
                <c:pt idx="135">
                  <c:v>23.316981132075473</c:v>
                </c:pt>
                <c:pt idx="136">
                  <c:v>23.316981132075473</c:v>
                </c:pt>
                <c:pt idx="137">
                  <c:v>23.316981132075473</c:v>
                </c:pt>
                <c:pt idx="138">
                  <c:v>23.316981132075473</c:v>
                </c:pt>
                <c:pt idx="139">
                  <c:v>23.316981132075473</c:v>
                </c:pt>
                <c:pt idx="140">
                  <c:v>23.316981132075473</c:v>
                </c:pt>
                <c:pt idx="141">
                  <c:v>23.316981132075473</c:v>
                </c:pt>
                <c:pt idx="142">
                  <c:v>23.316981132075473</c:v>
                </c:pt>
                <c:pt idx="143">
                  <c:v>23.516853932584269</c:v>
                </c:pt>
                <c:pt idx="144">
                  <c:v>23.516853932584269</c:v>
                </c:pt>
                <c:pt idx="145">
                  <c:v>23.516853932584269</c:v>
                </c:pt>
                <c:pt idx="146">
                  <c:v>23.535315985130111</c:v>
                </c:pt>
                <c:pt idx="147">
                  <c:v>23.535315985130111</c:v>
                </c:pt>
                <c:pt idx="148">
                  <c:v>23.535315985130111</c:v>
                </c:pt>
                <c:pt idx="149">
                  <c:v>23.535315985130111</c:v>
                </c:pt>
                <c:pt idx="150">
                  <c:v>23.535315985130111</c:v>
                </c:pt>
                <c:pt idx="151">
                  <c:v>23.535315985130111</c:v>
                </c:pt>
                <c:pt idx="152">
                  <c:v>23.535315985130111</c:v>
                </c:pt>
                <c:pt idx="153">
                  <c:v>23.535315985130111</c:v>
                </c:pt>
                <c:pt idx="154">
                  <c:v>23.535315985130111</c:v>
                </c:pt>
                <c:pt idx="155">
                  <c:v>23.535315985130111</c:v>
                </c:pt>
                <c:pt idx="156">
                  <c:v>23.535315985130111</c:v>
                </c:pt>
                <c:pt idx="157">
                  <c:v>23.535315985130111</c:v>
                </c:pt>
                <c:pt idx="158">
                  <c:v>23.535315985130111</c:v>
                </c:pt>
                <c:pt idx="159">
                  <c:v>23.535315985130111</c:v>
                </c:pt>
                <c:pt idx="160">
                  <c:v>23.535315985130111</c:v>
                </c:pt>
                <c:pt idx="161">
                  <c:v>23.535315985130111</c:v>
                </c:pt>
                <c:pt idx="162">
                  <c:v>23.535315985130111</c:v>
                </c:pt>
                <c:pt idx="163">
                  <c:v>23.535315985130111</c:v>
                </c:pt>
                <c:pt idx="164">
                  <c:v>23.535315985130111</c:v>
                </c:pt>
                <c:pt idx="165">
                  <c:v>23.483394833948338</c:v>
                </c:pt>
                <c:pt idx="166">
                  <c:v>23.361313868613138</c:v>
                </c:pt>
                <c:pt idx="167">
                  <c:v>23.361313868613138</c:v>
                </c:pt>
                <c:pt idx="168">
                  <c:v>23.361313868613138</c:v>
                </c:pt>
                <c:pt idx="169">
                  <c:v>23.361313868613138</c:v>
                </c:pt>
                <c:pt idx="170">
                  <c:v>23.361313868613138</c:v>
                </c:pt>
                <c:pt idx="171">
                  <c:v>23.361313868613138</c:v>
                </c:pt>
                <c:pt idx="172">
                  <c:v>23.361313868613138</c:v>
                </c:pt>
                <c:pt idx="173">
                  <c:v>23.361313868613138</c:v>
                </c:pt>
                <c:pt idx="174">
                  <c:v>23.361313868613138</c:v>
                </c:pt>
                <c:pt idx="175">
                  <c:v>23.361313868613138</c:v>
                </c:pt>
                <c:pt idx="176">
                  <c:v>23.361313868613138</c:v>
                </c:pt>
                <c:pt idx="177">
                  <c:v>23.361313868613138</c:v>
                </c:pt>
                <c:pt idx="178">
                  <c:v>23.361313868613138</c:v>
                </c:pt>
                <c:pt idx="179">
                  <c:v>23.361313868613138</c:v>
                </c:pt>
                <c:pt idx="180">
                  <c:v>23.361313868613138</c:v>
                </c:pt>
                <c:pt idx="181">
                  <c:v>23.361313868613138</c:v>
                </c:pt>
                <c:pt idx="182">
                  <c:v>23.361313868613138</c:v>
                </c:pt>
                <c:pt idx="183">
                  <c:v>23.361313868613138</c:v>
                </c:pt>
                <c:pt idx="184">
                  <c:v>23.361313868613138</c:v>
                </c:pt>
                <c:pt idx="185">
                  <c:v>23.361313868613138</c:v>
                </c:pt>
                <c:pt idx="186">
                  <c:v>23.361313868613138</c:v>
                </c:pt>
                <c:pt idx="187">
                  <c:v>23.361313868613138</c:v>
                </c:pt>
                <c:pt idx="188">
                  <c:v>23.361313868613138</c:v>
                </c:pt>
                <c:pt idx="189">
                  <c:v>23.361313868613138</c:v>
                </c:pt>
                <c:pt idx="190">
                  <c:v>23.361313868613138</c:v>
                </c:pt>
                <c:pt idx="191">
                  <c:v>23.361313868613138</c:v>
                </c:pt>
                <c:pt idx="192">
                  <c:v>23.356363636363636</c:v>
                </c:pt>
                <c:pt idx="193">
                  <c:v>23.356363636363636</c:v>
                </c:pt>
                <c:pt idx="194">
                  <c:v>23.356363636363636</c:v>
                </c:pt>
                <c:pt idx="195">
                  <c:v>23.356363636363636</c:v>
                </c:pt>
                <c:pt idx="196">
                  <c:v>23.356363636363636</c:v>
                </c:pt>
                <c:pt idx="197">
                  <c:v>23.356363636363636</c:v>
                </c:pt>
                <c:pt idx="198">
                  <c:v>23.356363636363636</c:v>
                </c:pt>
                <c:pt idx="199">
                  <c:v>23.356363636363636</c:v>
                </c:pt>
                <c:pt idx="200">
                  <c:v>23.356363636363636</c:v>
                </c:pt>
                <c:pt idx="201">
                  <c:v>23.356363636363636</c:v>
                </c:pt>
                <c:pt idx="202">
                  <c:v>23.356363636363636</c:v>
                </c:pt>
                <c:pt idx="203">
                  <c:v>23.356363636363636</c:v>
                </c:pt>
                <c:pt idx="204">
                  <c:v>23.356363636363636</c:v>
                </c:pt>
                <c:pt idx="205">
                  <c:v>23.356363636363636</c:v>
                </c:pt>
                <c:pt idx="206">
                  <c:v>23.356363636363636</c:v>
                </c:pt>
                <c:pt idx="207">
                  <c:v>23.356363636363636</c:v>
                </c:pt>
                <c:pt idx="208">
                  <c:v>23.356363636363636</c:v>
                </c:pt>
                <c:pt idx="209">
                  <c:v>23.356363636363636</c:v>
                </c:pt>
                <c:pt idx="210">
                  <c:v>23.356363636363636</c:v>
                </c:pt>
                <c:pt idx="211">
                  <c:v>23.356363636363636</c:v>
                </c:pt>
                <c:pt idx="212">
                  <c:v>23.356363636363636</c:v>
                </c:pt>
                <c:pt idx="213">
                  <c:v>23.356363636363636</c:v>
                </c:pt>
                <c:pt idx="214">
                  <c:v>23.356363636363636</c:v>
                </c:pt>
                <c:pt idx="215">
                  <c:v>23.356363636363636</c:v>
                </c:pt>
                <c:pt idx="216">
                  <c:v>23.356363636363636</c:v>
                </c:pt>
                <c:pt idx="217">
                  <c:v>23.356363636363636</c:v>
                </c:pt>
                <c:pt idx="218">
                  <c:v>23.356363636363636</c:v>
                </c:pt>
                <c:pt idx="219">
                  <c:v>23.356363636363636</c:v>
                </c:pt>
                <c:pt idx="220">
                  <c:v>23.356363636363636</c:v>
                </c:pt>
                <c:pt idx="221">
                  <c:v>23.356363636363636</c:v>
                </c:pt>
                <c:pt idx="222">
                  <c:v>23.356363636363636</c:v>
                </c:pt>
                <c:pt idx="223">
                  <c:v>23.219424460431654</c:v>
                </c:pt>
                <c:pt idx="224">
                  <c:v>23.219424460431654</c:v>
                </c:pt>
                <c:pt idx="225">
                  <c:v>23.219424460431654</c:v>
                </c:pt>
                <c:pt idx="226">
                  <c:v>23.219424460431654</c:v>
                </c:pt>
                <c:pt idx="227">
                  <c:v>23.161290322580644</c:v>
                </c:pt>
                <c:pt idx="228">
                  <c:v>23.166666666666668</c:v>
                </c:pt>
                <c:pt idx="229">
                  <c:v>23.166666666666668</c:v>
                </c:pt>
                <c:pt idx="230">
                  <c:v>23.166666666666668</c:v>
                </c:pt>
                <c:pt idx="231">
                  <c:v>23.166666666666668</c:v>
                </c:pt>
                <c:pt idx="232">
                  <c:v>23.166666666666668</c:v>
                </c:pt>
                <c:pt idx="233">
                  <c:v>23.166666666666668</c:v>
                </c:pt>
                <c:pt idx="234">
                  <c:v>23.267605633802816</c:v>
                </c:pt>
                <c:pt idx="235">
                  <c:v>23.267605633802816</c:v>
                </c:pt>
                <c:pt idx="236">
                  <c:v>23.267605633802816</c:v>
                </c:pt>
                <c:pt idx="237">
                  <c:v>23.267605633802816</c:v>
                </c:pt>
                <c:pt idx="238">
                  <c:v>23.267605633802816</c:v>
                </c:pt>
                <c:pt idx="239">
                  <c:v>23.267605633802816</c:v>
                </c:pt>
                <c:pt idx="240">
                  <c:v>23.267605633802816</c:v>
                </c:pt>
                <c:pt idx="241">
                  <c:v>23.267605633802816</c:v>
                </c:pt>
                <c:pt idx="242">
                  <c:v>23.237762237762237</c:v>
                </c:pt>
                <c:pt idx="243">
                  <c:v>23.209059233449477</c:v>
                </c:pt>
                <c:pt idx="244">
                  <c:v>23.209059233449477</c:v>
                </c:pt>
                <c:pt idx="245">
                  <c:v>23.209059233449477</c:v>
                </c:pt>
                <c:pt idx="246">
                  <c:v>23.209059233449477</c:v>
                </c:pt>
                <c:pt idx="247">
                  <c:v>23.209059233449477</c:v>
                </c:pt>
                <c:pt idx="248">
                  <c:v>23.201388888888889</c:v>
                </c:pt>
                <c:pt idx="249">
                  <c:v>23.201388888888889</c:v>
                </c:pt>
                <c:pt idx="250">
                  <c:v>23.201388888888889</c:v>
                </c:pt>
                <c:pt idx="251">
                  <c:v>23.169550173010382</c:v>
                </c:pt>
                <c:pt idx="252">
                  <c:v>23.169550173010382</c:v>
                </c:pt>
                <c:pt idx="253">
                  <c:v>23.169550173010382</c:v>
                </c:pt>
                <c:pt idx="254">
                  <c:v>23.169550173010382</c:v>
                </c:pt>
                <c:pt idx="255">
                  <c:v>23.169550173010382</c:v>
                </c:pt>
                <c:pt idx="256">
                  <c:v>23.151202749140893</c:v>
                </c:pt>
                <c:pt idx="257">
                  <c:v>23.128813559322033</c:v>
                </c:pt>
                <c:pt idx="258">
                  <c:v>23.128813559322033</c:v>
                </c:pt>
                <c:pt idx="259">
                  <c:v>23.128813559322033</c:v>
                </c:pt>
                <c:pt idx="260">
                  <c:v>23.128813559322033</c:v>
                </c:pt>
                <c:pt idx="261">
                  <c:v>23.128813559322033</c:v>
                </c:pt>
                <c:pt idx="262">
                  <c:v>23.026845637583893</c:v>
                </c:pt>
                <c:pt idx="263">
                  <c:v>23.143333333333334</c:v>
                </c:pt>
                <c:pt idx="264">
                  <c:v>23.143333333333334</c:v>
                </c:pt>
                <c:pt idx="265">
                  <c:v>23.119601328903656</c:v>
                </c:pt>
                <c:pt idx="266">
                  <c:v>23.119205298013245</c:v>
                </c:pt>
                <c:pt idx="267">
                  <c:v>23.119205298013245</c:v>
                </c:pt>
                <c:pt idx="268">
                  <c:v>23.119205298013245</c:v>
                </c:pt>
                <c:pt idx="269">
                  <c:v>23.079207920792079</c:v>
                </c:pt>
                <c:pt idx="270">
                  <c:v>23.079207920792079</c:v>
                </c:pt>
                <c:pt idx="271">
                  <c:v>23.079207920792079</c:v>
                </c:pt>
                <c:pt idx="272">
                  <c:v>23.079207920792079</c:v>
                </c:pt>
                <c:pt idx="273">
                  <c:v>23.079207920792079</c:v>
                </c:pt>
                <c:pt idx="274">
                  <c:v>23.079207920792079</c:v>
                </c:pt>
                <c:pt idx="275">
                  <c:v>23.079207920792079</c:v>
                </c:pt>
                <c:pt idx="276">
                  <c:v>23.079207920792079</c:v>
                </c:pt>
                <c:pt idx="277">
                  <c:v>23.079207920792079</c:v>
                </c:pt>
                <c:pt idx="278">
                  <c:v>23.079207920792079</c:v>
                </c:pt>
                <c:pt idx="279">
                  <c:v>23.079207920792079</c:v>
                </c:pt>
                <c:pt idx="280">
                  <c:v>23.079207920792079</c:v>
                </c:pt>
                <c:pt idx="281">
                  <c:v>23.079207920792079</c:v>
                </c:pt>
                <c:pt idx="282">
                  <c:v>23.079207920792079</c:v>
                </c:pt>
                <c:pt idx="283">
                  <c:v>23.079207920792079</c:v>
                </c:pt>
                <c:pt idx="284">
                  <c:v>23.079207920792079</c:v>
                </c:pt>
                <c:pt idx="285">
                  <c:v>23.079207920792079</c:v>
                </c:pt>
                <c:pt idx="286">
                  <c:v>23.079207920792079</c:v>
                </c:pt>
                <c:pt idx="287">
                  <c:v>23.079207920792079</c:v>
                </c:pt>
                <c:pt idx="288">
                  <c:v>23.079207920792079</c:v>
                </c:pt>
                <c:pt idx="289">
                  <c:v>23.079207920792079</c:v>
                </c:pt>
                <c:pt idx="290">
                  <c:v>23.079207920792079</c:v>
                </c:pt>
                <c:pt idx="291">
                  <c:v>23.079207920792079</c:v>
                </c:pt>
                <c:pt idx="292">
                  <c:v>23.079207920792079</c:v>
                </c:pt>
                <c:pt idx="293">
                  <c:v>23.079207920792079</c:v>
                </c:pt>
                <c:pt idx="294">
                  <c:v>23.079207920792079</c:v>
                </c:pt>
                <c:pt idx="295">
                  <c:v>23.079207920792079</c:v>
                </c:pt>
                <c:pt idx="296">
                  <c:v>23.079207920792079</c:v>
                </c:pt>
                <c:pt idx="297">
                  <c:v>23.079207920792079</c:v>
                </c:pt>
                <c:pt idx="298">
                  <c:v>23.079207920792079</c:v>
                </c:pt>
                <c:pt idx="299">
                  <c:v>23.079207920792079</c:v>
                </c:pt>
                <c:pt idx="300">
                  <c:v>23.079207920792079</c:v>
                </c:pt>
                <c:pt idx="301">
                  <c:v>23.079207920792079</c:v>
                </c:pt>
                <c:pt idx="302">
                  <c:v>23.079207920792079</c:v>
                </c:pt>
                <c:pt idx="303">
                  <c:v>23.079207920792079</c:v>
                </c:pt>
                <c:pt idx="304">
                  <c:v>23.079207920792079</c:v>
                </c:pt>
                <c:pt idx="305">
                  <c:v>23.079207920792079</c:v>
                </c:pt>
                <c:pt idx="306">
                  <c:v>23.079207920792079</c:v>
                </c:pt>
                <c:pt idx="307">
                  <c:v>23.079207920792079</c:v>
                </c:pt>
                <c:pt idx="308">
                  <c:v>23.079207920792079</c:v>
                </c:pt>
                <c:pt idx="309">
                  <c:v>23.079207920792079</c:v>
                </c:pt>
                <c:pt idx="310">
                  <c:v>23.079207920792079</c:v>
                </c:pt>
                <c:pt idx="311">
                  <c:v>23.079207920792079</c:v>
                </c:pt>
                <c:pt idx="312">
                  <c:v>23.079207920792079</c:v>
                </c:pt>
                <c:pt idx="313">
                  <c:v>23.079207920792079</c:v>
                </c:pt>
                <c:pt idx="314">
                  <c:v>23.079207920792079</c:v>
                </c:pt>
                <c:pt idx="315">
                  <c:v>23.079207920792079</c:v>
                </c:pt>
                <c:pt idx="316">
                  <c:v>23.082236842105264</c:v>
                </c:pt>
                <c:pt idx="317">
                  <c:v>23.082236842105264</c:v>
                </c:pt>
                <c:pt idx="318">
                  <c:v>23.082236842105264</c:v>
                </c:pt>
                <c:pt idx="319">
                  <c:v>23.137254901960784</c:v>
                </c:pt>
                <c:pt idx="320">
                  <c:v>23.122977346278319</c:v>
                </c:pt>
                <c:pt idx="321">
                  <c:v>23.122977346278319</c:v>
                </c:pt>
                <c:pt idx="322">
                  <c:v>23.122977346278319</c:v>
                </c:pt>
                <c:pt idx="323">
                  <c:v>23.122977346278319</c:v>
                </c:pt>
                <c:pt idx="324">
                  <c:v>23.122977346278319</c:v>
                </c:pt>
                <c:pt idx="325">
                  <c:v>23.122977346278319</c:v>
                </c:pt>
                <c:pt idx="326">
                  <c:v>23.122977346278319</c:v>
                </c:pt>
                <c:pt idx="327">
                  <c:v>23.122977346278319</c:v>
                </c:pt>
                <c:pt idx="328">
                  <c:v>23.122977346278319</c:v>
                </c:pt>
                <c:pt idx="329">
                  <c:v>23.122977346278319</c:v>
                </c:pt>
                <c:pt idx="330">
                  <c:v>23.122977346278319</c:v>
                </c:pt>
                <c:pt idx="331">
                  <c:v>23.122977346278319</c:v>
                </c:pt>
                <c:pt idx="332">
                  <c:v>23.122977346278319</c:v>
                </c:pt>
                <c:pt idx="333">
                  <c:v>23.122977346278319</c:v>
                </c:pt>
                <c:pt idx="334">
                  <c:v>23.189102564102566</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45"/>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Confidence </a:t>
            </a:r>
            <a:r>
              <a:rPr lang="en-US" b="1" baseline="0"/>
              <a:t>- Easy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Daily!$Z$4:$Z$440</c:f>
              <c:numCache>
                <c:formatCode>0%</c:formatCode>
                <c:ptCount val="335"/>
                <c:pt idx="0">
                  <c:v>0</c:v>
                </c:pt>
                <c:pt idx="1">
                  <c:v>0</c:v>
                </c:pt>
                <c:pt idx="2">
                  <c:v>0</c:v>
                </c:pt>
                <c:pt idx="3">
                  <c:v>0.5714285714285714</c:v>
                </c:pt>
                <c:pt idx="4">
                  <c:v>0.63636363636363635</c:v>
                </c:pt>
                <c:pt idx="5">
                  <c:v>0.6</c:v>
                </c:pt>
                <c:pt idx="6">
                  <c:v>0.61904761904761907</c:v>
                </c:pt>
                <c:pt idx="7">
                  <c:v>0.61904761904761907</c:v>
                </c:pt>
                <c:pt idx="8">
                  <c:v>0.61904761904761907</c:v>
                </c:pt>
                <c:pt idx="9">
                  <c:v>0.61904761904761907</c:v>
                </c:pt>
                <c:pt idx="10">
                  <c:v>0.63636363636363635</c:v>
                </c:pt>
                <c:pt idx="11">
                  <c:v>0.63636363636363635</c:v>
                </c:pt>
                <c:pt idx="12">
                  <c:v>0.68</c:v>
                </c:pt>
                <c:pt idx="13">
                  <c:v>0.6785714285714286</c:v>
                </c:pt>
                <c:pt idx="14">
                  <c:v>0.6785714285714286</c:v>
                </c:pt>
                <c:pt idx="15">
                  <c:v>0.6785714285714286</c:v>
                </c:pt>
                <c:pt idx="16">
                  <c:v>0.6785714285714286</c:v>
                </c:pt>
                <c:pt idx="17">
                  <c:v>0.70967741935483875</c:v>
                </c:pt>
                <c:pt idx="18">
                  <c:v>0.69696969696969702</c:v>
                </c:pt>
                <c:pt idx="19">
                  <c:v>0.70588235294117652</c:v>
                </c:pt>
                <c:pt idx="20">
                  <c:v>0.72222222222222221</c:v>
                </c:pt>
                <c:pt idx="21">
                  <c:v>0.72222222222222221</c:v>
                </c:pt>
                <c:pt idx="22">
                  <c:v>0.72222222222222221</c:v>
                </c:pt>
                <c:pt idx="23">
                  <c:v>0.72222222222222221</c:v>
                </c:pt>
                <c:pt idx="24">
                  <c:v>0.66666666666666663</c:v>
                </c:pt>
                <c:pt idx="25">
                  <c:v>0.66666666666666663</c:v>
                </c:pt>
                <c:pt idx="26">
                  <c:v>0.66666666666666663</c:v>
                </c:pt>
                <c:pt idx="27">
                  <c:v>0.66666666666666663</c:v>
                </c:pt>
                <c:pt idx="28">
                  <c:v>0.66666666666666663</c:v>
                </c:pt>
                <c:pt idx="29">
                  <c:v>0.66666666666666663</c:v>
                </c:pt>
                <c:pt idx="30">
                  <c:v>0.66666666666666663</c:v>
                </c:pt>
                <c:pt idx="31">
                  <c:v>0.67441860465116277</c:v>
                </c:pt>
                <c:pt idx="32">
                  <c:v>0.69565217391304346</c:v>
                </c:pt>
                <c:pt idx="33">
                  <c:v>0.69565217391304346</c:v>
                </c:pt>
                <c:pt idx="34">
                  <c:v>0.69565217391304346</c:v>
                </c:pt>
                <c:pt idx="35">
                  <c:v>0.69565217391304346</c:v>
                </c:pt>
                <c:pt idx="36">
                  <c:v>0.69565217391304346</c:v>
                </c:pt>
                <c:pt idx="37">
                  <c:v>0.69565217391304346</c:v>
                </c:pt>
                <c:pt idx="38">
                  <c:v>0.7142857142857143</c:v>
                </c:pt>
                <c:pt idx="39">
                  <c:v>0.72</c:v>
                </c:pt>
                <c:pt idx="40">
                  <c:v>0.72</c:v>
                </c:pt>
                <c:pt idx="41">
                  <c:v>0.73584905660377353</c:v>
                </c:pt>
                <c:pt idx="42">
                  <c:v>0.73584905660377353</c:v>
                </c:pt>
                <c:pt idx="43">
                  <c:v>0.73584905660377353</c:v>
                </c:pt>
                <c:pt idx="44">
                  <c:v>0.73584905660377353</c:v>
                </c:pt>
                <c:pt idx="45">
                  <c:v>0.73584905660377353</c:v>
                </c:pt>
                <c:pt idx="46">
                  <c:v>0.7407407407407407</c:v>
                </c:pt>
                <c:pt idx="47">
                  <c:v>0.7321428571428571</c:v>
                </c:pt>
                <c:pt idx="48">
                  <c:v>0.7321428571428571</c:v>
                </c:pt>
                <c:pt idx="49">
                  <c:v>0.7321428571428571</c:v>
                </c:pt>
                <c:pt idx="50">
                  <c:v>0.7321428571428571</c:v>
                </c:pt>
                <c:pt idx="51">
                  <c:v>0.7321428571428571</c:v>
                </c:pt>
                <c:pt idx="52">
                  <c:v>0.7321428571428571</c:v>
                </c:pt>
                <c:pt idx="53">
                  <c:v>0.73684210526315785</c:v>
                </c:pt>
                <c:pt idx="54">
                  <c:v>0.73684210526315785</c:v>
                </c:pt>
                <c:pt idx="55">
                  <c:v>0.73684210526315785</c:v>
                </c:pt>
                <c:pt idx="56">
                  <c:v>0.73684210526315785</c:v>
                </c:pt>
                <c:pt idx="57">
                  <c:v>0.73684210526315785</c:v>
                </c:pt>
                <c:pt idx="58">
                  <c:v>0.73684210526315785</c:v>
                </c:pt>
                <c:pt idx="59">
                  <c:v>0.74576271186440679</c:v>
                </c:pt>
                <c:pt idx="60">
                  <c:v>0.75</c:v>
                </c:pt>
                <c:pt idx="61">
                  <c:v>0.75</c:v>
                </c:pt>
                <c:pt idx="62">
                  <c:v>0.75</c:v>
                </c:pt>
                <c:pt idx="63">
                  <c:v>0.75</c:v>
                </c:pt>
                <c:pt idx="64">
                  <c:v>0.75</c:v>
                </c:pt>
                <c:pt idx="65">
                  <c:v>0.75</c:v>
                </c:pt>
                <c:pt idx="66">
                  <c:v>0.75</c:v>
                </c:pt>
                <c:pt idx="67">
                  <c:v>0.75</c:v>
                </c:pt>
                <c:pt idx="68">
                  <c:v>0.75</c:v>
                </c:pt>
                <c:pt idx="69">
                  <c:v>0.75</c:v>
                </c:pt>
                <c:pt idx="70">
                  <c:v>0.75409836065573765</c:v>
                </c:pt>
                <c:pt idx="71">
                  <c:v>0.75409836065573765</c:v>
                </c:pt>
                <c:pt idx="72">
                  <c:v>0.75409836065573765</c:v>
                </c:pt>
                <c:pt idx="73">
                  <c:v>0.75409836065573765</c:v>
                </c:pt>
                <c:pt idx="74">
                  <c:v>0.75409836065573765</c:v>
                </c:pt>
                <c:pt idx="75">
                  <c:v>0.75806451612903225</c:v>
                </c:pt>
                <c:pt idx="76">
                  <c:v>0.76190476190476186</c:v>
                </c:pt>
                <c:pt idx="77">
                  <c:v>0.765625</c:v>
                </c:pt>
                <c:pt idx="78">
                  <c:v>0.76923076923076927</c:v>
                </c:pt>
                <c:pt idx="79">
                  <c:v>0.77272727272727271</c:v>
                </c:pt>
                <c:pt idx="80">
                  <c:v>0.77611940298507465</c:v>
                </c:pt>
                <c:pt idx="81">
                  <c:v>0.77941176470588236</c:v>
                </c:pt>
                <c:pt idx="82">
                  <c:v>0.78260869565217395</c:v>
                </c:pt>
                <c:pt idx="83">
                  <c:v>0.7857142857142857</c:v>
                </c:pt>
                <c:pt idx="84">
                  <c:v>0.79166666666666663</c:v>
                </c:pt>
                <c:pt idx="85">
                  <c:v>0.79166666666666663</c:v>
                </c:pt>
                <c:pt idx="86">
                  <c:v>0.79166666666666663</c:v>
                </c:pt>
                <c:pt idx="87">
                  <c:v>0.79729729729729726</c:v>
                </c:pt>
                <c:pt idx="88">
                  <c:v>0.8</c:v>
                </c:pt>
                <c:pt idx="89">
                  <c:v>0.77922077922077926</c:v>
                </c:pt>
                <c:pt idx="90">
                  <c:v>0.77922077922077926</c:v>
                </c:pt>
                <c:pt idx="91">
                  <c:v>0.78205128205128205</c:v>
                </c:pt>
                <c:pt idx="92">
                  <c:v>0.78205128205128205</c:v>
                </c:pt>
                <c:pt idx="93">
                  <c:v>0.78205128205128205</c:v>
                </c:pt>
                <c:pt idx="94">
                  <c:v>0.78481012658227844</c:v>
                </c:pt>
                <c:pt idx="95">
                  <c:v>0.78749999999999998</c:v>
                </c:pt>
                <c:pt idx="96">
                  <c:v>0.78749999999999998</c:v>
                </c:pt>
                <c:pt idx="97">
                  <c:v>0.78749999999999998</c:v>
                </c:pt>
                <c:pt idx="98">
                  <c:v>0.78749999999999998</c:v>
                </c:pt>
                <c:pt idx="99">
                  <c:v>0.78749999999999998</c:v>
                </c:pt>
                <c:pt idx="100">
                  <c:v>0.78749999999999998</c:v>
                </c:pt>
                <c:pt idx="101">
                  <c:v>0.79012345679012341</c:v>
                </c:pt>
                <c:pt idx="102">
                  <c:v>0.79268292682926833</c:v>
                </c:pt>
                <c:pt idx="103">
                  <c:v>0.79518072289156627</c:v>
                </c:pt>
                <c:pt idx="104">
                  <c:v>0.79518072289156627</c:v>
                </c:pt>
                <c:pt idx="105">
                  <c:v>0.78823529411764703</c:v>
                </c:pt>
                <c:pt idx="106">
                  <c:v>0.78823529411764703</c:v>
                </c:pt>
                <c:pt idx="107">
                  <c:v>0.78823529411764703</c:v>
                </c:pt>
                <c:pt idx="108">
                  <c:v>0.79069767441860461</c:v>
                </c:pt>
                <c:pt idx="109">
                  <c:v>0.7931034482758621</c:v>
                </c:pt>
                <c:pt idx="110">
                  <c:v>0.79545454545454541</c:v>
                </c:pt>
                <c:pt idx="111">
                  <c:v>0.797752808988764</c:v>
                </c:pt>
                <c:pt idx="112">
                  <c:v>0.797752808988764</c:v>
                </c:pt>
                <c:pt idx="113">
                  <c:v>0.797752808988764</c:v>
                </c:pt>
                <c:pt idx="114">
                  <c:v>0.797752808988764</c:v>
                </c:pt>
                <c:pt idx="115">
                  <c:v>0.797752808988764</c:v>
                </c:pt>
                <c:pt idx="116">
                  <c:v>0.797752808988764</c:v>
                </c:pt>
                <c:pt idx="117">
                  <c:v>0.797752808988764</c:v>
                </c:pt>
                <c:pt idx="118">
                  <c:v>0.797752808988764</c:v>
                </c:pt>
                <c:pt idx="119">
                  <c:v>0.797752808988764</c:v>
                </c:pt>
                <c:pt idx="120">
                  <c:v>0.797752808988764</c:v>
                </c:pt>
                <c:pt idx="121">
                  <c:v>0.797752808988764</c:v>
                </c:pt>
                <c:pt idx="122">
                  <c:v>0.797752808988764</c:v>
                </c:pt>
                <c:pt idx="123">
                  <c:v>0.797752808988764</c:v>
                </c:pt>
                <c:pt idx="124">
                  <c:v>0.797752808988764</c:v>
                </c:pt>
                <c:pt idx="125">
                  <c:v>0.797752808988764</c:v>
                </c:pt>
                <c:pt idx="126">
                  <c:v>0.797752808988764</c:v>
                </c:pt>
                <c:pt idx="127">
                  <c:v>0.797752808988764</c:v>
                </c:pt>
                <c:pt idx="128">
                  <c:v>0.797752808988764</c:v>
                </c:pt>
                <c:pt idx="129">
                  <c:v>0.797752808988764</c:v>
                </c:pt>
                <c:pt idx="130">
                  <c:v>0.797752808988764</c:v>
                </c:pt>
                <c:pt idx="131">
                  <c:v>0.797752808988764</c:v>
                </c:pt>
                <c:pt idx="132">
                  <c:v>0.797752808988764</c:v>
                </c:pt>
                <c:pt idx="133">
                  <c:v>0.797752808988764</c:v>
                </c:pt>
                <c:pt idx="134">
                  <c:v>0.797752808988764</c:v>
                </c:pt>
                <c:pt idx="135">
                  <c:v>0.797752808988764</c:v>
                </c:pt>
                <c:pt idx="136">
                  <c:v>0.797752808988764</c:v>
                </c:pt>
                <c:pt idx="137">
                  <c:v>0.797752808988764</c:v>
                </c:pt>
                <c:pt idx="138">
                  <c:v>0.797752808988764</c:v>
                </c:pt>
                <c:pt idx="139">
                  <c:v>0.797752808988764</c:v>
                </c:pt>
                <c:pt idx="140">
                  <c:v>0.797752808988764</c:v>
                </c:pt>
                <c:pt idx="141">
                  <c:v>0.797752808988764</c:v>
                </c:pt>
                <c:pt idx="142">
                  <c:v>0.797752808988764</c:v>
                </c:pt>
                <c:pt idx="143">
                  <c:v>0.797752808988764</c:v>
                </c:pt>
                <c:pt idx="144">
                  <c:v>0.797752808988764</c:v>
                </c:pt>
                <c:pt idx="145">
                  <c:v>0.797752808988764</c:v>
                </c:pt>
                <c:pt idx="146">
                  <c:v>0.797752808988764</c:v>
                </c:pt>
                <c:pt idx="147">
                  <c:v>0.797752808988764</c:v>
                </c:pt>
                <c:pt idx="148">
                  <c:v>0.797752808988764</c:v>
                </c:pt>
                <c:pt idx="149">
                  <c:v>0.797752808988764</c:v>
                </c:pt>
                <c:pt idx="150">
                  <c:v>0.797752808988764</c:v>
                </c:pt>
                <c:pt idx="151">
                  <c:v>0.797752808988764</c:v>
                </c:pt>
                <c:pt idx="152">
                  <c:v>0.797752808988764</c:v>
                </c:pt>
                <c:pt idx="153">
                  <c:v>0.797752808988764</c:v>
                </c:pt>
                <c:pt idx="154">
                  <c:v>0.797752808988764</c:v>
                </c:pt>
                <c:pt idx="155">
                  <c:v>0.797752808988764</c:v>
                </c:pt>
                <c:pt idx="156">
                  <c:v>0.797752808988764</c:v>
                </c:pt>
                <c:pt idx="157">
                  <c:v>0.797752808988764</c:v>
                </c:pt>
                <c:pt idx="158">
                  <c:v>0.797752808988764</c:v>
                </c:pt>
                <c:pt idx="159">
                  <c:v>0.797752808988764</c:v>
                </c:pt>
                <c:pt idx="160">
                  <c:v>0.797752808988764</c:v>
                </c:pt>
                <c:pt idx="161">
                  <c:v>0.797752808988764</c:v>
                </c:pt>
                <c:pt idx="162">
                  <c:v>0.797752808988764</c:v>
                </c:pt>
                <c:pt idx="163">
                  <c:v>0.797752808988764</c:v>
                </c:pt>
                <c:pt idx="164">
                  <c:v>0.797752808988764</c:v>
                </c:pt>
                <c:pt idx="165">
                  <c:v>0.8</c:v>
                </c:pt>
                <c:pt idx="166">
                  <c:v>0.80219780219780223</c:v>
                </c:pt>
                <c:pt idx="167">
                  <c:v>0.80219780219780223</c:v>
                </c:pt>
                <c:pt idx="168">
                  <c:v>0.80219780219780223</c:v>
                </c:pt>
                <c:pt idx="169">
                  <c:v>0.80219780219780223</c:v>
                </c:pt>
                <c:pt idx="170">
                  <c:v>0.80219780219780223</c:v>
                </c:pt>
                <c:pt idx="171">
                  <c:v>0.80219780219780223</c:v>
                </c:pt>
                <c:pt idx="172">
                  <c:v>0.80219780219780223</c:v>
                </c:pt>
                <c:pt idx="173">
                  <c:v>0.80219780219780223</c:v>
                </c:pt>
                <c:pt idx="174">
                  <c:v>0.80219780219780223</c:v>
                </c:pt>
                <c:pt idx="175">
                  <c:v>0.80219780219780223</c:v>
                </c:pt>
                <c:pt idx="176">
                  <c:v>0.80219780219780223</c:v>
                </c:pt>
                <c:pt idx="177">
                  <c:v>0.80219780219780223</c:v>
                </c:pt>
                <c:pt idx="178">
                  <c:v>0.80219780219780223</c:v>
                </c:pt>
                <c:pt idx="179">
                  <c:v>0.80219780219780223</c:v>
                </c:pt>
                <c:pt idx="180">
                  <c:v>0.80219780219780223</c:v>
                </c:pt>
                <c:pt idx="181">
                  <c:v>0.80219780219780223</c:v>
                </c:pt>
                <c:pt idx="182">
                  <c:v>0.80219780219780223</c:v>
                </c:pt>
                <c:pt idx="183">
                  <c:v>0.80219780219780223</c:v>
                </c:pt>
                <c:pt idx="184">
                  <c:v>0.80219780219780223</c:v>
                </c:pt>
                <c:pt idx="185">
                  <c:v>0.80219780219780223</c:v>
                </c:pt>
                <c:pt idx="186">
                  <c:v>0.80219780219780223</c:v>
                </c:pt>
                <c:pt idx="187">
                  <c:v>0.80219780219780223</c:v>
                </c:pt>
                <c:pt idx="188">
                  <c:v>0.80219780219780223</c:v>
                </c:pt>
                <c:pt idx="189">
                  <c:v>0.80219780219780223</c:v>
                </c:pt>
                <c:pt idx="190">
                  <c:v>0.80219780219780223</c:v>
                </c:pt>
                <c:pt idx="191">
                  <c:v>0.80219780219780223</c:v>
                </c:pt>
                <c:pt idx="192">
                  <c:v>0.80219780219780223</c:v>
                </c:pt>
                <c:pt idx="193">
                  <c:v>0.80219780219780223</c:v>
                </c:pt>
                <c:pt idx="194">
                  <c:v>0.80219780219780223</c:v>
                </c:pt>
                <c:pt idx="195">
                  <c:v>0.80219780219780223</c:v>
                </c:pt>
                <c:pt idx="196">
                  <c:v>0.80219780219780223</c:v>
                </c:pt>
                <c:pt idx="197">
                  <c:v>0.80219780219780223</c:v>
                </c:pt>
                <c:pt idx="198">
                  <c:v>0.80219780219780223</c:v>
                </c:pt>
                <c:pt idx="199">
                  <c:v>0.80219780219780223</c:v>
                </c:pt>
                <c:pt idx="200">
                  <c:v>0.80219780219780223</c:v>
                </c:pt>
                <c:pt idx="201">
                  <c:v>0.80219780219780223</c:v>
                </c:pt>
                <c:pt idx="202">
                  <c:v>0.80219780219780223</c:v>
                </c:pt>
                <c:pt idx="203">
                  <c:v>0.80219780219780223</c:v>
                </c:pt>
                <c:pt idx="204">
                  <c:v>0.80219780219780223</c:v>
                </c:pt>
                <c:pt idx="205">
                  <c:v>0.80219780219780223</c:v>
                </c:pt>
                <c:pt idx="206">
                  <c:v>0.80219780219780223</c:v>
                </c:pt>
                <c:pt idx="207">
                  <c:v>0.80219780219780223</c:v>
                </c:pt>
                <c:pt idx="208">
                  <c:v>0.80219780219780223</c:v>
                </c:pt>
                <c:pt idx="209">
                  <c:v>0.80219780219780223</c:v>
                </c:pt>
                <c:pt idx="210">
                  <c:v>0.80219780219780223</c:v>
                </c:pt>
                <c:pt idx="211">
                  <c:v>0.80219780219780223</c:v>
                </c:pt>
                <c:pt idx="212">
                  <c:v>0.80219780219780223</c:v>
                </c:pt>
                <c:pt idx="213">
                  <c:v>0.80219780219780223</c:v>
                </c:pt>
                <c:pt idx="214">
                  <c:v>0.80219780219780223</c:v>
                </c:pt>
                <c:pt idx="215">
                  <c:v>0.80219780219780223</c:v>
                </c:pt>
                <c:pt idx="216">
                  <c:v>0.80219780219780223</c:v>
                </c:pt>
                <c:pt idx="217">
                  <c:v>0.80219780219780223</c:v>
                </c:pt>
                <c:pt idx="218">
                  <c:v>0.80219780219780223</c:v>
                </c:pt>
                <c:pt idx="219">
                  <c:v>0.80219780219780223</c:v>
                </c:pt>
                <c:pt idx="220">
                  <c:v>0.80219780219780223</c:v>
                </c:pt>
                <c:pt idx="221">
                  <c:v>0.80219780219780223</c:v>
                </c:pt>
                <c:pt idx="222">
                  <c:v>0.80219780219780223</c:v>
                </c:pt>
                <c:pt idx="223">
                  <c:v>0.80645161290322576</c:v>
                </c:pt>
                <c:pt idx="224">
                  <c:v>0.80645161290322576</c:v>
                </c:pt>
                <c:pt idx="225">
                  <c:v>0.80645161290322576</c:v>
                </c:pt>
                <c:pt idx="226">
                  <c:v>0.80645161290322576</c:v>
                </c:pt>
                <c:pt idx="227">
                  <c:v>0.80851063829787229</c:v>
                </c:pt>
                <c:pt idx="228">
                  <c:v>0.80851063829787229</c:v>
                </c:pt>
                <c:pt idx="229">
                  <c:v>0.80851063829787229</c:v>
                </c:pt>
                <c:pt idx="230">
                  <c:v>0.80851063829787229</c:v>
                </c:pt>
                <c:pt idx="231">
                  <c:v>0.80851063829787229</c:v>
                </c:pt>
                <c:pt idx="232">
                  <c:v>0.80851063829787229</c:v>
                </c:pt>
                <c:pt idx="233">
                  <c:v>0.80851063829787229</c:v>
                </c:pt>
                <c:pt idx="234">
                  <c:v>0.80851063829787229</c:v>
                </c:pt>
                <c:pt idx="235">
                  <c:v>0.80851063829787229</c:v>
                </c:pt>
                <c:pt idx="236">
                  <c:v>0.80851063829787229</c:v>
                </c:pt>
                <c:pt idx="237">
                  <c:v>0.80851063829787229</c:v>
                </c:pt>
                <c:pt idx="238">
                  <c:v>0.80851063829787229</c:v>
                </c:pt>
                <c:pt idx="239">
                  <c:v>0.80851063829787229</c:v>
                </c:pt>
                <c:pt idx="240">
                  <c:v>0.80851063829787229</c:v>
                </c:pt>
                <c:pt idx="241">
                  <c:v>0.80851063829787229</c:v>
                </c:pt>
                <c:pt idx="242">
                  <c:v>0.80851063829787229</c:v>
                </c:pt>
                <c:pt idx="243">
                  <c:v>0.80851063829787229</c:v>
                </c:pt>
                <c:pt idx="244">
                  <c:v>0.80851063829787229</c:v>
                </c:pt>
                <c:pt idx="245">
                  <c:v>0.80851063829787229</c:v>
                </c:pt>
                <c:pt idx="246">
                  <c:v>0.80851063829787229</c:v>
                </c:pt>
                <c:pt idx="247">
                  <c:v>0.80851063829787229</c:v>
                </c:pt>
                <c:pt idx="248">
                  <c:v>0.80851063829787229</c:v>
                </c:pt>
                <c:pt idx="249">
                  <c:v>0.80851063829787229</c:v>
                </c:pt>
                <c:pt idx="250">
                  <c:v>0.80851063829787229</c:v>
                </c:pt>
                <c:pt idx="251">
                  <c:v>0.80851063829787229</c:v>
                </c:pt>
                <c:pt idx="252">
                  <c:v>0.80851063829787229</c:v>
                </c:pt>
                <c:pt idx="253">
                  <c:v>0.80851063829787229</c:v>
                </c:pt>
                <c:pt idx="254">
                  <c:v>0.80851063829787229</c:v>
                </c:pt>
                <c:pt idx="255">
                  <c:v>0.80851063829787229</c:v>
                </c:pt>
                <c:pt idx="256">
                  <c:v>0.80851063829787229</c:v>
                </c:pt>
                <c:pt idx="257">
                  <c:v>0.80851063829787229</c:v>
                </c:pt>
                <c:pt idx="258">
                  <c:v>0.80851063829787229</c:v>
                </c:pt>
                <c:pt idx="259">
                  <c:v>0.80851063829787229</c:v>
                </c:pt>
                <c:pt idx="260">
                  <c:v>0.80851063829787229</c:v>
                </c:pt>
                <c:pt idx="261">
                  <c:v>0.80851063829787229</c:v>
                </c:pt>
                <c:pt idx="262">
                  <c:v>0.80851063829787229</c:v>
                </c:pt>
                <c:pt idx="263">
                  <c:v>0.80851063829787229</c:v>
                </c:pt>
                <c:pt idx="264">
                  <c:v>0.80851063829787229</c:v>
                </c:pt>
                <c:pt idx="265">
                  <c:v>0.80851063829787229</c:v>
                </c:pt>
                <c:pt idx="266">
                  <c:v>0.80851063829787229</c:v>
                </c:pt>
                <c:pt idx="267">
                  <c:v>0.80851063829787229</c:v>
                </c:pt>
                <c:pt idx="268">
                  <c:v>0.80851063829787229</c:v>
                </c:pt>
                <c:pt idx="269">
                  <c:v>0.80851063829787229</c:v>
                </c:pt>
                <c:pt idx="270">
                  <c:v>0.80851063829787229</c:v>
                </c:pt>
                <c:pt idx="271">
                  <c:v>0.80851063829787229</c:v>
                </c:pt>
                <c:pt idx="272">
                  <c:v>0.80851063829787229</c:v>
                </c:pt>
                <c:pt idx="273">
                  <c:v>0.80851063829787229</c:v>
                </c:pt>
                <c:pt idx="274">
                  <c:v>0.80851063829787229</c:v>
                </c:pt>
                <c:pt idx="275">
                  <c:v>0.80851063829787229</c:v>
                </c:pt>
                <c:pt idx="276">
                  <c:v>0.80851063829787229</c:v>
                </c:pt>
                <c:pt idx="277">
                  <c:v>0.80851063829787229</c:v>
                </c:pt>
                <c:pt idx="278">
                  <c:v>0.80851063829787229</c:v>
                </c:pt>
                <c:pt idx="279">
                  <c:v>0.80851063829787229</c:v>
                </c:pt>
                <c:pt idx="280">
                  <c:v>0.80851063829787229</c:v>
                </c:pt>
                <c:pt idx="281">
                  <c:v>0.80851063829787229</c:v>
                </c:pt>
                <c:pt idx="282">
                  <c:v>0.80851063829787229</c:v>
                </c:pt>
                <c:pt idx="283">
                  <c:v>0.80851063829787229</c:v>
                </c:pt>
                <c:pt idx="284">
                  <c:v>0.80851063829787229</c:v>
                </c:pt>
                <c:pt idx="285">
                  <c:v>0.80851063829787229</c:v>
                </c:pt>
                <c:pt idx="286">
                  <c:v>0.80851063829787229</c:v>
                </c:pt>
                <c:pt idx="287">
                  <c:v>0.80851063829787229</c:v>
                </c:pt>
                <c:pt idx="288">
                  <c:v>0.80851063829787229</c:v>
                </c:pt>
                <c:pt idx="289">
                  <c:v>0.80851063829787229</c:v>
                </c:pt>
                <c:pt idx="290">
                  <c:v>0.80851063829787229</c:v>
                </c:pt>
                <c:pt idx="291">
                  <c:v>0.80851063829787229</c:v>
                </c:pt>
                <c:pt idx="292">
                  <c:v>0.80851063829787229</c:v>
                </c:pt>
                <c:pt idx="293">
                  <c:v>0.80851063829787229</c:v>
                </c:pt>
                <c:pt idx="294">
                  <c:v>0.80851063829787229</c:v>
                </c:pt>
                <c:pt idx="295">
                  <c:v>0.80851063829787229</c:v>
                </c:pt>
                <c:pt idx="296">
                  <c:v>0.80851063829787229</c:v>
                </c:pt>
                <c:pt idx="297">
                  <c:v>0.80851063829787229</c:v>
                </c:pt>
                <c:pt idx="298">
                  <c:v>0.80851063829787229</c:v>
                </c:pt>
                <c:pt idx="299">
                  <c:v>0.80851063829787229</c:v>
                </c:pt>
                <c:pt idx="300">
                  <c:v>0.80851063829787229</c:v>
                </c:pt>
                <c:pt idx="301">
                  <c:v>0.80851063829787229</c:v>
                </c:pt>
                <c:pt idx="302">
                  <c:v>0.80851063829787229</c:v>
                </c:pt>
                <c:pt idx="303">
                  <c:v>0.80851063829787229</c:v>
                </c:pt>
                <c:pt idx="304">
                  <c:v>0.80851063829787229</c:v>
                </c:pt>
                <c:pt idx="305">
                  <c:v>0.80851063829787229</c:v>
                </c:pt>
                <c:pt idx="306">
                  <c:v>0.80851063829787229</c:v>
                </c:pt>
                <c:pt idx="307">
                  <c:v>0.80851063829787229</c:v>
                </c:pt>
                <c:pt idx="308">
                  <c:v>0.80851063829787229</c:v>
                </c:pt>
                <c:pt idx="309">
                  <c:v>0.80851063829787229</c:v>
                </c:pt>
                <c:pt idx="310">
                  <c:v>0.80851063829787229</c:v>
                </c:pt>
                <c:pt idx="311">
                  <c:v>0.80851063829787229</c:v>
                </c:pt>
                <c:pt idx="312">
                  <c:v>0.80851063829787229</c:v>
                </c:pt>
                <c:pt idx="313">
                  <c:v>0.80851063829787229</c:v>
                </c:pt>
                <c:pt idx="314">
                  <c:v>0.80851063829787229</c:v>
                </c:pt>
                <c:pt idx="315">
                  <c:v>0.80851063829787229</c:v>
                </c:pt>
                <c:pt idx="316">
                  <c:v>0.80851063829787229</c:v>
                </c:pt>
                <c:pt idx="317">
                  <c:v>0.80851063829787229</c:v>
                </c:pt>
                <c:pt idx="318">
                  <c:v>0.80851063829787229</c:v>
                </c:pt>
                <c:pt idx="319">
                  <c:v>0.81052631578947365</c:v>
                </c:pt>
                <c:pt idx="320">
                  <c:v>0.8125</c:v>
                </c:pt>
                <c:pt idx="321">
                  <c:v>0.8125</c:v>
                </c:pt>
                <c:pt idx="322">
                  <c:v>0.8125</c:v>
                </c:pt>
                <c:pt idx="323">
                  <c:v>0.8125</c:v>
                </c:pt>
                <c:pt idx="324">
                  <c:v>0.8125</c:v>
                </c:pt>
                <c:pt idx="325">
                  <c:v>0.8125</c:v>
                </c:pt>
                <c:pt idx="326">
                  <c:v>0.8125</c:v>
                </c:pt>
                <c:pt idx="327">
                  <c:v>0.8125</c:v>
                </c:pt>
                <c:pt idx="328">
                  <c:v>0.8125</c:v>
                </c:pt>
                <c:pt idx="329">
                  <c:v>0.8125</c:v>
                </c:pt>
                <c:pt idx="330">
                  <c:v>0.8125</c:v>
                </c:pt>
                <c:pt idx="331">
                  <c:v>0.8125</c:v>
                </c:pt>
                <c:pt idx="332">
                  <c:v>0.8125</c:v>
                </c:pt>
                <c:pt idx="333">
                  <c:v>0.8125</c:v>
                </c:pt>
                <c:pt idx="334">
                  <c:v>0.80412371134020622</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Confidence </a:t>
            </a:r>
            <a:r>
              <a:rPr lang="en-US" b="1" baseline="0"/>
              <a:t>- Medium</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Daily!$AE$4:$AE$440</c:f>
              <c:numCache>
                <c:formatCode>0%</c:formatCode>
                <c:ptCount val="335"/>
                <c:pt idx="0">
                  <c:v>0</c:v>
                </c:pt>
                <c:pt idx="1">
                  <c:v>0</c:v>
                </c:pt>
                <c:pt idx="2">
                  <c:v>0</c:v>
                </c:pt>
                <c:pt idx="3">
                  <c:v>0</c:v>
                </c:pt>
                <c:pt idx="4">
                  <c:v>0</c:v>
                </c:pt>
                <c:pt idx="5">
                  <c:v>0.33333333333333331</c:v>
                </c:pt>
                <c:pt idx="6">
                  <c:v>0.25</c:v>
                </c:pt>
                <c:pt idx="7">
                  <c:v>0.33333333333333331</c:v>
                </c:pt>
                <c:pt idx="8">
                  <c:v>0.33333333333333331</c:v>
                </c:pt>
                <c:pt idx="9">
                  <c:v>0.33333333333333331</c:v>
                </c:pt>
                <c:pt idx="10">
                  <c:v>0.2857142857142857</c:v>
                </c:pt>
                <c:pt idx="11">
                  <c:v>0.35294117647058826</c:v>
                </c:pt>
                <c:pt idx="12">
                  <c:v>0.36842105263157893</c:v>
                </c:pt>
                <c:pt idx="13">
                  <c:v>0.43478260869565216</c:v>
                </c:pt>
                <c:pt idx="14">
                  <c:v>0.44444444444444442</c:v>
                </c:pt>
                <c:pt idx="15">
                  <c:v>0.44444444444444442</c:v>
                </c:pt>
                <c:pt idx="16">
                  <c:v>0.42857142857142855</c:v>
                </c:pt>
                <c:pt idx="17">
                  <c:v>0.42857142857142855</c:v>
                </c:pt>
                <c:pt idx="18">
                  <c:v>0.4375</c:v>
                </c:pt>
                <c:pt idx="19">
                  <c:v>0.44117647058823528</c:v>
                </c:pt>
                <c:pt idx="20">
                  <c:v>0.41666666666666669</c:v>
                </c:pt>
                <c:pt idx="21">
                  <c:v>0.41666666666666669</c:v>
                </c:pt>
                <c:pt idx="22">
                  <c:v>0.41666666666666669</c:v>
                </c:pt>
                <c:pt idx="23">
                  <c:v>0.41666666666666669</c:v>
                </c:pt>
                <c:pt idx="24">
                  <c:v>0.41666666666666669</c:v>
                </c:pt>
                <c:pt idx="25">
                  <c:v>0.42105263157894735</c:v>
                </c:pt>
                <c:pt idx="26">
                  <c:v>0.42105263157894735</c:v>
                </c:pt>
                <c:pt idx="27">
                  <c:v>0.42105263157894735</c:v>
                </c:pt>
                <c:pt idx="28">
                  <c:v>0.41025641025641024</c:v>
                </c:pt>
                <c:pt idx="29">
                  <c:v>0.41025641025641024</c:v>
                </c:pt>
                <c:pt idx="30">
                  <c:v>0.41025641025641024</c:v>
                </c:pt>
                <c:pt idx="31">
                  <c:v>0.43181818181818182</c:v>
                </c:pt>
                <c:pt idx="32">
                  <c:v>0.43478260869565216</c:v>
                </c:pt>
                <c:pt idx="33">
                  <c:v>0.45098039215686275</c:v>
                </c:pt>
                <c:pt idx="34">
                  <c:v>0.45098039215686275</c:v>
                </c:pt>
                <c:pt idx="35">
                  <c:v>0.45098039215686275</c:v>
                </c:pt>
                <c:pt idx="36">
                  <c:v>0.45098039215686275</c:v>
                </c:pt>
                <c:pt idx="37">
                  <c:v>0.45098039215686275</c:v>
                </c:pt>
                <c:pt idx="38">
                  <c:v>0.46153846153846156</c:v>
                </c:pt>
                <c:pt idx="39">
                  <c:v>0.49090909090909091</c:v>
                </c:pt>
                <c:pt idx="40">
                  <c:v>0.48214285714285715</c:v>
                </c:pt>
                <c:pt idx="41">
                  <c:v>0.47368421052631576</c:v>
                </c:pt>
                <c:pt idx="42">
                  <c:v>0.47368421052631576</c:v>
                </c:pt>
                <c:pt idx="43">
                  <c:v>0.47368421052631576</c:v>
                </c:pt>
                <c:pt idx="44">
                  <c:v>0.47368421052631576</c:v>
                </c:pt>
                <c:pt idx="45">
                  <c:v>0.47368421052631576</c:v>
                </c:pt>
                <c:pt idx="46">
                  <c:v>0.47457627118644069</c:v>
                </c:pt>
                <c:pt idx="47">
                  <c:v>0.48333333333333334</c:v>
                </c:pt>
                <c:pt idx="48">
                  <c:v>0.4838709677419355</c:v>
                </c:pt>
                <c:pt idx="49">
                  <c:v>0.49206349206349204</c:v>
                </c:pt>
                <c:pt idx="50">
                  <c:v>0.49206349206349204</c:v>
                </c:pt>
                <c:pt idx="51">
                  <c:v>0.49206349206349204</c:v>
                </c:pt>
                <c:pt idx="52">
                  <c:v>0.52238805970149249</c:v>
                </c:pt>
                <c:pt idx="53">
                  <c:v>0.52857142857142858</c:v>
                </c:pt>
                <c:pt idx="54">
                  <c:v>0.51388888888888884</c:v>
                </c:pt>
                <c:pt idx="55">
                  <c:v>0.52</c:v>
                </c:pt>
                <c:pt idx="56">
                  <c:v>0.52564102564102566</c:v>
                </c:pt>
                <c:pt idx="57">
                  <c:v>0.52564102564102566</c:v>
                </c:pt>
                <c:pt idx="58">
                  <c:v>0.52564102564102566</c:v>
                </c:pt>
                <c:pt idx="59">
                  <c:v>0.54216867469879515</c:v>
                </c:pt>
                <c:pt idx="60">
                  <c:v>0.55813953488372092</c:v>
                </c:pt>
                <c:pt idx="61">
                  <c:v>0.55555555555555558</c:v>
                </c:pt>
                <c:pt idx="62">
                  <c:v>0.55913978494623651</c:v>
                </c:pt>
                <c:pt idx="63">
                  <c:v>0.58163265306122447</c:v>
                </c:pt>
                <c:pt idx="64">
                  <c:v>0.58163265306122447</c:v>
                </c:pt>
                <c:pt idx="65">
                  <c:v>0.58163265306122447</c:v>
                </c:pt>
                <c:pt idx="66">
                  <c:v>0.58163265306122447</c:v>
                </c:pt>
                <c:pt idx="67">
                  <c:v>0.58163265306122447</c:v>
                </c:pt>
                <c:pt idx="68">
                  <c:v>0.58163265306122447</c:v>
                </c:pt>
                <c:pt idx="69">
                  <c:v>0.58163265306122447</c:v>
                </c:pt>
                <c:pt idx="70">
                  <c:v>0.58163265306122447</c:v>
                </c:pt>
                <c:pt idx="71">
                  <c:v>0.58163265306122447</c:v>
                </c:pt>
                <c:pt idx="72">
                  <c:v>0.58163265306122447</c:v>
                </c:pt>
                <c:pt idx="73">
                  <c:v>0.58163265306122447</c:v>
                </c:pt>
                <c:pt idx="74">
                  <c:v>0.57843137254901966</c:v>
                </c:pt>
                <c:pt idx="75">
                  <c:v>0.58653846153846156</c:v>
                </c:pt>
                <c:pt idx="76">
                  <c:v>0.580952380952381</c:v>
                </c:pt>
                <c:pt idx="77">
                  <c:v>0.58490566037735847</c:v>
                </c:pt>
                <c:pt idx="78">
                  <c:v>0.58878504672897192</c:v>
                </c:pt>
                <c:pt idx="79">
                  <c:v>0.58333333333333337</c:v>
                </c:pt>
                <c:pt idx="80">
                  <c:v>0.57272727272727275</c:v>
                </c:pt>
                <c:pt idx="81">
                  <c:v>0.57657657657657657</c:v>
                </c:pt>
                <c:pt idx="82">
                  <c:v>0.5803571428571429</c:v>
                </c:pt>
                <c:pt idx="83">
                  <c:v>0.5752212389380531</c:v>
                </c:pt>
                <c:pt idx="84">
                  <c:v>0.57017543859649122</c:v>
                </c:pt>
                <c:pt idx="85">
                  <c:v>0.57017543859649122</c:v>
                </c:pt>
                <c:pt idx="86">
                  <c:v>0.57017543859649122</c:v>
                </c:pt>
                <c:pt idx="87">
                  <c:v>0.57758620689655171</c:v>
                </c:pt>
                <c:pt idx="88">
                  <c:v>0.57983193277310929</c:v>
                </c:pt>
                <c:pt idx="89">
                  <c:v>0.57851239669421484</c:v>
                </c:pt>
                <c:pt idx="90">
                  <c:v>0.58196721311475408</c:v>
                </c:pt>
                <c:pt idx="91">
                  <c:v>0.59199999999999997</c:v>
                </c:pt>
                <c:pt idx="92">
                  <c:v>0.59199999999999997</c:v>
                </c:pt>
                <c:pt idx="93">
                  <c:v>0.59199999999999997</c:v>
                </c:pt>
                <c:pt idx="94">
                  <c:v>0.59523809523809523</c:v>
                </c:pt>
                <c:pt idx="95">
                  <c:v>0.5968992248062015</c:v>
                </c:pt>
                <c:pt idx="96">
                  <c:v>0.59848484848484851</c:v>
                </c:pt>
                <c:pt idx="97">
                  <c:v>0.59558823529411764</c:v>
                </c:pt>
                <c:pt idx="98">
                  <c:v>0.59558823529411764</c:v>
                </c:pt>
                <c:pt idx="99">
                  <c:v>0.59558823529411764</c:v>
                </c:pt>
                <c:pt idx="100">
                  <c:v>0.59558823529411764</c:v>
                </c:pt>
                <c:pt idx="101">
                  <c:v>0.60992907801418439</c:v>
                </c:pt>
                <c:pt idx="102">
                  <c:v>0.60839160839160844</c:v>
                </c:pt>
                <c:pt idx="103">
                  <c:v>0.61111111111111116</c:v>
                </c:pt>
                <c:pt idx="104">
                  <c:v>0.61224489795918369</c:v>
                </c:pt>
                <c:pt idx="105">
                  <c:v>0.61073825503355705</c:v>
                </c:pt>
                <c:pt idx="106">
                  <c:v>0.61073825503355705</c:v>
                </c:pt>
                <c:pt idx="107">
                  <c:v>0.61073825503355705</c:v>
                </c:pt>
                <c:pt idx="108">
                  <c:v>0.61333333333333329</c:v>
                </c:pt>
                <c:pt idx="109">
                  <c:v>0.60927152317880795</c:v>
                </c:pt>
                <c:pt idx="110">
                  <c:v>0.60526315789473684</c:v>
                </c:pt>
                <c:pt idx="111">
                  <c:v>0.60389610389610393</c:v>
                </c:pt>
                <c:pt idx="112">
                  <c:v>0.60377358490566035</c:v>
                </c:pt>
                <c:pt idx="113">
                  <c:v>0.60377358490566035</c:v>
                </c:pt>
                <c:pt idx="114">
                  <c:v>0.60377358490566035</c:v>
                </c:pt>
                <c:pt idx="115">
                  <c:v>0.60248447204968947</c:v>
                </c:pt>
                <c:pt idx="116">
                  <c:v>0.60365853658536583</c:v>
                </c:pt>
                <c:pt idx="117">
                  <c:v>0.60240963855421692</c:v>
                </c:pt>
                <c:pt idx="118">
                  <c:v>0.60355029585798814</c:v>
                </c:pt>
                <c:pt idx="119">
                  <c:v>0.60465116279069764</c:v>
                </c:pt>
                <c:pt idx="120">
                  <c:v>0.60465116279069764</c:v>
                </c:pt>
                <c:pt idx="121">
                  <c:v>0.60465116279069764</c:v>
                </c:pt>
                <c:pt idx="122">
                  <c:v>0.61142857142857143</c:v>
                </c:pt>
                <c:pt idx="123">
                  <c:v>0.6067415730337079</c:v>
                </c:pt>
                <c:pt idx="124">
                  <c:v>0.60773480662983426</c:v>
                </c:pt>
                <c:pt idx="125">
                  <c:v>0.60869565217391308</c:v>
                </c:pt>
                <c:pt idx="126">
                  <c:v>0.60962566844919786</c:v>
                </c:pt>
                <c:pt idx="127">
                  <c:v>0.60962566844919786</c:v>
                </c:pt>
                <c:pt idx="128">
                  <c:v>0.60962566844919786</c:v>
                </c:pt>
                <c:pt idx="129">
                  <c:v>0.60962566844919786</c:v>
                </c:pt>
                <c:pt idx="130">
                  <c:v>0.60962566844919786</c:v>
                </c:pt>
                <c:pt idx="131">
                  <c:v>0.60962566844919786</c:v>
                </c:pt>
                <c:pt idx="132">
                  <c:v>0.60962566844919786</c:v>
                </c:pt>
                <c:pt idx="133">
                  <c:v>0.60962566844919786</c:v>
                </c:pt>
                <c:pt idx="134">
                  <c:v>0.60962566844919786</c:v>
                </c:pt>
                <c:pt idx="135">
                  <c:v>0.60962566844919786</c:v>
                </c:pt>
                <c:pt idx="136">
                  <c:v>0.60962566844919786</c:v>
                </c:pt>
                <c:pt idx="137">
                  <c:v>0.60962566844919786</c:v>
                </c:pt>
                <c:pt idx="138">
                  <c:v>0.60962566844919786</c:v>
                </c:pt>
                <c:pt idx="139">
                  <c:v>0.60962566844919786</c:v>
                </c:pt>
                <c:pt idx="140">
                  <c:v>0.60962566844919786</c:v>
                </c:pt>
                <c:pt idx="141">
                  <c:v>0.60962566844919786</c:v>
                </c:pt>
                <c:pt idx="142">
                  <c:v>0.60962566844919786</c:v>
                </c:pt>
                <c:pt idx="143">
                  <c:v>0.60317460317460314</c:v>
                </c:pt>
                <c:pt idx="144">
                  <c:v>0.60317460317460314</c:v>
                </c:pt>
                <c:pt idx="145">
                  <c:v>0.60317460317460314</c:v>
                </c:pt>
                <c:pt idx="146">
                  <c:v>0.60209424083769636</c:v>
                </c:pt>
                <c:pt idx="147">
                  <c:v>0.60209424083769636</c:v>
                </c:pt>
                <c:pt idx="148">
                  <c:v>0.60209424083769636</c:v>
                </c:pt>
                <c:pt idx="149">
                  <c:v>0.60209424083769636</c:v>
                </c:pt>
                <c:pt idx="150">
                  <c:v>0.60209424083769636</c:v>
                </c:pt>
                <c:pt idx="151">
                  <c:v>0.60209424083769636</c:v>
                </c:pt>
                <c:pt idx="152">
                  <c:v>0.60209424083769636</c:v>
                </c:pt>
                <c:pt idx="153">
                  <c:v>0.60209424083769636</c:v>
                </c:pt>
                <c:pt idx="154">
                  <c:v>0.60209424083769636</c:v>
                </c:pt>
                <c:pt idx="155">
                  <c:v>0.60209424083769636</c:v>
                </c:pt>
                <c:pt idx="156">
                  <c:v>0.60209424083769636</c:v>
                </c:pt>
                <c:pt idx="157">
                  <c:v>0.60209424083769636</c:v>
                </c:pt>
                <c:pt idx="158">
                  <c:v>0.60209424083769636</c:v>
                </c:pt>
                <c:pt idx="159">
                  <c:v>0.60209424083769636</c:v>
                </c:pt>
                <c:pt idx="160">
                  <c:v>0.60209424083769636</c:v>
                </c:pt>
                <c:pt idx="161">
                  <c:v>0.60209424083769636</c:v>
                </c:pt>
                <c:pt idx="162">
                  <c:v>0.60209424083769636</c:v>
                </c:pt>
                <c:pt idx="163">
                  <c:v>0.60209424083769636</c:v>
                </c:pt>
                <c:pt idx="164">
                  <c:v>0.60209424083769636</c:v>
                </c:pt>
                <c:pt idx="165">
                  <c:v>0.60416666666666663</c:v>
                </c:pt>
                <c:pt idx="166">
                  <c:v>0.60824742268041232</c:v>
                </c:pt>
                <c:pt idx="167">
                  <c:v>0.60824742268041232</c:v>
                </c:pt>
                <c:pt idx="168">
                  <c:v>0.60824742268041232</c:v>
                </c:pt>
                <c:pt idx="169">
                  <c:v>0.60824742268041232</c:v>
                </c:pt>
                <c:pt idx="170">
                  <c:v>0.60824742268041232</c:v>
                </c:pt>
                <c:pt idx="171">
                  <c:v>0.60824742268041232</c:v>
                </c:pt>
                <c:pt idx="172">
                  <c:v>0.60824742268041232</c:v>
                </c:pt>
                <c:pt idx="173">
                  <c:v>0.60824742268041232</c:v>
                </c:pt>
                <c:pt idx="174">
                  <c:v>0.60824742268041232</c:v>
                </c:pt>
                <c:pt idx="175">
                  <c:v>0.60824742268041232</c:v>
                </c:pt>
                <c:pt idx="176">
                  <c:v>0.60824742268041232</c:v>
                </c:pt>
                <c:pt idx="177">
                  <c:v>0.60824742268041232</c:v>
                </c:pt>
                <c:pt idx="178">
                  <c:v>0.60824742268041232</c:v>
                </c:pt>
                <c:pt idx="179">
                  <c:v>0.60824742268041232</c:v>
                </c:pt>
                <c:pt idx="180">
                  <c:v>0.60824742268041232</c:v>
                </c:pt>
                <c:pt idx="181">
                  <c:v>0.60824742268041232</c:v>
                </c:pt>
                <c:pt idx="182">
                  <c:v>0.60824742268041232</c:v>
                </c:pt>
                <c:pt idx="183">
                  <c:v>0.60824742268041232</c:v>
                </c:pt>
                <c:pt idx="184">
                  <c:v>0.60824742268041232</c:v>
                </c:pt>
                <c:pt idx="185">
                  <c:v>0.60824742268041232</c:v>
                </c:pt>
                <c:pt idx="186">
                  <c:v>0.60824742268041232</c:v>
                </c:pt>
                <c:pt idx="187">
                  <c:v>0.60824742268041232</c:v>
                </c:pt>
                <c:pt idx="188">
                  <c:v>0.60824742268041232</c:v>
                </c:pt>
                <c:pt idx="189">
                  <c:v>0.60824742268041232</c:v>
                </c:pt>
                <c:pt idx="190">
                  <c:v>0.60824742268041232</c:v>
                </c:pt>
                <c:pt idx="191">
                  <c:v>0.60824742268041232</c:v>
                </c:pt>
                <c:pt idx="192">
                  <c:v>0.61025641025641031</c:v>
                </c:pt>
                <c:pt idx="193">
                  <c:v>0.61025641025641031</c:v>
                </c:pt>
                <c:pt idx="194">
                  <c:v>0.61025641025641031</c:v>
                </c:pt>
                <c:pt idx="195">
                  <c:v>0.61025641025641031</c:v>
                </c:pt>
                <c:pt idx="196">
                  <c:v>0.61025641025641031</c:v>
                </c:pt>
                <c:pt idx="197">
                  <c:v>0.61025641025641031</c:v>
                </c:pt>
                <c:pt idx="198">
                  <c:v>0.61025641025641031</c:v>
                </c:pt>
                <c:pt idx="199">
                  <c:v>0.61025641025641031</c:v>
                </c:pt>
                <c:pt idx="200">
                  <c:v>0.61025641025641031</c:v>
                </c:pt>
                <c:pt idx="201">
                  <c:v>0.61025641025641031</c:v>
                </c:pt>
                <c:pt idx="202">
                  <c:v>0.61025641025641031</c:v>
                </c:pt>
                <c:pt idx="203">
                  <c:v>0.61025641025641031</c:v>
                </c:pt>
                <c:pt idx="204">
                  <c:v>0.61025641025641031</c:v>
                </c:pt>
                <c:pt idx="205">
                  <c:v>0.61025641025641031</c:v>
                </c:pt>
                <c:pt idx="206">
                  <c:v>0.61025641025641031</c:v>
                </c:pt>
                <c:pt idx="207">
                  <c:v>0.61025641025641031</c:v>
                </c:pt>
                <c:pt idx="208">
                  <c:v>0.61025641025641031</c:v>
                </c:pt>
                <c:pt idx="209">
                  <c:v>0.61025641025641031</c:v>
                </c:pt>
                <c:pt idx="210">
                  <c:v>0.61025641025641031</c:v>
                </c:pt>
                <c:pt idx="211">
                  <c:v>0.61025641025641031</c:v>
                </c:pt>
                <c:pt idx="212">
                  <c:v>0.61025641025641031</c:v>
                </c:pt>
                <c:pt idx="213">
                  <c:v>0.61025641025641031</c:v>
                </c:pt>
                <c:pt idx="214">
                  <c:v>0.61025641025641031</c:v>
                </c:pt>
                <c:pt idx="215">
                  <c:v>0.61025641025641031</c:v>
                </c:pt>
                <c:pt idx="216">
                  <c:v>0.61025641025641031</c:v>
                </c:pt>
                <c:pt idx="217">
                  <c:v>0.61025641025641031</c:v>
                </c:pt>
                <c:pt idx="218">
                  <c:v>0.61025641025641031</c:v>
                </c:pt>
                <c:pt idx="219">
                  <c:v>0.61025641025641031</c:v>
                </c:pt>
                <c:pt idx="220">
                  <c:v>0.61025641025641031</c:v>
                </c:pt>
                <c:pt idx="221">
                  <c:v>0.61025641025641031</c:v>
                </c:pt>
                <c:pt idx="222">
                  <c:v>0.61025641025641031</c:v>
                </c:pt>
                <c:pt idx="223">
                  <c:v>0.61224489795918369</c:v>
                </c:pt>
                <c:pt idx="224">
                  <c:v>0.61224489795918369</c:v>
                </c:pt>
                <c:pt idx="225">
                  <c:v>0.61224489795918369</c:v>
                </c:pt>
                <c:pt idx="226">
                  <c:v>0.61224489795918369</c:v>
                </c:pt>
                <c:pt idx="227">
                  <c:v>0.60606060606060608</c:v>
                </c:pt>
                <c:pt idx="228">
                  <c:v>0.61194029850746268</c:v>
                </c:pt>
                <c:pt idx="229">
                  <c:v>0.61194029850746268</c:v>
                </c:pt>
                <c:pt idx="230">
                  <c:v>0.61194029850746268</c:v>
                </c:pt>
                <c:pt idx="231">
                  <c:v>0.61194029850746268</c:v>
                </c:pt>
                <c:pt idx="232">
                  <c:v>0.61194029850746268</c:v>
                </c:pt>
                <c:pt idx="233">
                  <c:v>0.61194029850746268</c:v>
                </c:pt>
                <c:pt idx="234">
                  <c:v>0.61083743842364535</c:v>
                </c:pt>
                <c:pt idx="235">
                  <c:v>0.60487804878048779</c:v>
                </c:pt>
                <c:pt idx="236">
                  <c:v>0.60194174757281549</c:v>
                </c:pt>
                <c:pt idx="237">
                  <c:v>0.60194174757281549</c:v>
                </c:pt>
                <c:pt idx="238">
                  <c:v>0.60194174757281549</c:v>
                </c:pt>
                <c:pt idx="239">
                  <c:v>0.60194174757281549</c:v>
                </c:pt>
                <c:pt idx="240">
                  <c:v>0.60194174757281549</c:v>
                </c:pt>
                <c:pt idx="241">
                  <c:v>0.59903381642512077</c:v>
                </c:pt>
                <c:pt idx="242">
                  <c:v>0.60287081339712922</c:v>
                </c:pt>
                <c:pt idx="243">
                  <c:v>0.60476190476190472</c:v>
                </c:pt>
                <c:pt idx="244">
                  <c:v>0.60476190476190472</c:v>
                </c:pt>
                <c:pt idx="245">
                  <c:v>0.60476190476190472</c:v>
                </c:pt>
                <c:pt idx="246">
                  <c:v>0.60476190476190472</c:v>
                </c:pt>
                <c:pt idx="247">
                  <c:v>0.60476190476190472</c:v>
                </c:pt>
                <c:pt idx="248">
                  <c:v>0.60663507109004744</c:v>
                </c:pt>
                <c:pt idx="249">
                  <c:v>0.60663507109004744</c:v>
                </c:pt>
                <c:pt idx="250">
                  <c:v>0.60377358490566035</c:v>
                </c:pt>
                <c:pt idx="251">
                  <c:v>0.60280373831775702</c:v>
                </c:pt>
                <c:pt idx="252">
                  <c:v>0.60280373831775702</c:v>
                </c:pt>
                <c:pt idx="253">
                  <c:v>0.60280373831775702</c:v>
                </c:pt>
                <c:pt idx="254">
                  <c:v>0.60280373831775702</c:v>
                </c:pt>
                <c:pt idx="255">
                  <c:v>0.60280373831775702</c:v>
                </c:pt>
                <c:pt idx="256">
                  <c:v>0.60648148148148151</c:v>
                </c:pt>
                <c:pt idx="257">
                  <c:v>0.61085972850678738</c:v>
                </c:pt>
                <c:pt idx="258">
                  <c:v>0.61085972850678738</c:v>
                </c:pt>
                <c:pt idx="259">
                  <c:v>0.61085972850678738</c:v>
                </c:pt>
                <c:pt idx="260">
                  <c:v>0.61085972850678738</c:v>
                </c:pt>
                <c:pt idx="261">
                  <c:v>0.61085972850678738</c:v>
                </c:pt>
                <c:pt idx="262">
                  <c:v>0.6160714285714286</c:v>
                </c:pt>
                <c:pt idx="263">
                  <c:v>0.61504424778761058</c:v>
                </c:pt>
                <c:pt idx="264">
                  <c:v>0.60964912280701755</c:v>
                </c:pt>
                <c:pt idx="265">
                  <c:v>0.611353711790393</c:v>
                </c:pt>
                <c:pt idx="266">
                  <c:v>0.61304347826086958</c:v>
                </c:pt>
                <c:pt idx="267">
                  <c:v>0.61304347826086958</c:v>
                </c:pt>
                <c:pt idx="268">
                  <c:v>0.61304347826086958</c:v>
                </c:pt>
                <c:pt idx="269">
                  <c:v>0.61471861471861466</c:v>
                </c:pt>
                <c:pt idx="270">
                  <c:v>0.61471861471861466</c:v>
                </c:pt>
                <c:pt idx="271">
                  <c:v>0.61206896551724133</c:v>
                </c:pt>
                <c:pt idx="272">
                  <c:v>0.61206896551724133</c:v>
                </c:pt>
                <c:pt idx="273">
                  <c:v>0.61206896551724133</c:v>
                </c:pt>
                <c:pt idx="274">
                  <c:v>0.61206896551724133</c:v>
                </c:pt>
                <c:pt idx="275">
                  <c:v>0.61206896551724133</c:v>
                </c:pt>
                <c:pt idx="276">
                  <c:v>0.61206896551724133</c:v>
                </c:pt>
                <c:pt idx="277">
                  <c:v>0.61206896551724133</c:v>
                </c:pt>
                <c:pt idx="278">
                  <c:v>0.61206896551724133</c:v>
                </c:pt>
                <c:pt idx="279">
                  <c:v>0.61206896551724133</c:v>
                </c:pt>
                <c:pt idx="280">
                  <c:v>0.61206896551724133</c:v>
                </c:pt>
                <c:pt idx="281">
                  <c:v>0.61206896551724133</c:v>
                </c:pt>
                <c:pt idx="282">
                  <c:v>0.61206896551724133</c:v>
                </c:pt>
                <c:pt idx="283">
                  <c:v>0.61206896551724133</c:v>
                </c:pt>
                <c:pt idx="284">
                  <c:v>0.61206896551724133</c:v>
                </c:pt>
                <c:pt idx="285">
                  <c:v>0.61206896551724133</c:v>
                </c:pt>
                <c:pt idx="286">
                  <c:v>0.61206896551724133</c:v>
                </c:pt>
                <c:pt idx="287">
                  <c:v>0.61206896551724133</c:v>
                </c:pt>
                <c:pt idx="288">
                  <c:v>0.61206896551724133</c:v>
                </c:pt>
                <c:pt idx="289">
                  <c:v>0.61206896551724133</c:v>
                </c:pt>
                <c:pt idx="290">
                  <c:v>0.61206896551724133</c:v>
                </c:pt>
                <c:pt idx="291">
                  <c:v>0.61206896551724133</c:v>
                </c:pt>
                <c:pt idx="292">
                  <c:v>0.61206896551724133</c:v>
                </c:pt>
                <c:pt idx="293">
                  <c:v>0.61206896551724133</c:v>
                </c:pt>
                <c:pt idx="294">
                  <c:v>0.61206896551724133</c:v>
                </c:pt>
                <c:pt idx="295">
                  <c:v>0.61206896551724133</c:v>
                </c:pt>
                <c:pt idx="296">
                  <c:v>0.61206896551724133</c:v>
                </c:pt>
                <c:pt idx="297">
                  <c:v>0.61206896551724133</c:v>
                </c:pt>
                <c:pt idx="298">
                  <c:v>0.61206896551724133</c:v>
                </c:pt>
                <c:pt idx="299">
                  <c:v>0.61206896551724133</c:v>
                </c:pt>
                <c:pt idx="300">
                  <c:v>0.61206896551724133</c:v>
                </c:pt>
                <c:pt idx="301">
                  <c:v>0.61206896551724133</c:v>
                </c:pt>
                <c:pt idx="302">
                  <c:v>0.61206896551724133</c:v>
                </c:pt>
                <c:pt idx="303">
                  <c:v>0.61206896551724133</c:v>
                </c:pt>
                <c:pt idx="304">
                  <c:v>0.61206896551724133</c:v>
                </c:pt>
                <c:pt idx="305">
                  <c:v>0.61206896551724133</c:v>
                </c:pt>
                <c:pt idx="306">
                  <c:v>0.61206896551724133</c:v>
                </c:pt>
                <c:pt idx="307">
                  <c:v>0.61206896551724133</c:v>
                </c:pt>
                <c:pt idx="308">
                  <c:v>0.61206896551724133</c:v>
                </c:pt>
                <c:pt idx="309">
                  <c:v>0.61206896551724133</c:v>
                </c:pt>
                <c:pt idx="310">
                  <c:v>0.61206896551724133</c:v>
                </c:pt>
                <c:pt idx="311">
                  <c:v>0.61206896551724133</c:v>
                </c:pt>
                <c:pt idx="312">
                  <c:v>0.61206896551724133</c:v>
                </c:pt>
                <c:pt idx="313">
                  <c:v>0.61206896551724133</c:v>
                </c:pt>
                <c:pt idx="314">
                  <c:v>0.61206896551724133</c:v>
                </c:pt>
                <c:pt idx="315">
                  <c:v>0.61206896551724133</c:v>
                </c:pt>
                <c:pt idx="316">
                  <c:v>0.61538461538461542</c:v>
                </c:pt>
                <c:pt idx="317">
                  <c:v>0.61276595744680851</c:v>
                </c:pt>
                <c:pt idx="318">
                  <c:v>0.61276595744680851</c:v>
                </c:pt>
                <c:pt idx="319">
                  <c:v>0.60759493670886078</c:v>
                </c:pt>
                <c:pt idx="320">
                  <c:v>0.61087866108786615</c:v>
                </c:pt>
                <c:pt idx="321">
                  <c:v>0.61087866108786615</c:v>
                </c:pt>
                <c:pt idx="322">
                  <c:v>0.61087866108786615</c:v>
                </c:pt>
                <c:pt idx="323">
                  <c:v>0.61087866108786615</c:v>
                </c:pt>
                <c:pt idx="324">
                  <c:v>0.61087866108786615</c:v>
                </c:pt>
                <c:pt idx="325">
                  <c:v>0.61087866108786615</c:v>
                </c:pt>
                <c:pt idx="326">
                  <c:v>0.61087866108786615</c:v>
                </c:pt>
                <c:pt idx="327">
                  <c:v>0.61087866108786615</c:v>
                </c:pt>
                <c:pt idx="328">
                  <c:v>0.61087866108786615</c:v>
                </c:pt>
                <c:pt idx="329">
                  <c:v>0.61087866108786615</c:v>
                </c:pt>
                <c:pt idx="330">
                  <c:v>0.61087866108786615</c:v>
                </c:pt>
                <c:pt idx="331">
                  <c:v>0.61087866108786615</c:v>
                </c:pt>
                <c:pt idx="332">
                  <c:v>0.61087866108786615</c:v>
                </c:pt>
                <c:pt idx="333">
                  <c:v>0.61087866108786615</c:v>
                </c:pt>
                <c:pt idx="334">
                  <c:v>0.61410788381742742</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Confidence </a:t>
            </a:r>
            <a:r>
              <a:rPr lang="en-US" b="1" baseline="0"/>
              <a:t>- Hard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Daily!$AJ$4:$AJ$440</c:f>
              <c:numCache>
                <c:formatCode>0%</c:formatCode>
                <c:ptCount val="3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0.2</c:v>
                </c:pt>
                <c:pt idx="34">
                  <c:v>0.2</c:v>
                </c:pt>
                <c:pt idx="35">
                  <c:v>0.2</c:v>
                </c:pt>
                <c:pt idx="36">
                  <c:v>0.2</c:v>
                </c:pt>
                <c:pt idx="37">
                  <c:v>0.2</c:v>
                </c:pt>
                <c:pt idx="38">
                  <c:v>0.16666666666666666</c:v>
                </c:pt>
                <c:pt idx="39">
                  <c:v>0.16666666666666666</c:v>
                </c:pt>
                <c:pt idx="40">
                  <c:v>0.16666666666666666</c:v>
                </c:pt>
                <c:pt idx="41">
                  <c:v>0.14285714285714285</c:v>
                </c:pt>
                <c:pt idx="42">
                  <c:v>0.14285714285714285</c:v>
                </c:pt>
                <c:pt idx="43">
                  <c:v>0.14285714285714285</c:v>
                </c:pt>
                <c:pt idx="44">
                  <c:v>0.14285714285714285</c:v>
                </c:pt>
                <c:pt idx="45">
                  <c:v>0.125</c:v>
                </c:pt>
                <c:pt idx="46">
                  <c:v>0.22222222222222221</c:v>
                </c:pt>
                <c:pt idx="47">
                  <c:v>0.22222222222222221</c:v>
                </c:pt>
                <c:pt idx="48">
                  <c:v>0.22222222222222221</c:v>
                </c:pt>
                <c:pt idx="49">
                  <c:v>0.22222222222222221</c:v>
                </c:pt>
                <c:pt idx="50">
                  <c:v>0.22222222222222221</c:v>
                </c:pt>
                <c:pt idx="51">
                  <c:v>0.22222222222222221</c:v>
                </c:pt>
                <c:pt idx="52">
                  <c:v>0.22222222222222221</c:v>
                </c:pt>
                <c:pt idx="53">
                  <c:v>0.2</c:v>
                </c:pt>
                <c:pt idx="54">
                  <c:v>0.2</c:v>
                </c:pt>
                <c:pt idx="55">
                  <c:v>0.2</c:v>
                </c:pt>
                <c:pt idx="56">
                  <c:v>0.18181818181818182</c:v>
                </c:pt>
                <c:pt idx="57">
                  <c:v>0.18181818181818182</c:v>
                </c:pt>
                <c:pt idx="58">
                  <c:v>0.18181818181818182</c:v>
                </c:pt>
                <c:pt idx="59">
                  <c:v>0.16666666666666666</c:v>
                </c:pt>
                <c:pt idx="60">
                  <c:v>0.13333333333333333</c:v>
                </c:pt>
                <c:pt idx="61">
                  <c:v>0.13333333333333333</c:v>
                </c:pt>
                <c:pt idx="62">
                  <c:v>0.13333333333333333</c:v>
                </c:pt>
                <c:pt idx="63">
                  <c:v>0.22222222222222221</c:v>
                </c:pt>
                <c:pt idx="64">
                  <c:v>0.22222222222222221</c:v>
                </c:pt>
                <c:pt idx="65">
                  <c:v>0.22222222222222221</c:v>
                </c:pt>
                <c:pt idx="66">
                  <c:v>0.22222222222222221</c:v>
                </c:pt>
                <c:pt idx="67">
                  <c:v>0.22222222222222221</c:v>
                </c:pt>
                <c:pt idx="68">
                  <c:v>0.22222222222222221</c:v>
                </c:pt>
                <c:pt idx="69">
                  <c:v>0.22222222222222221</c:v>
                </c:pt>
                <c:pt idx="70">
                  <c:v>0.22222222222222221</c:v>
                </c:pt>
                <c:pt idx="71">
                  <c:v>0.22222222222222221</c:v>
                </c:pt>
                <c:pt idx="72">
                  <c:v>0.22222222222222221</c:v>
                </c:pt>
                <c:pt idx="73">
                  <c:v>0.22222222222222221</c:v>
                </c:pt>
                <c:pt idx="74">
                  <c:v>0.22222222222222221</c:v>
                </c:pt>
                <c:pt idx="75">
                  <c:v>0.22222222222222221</c:v>
                </c:pt>
                <c:pt idx="76">
                  <c:v>0.22222222222222221</c:v>
                </c:pt>
                <c:pt idx="77">
                  <c:v>0.21052631578947367</c:v>
                </c:pt>
                <c:pt idx="78">
                  <c:v>0.21052631578947367</c:v>
                </c:pt>
                <c:pt idx="79">
                  <c:v>0.21052631578947367</c:v>
                </c:pt>
                <c:pt idx="80">
                  <c:v>0.25</c:v>
                </c:pt>
                <c:pt idx="81">
                  <c:v>0.23809523809523808</c:v>
                </c:pt>
                <c:pt idx="82">
                  <c:v>0.22727272727272727</c:v>
                </c:pt>
                <c:pt idx="83">
                  <c:v>0.22727272727272727</c:v>
                </c:pt>
                <c:pt idx="84">
                  <c:v>0.20833333333333334</c:v>
                </c:pt>
                <c:pt idx="85">
                  <c:v>0.20833333333333334</c:v>
                </c:pt>
                <c:pt idx="86">
                  <c:v>0.20833333333333334</c:v>
                </c:pt>
                <c:pt idx="87">
                  <c:v>0.24</c:v>
                </c:pt>
                <c:pt idx="88">
                  <c:v>0.23076923076923078</c:v>
                </c:pt>
                <c:pt idx="89">
                  <c:v>0.23076923076923078</c:v>
                </c:pt>
                <c:pt idx="90">
                  <c:v>0.25</c:v>
                </c:pt>
                <c:pt idx="91">
                  <c:v>0.27586206896551724</c:v>
                </c:pt>
                <c:pt idx="92">
                  <c:v>0.27586206896551724</c:v>
                </c:pt>
                <c:pt idx="93">
                  <c:v>0.27586206896551724</c:v>
                </c:pt>
                <c:pt idx="94">
                  <c:v>0.26666666666666666</c:v>
                </c:pt>
                <c:pt idx="95">
                  <c:v>0.3125</c:v>
                </c:pt>
                <c:pt idx="96">
                  <c:v>0.3125</c:v>
                </c:pt>
                <c:pt idx="97">
                  <c:v>0.30303030303030304</c:v>
                </c:pt>
                <c:pt idx="98">
                  <c:v>0.30303030303030304</c:v>
                </c:pt>
                <c:pt idx="99">
                  <c:v>0.30303030303030304</c:v>
                </c:pt>
                <c:pt idx="100">
                  <c:v>0.30303030303030304</c:v>
                </c:pt>
                <c:pt idx="101">
                  <c:v>0.3235294117647059</c:v>
                </c:pt>
                <c:pt idx="102">
                  <c:v>0.3235294117647059</c:v>
                </c:pt>
                <c:pt idx="103">
                  <c:v>0.31428571428571428</c:v>
                </c:pt>
                <c:pt idx="104">
                  <c:v>0.30555555555555558</c:v>
                </c:pt>
                <c:pt idx="105">
                  <c:v>0.32432432432432434</c:v>
                </c:pt>
                <c:pt idx="106">
                  <c:v>0.32432432432432434</c:v>
                </c:pt>
                <c:pt idx="107">
                  <c:v>0.32432432432432434</c:v>
                </c:pt>
                <c:pt idx="108">
                  <c:v>0.31578947368421051</c:v>
                </c:pt>
                <c:pt idx="109">
                  <c:v>0.35</c:v>
                </c:pt>
                <c:pt idx="110">
                  <c:v>0.34146341463414637</c:v>
                </c:pt>
                <c:pt idx="111">
                  <c:v>0.35714285714285715</c:v>
                </c:pt>
                <c:pt idx="112">
                  <c:v>0.35714285714285715</c:v>
                </c:pt>
                <c:pt idx="113">
                  <c:v>0.35714285714285715</c:v>
                </c:pt>
                <c:pt idx="114">
                  <c:v>0.35714285714285715</c:v>
                </c:pt>
                <c:pt idx="115">
                  <c:v>0.35714285714285715</c:v>
                </c:pt>
                <c:pt idx="116">
                  <c:v>0.35714285714285715</c:v>
                </c:pt>
                <c:pt idx="117">
                  <c:v>0.35714285714285715</c:v>
                </c:pt>
                <c:pt idx="118">
                  <c:v>0.35714285714285715</c:v>
                </c:pt>
                <c:pt idx="119">
                  <c:v>0.35714285714285715</c:v>
                </c:pt>
                <c:pt idx="120">
                  <c:v>0.35714285714285715</c:v>
                </c:pt>
                <c:pt idx="121">
                  <c:v>0.35714285714285715</c:v>
                </c:pt>
                <c:pt idx="122">
                  <c:v>0.35714285714285715</c:v>
                </c:pt>
                <c:pt idx="123">
                  <c:v>0.35714285714285715</c:v>
                </c:pt>
                <c:pt idx="124">
                  <c:v>0.35714285714285715</c:v>
                </c:pt>
                <c:pt idx="125">
                  <c:v>0.35714285714285715</c:v>
                </c:pt>
                <c:pt idx="126">
                  <c:v>0.35714285714285715</c:v>
                </c:pt>
                <c:pt idx="127">
                  <c:v>0.35714285714285715</c:v>
                </c:pt>
                <c:pt idx="128">
                  <c:v>0.35714285714285715</c:v>
                </c:pt>
                <c:pt idx="129">
                  <c:v>0.35714285714285715</c:v>
                </c:pt>
                <c:pt idx="130">
                  <c:v>0.35714285714285715</c:v>
                </c:pt>
                <c:pt idx="131">
                  <c:v>0.35714285714285715</c:v>
                </c:pt>
                <c:pt idx="132">
                  <c:v>0.35714285714285715</c:v>
                </c:pt>
                <c:pt idx="133">
                  <c:v>0.35714285714285715</c:v>
                </c:pt>
                <c:pt idx="134">
                  <c:v>0.35714285714285715</c:v>
                </c:pt>
                <c:pt idx="135">
                  <c:v>0.35714285714285715</c:v>
                </c:pt>
                <c:pt idx="136">
                  <c:v>0.35714285714285715</c:v>
                </c:pt>
                <c:pt idx="137">
                  <c:v>0.35714285714285715</c:v>
                </c:pt>
                <c:pt idx="138">
                  <c:v>0.35714285714285715</c:v>
                </c:pt>
                <c:pt idx="139">
                  <c:v>0.35714285714285715</c:v>
                </c:pt>
                <c:pt idx="140">
                  <c:v>0.35714285714285715</c:v>
                </c:pt>
                <c:pt idx="141">
                  <c:v>0.35714285714285715</c:v>
                </c:pt>
                <c:pt idx="142">
                  <c:v>0.35714285714285715</c:v>
                </c:pt>
                <c:pt idx="143">
                  <c:v>0.35714285714285715</c:v>
                </c:pt>
                <c:pt idx="144">
                  <c:v>0.35714285714285715</c:v>
                </c:pt>
                <c:pt idx="145">
                  <c:v>0.35714285714285715</c:v>
                </c:pt>
                <c:pt idx="146">
                  <c:v>0.35714285714285715</c:v>
                </c:pt>
                <c:pt idx="147">
                  <c:v>0.35714285714285715</c:v>
                </c:pt>
                <c:pt idx="148">
                  <c:v>0.35714285714285715</c:v>
                </c:pt>
                <c:pt idx="149">
                  <c:v>0.35714285714285715</c:v>
                </c:pt>
                <c:pt idx="150">
                  <c:v>0.35714285714285715</c:v>
                </c:pt>
                <c:pt idx="151">
                  <c:v>0.35714285714285715</c:v>
                </c:pt>
                <c:pt idx="152">
                  <c:v>0.35714285714285715</c:v>
                </c:pt>
                <c:pt idx="153">
                  <c:v>0.35714285714285715</c:v>
                </c:pt>
                <c:pt idx="154">
                  <c:v>0.35714285714285715</c:v>
                </c:pt>
                <c:pt idx="155">
                  <c:v>0.35714285714285715</c:v>
                </c:pt>
                <c:pt idx="156">
                  <c:v>0.35714285714285715</c:v>
                </c:pt>
                <c:pt idx="157">
                  <c:v>0.35714285714285715</c:v>
                </c:pt>
                <c:pt idx="158">
                  <c:v>0.35714285714285715</c:v>
                </c:pt>
                <c:pt idx="159">
                  <c:v>0.35714285714285715</c:v>
                </c:pt>
                <c:pt idx="160">
                  <c:v>0.35714285714285715</c:v>
                </c:pt>
                <c:pt idx="161">
                  <c:v>0.35714285714285715</c:v>
                </c:pt>
                <c:pt idx="162">
                  <c:v>0.35714285714285715</c:v>
                </c:pt>
                <c:pt idx="163">
                  <c:v>0.35714285714285715</c:v>
                </c:pt>
                <c:pt idx="164">
                  <c:v>0.35714285714285715</c:v>
                </c:pt>
                <c:pt idx="165">
                  <c:v>0.35714285714285715</c:v>
                </c:pt>
                <c:pt idx="166">
                  <c:v>0.35714285714285715</c:v>
                </c:pt>
                <c:pt idx="167">
                  <c:v>0.35714285714285715</c:v>
                </c:pt>
                <c:pt idx="168">
                  <c:v>0.35714285714285715</c:v>
                </c:pt>
                <c:pt idx="169">
                  <c:v>0.35714285714285715</c:v>
                </c:pt>
                <c:pt idx="170">
                  <c:v>0.35714285714285715</c:v>
                </c:pt>
                <c:pt idx="171">
                  <c:v>0.35714285714285715</c:v>
                </c:pt>
                <c:pt idx="172">
                  <c:v>0.35714285714285715</c:v>
                </c:pt>
                <c:pt idx="173">
                  <c:v>0.35714285714285715</c:v>
                </c:pt>
                <c:pt idx="174">
                  <c:v>0.35714285714285715</c:v>
                </c:pt>
                <c:pt idx="175">
                  <c:v>0.35714285714285715</c:v>
                </c:pt>
                <c:pt idx="176">
                  <c:v>0.35714285714285715</c:v>
                </c:pt>
                <c:pt idx="177">
                  <c:v>0.35714285714285715</c:v>
                </c:pt>
                <c:pt idx="178">
                  <c:v>0.35714285714285715</c:v>
                </c:pt>
                <c:pt idx="179">
                  <c:v>0.35714285714285715</c:v>
                </c:pt>
                <c:pt idx="180">
                  <c:v>0.35714285714285715</c:v>
                </c:pt>
                <c:pt idx="181">
                  <c:v>0.35714285714285715</c:v>
                </c:pt>
                <c:pt idx="182">
                  <c:v>0.35714285714285715</c:v>
                </c:pt>
                <c:pt idx="183">
                  <c:v>0.35714285714285715</c:v>
                </c:pt>
                <c:pt idx="184">
                  <c:v>0.35714285714285715</c:v>
                </c:pt>
                <c:pt idx="185">
                  <c:v>0.35714285714285715</c:v>
                </c:pt>
                <c:pt idx="186">
                  <c:v>0.35714285714285715</c:v>
                </c:pt>
                <c:pt idx="187">
                  <c:v>0.35714285714285715</c:v>
                </c:pt>
                <c:pt idx="188">
                  <c:v>0.35714285714285715</c:v>
                </c:pt>
                <c:pt idx="189">
                  <c:v>0.35714285714285715</c:v>
                </c:pt>
                <c:pt idx="190">
                  <c:v>0.35714285714285715</c:v>
                </c:pt>
                <c:pt idx="191">
                  <c:v>0.35714285714285715</c:v>
                </c:pt>
                <c:pt idx="192">
                  <c:v>0.35714285714285715</c:v>
                </c:pt>
                <c:pt idx="193">
                  <c:v>0.35714285714285715</c:v>
                </c:pt>
                <c:pt idx="194">
                  <c:v>0.35714285714285715</c:v>
                </c:pt>
                <c:pt idx="195">
                  <c:v>0.35714285714285715</c:v>
                </c:pt>
                <c:pt idx="196">
                  <c:v>0.35714285714285715</c:v>
                </c:pt>
                <c:pt idx="197">
                  <c:v>0.35714285714285715</c:v>
                </c:pt>
                <c:pt idx="198">
                  <c:v>0.35714285714285715</c:v>
                </c:pt>
                <c:pt idx="199">
                  <c:v>0.35714285714285715</c:v>
                </c:pt>
                <c:pt idx="200">
                  <c:v>0.35714285714285715</c:v>
                </c:pt>
                <c:pt idx="201">
                  <c:v>0.35714285714285715</c:v>
                </c:pt>
                <c:pt idx="202">
                  <c:v>0.35714285714285715</c:v>
                </c:pt>
                <c:pt idx="203">
                  <c:v>0.35714285714285715</c:v>
                </c:pt>
                <c:pt idx="204">
                  <c:v>0.35714285714285715</c:v>
                </c:pt>
                <c:pt idx="205">
                  <c:v>0.35714285714285715</c:v>
                </c:pt>
                <c:pt idx="206">
                  <c:v>0.35714285714285715</c:v>
                </c:pt>
                <c:pt idx="207">
                  <c:v>0.35714285714285715</c:v>
                </c:pt>
                <c:pt idx="208">
                  <c:v>0.35714285714285715</c:v>
                </c:pt>
                <c:pt idx="209">
                  <c:v>0.35714285714285715</c:v>
                </c:pt>
                <c:pt idx="210">
                  <c:v>0.35714285714285715</c:v>
                </c:pt>
                <c:pt idx="211">
                  <c:v>0.35714285714285715</c:v>
                </c:pt>
                <c:pt idx="212">
                  <c:v>0.35714285714285715</c:v>
                </c:pt>
                <c:pt idx="213">
                  <c:v>0.35714285714285715</c:v>
                </c:pt>
                <c:pt idx="214">
                  <c:v>0.35714285714285715</c:v>
                </c:pt>
                <c:pt idx="215">
                  <c:v>0.35714285714285715</c:v>
                </c:pt>
                <c:pt idx="216">
                  <c:v>0.35714285714285715</c:v>
                </c:pt>
                <c:pt idx="217">
                  <c:v>0.35714285714285715</c:v>
                </c:pt>
                <c:pt idx="218">
                  <c:v>0.35714285714285715</c:v>
                </c:pt>
                <c:pt idx="219">
                  <c:v>0.35714285714285715</c:v>
                </c:pt>
                <c:pt idx="220">
                  <c:v>0.35714285714285715</c:v>
                </c:pt>
                <c:pt idx="221">
                  <c:v>0.35714285714285715</c:v>
                </c:pt>
                <c:pt idx="222">
                  <c:v>0.35714285714285715</c:v>
                </c:pt>
                <c:pt idx="223">
                  <c:v>0.35714285714285715</c:v>
                </c:pt>
                <c:pt idx="224">
                  <c:v>0.35714285714285715</c:v>
                </c:pt>
                <c:pt idx="225">
                  <c:v>0.35714285714285715</c:v>
                </c:pt>
                <c:pt idx="226">
                  <c:v>0.35714285714285715</c:v>
                </c:pt>
                <c:pt idx="227">
                  <c:v>0.35714285714285715</c:v>
                </c:pt>
                <c:pt idx="228">
                  <c:v>0.35714285714285715</c:v>
                </c:pt>
                <c:pt idx="229">
                  <c:v>0.35714285714285715</c:v>
                </c:pt>
                <c:pt idx="230">
                  <c:v>0.35714285714285715</c:v>
                </c:pt>
                <c:pt idx="231">
                  <c:v>0.35714285714285715</c:v>
                </c:pt>
                <c:pt idx="232">
                  <c:v>0.35714285714285715</c:v>
                </c:pt>
                <c:pt idx="233">
                  <c:v>0.35714285714285715</c:v>
                </c:pt>
                <c:pt idx="234">
                  <c:v>0.35714285714285715</c:v>
                </c:pt>
                <c:pt idx="235">
                  <c:v>0.35714285714285715</c:v>
                </c:pt>
                <c:pt idx="236">
                  <c:v>0.35714285714285715</c:v>
                </c:pt>
                <c:pt idx="237">
                  <c:v>0.35714285714285715</c:v>
                </c:pt>
                <c:pt idx="238">
                  <c:v>0.35714285714285715</c:v>
                </c:pt>
                <c:pt idx="239">
                  <c:v>0.35714285714285715</c:v>
                </c:pt>
                <c:pt idx="240">
                  <c:v>0.35714285714285715</c:v>
                </c:pt>
                <c:pt idx="241">
                  <c:v>0.35714285714285715</c:v>
                </c:pt>
                <c:pt idx="242">
                  <c:v>0.35714285714285715</c:v>
                </c:pt>
                <c:pt idx="243">
                  <c:v>0.35714285714285715</c:v>
                </c:pt>
                <c:pt idx="244">
                  <c:v>0.35714285714285715</c:v>
                </c:pt>
                <c:pt idx="245">
                  <c:v>0.35714285714285715</c:v>
                </c:pt>
                <c:pt idx="246">
                  <c:v>0.35714285714285715</c:v>
                </c:pt>
                <c:pt idx="247">
                  <c:v>0.35714285714285715</c:v>
                </c:pt>
                <c:pt idx="248">
                  <c:v>0.35714285714285715</c:v>
                </c:pt>
                <c:pt idx="249">
                  <c:v>0.35714285714285715</c:v>
                </c:pt>
                <c:pt idx="250">
                  <c:v>0.35714285714285715</c:v>
                </c:pt>
                <c:pt idx="251">
                  <c:v>0.35714285714285715</c:v>
                </c:pt>
                <c:pt idx="252">
                  <c:v>0.35714285714285715</c:v>
                </c:pt>
                <c:pt idx="253">
                  <c:v>0.35714285714285715</c:v>
                </c:pt>
                <c:pt idx="254">
                  <c:v>0.35714285714285715</c:v>
                </c:pt>
                <c:pt idx="255">
                  <c:v>0.35714285714285715</c:v>
                </c:pt>
                <c:pt idx="256">
                  <c:v>0.35714285714285715</c:v>
                </c:pt>
                <c:pt idx="257">
                  <c:v>0.35714285714285715</c:v>
                </c:pt>
                <c:pt idx="258">
                  <c:v>0.35714285714285715</c:v>
                </c:pt>
                <c:pt idx="259">
                  <c:v>0.35714285714285715</c:v>
                </c:pt>
                <c:pt idx="260">
                  <c:v>0.35714285714285715</c:v>
                </c:pt>
                <c:pt idx="261">
                  <c:v>0.35714285714285715</c:v>
                </c:pt>
                <c:pt idx="262">
                  <c:v>0.35714285714285715</c:v>
                </c:pt>
                <c:pt idx="263">
                  <c:v>0.35714285714285715</c:v>
                </c:pt>
                <c:pt idx="264">
                  <c:v>0.35714285714285715</c:v>
                </c:pt>
                <c:pt idx="265">
                  <c:v>0.35714285714285715</c:v>
                </c:pt>
                <c:pt idx="266">
                  <c:v>0.35714285714285715</c:v>
                </c:pt>
                <c:pt idx="267">
                  <c:v>0.35714285714285715</c:v>
                </c:pt>
                <c:pt idx="268">
                  <c:v>0.35714285714285715</c:v>
                </c:pt>
                <c:pt idx="269">
                  <c:v>0.35714285714285715</c:v>
                </c:pt>
                <c:pt idx="270">
                  <c:v>0.35714285714285715</c:v>
                </c:pt>
                <c:pt idx="271">
                  <c:v>0.35714285714285715</c:v>
                </c:pt>
                <c:pt idx="272">
                  <c:v>0.35714285714285715</c:v>
                </c:pt>
                <c:pt idx="273">
                  <c:v>0.35714285714285715</c:v>
                </c:pt>
                <c:pt idx="274">
                  <c:v>0.35714285714285715</c:v>
                </c:pt>
                <c:pt idx="275">
                  <c:v>0.35714285714285715</c:v>
                </c:pt>
                <c:pt idx="276">
                  <c:v>0.35714285714285715</c:v>
                </c:pt>
                <c:pt idx="277">
                  <c:v>0.35714285714285715</c:v>
                </c:pt>
                <c:pt idx="278">
                  <c:v>0.35714285714285715</c:v>
                </c:pt>
                <c:pt idx="279">
                  <c:v>0.35714285714285715</c:v>
                </c:pt>
                <c:pt idx="280">
                  <c:v>0.35714285714285715</c:v>
                </c:pt>
                <c:pt idx="281">
                  <c:v>0.35714285714285715</c:v>
                </c:pt>
                <c:pt idx="282">
                  <c:v>0.35714285714285715</c:v>
                </c:pt>
                <c:pt idx="283">
                  <c:v>0.35714285714285715</c:v>
                </c:pt>
                <c:pt idx="284">
                  <c:v>0.35714285714285715</c:v>
                </c:pt>
                <c:pt idx="285">
                  <c:v>0.35714285714285715</c:v>
                </c:pt>
                <c:pt idx="286">
                  <c:v>0.35714285714285715</c:v>
                </c:pt>
                <c:pt idx="287">
                  <c:v>0.35714285714285715</c:v>
                </c:pt>
                <c:pt idx="288">
                  <c:v>0.35714285714285715</c:v>
                </c:pt>
                <c:pt idx="289">
                  <c:v>0.35714285714285715</c:v>
                </c:pt>
                <c:pt idx="290">
                  <c:v>0.35714285714285715</c:v>
                </c:pt>
                <c:pt idx="291">
                  <c:v>0.35714285714285715</c:v>
                </c:pt>
                <c:pt idx="292">
                  <c:v>0.35714285714285715</c:v>
                </c:pt>
                <c:pt idx="293">
                  <c:v>0.35714285714285715</c:v>
                </c:pt>
                <c:pt idx="294">
                  <c:v>0.35714285714285715</c:v>
                </c:pt>
                <c:pt idx="295">
                  <c:v>0.35714285714285715</c:v>
                </c:pt>
                <c:pt idx="296">
                  <c:v>0.35714285714285715</c:v>
                </c:pt>
                <c:pt idx="297">
                  <c:v>0.35714285714285715</c:v>
                </c:pt>
                <c:pt idx="298">
                  <c:v>0.35714285714285715</c:v>
                </c:pt>
                <c:pt idx="299">
                  <c:v>0.35714285714285715</c:v>
                </c:pt>
                <c:pt idx="300">
                  <c:v>0.35714285714285715</c:v>
                </c:pt>
                <c:pt idx="301">
                  <c:v>0.35714285714285715</c:v>
                </c:pt>
                <c:pt idx="302">
                  <c:v>0.35714285714285715</c:v>
                </c:pt>
                <c:pt idx="303">
                  <c:v>0.35714285714285715</c:v>
                </c:pt>
                <c:pt idx="304">
                  <c:v>0.35714285714285715</c:v>
                </c:pt>
                <c:pt idx="305">
                  <c:v>0.35714285714285715</c:v>
                </c:pt>
                <c:pt idx="306">
                  <c:v>0.35714285714285715</c:v>
                </c:pt>
                <c:pt idx="307">
                  <c:v>0.35714285714285715</c:v>
                </c:pt>
                <c:pt idx="308">
                  <c:v>0.35714285714285715</c:v>
                </c:pt>
                <c:pt idx="309">
                  <c:v>0.35714285714285715</c:v>
                </c:pt>
                <c:pt idx="310">
                  <c:v>0.35714285714285715</c:v>
                </c:pt>
                <c:pt idx="311">
                  <c:v>0.35714285714285715</c:v>
                </c:pt>
                <c:pt idx="312">
                  <c:v>0.35714285714285715</c:v>
                </c:pt>
                <c:pt idx="313">
                  <c:v>0.35714285714285715</c:v>
                </c:pt>
                <c:pt idx="314">
                  <c:v>0.35714285714285715</c:v>
                </c:pt>
                <c:pt idx="315">
                  <c:v>0.35714285714285715</c:v>
                </c:pt>
                <c:pt idx="316">
                  <c:v>0.35714285714285715</c:v>
                </c:pt>
                <c:pt idx="317">
                  <c:v>0.35714285714285715</c:v>
                </c:pt>
                <c:pt idx="318">
                  <c:v>0.35714285714285715</c:v>
                </c:pt>
                <c:pt idx="319">
                  <c:v>0.35714285714285715</c:v>
                </c:pt>
                <c:pt idx="320">
                  <c:v>0.35714285714285715</c:v>
                </c:pt>
                <c:pt idx="321">
                  <c:v>0.35714285714285715</c:v>
                </c:pt>
                <c:pt idx="322">
                  <c:v>0.35714285714285715</c:v>
                </c:pt>
                <c:pt idx="323">
                  <c:v>0.35714285714285715</c:v>
                </c:pt>
                <c:pt idx="324">
                  <c:v>0.35714285714285715</c:v>
                </c:pt>
                <c:pt idx="325">
                  <c:v>0.35714285714285715</c:v>
                </c:pt>
                <c:pt idx="326">
                  <c:v>0.35714285714285715</c:v>
                </c:pt>
                <c:pt idx="327">
                  <c:v>0.35714285714285715</c:v>
                </c:pt>
                <c:pt idx="328">
                  <c:v>0.35714285714285715</c:v>
                </c:pt>
                <c:pt idx="329">
                  <c:v>0.35714285714285715</c:v>
                </c:pt>
                <c:pt idx="330">
                  <c:v>0.35714285714285715</c:v>
                </c:pt>
                <c:pt idx="331">
                  <c:v>0.35714285714285715</c:v>
                </c:pt>
                <c:pt idx="332">
                  <c:v>0.35714285714285715</c:v>
                </c:pt>
                <c:pt idx="333">
                  <c:v>0.35714285714285715</c:v>
                </c:pt>
                <c:pt idx="334">
                  <c:v>0.35714285714285715</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Confidence </a:t>
            </a:r>
            <a:r>
              <a:rPr lang="en-US" b="1" baseline="0"/>
              <a:t>- Total</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Daily!$AO$4:$AO$440</c:f>
              <c:numCache>
                <c:formatCode>0%</c:formatCode>
                <c:ptCount val="335"/>
                <c:pt idx="0">
                  <c:v>0</c:v>
                </c:pt>
                <c:pt idx="1">
                  <c:v>0</c:v>
                </c:pt>
                <c:pt idx="2">
                  <c:v>0</c:v>
                </c:pt>
                <c:pt idx="3">
                  <c:v>0.5</c:v>
                </c:pt>
                <c:pt idx="4">
                  <c:v>0.46666666666666667</c:v>
                </c:pt>
                <c:pt idx="5">
                  <c:v>0.53846153846153844</c:v>
                </c:pt>
                <c:pt idx="6">
                  <c:v>0.51724137931034486</c:v>
                </c:pt>
                <c:pt idx="7">
                  <c:v>0.51515151515151514</c:v>
                </c:pt>
                <c:pt idx="8">
                  <c:v>0.51515151515151514</c:v>
                </c:pt>
                <c:pt idx="9">
                  <c:v>0.51515151515151514</c:v>
                </c:pt>
                <c:pt idx="10">
                  <c:v>0.5</c:v>
                </c:pt>
                <c:pt idx="11">
                  <c:v>0.51282051282051277</c:v>
                </c:pt>
                <c:pt idx="12">
                  <c:v>0.54545454545454541</c:v>
                </c:pt>
                <c:pt idx="13">
                  <c:v>0.56862745098039214</c:v>
                </c:pt>
                <c:pt idx="14">
                  <c:v>0.5636363636363636</c:v>
                </c:pt>
                <c:pt idx="15">
                  <c:v>0.5636363636363636</c:v>
                </c:pt>
                <c:pt idx="16">
                  <c:v>0.5535714285714286</c:v>
                </c:pt>
                <c:pt idx="17">
                  <c:v>0.56666666666666665</c:v>
                </c:pt>
                <c:pt idx="18">
                  <c:v>0.56060606060606055</c:v>
                </c:pt>
                <c:pt idx="19">
                  <c:v>0.56521739130434778</c:v>
                </c:pt>
                <c:pt idx="20">
                  <c:v>0.55405405405405406</c:v>
                </c:pt>
                <c:pt idx="21">
                  <c:v>0.53947368421052633</c:v>
                </c:pt>
                <c:pt idx="22">
                  <c:v>0.53947368421052633</c:v>
                </c:pt>
                <c:pt idx="23">
                  <c:v>0.53947368421052633</c:v>
                </c:pt>
                <c:pt idx="24">
                  <c:v>0.51898734177215189</c:v>
                </c:pt>
                <c:pt idx="25">
                  <c:v>0.52380952380952384</c:v>
                </c:pt>
                <c:pt idx="26">
                  <c:v>0.52380952380952384</c:v>
                </c:pt>
                <c:pt idx="27">
                  <c:v>0.52380952380952384</c:v>
                </c:pt>
                <c:pt idx="28">
                  <c:v>0.51764705882352946</c:v>
                </c:pt>
                <c:pt idx="29">
                  <c:v>0.51764705882352946</c:v>
                </c:pt>
                <c:pt idx="30">
                  <c:v>0.51764705882352946</c:v>
                </c:pt>
                <c:pt idx="31">
                  <c:v>0.52747252747252749</c:v>
                </c:pt>
                <c:pt idx="32">
                  <c:v>0.54166666666666663</c:v>
                </c:pt>
                <c:pt idx="33">
                  <c:v>0.5490196078431373</c:v>
                </c:pt>
                <c:pt idx="34">
                  <c:v>0.5490196078431373</c:v>
                </c:pt>
                <c:pt idx="35">
                  <c:v>0.5490196078431373</c:v>
                </c:pt>
                <c:pt idx="36">
                  <c:v>0.5490196078431373</c:v>
                </c:pt>
                <c:pt idx="37">
                  <c:v>0.5490196078431373</c:v>
                </c:pt>
                <c:pt idx="38">
                  <c:v>0.56074766355140182</c:v>
                </c:pt>
                <c:pt idx="39">
                  <c:v>0.57657657657657657</c:v>
                </c:pt>
                <c:pt idx="40">
                  <c:v>0.5714285714285714</c:v>
                </c:pt>
                <c:pt idx="41">
                  <c:v>0.57264957264957261</c:v>
                </c:pt>
                <c:pt idx="42">
                  <c:v>0.57264957264957261</c:v>
                </c:pt>
                <c:pt idx="43">
                  <c:v>0.57264957264957261</c:v>
                </c:pt>
                <c:pt idx="44">
                  <c:v>0.57264957264957261</c:v>
                </c:pt>
                <c:pt idx="45">
                  <c:v>0.56779661016949157</c:v>
                </c:pt>
                <c:pt idx="46">
                  <c:v>0.57377049180327866</c:v>
                </c:pt>
                <c:pt idx="47">
                  <c:v>0.57599999999999996</c:v>
                </c:pt>
                <c:pt idx="48">
                  <c:v>0.57480314960629919</c:v>
                </c:pt>
                <c:pt idx="49">
                  <c:v>0.578125</c:v>
                </c:pt>
                <c:pt idx="50">
                  <c:v>0.578125</c:v>
                </c:pt>
                <c:pt idx="51">
                  <c:v>0.578125</c:v>
                </c:pt>
                <c:pt idx="52">
                  <c:v>0.59090909090909094</c:v>
                </c:pt>
                <c:pt idx="53">
                  <c:v>0.59124087591240881</c:v>
                </c:pt>
                <c:pt idx="54">
                  <c:v>0.58273381294964033</c:v>
                </c:pt>
                <c:pt idx="55">
                  <c:v>0.58450704225352113</c:v>
                </c:pt>
                <c:pt idx="56">
                  <c:v>0.5821917808219178</c:v>
                </c:pt>
                <c:pt idx="57">
                  <c:v>0.5821917808219178</c:v>
                </c:pt>
                <c:pt idx="58">
                  <c:v>0.5821917808219178</c:v>
                </c:pt>
                <c:pt idx="59">
                  <c:v>0.59090909090909094</c:v>
                </c:pt>
                <c:pt idx="60">
                  <c:v>0.59006211180124224</c:v>
                </c:pt>
                <c:pt idx="61">
                  <c:v>0.58787878787878789</c:v>
                </c:pt>
                <c:pt idx="62">
                  <c:v>0.5892857142857143</c:v>
                </c:pt>
                <c:pt idx="63">
                  <c:v>0.60227272727272729</c:v>
                </c:pt>
                <c:pt idx="64">
                  <c:v>0.60227272727272729</c:v>
                </c:pt>
                <c:pt idx="65">
                  <c:v>0.60227272727272729</c:v>
                </c:pt>
                <c:pt idx="66">
                  <c:v>0.60227272727272729</c:v>
                </c:pt>
                <c:pt idx="67">
                  <c:v>0.60227272727272729</c:v>
                </c:pt>
                <c:pt idx="68">
                  <c:v>0.60227272727272729</c:v>
                </c:pt>
                <c:pt idx="69">
                  <c:v>0.60227272727272729</c:v>
                </c:pt>
                <c:pt idx="70">
                  <c:v>0.60451977401129942</c:v>
                </c:pt>
                <c:pt idx="71">
                  <c:v>0.60451977401129942</c:v>
                </c:pt>
                <c:pt idx="72">
                  <c:v>0.60451977401129942</c:v>
                </c:pt>
                <c:pt idx="73">
                  <c:v>0.60451977401129942</c:v>
                </c:pt>
                <c:pt idx="74">
                  <c:v>0.60220994475138123</c:v>
                </c:pt>
                <c:pt idx="75">
                  <c:v>0.60869565217391308</c:v>
                </c:pt>
                <c:pt idx="76">
                  <c:v>0.60752688172043012</c:v>
                </c:pt>
                <c:pt idx="77">
                  <c:v>0.60846560846560849</c:v>
                </c:pt>
                <c:pt idx="78">
                  <c:v>0.61256544502617805</c:v>
                </c:pt>
                <c:pt idx="79">
                  <c:v>0.6113989637305699</c:v>
                </c:pt>
                <c:pt idx="80">
                  <c:v>0.6091370558375635</c:v>
                </c:pt>
                <c:pt idx="81">
                  <c:v>0.61</c:v>
                </c:pt>
                <c:pt idx="82">
                  <c:v>0.61083743842364535</c:v>
                </c:pt>
                <c:pt idx="83">
                  <c:v>0.6097560975609756</c:v>
                </c:pt>
                <c:pt idx="84">
                  <c:v>0.60476190476190472</c:v>
                </c:pt>
                <c:pt idx="85">
                  <c:v>0.60476190476190472</c:v>
                </c:pt>
                <c:pt idx="86">
                  <c:v>0.60476190476190472</c:v>
                </c:pt>
                <c:pt idx="87">
                  <c:v>0.61395348837209307</c:v>
                </c:pt>
                <c:pt idx="88">
                  <c:v>0.61363636363636365</c:v>
                </c:pt>
                <c:pt idx="89">
                  <c:v>0.6071428571428571</c:v>
                </c:pt>
                <c:pt idx="90">
                  <c:v>0.60792951541850215</c:v>
                </c:pt>
                <c:pt idx="91">
                  <c:v>0.61637931034482762</c:v>
                </c:pt>
                <c:pt idx="92">
                  <c:v>0.61637931034482762</c:v>
                </c:pt>
                <c:pt idx="93">
                  <c:v>0.61637931034482762</c:v>
                </c:pt>
                <c:pt idx="94">
                  <c:v>0.61702127659574468</c:v>
                </c:pt>
                <c:pt idx="95">
                  <c:v>0.62240663900414939</c:v>
                </c:pt>
                <c:pt idx="96">
                  <c:v>0.62295081967213117</c:v>
                </c:pt>
                <c:pt idx="97">
                  <c:v>0.61847389558232935</c:v>
                </c:pt>
                <c:pt idx="98">
                  <c:v>0.61847389558232935</c:v>
                </c:pt>
                <c:pt idx="99">
                  <c:v>0.61847389558232935</c:v>
                </c:pt>
                <c:pt idx="100">
                  <c:v>0.61847389558232935</c:v>
                </c:pt>
                <c:pt idx="101">
                  <c:v>0.62890625</c:v>
                </c:pt>
                <c:pt idx="102">
                  <c:v>0.62934362934362931</c:v>
                </c:pt>
                <c:pt idx="103">
                  <c:v>0.62977099236641221</c:v>
                </c:pt>
                <c:pt idx="104">
                  <c:v>0.6278195488721805</c:v>
                </c:pt>
                <c:pt idx="105">
                  <c:v>0.62730627306273068</c:v>
                </c:pt>
                <c:pt idx="106">
                  <c:v>0.62730627306273068</c:v>
                </c:pt>
                <c:pt idx="107">
                  <c:v>0.62730627306273068</c:v>
                </c:pt>
                <c:pt idx="108">
                  <c:v>0.62773722627737227</c:v>
                </c:pt>
                <c:pt idx="109">
                  <c:v>0.62949640287769781</c:v>
                </c:pt>
                <c:pt idx="110">
                  <c:v>0.62633451957295372</c:v>
                </c:pt>
                <c:pt idx="111">
                  <c:v>0.62807017543859645</c:v>
                </c:pt>
                <c:pt idx="112">
                  <c:v>0.62758620689655176</c:v>
                </c:pt>
                <c:pt idx="113">
                  <c:v>0.62758620689655176</c:v>
                </c:pt>
                <c:pt idx="114">
                  <c:v>0.62758620689655176</c:v>
                </c:pt>
                <c:pt idx="115">
                  <c:v>0.62671232876712324</c:v>
                </c:pt>
                <c:pt idx="116">
                  <c:v>0.6271186440677966</c:v>
                </c:pt>
                <c:pt idx="117">
                  <c:v>0.6262626262626263</c:v>
                </c:pt>
                <c:pt idx="118">
                  <c:v>0.62666666666666671</c:v>
                </c:pt>
                <c:pt idx="119">
                  <c:v>0.6270627062706271</c:v>
                </c:pt>
                <c:pt idx="120">
                  <c:v>0.6270627062706271</c:v>
                </c:pt>
                <c:pt idx="121">
                  <c:v>0.6270627062706271</c:v>
                </c:pt>
                <c:pt idx="122">
                  <c:v>0.63071895424836599</c:v>
                </c:pt>
                <c:pt idx="123">
                  <c:v>0.62783171521035597</c:v>
                </c:pt>
                <c:pt idx="124">
                  <c:v>0.62820512820512819</c:v>
                </c:pt>
                <c:pt idx="125">
                  <c:v>0.62857142857142856</c:v>
                </c:pt>
                <c:pt idx="126">
                  <c:v>0.62893081761006286</c:v>
                </c:pt>
                <c:pt idx="127">
                  <c:v>0.62893081761006286</c:v>
                </c:pt>
                <c:pt idx="128">
                  <c:v>0.62893081761006286</c:v>
                </c:pt>
                <c:pt idx="129">
                  <c:v>0.62893081761006286</c:v>
                </c:pt>
                <c:pt idx="130">
                  <c:v>0.62893081761006286</c:v>
                </c:pt>
                <c:pt idx="131">
                  <c:v>0.62893081761006286</c:v>
                </c:pt>
                <c:pt idx="132">
                  <c:v>0.62893081761006286</c:v>
                </c:pt>
                <c:pt idx="133">
                  <c:v>0.62893081761006286</c:v>
                </c:pt>
                <c:pt idx="134">
                  <c:v>0.62893081761006286</c:v>
                </c:pt>
                <c:pt idx="135">
                  <c:v>0.62893081761006286</c:v>
                </c:pt>
                <c:pt idx="136">
                  <c:v>0.62893081761006286</c:v>
                </c:pt>
                <c:pt idx="137">
                  <c:v>0.62893081761006286</c:v>
                </c:pt>
                <c:pt idx="138">
                  <c:v>0.62893081761006286</c:v>
                </c:pt>
                <c:pt idx="139">
                  <c:v>0.62893081761006286</c:v>
                </c:pt>
                <c:pt idx="140">
                  <c:v>0.62893081761006286</c:v>
                </c:pt>
                <c:pt idx="141">
                  <c:v>0.62893081761006286</c:v>
                </c:pt>
                <c:pt idx="142">
                  <c:v>0.62893081761006286</c:v>
                </c:pt>
                <c:pt idx="143">
                  <c:v>0.625</c:v>
                </c:pt>
                <c:pt idx="144">
                  <c:v>0.625</c:v>
                </c:pt>
                <c:pt idx="145">
                  <c:v>0.625</c:v>
                </c:pt>
                <c:pt idx="146">
                  <c:v>0.62422360248447206</c:v>
                </c:pt>
                <c:pt idx="147">
                  <c:v>0.62422360248447206</c:v>
                </c:pt>
                <c:pt idx="148">
                  <c:v>0.62422360248447206</c:v>
                </c:pt>
                <c:pt idx="149">
                  <c:v>0.62422360248447206</c:v>
                </c:pt>
                <c:pt idx="150">
                  <c:v>0.62422360248447206</c:v>
                </c:pt>
                <c:pt idx="151">
                  <c:v>0.62422360248447206</c:v>
                </c:pt>
                <c:pt idx="152">
                  <c:v>0.62422360248447206</c:v>
                </c:pt>
                <c:pt idx="153">
                  <c:v>0.62422360248447206</c:v>
                </c:pt>
                <c:pt idx="154">
                  <c:v>0.62422360248447206</c:v>
                </c:pt>
                <c:pt idx="155">
                  <c:v>0.62422360248447206</c:v>
                </c:pt>
                <c:pt idx="156">
                  <c:v>0.62422360248447206</c:v>
                </c:pt>
                <c:pt idx="157">
                  <c:v>0.62422360248447206</c:v>
                </c:pt>
                <c:pt idx="158">
                  <c:v>0.62422360248447206</c:v>
                </c:pt>
                <c:pt idx="159">
                  <c:v>0.62422360248447206</c:v>
                </c:pt>
                <c:pt idx="160">
                  <c:v>0.62422360248447206</c:v>
                </c:pt>
                <c:pt idx="161">
                  <c:v>0.62422360248447206</c:v>
                </c:pt>
                <c:pt idx="162">
                  <c:v>0.62422360248447206</c:v>
                </c:pt>
                <c:pt idx="163">
                  <c:v>0.62422360248447206</c:v>
                </c:pt>
                <c:pt idx="164">
                  <c:v>0.62422360248447206</c:v>
                </c:pt>
                <c:pt idx="165">
                  <c:v>0.62654320987654322</c:v>
                </c:pt>
                <c:pt idx="166">
                  <c:v>0.62996941896024461</c:v>
                </c:pt>
                <c:pt idx="167">
                  <c:v>0.62996941896024461</c:v>
                </c:pt>
                <c:pt idx="168">
                  <c:v>0.62996941896024461</c:v>
                </c:pt>
                <c:pt idx="169">
                  <c:v>0.62996941896024461</c:v>
                </c:pt>
                <c:pt idx="170">
                  <c:v>0.62996941896024461</c:v>
                </c:pt>
                <c:pt idx="171">
                  <c:v>0.62996941896024461</c:v>
                </c:pt>
                <c:pt idx="172">
                  <c:v>0.62996941896024461</c:v>
                </c:pt>
                <c:pt idx="173">
                  <c:v>0.62996941896024461</c:v>
                </c:pt>
                <c:pt idx="174">
                  <c:v>0.62996941896024461</c:v>
                </c:pt>
                <c:pt idx="175">
                  <c:v>0.62996941896024461</c:v>
                </c:pt>
                <c:pt idx="176">
                  <c:v>0.62996941896024461</c:v>
                </c:pt>
                <c:pt idx="177">
                  <c:v>0.62996941896024461</c:v>
                </c:pt>
                <c:pt idx="178">
                  <c:v>0.62996941896024461</c:v>
                </c:pt>
                <c:pt idx="179">
                  <c:v>0.62996941896024461</c:v>
                </c:pt>
                <c:pt idx="180">
                  <c:v>0.62996941896024461</c:v>
                </c:pt>
                <c:pt idx="181">
                  <c:v>0.62996941896024461</c:v>
                </c:pt>
                <c:pt idx="182">
                  <c:v>0.62996941896024461</c:v>
                </c:pt>
                <c:pt idx="183">
                  <c:v>0.62996941896024461</c:v>
                </c:pt>
                <c:pt idx="184">
                  <c:v>0.62996941896024461</c:v>
                </c:pt>
                <c:pt idx="185">
                  <c:v>0.62996941896024461</c:v>
                </c:pt>
                <c:pt idx="186">
                  <c:v>0.62996941896024461</c:v>
                </c:pt>
                <c:pt idx="187">
                  <c:v>0.62996941896024461</c:v>
                </c:pt>
                <c:pt idx="188">
                  <c:v>0.62996941896024461</c:v>
                </c:pt>
                <c:pt idx="189">
                  <c:v>0.62996941896024461</c:v>
                </c:pt>
                <c:pt idx="190">
                  <c:v>0.62996941896024461</c:v>
                </c:pt>
                <c:pt idx="191">
                  <c:v>0.62996941896024461</c:v>
                </c:pt>
                <c:pt idx="192">
                  <c:v>0.63109756097560976</c:v>
                </c:pt>
                <c:pt idx="193">
                  <c:v>0.63109756097560976</c:v>
                </c:pt>
                <c:pt idx="194">
                  <c:v>0.63109756097560976</c:v>
                </c:pt>
                <c:pt idx="195">
                  <c:v>0.63109756097560976</c:v>
                </c:pt>
                <c:pt idx="196">
                  <c:v>0.63109756097560976</c:v>
                </c:pt>
                <c:pt idx="197">
                  <c:v>0.63109756097560976</c:v>
                </c:pt>
                <c:pt idx="198">
                  <c:v>0.63109756097560976</c:v>
                </c:pt>
                <c:pt idx="199">
                  <c:v>0.63109756097560976</c:v>
                </c:pt>
                <c:pt idx="200">
                  <c:v>0.63109756097560976</c:v>
                </c:pt>
                <c:pt idx="201">
                  <c:v>0.63109756097560976</c:v>
                </c:pt>
                <c:pt idx="202">
                  <c:v>0.63109756097560976</c:v>
                </c:pt>
                <c:pt idx="203">
                  <c:v>0.63109756097560976</c:v>
                </c:pt>
                <c:pt idx="204">
                  <c:v>0.63109756097560976</c:v>
                </c:pt>
                <c:pt idx="205">
                  <c:v>0.63109756097560976</c:v>
                </c:pt>
                <c:pt idx="206">
                  <c:v>0.63109756097560976</c:v>
                </c:pt>
                <c:pt idx="207">
                  <c:v>0.63109756097560976</c:v>
                </c:pt>
                <c:pt idx="208">
                  <c:v>0.63109756097560976</c:v>
                </c:pt>
                <c:pt idx="209">
                  <c:v>0.63109756097560976</c:v>
                </c:pt>
                <c:pt idx="210">
                  <c:v>0.63109756097560976</c:v>
                </c:pt>
                <c:pt idx="211">
                  <c:v>0.63109756097560976</c:v>
                </c:pt>
                <c:pt idx="212">
                  <c:v>0.63109756097560976</c:v>
                </c:pt>
                <c:pt idx="213">
                  <c:v>0.63109756097560976</c:v>
                </c:pt>
                <c:pt idx="214">
                  <c:v>0.63109756097560976</c:v>
                </c:pt>
                <c:pt idx="215">
                  <c:v>0.63109756097560976</c:v>
                </c:pt>
                <c:pt idx="216">
                  <c:v>0.63109756097560976</c:v>
                </c:pt>
                <c:pt idx="217">
                  <c:v>0.63109756097560976</c:v>
                </c:pt>
                <c:pt idx="218">
                  <c:v>0.63109756097560976</c:v>
                </c:pt>
                <c:pt idx="219">
                  <c:v>0.63109756097560976</c:v>
                </c:pt>
                <c:pt idx="220">
                  <c:v>0.63109756097560976</c:v>
                </c:pt>
                <c:pt idx="221">
                  <c:v>0.63109756097560976</c:v>
                </c:pt>
                <c:pt idx="222">
                  <c:v>0.63109756097560976</c:v>
                </c:pt>
                <c:pt idx="223">
                  <c:v>0.6344410876132931</c:v>
                </c:pt>
                <c:pt idx="224">
                  <c:v>0.6344410876132931</c:v>
                </c:pt>
                <c:pt idx="225">
                  <c:v>0.6344410876132931</c:v>
                </c:pt>
                <c:pt idx="226">
                  <c:v>0.6344410876132931</c:v>
                </c:pt>
                <c:pt idx="227">
                  <c:v>0.63173652694610782</c:v>
                </c:pt>
                <c:pt idx="228">
                  <c:v>0.63501483679525228</c:v>
                </c:pt>
                <c:pt idx="229">
                  <c:v>0.63501483679525228</c:v>
                </c:pt>
                <c:pt idx="230">
                  <c:v>0.63501483679525228</c:v>
                </c:pt>
                <c:pt idx="231">
                  <c:v>0.63501483679525228</c:v>
                </c:pt>
                <c:pt idx="232">
                  <c:v>0.63501483679525228</c:v>
                </c:pt>
                <c:pt idx="233">
                  <c:v>0.63501483679525228</c:v>
                </c:pt>
                <c:pt idx="234">
                  <c:v>0.63421828908554567</c:v>
                </c:pt>
                <c:pt idx="235">
                  <c:v>0.63049853372434017</c:v>
                </c:pt>
                <c:pt idx="236">
                  <c:v>0.62865497076023391</c:v>
                </c:pt>
                <c:pt idx="237">
                  <c:v>0.62865497076023391</c:v>
                </c:pt>
                <c:pt idx="238">
                  <c:v>0.62865497076023391</c:v>
                </c:pt>
                <c:pt idx="239">
                  <c:v>0.62865497076023391</c:v>
                </c:pt>
                <c:pt idx="240">
                  <c:v>0.62865497076023391</c:v>
                </c:pt>
                <c:pt idx="241">
                  <c:v>0.62682215743440228</c:v>
                </c:pt>
                <c:pt idx="242">
                  <c:v>0.62898550724637681</c:v>
                </c:pt>
                <c:pt idx="243">
                  <c:v>0.63005780346820806</c:v>
                </c:pt>
                <c:pt idx="244">
                  <c:v>0.63005780346820806</c:v>
                </c:pt>
                <c:pt idx="245">
                  <c:v>0.63005780346820806</c:v>
                </c:pt>
                <c:pt idx="246">
                  <c:v>0.63005780346820806</c:v>
                </c:pt>
                <c:pt idx="247">
                  <c:v>0.63005780346820806</c:v>
                </c:pt>
                <c:pt idx="248">
                  <c:v>0.63112391930835732</c:v>
                </c:pt>
                <c:pt idx="249">
                  <c:v>0.63112391930835732</c:v>
                </c:pt>
                <c:pt idx="250">
                  <c:v>0.62931034482758619</c:v>
                </c:pt>
                <c:pt idx="251">
                  <c:v>0.62857142857142856</c:v>
                </c:pt>
                <c:pt idx="252">
                  <c:v>0.62857142857142856</c:v>
                </c:pt>
                <c:pt idx="253">
                  <c:v>0.62857142857142856</c:v>
                </c:pt>
                <c:pt idx="254">
                  <c:v>0.62857142857142856</c:v>
                </c:pt>
                <c:pt idx="255">
                  <c:v>0.62857142857142856</c:v>
                </c:pt>
                <c:pt idx="256">
                  <c:v>0.63068181818181823</c:v>
                </c:pt>
                <c:pt idx="257">
                  <c:v>0.63305322128851538</c:v>
                </c:pt>
                <c:pt idx="258">
                  <c:v>0.63305322128851538</c:v>
                </c:pt>
                <c:pt idx="259">
                  <c:v>0.63305322128851538</c:v>
                </c:pt>
                <c:pt idx="260">
                  <c:v>0.63305322128851538</c:v>
                </c:pt>
                <c:pt idx="261">
                  <c:v>0.63305322128851538</c:v>
                </c:pt>
                <c:pt idx="262">
                  <c:v>0.63611111111111107</c:v>
                </c:pt>
                <c:pt idx="263">
                  <c:v>0.63535911602209949</c:v>
                </c:pt>
                <c:pt idx="264">
                  <c:v>0.63186813186813184</c:v>
                </c:pt>
                <c:pt idx="265">
                  <c:v>0.63287671232876708</c:v>
                </c:pt>
                <c:pt idx="266">
                  <c:v>0.63387978142076506</c:v>
                </c:pt>
                <c:pt idx="267">
                  <c:v>0.63387978142076506</c:v>
                </c:pt>
                <c:pt idx="268">
                  <c:v>0.63387978142076506</c:v>
                </c:pt>
                <c:pt idx="269">
                  <c:v>0.63487738419618533</c:v>
                </c:pt>
                <c:pt idx="270">
                  <c:v>0.63487738419618533</c:v>
                </c:pt>
                <c:pt idx="271">
                  <c:v>0.63315217391304346</c:v>
                </c:pt>
                <c:pt idx="272">
                  <c:v>0.63315217391304346</c:v>
                </c:pt>
                <c:pt idx="273">
                  <c:v>0.63315217391304346</c:v>
                </c:pt>
                <c:pt idx="274">
                  <c:v>0.63315217391304346</c:v>
                </c:pt>
                <c:pt idx="275">
                  <c:v>0.63315217391304346</c:v>
                </c:pt>
                <c:pt idx="276">
                  <c:v>0.63315217391304346</c:v>
                </c:pt>
                <c:pt idx="277">
                  <c:v>0.63315217391304346</c:v>
                </c:pt>
                <c:pt idx="278">
                  <c:v>0.63315217391304346</c:v>
                </c:pt>
                <c:pt idx="279">
                  <c:v>0.63315217391304346</c:v>
                </c:pt>
                <c:pt idx="280">
                  <c:v>0.63315217391304346</c:v>
                </c:pt>
                <c:pt idx="281">
                  <c:v>0.63315217391304346</c:v>
                </c:pt>
                <c:pt idx="282">
                  <c:v>0.63315217391304346</c:v>
                </c:pt>
                <c:pt idx="283">
                  <c:v>0.63315217391304346</c:v>
                </c:pt>
                <c:pt idx="284">
                  <c:v>0.63315217391304346</c:v>
                </c:pt>
                <c:pt idx="285">
                  <c:v>0.63315217391304346</c:v>
                </c:pt>
                <c:pt idx="286">
                  <c:v>0.63315217391304346</c:v>
                </c:pt>
                <c:pt idx="287">
                  <c:v>0.63315217391304346</c:v>
                </c:pt>
                <c:pt idx="288">
                  <c:v>0.63315217391304346</c:v>
                </c:pt>
                <c:pt idx="289">
                  <c:v>0.63315217391304346</c:v>
                </c:pt>
                <c:pt idx="290">
                  <c:v>0.63315217391304346</c:v>
                </c:pt>
                <c:pt idx="291">
                  <c:v>0.63315217391304346</c:v>
                </c:pt>
                <c:pt idx="292">
                  <c:v>0.63315217391304346</c:v>
                </c:pt>
                <c:pt idx="293">
                  <c:v>0.63315217391304346</c:v>
                </c:pt>
                <c:pt idx="294">
                  <c:v>0.63315217391304346</c:v>
                </c:pt>
                <c:pt idx="295">
                  <c:v>0.63315217391304346</c:v>
                </c:pt>
                <c:pt idx="296">
                  <c:v>0.63315217391304346</c:v>
                </c:pt>
                <c:pt idx="297">
                  <c:v>0.63315217391304346</c:v>
                </c:pt>
                <c:pt idx="298">
                  <c:v>0.63315217391304346</c:v>
                </c:pt>
                <c:pt idx="299">
                  <c:v>0.63315217391304346</c:v>
                </c:pt>
                <c:pt idx="300">
                  <c:v>0.63315217391304346</c:v>
                </c:pt>
                <c:pt idx="301">
                  <c:v>0.63315217391304346</c:v>
                </c:pt>
                <c:pt idx="302">
                  <c:v>0.63315217391304346</c:v>
                </c:pt>
                <c:pt idx="303">
                  <c:v>0.63315217391304346</c:v>
                </c:pt>
                <c:pt idx="304">
                  <c:v>0.63315217391304346</c:v>
                </c:pt>
                <c:pt idx="305">
                  <c:v>0.63315217391304346</c:v>
                </c:pt>
                <c:pt idx="306">
                  <c:v>0.63315217391304346</c:v>
                </c:pt>
                <c:pt idx="307">
                  <c:v>0.63315217391304346</c:v>
                </c:pt>
                <c:pt idx="308">
                  <c:v>0.63315217391304346</c:v>
                </c:pt>
                <c:pt idx="309">
                  <c:v>0.63315217391304346</c:v>
                </c:pt>
                <c:pt idx="310">
                  <c:v>0.63315217391304346</c:v>
                </c:pt>
                <c:pt idx="311">
                  <c:v>0.63315217391304346</c:v>
                </c:pt>
                <c:pt idx="312">
                  <c:v>0.63315217391304346</c:v>
                </c:pt>
                <c:pt idx="313">
                  <c:v>0.63315217391304346</c:v>
                </c:pt>
                <c:pt idx="314">
                  <c:v>0.63315217391304346</c:v>
                </c:pt>
                <c:pt idx="315">
                  <c:v>0.63315217391304346</c:v>
                </c:pt>
                <c:pt idx="316">
                  <c:v>0.63513513513513509</c:v>
                </c:pt>
                <c:pt idx="317">
                  <c:v>0.63342318059299196</c:v>
                </c:pt>
                <c:pt idx="318">
                  <c:v>0.63342318059299196</c:v>
                </c:pt>
                <c:pt idx="319">
                  <c:v>0.63101604278074863</c:v>
                </c:pt>
                <c:pt idx="320">
                  <c:v>0.63395225464190985</c:v>
                </c:pt>
                <c:pt idx="321">
                  <c:v>0.63395225464190985</c:v>
                </c:pt>
                <c:pt idx="322">
                  <c:v>0.63395225464190985</c:v>
                </c:pt>
                <c:pt idx="323">
                  <c:v>0.63395225464190985</c:v>
                </c:pt>
                <c:pt idx="324">
                  <c:v>0.63395225464190985</c:v>
                </c:pt>
                <c:pt idx="325">
                  <c:v>0.63395225464190985</c:v>
                </c:pt>
                <c:pt idx="326">
                  <c:v>0.63395225464190985</c:v>
                </c:pt>
                <c:pt idx="327">
                  <c:v>0.63395225464190985</c:v>
                </c:pt>
                <c:pt idx="328">
                  <c:v>0.63395225464190985</c:v>
                </c:pt>
                <c:pt idx="329">
                  <c:v>0.63395225464190985</c:v>
                </c:pt>
                <c:pt idx="330">
                  <c:v>0.63395225464190985</c:v>
                </c:pt>
                <c:pt idx="331">
                  <c:v>0.63395225464190985</c:v>
                </c:pt>
                <c:pt idx="332">
                  <c:v>0.63395225464190985</c:v>
                </c:pt>
                <c:pt idx="333">
                  <c:v>0.63395225464190985</c:v>
                </c:pt>
                <c:pt idx="334">
                  <c:v>0.63421052631578945</c:v>
                </c:pt>
              </c:numCache>
            </c:numRef>
          </c:yVal>
          <c:smooth val="0"/>
          <c:extLst>
            <c:ext xmlns:c16="http://schemas.microsoft.com/office/drawing/2014/chart" uri="{C3380CC4-5D6E-409C-BE32-E72D297353CC}">
              <c16:uniqueId val="{00000000-F6A4-4A53-8DC9-C403FB582FE7}"/>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Solved &amp; Success </a:t>
            </a:r>
            <a:r>
              <a:rPr lang="en-US" b="1" baseline="0"/>
              <a:t>- Easy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Daily!$V$4:$V$440</c:f>
              <c:numCache>
                <c:formatCode>General</c:formatCode>
                <c:ptCount val="335"/>
                <c:pt idx="0">
                  <c:v>2</c:v>
                </c:pt>
                <c:pt idx="1">
                  <c:v>2</c:v>
                </c:pt>
                <c:pt idx="2">
                  <c:v>2</c:v>
                </c:pt>
                <c:pt idx="3">
                  <c:v>7</c:v>
                </c:pt>
                <c:pt idx="4">
                  <c:v>11</c:v>
                </c:pt>
                <c:pt idx="5">
                  <c:v>20</c:v>
                </c:pt>
                <c:pt idx="6">
                  <c:v>21</c:v>
                </c:pt>
                <c:pt idx="7">
                  <c:v>21</c:v>
                </c:pt>
                <c:pt idx="8">
                  <c:v>21</c:v>
                </c:pt>
                <c:pt idx="9">
                  <c:v>21</c:v>
                </c:pt>
                <c:pt idx="10">
                  <c:v>22</c:v>
                </c:pt>
                <c:pt idx="11">
                  <c:v>22</c:v>
                </c:pt>
                <c:pt idx="12">
                  <c:v>25</c:v>
                </c:pt>
                <c:pt idx="13">
                  <c:v>28</c:v>
                </c:pt>
                <c:pt idx="14">
                  <c:v>28</c:v>
                </c:pt>
                <c:pt idx="15">
                  <c:v>28</c:v>
                </c:pt>
                <c:pt idx="16">
                  <c:v>28</c:v>
                </c:pt>
                <c:pt idx="17">
                  <c:v>31</c:v>
                </c:pt>
                <c:pt idx="18">
                  <c:v>33</c:v>
                </c:pt>
                <c:pt idx="19">
                  <c:v>34</c:v>
                </c:pt>
                <c:pt idx="20">
                  <c:v>36</c:v>
                </c:pt>
                <c:pt idx="21">
                  <c:v>36</c:v>
                </c:pt>
                <c:pt idx="22">
                  <c:v>36</c:v>
                </c:pt>
                <c:pt idx="23">
                  <c:v>36</c:v>
                </c:pt>
                <c:pt idx="24">
                  <c:v>39</c:v>
                </c:pt>
                <c:pt idx="25">
                  <c:v>42</c:v>
                </c:pt>
                <c:pt idx="26">
                  <c:v>42</c:v>
                </c:pt>
                <c:pt idx="27">
                  <c:v>42</c:v>
                </c:pt>
                <c:pt idx="28">
                  <c:v>42</c:v>
                </c:pt>
                <c:pt idx="29">
                  <c:v>42</c:v>
                </c:pt>
                <c:pt idx="30">
                  <c:v>42</c:v>
                </c:pt>
                <c:pt idx="31">
                  <c:v>43</c:v>
                </c:pt>
                <c:pt idx="32">
                  <c:v>46</c:v>
                </c:pt>
                <c:pt idx="33">
                  <c:v>46</c:v>
                </c:pt>
                <c:pt idx="34">
                  <c:v>46</c:v>
                </c:pt>
                <c:pt idx="35">
                  <c:v>46</c:v>
                </c:pt>
                <c:pt idx="36">
                  <c:v>46</c:v>
                </c:pt>
                <c:pt idx="37">
                  <c:v>46</c:v>
                </c:pt>
                <c:pt idx="38">
                  <c:v>49</c:v>
                </c:pt>
                <c:pt idx="39">
                  <c:v>50</c:v>
                </c:pt>
                <c:pt idx="40">
                  <c:v>50</c:v>
                </c:pt>
                <c:pt idx="41">
                  <c:v>53</c:v>
                </c:pt>
                <c:pt idx="42">
                  <c:v>53</c:v>
                </c:pt>
                <c:pt idx="43">
                  <c:v>53</c:v>
                </c:pt>
                <c:pt idx="44">
                  <c:v>53</c:v>
                </c:pt>
                <c:pt idx="45">
                  <c:v>53</c:v>
                </c:pt>
                <c:pt idx="46">
                  <c:v>54</c:v>
                </c:pt>
                <c:pt idx="47">
                  <c:v>56</c:v>
                </c:pt>
                <c:pt idx="48">
                  <c:v>56</c:v>
                </c:pt>
                <c:pt idx="49">
                  <c:v>56</c:v>
                </c:pt>
                <c:pt idx="50">
                  <c:v>56</c:v>
                </c:pt>
                <c:pt idx="51">
                  <c:v>56</c:v>
                </c:pt>
                <c:pt idx="52">
                  <c:v>56</c:v>
                </c:pt>
                <c:pt idx="53">
                  <c:v>57</c:v>
                </c:pt>
                <c:pt idx="54">
                  <c:v>57</c:v>
                </c:pt>
                <c:pt idx="55">
                  <c:v>57</c:v>
                </c:pt>
                <c:pt idx="56">
                  <c:v>57</c:v>
                </c:pt>
                <c:pt idx="57">
                  <c:v>57</c:v>
                </c:pt>
                <c:pt idx="58">
                  <c:v>57</c:v>
                </c:pt>
                <c:pt idx="59">
                  <c:v>59</c:v>
                </c:pt>
                <c:pt idx="60">
                  <c:v>60</c:v>
                </c:pt>
                <c:pt idx="61">
                  <c:v>60</c:v>
                </c:pt>
                <c:pt idx="62">
                  <c:v>60</c:v>
                </c:pt>
                <c:pt idx="63">
                  <c:v>60</c:v>
                </c:pt>
                <c:pt idx="64">
                  <c:v>60</c:v>
                </c:pt>
                <c:pt idx="65">
                  <c:v>60</c:v>
                </c:pt>
                <c:pt idx="66">
                  <c:v>60</c:v>
                </c:pt>
                <c:pt idx="67">
                  <c:v>60</c:v>
                </c:pt>
                <c:pt idx="68">
                  <c:v>60</c:v>
                </c:pt>
                <c:pt idx="69">
                  <c:v>60</c:v>
                </c:pt>
                <c:pt idx="70">
                  <c:v>61</c:v>
                </c:pt>
                <c:pt idx="71">
                  <c:v>61</c:v>
                </c:pt>
                <c:pt idx="72">
                  <c:v>61</c:v>
                </c:pt>
                <c:pt idx="73">
                  <c:v>61</c:v>
                </c:pt>
                <c:pt idx="74">
                  <c:v>61</c:v>
                </c:pt>
                <c:pt idx="75">
                  <c:v>62</c:v>
                </c:pt>
                <c:pt idx="76">
                  <c:v>63</c:v>
                </c:pt>
                <c:pt idx="77">
                  <c:v>64</c:v>
                </c:pt>
                <c:pt idx="78">
                  <c:v>65</c:v>
                </c:pt>
                <c:pt idx="79">
                  <c:v>66</c:v>
                </c:pt>
                <c:pt idx="80">
                  <c:v>67</c:v>
                </c:pt>
                <c:pt idx="81">
                  <c:v>68</c:v>
                </c:pt>
                <c:pt idx="82">
                  <c:v>69</c:v>
                </c:pt>
                <c:pt idx="83">
                  <c:v>70</c:v>
                </c:pt>
                <c:pt idx="84">
                  <c:v>72</c:v>
                </c:pt>
                <c:pt idx="85">
                  <c:v>72</c:v>
                </c:pt>
                <c:pt idx="86">
                  <c:v>72</c:v>
                </c:pt>
                <c:pt idx="87">
                  <c:v>74</c:v>
                </c:pt>
                <c:pt idx="88">
                  <c:v>75</c:v>
                </c:pt>
                <c:pt idx="89">
                  <c:v>77</c:v>
                </c:pt>
                <c:pt idx="90">
                  <c:v>77</c:v>
                </c:pt>
                <c:pt idx="91">
                  <c:v>78</c:v>
                </c:pt>
                <c:pt idx="92">
                  <c:v>78</c:v>
                </c:pt>
                <c:pt idx="93">
                  <c:v>78</c:v>
                </c:pt>
                <c:pt idx="94">
                  <c:v>79</c:v>
                </c:pt>
                <c:pt idx="95">
                  <c:v>80</c:v>
                </c:pt>
                <c:pt idx="96">
                  <c:v>80</c:v>
                </c:pt>
                <c:pt idx="97">
                  <c:v>80</c:v>
                </c:pt>
                <c:pt idx="98">
                  <c:v>80</c:v>
                </c:pt>
                <c:pt idx="99">
                  <c:v>80</c:v>
                </c:pt>
                <c:pt idx="100">
                  <c:v>80</c:v>
                </c:pt>
                <c:pt idx="101">
                  <c:v>81</c:v>
                </c:pt>
                <c:pt idx="102">
                  <c:v>82</c:v>
                </c:pt>
                <c:pt idx="103">
                  <c:v>83</c:v>
                </c:pt>
                <c:pt idx="104">
                  <c:v>83</c:v>
                </c:pt>
                <c:pt idx="105">
                  <c:v>85</c:v>
                </c:pt>
                <c:pt idx="106">
                  <c:v>85</c:v>
                </c:pt>
                <c:pt idx="107">
                  <c:v>85</c:v>
                </c:pt>
                <c:pt idx="108">
                  <c:v>86</c:v>
                </c:pt>
                <c:pt idx="109">
                  <c:v>87</c:v>
                </c:pt>
                <c:pt idx="110">
                  <c:v>88</c:v>
                </c:pt>
                <c:pt idx="111">
                  <c:v>89</c:v>
                </c:pt>
                <c:pt idx="112">
                  <c:v>89</c:v>
                </c:pt>
                <c:pt idx="113">
                  <c:v>89</c:v>
                </c:pt>
                <c:pt idx="114">
                  <c:v>89</c:v>
                </c:pt>
                <c:pt idx="115">
                  <c:v>89</c:v>
                </c:pt>
                <c:pt idx="116">
                  <c:v>89</c:v>
                </c:pt>
                <c:pt idx="117">
                  <c:v>89</c:v>
                </c:pt>
                <c:pt idx="118">
                  <c:v>89</c:v>
                </c:pt>
                <c:pt idx="119">
                  <c:v>89</c:v>
                </c:pt>
                <c:pt idx="120">
                  <c:v>89</c:v>
                </c:pt>
                <c:pt idx="121">
                  <c:v>89</c:v>
                </c:pt>
                <c:pt idx="122">
                  <c:v>89</c:v>
                </c:pt>
                <c:pt idx="123">
                  <c:v>89</c:v>
                </c:pt>
                <c:pt idx="124">
                  <c:v>89</c:v>
                </c:pt>
                <c:pt idx="125">
                  <c:v>89</c:v>
                </c:pt>
                <c:pt idx="126">
                  <c:v>89</c:v>
                </c:pt>
                <c:pt idx="127">
                  <c:v>89</c:v>
                </c:pt>
                <c:pt idx="128">
                  <c:v>89</c:v>
                </c:pt>
                <c:pt idx="129">
                  <c:v>89</c:v>
                </c:pt>
                <c:pt idx="130">
                  <c:v>89</c:v>
                </c:pt>
                <c:pt idx="131">
                  <c:v>89</c:v>
                </c:pt>
                <c:pt idx="132">
                  <c:v>89</c:v>
                </c:pt>
                <c:pt idx="133">
                  <c:v>89</c:v>
                </c:pt>
                <c:pt idx="134">
                  <c:v>89</c:v>
                </c:pt>
                <c:pt idx="135">
                  <c:v>89</c:v>
                </c:pt>
                <c:pt idx="136">
                  <c:v>89</c:v>
                </c:pt>
                <c:pt idx="137">
                  <c:v>89</c:v>
                </c:pt>
                <c:pt idx="138">
                  <c:v>89</c:v>
                </c:pt>
                <c:pt idx="139">
                  <c:v>89</c:v>
                </c:pt>
                <c:pt idx="140">
                  <c:v>89</c:v>
                </c:pt>
                <c:pt idx="141">
                  <c:v>89</c:v>
                </c:pt>
                <c:pt idx="142">
                  <c:v>89</c:v>
                </c:pt>
                <c:pt idx="143">
                  <c:v>89</c:v>
                </c:pt>
                <c:pt idx="144">
                  <c:v>89</c:v>
                </c:pt>
                <c:pt idx="145">
                  <c:v>89</c:v>
                </c:pt>
                <c:pt idx="146">
                  <c:v>89</c:v>
                </c:pt>
                <c:pt idx="147">
                  <c:v>89</c:v>
                </c:pt>
                <c:pt idx="148">
                  <c:v>89</c:v>
                </c:pt>
                <c:pt idx="149">
                  <c:v>89</c:v>
                </c:pt>
                <c:pt idx="150">
                  <c:v>89</c:v>
                </c:pt>
                <c:pt idx="151">
                  <c:v>89</c:v>
                </c:pt>
                <c:pt idx="152">
                  <c:v>89</c:v>
                </c:pt>
                <c:pt idx="153">
                  <c:v>89</c:v>
                </c:pt>
                <c:pt idx="154">
                  <c:v>89</c:v>
                </c:pt>
                <c:pt idx="155">
                  <c:v>89</c:v>
                </c:pt>
                <c:pt idx="156">
                  <c:v>89</c:v>
                </c:pt>
                <c:pt idx="157">
                  <c:v>89</c:v>
                </c:pt>
                <c:pt idx="158">
                  <c:v>89</c:v>
                </c:pt>
                <c:pt idx="159">
                  <c:v>89</c:v>
                </c:pt>
                <c:pt idx="160">
                  <c:v>89</c:v>
                </c:pt>
                <c:pt idx="161">
                  <c:v>89</c:v>
                </c:pt>
                <c:pt idx="162">
                  <c:v>89</c:v>
                </c:pt>
                <c:pt idx="163">
                  <c:v>89</c:v>
                </c:pt>
                <c:pt idx="164">
                  <c:v>89</c:v>
                </c:pt>
                <c:pt idx="165">
                  <c:v>90</c:v>
                </c:pt>
                <c:pt idx="166">
                  <c:v>91</c:v>
                </c:pt>
                <c:pt idx="167">
                  <c:v>91</c:v>
                </c:pt>
                <c:pt idx="168">
                  <c:v>91</c:v>
                </c:pt>
                <c:pt idx="169">
                  <c:v>91</c:v>
                </c:pt>
                <c:pt idx="170">
                  <c:v>91</c:v>
                </c:pt>
                <c:pt idx="171">
                  <c:v>91</c:v>
                </c:pt>
                <c:pt idx="172">
                  <c:v>91</c:v>
                </c:pt>
                <c:pt idx="173">
                  <c:v>91</c:v>
                </c:pt>
                <c:pt idx="174">
                  <c:v>91</c:v>
                </c:pt>
                <c:pt idx="175">
                  <c:v>91</c:v>
                </c:pt>
                <c:pt idx="176">
                  <c:v>91</c:v>
                </c:pt>
                <c:pt idx="177">
                  <c:v>91</c:v>
                </c:pt>
                <c:pt idx="178">
                  <c:v>91</c:v>
                </c:pt>
                <c:pt idx="179">
                  <c:v>91</c:v>
                </c:pt>
                <c:pt idx="180">
                  <c:v>91</c:v>
                </c:pt>
                <c:pt idx="181">
                  <c:v>91</c:v>
                </c:pt>
                <c:pt idx="182">
                  <c:v>91</c:v>
                </c:pt>
                <c:pt idx="183">
                  <c:v>91</c:v>
                </c:pt>
                <c:pt idx="184">
                  <c:v>91</c:v>
                </c:pt>
                <c:pt idx="185">
                  <c:v>91</c:v>
                </c:pt>
                <c:pt idx="186">
                  <c:v>91</c:v>
                </c:pt>
                <c:pt idx="187">
                  <c:v>91</c:v>
                </c:pt>
                <c:pt idx="188">
                  <c:v>91</c:v>
                </c:pt>
                <c:pt idx="189">
                  <c:v>91</c:v>
                </c:pt>
                <c:pt idx="190">
                  <c:v>91</c:v>
                </c:pt>
                <c:pt idx="191">
                  <c:v>91</c:v>
                </c:pt>
                <c:pt idx="192">
                  <c:v>91</c:v>
                </c:pt>
                <c:pt idx="193">
                  <c:v>91</c:v>
                </c:pt>
                <c:pt idx="194">
                  <c:v>91</c:v>
                </c:pt>
                <c:pt idx="195">
                  <c:v>91</c:v>
                </c:pt>
                <c:pt idx="196">
                  <c:v>91</c:v>
                </c:pt>
                <c:pt idx="197">
                  <c:v>91</c:v>
                </c:pt>
                <c:pt idx="198">
                  <c:v>91</c:v>
                </c:pt>
                <c:pt idx="199">
                  <c:v>91</c:v>
                </c:pt>
                <c:pt idx="200">
                  <c:v>91</c:v>
                </c:pt>
                <c:pt idx="201">
                  <c:v>91</c:v>
                </c:pt>
                <c:pt idx="202">
                  <c:v>91</c:v>
                </c:pt>
                <c:pt idx="203">
                  <c:v>91</c:v>
                </c:pt>
                <c:pt idx="204">
                  <c:v>91</c:v>
                </c:pt>
                <c:pt idx="205">
                  <c:v>91</c:v>
                </c:pt>
                <c:pt idx="206">
                  <c:v>91</c:v>
                </c:pt>
                <c:pt idx="207">
                  <c:v>91</c:v>
                </c:pt>
                <c:pt idx="208">
                  <c:v>91</c:v>
                </c:pt>
                <c:pt idx="209">
                  <c:v>91</c:v>
                </c:pt>
                <c:pt idx="210">
                  <c:v>91</c:v>
                </c:pt>
                <c:pt idx="211">
                  <c:v>91</c:v>
                </c:pt>
                <c:pt idx="212">
                  <c:v>91</c:v>
                </c:pt>
                <c:pt idx="213">
                  <c:v>91</c:v>
                </c:pt>
                <c:pt idx="214">
                  <c:v>91</c:v>
                </c:pt>
                <c:pt idx="215">
                  <c:v>91</c:v>
                </c:pt>
                <c:pt idx="216">
                  <c:v>91</c:v>
                </c:pt>
                <c:pt idx="217">
                  <c:v>91</c:v>
                </c:pt>
                <c:pt idx="218">
                  <c:v>91</c:v>
                </c:pt>
                <c:pt idx="219">
                  <c:v>91</c:v>
                </c:pt>
                <c:pt idx="220">
                  <c:v>91</c:v>
                </c:pt>
                <c:pt idx="221">
                  <c:v>91</c:v>
                </c:pt>
                <c:pt idx="222">
                  <c:v>91</c:v>
                </c:pt>
                <c:pt idx="223">
                  <c:v>93</c:v>
                </c:pt>
                <c:pt idx="224">
                  <c:v>93</c:v>
                </c:pt>
                <c:pt idx="225">
                  <c:v>93</c:v>
                </c:pt>
                <c:pt idx="226">
                  <c:v>93</c:v>
                </c:pt>
                <c:pt idx="227">
                  <c:v>94</c:v>
                </c:pt>
                <c:pt idx="228">
                  <c:v>94</c:v>
                </c:pt>
                <c:pt idx="229">
                  <c:v>94</c:v>
                </c:pt>
                <c:pt idx="230">
                  <c:v>94</c:v>
                </c:pt>
                <c:pt idx="231">
                  <c:v>94</c:v>
                </c:pt>
                <c:pt idx="232">
                  <c:v>94</c:v>
                </c:pt>
                <c:pt idx="233">
                  <c:v>94</c:v>
                </c:pt>
                <c:pt idx="234">
                  <c:v>94</c:v>
                </c:pt>
                <c:pt idx="235">
                  <c:v>94</c:v>
                </c:pt>
                <c:pt idx="236">
                  <c:v>94</c:v>
                </c:pt>
                <c:pt idx="237">
                  <c:v>94</c:v>
                </c:pt>
                <c:pt idx="238">
                  <c:v>94</c:v>
                </c:pt>
                <c:pt idx="239">
                  <c:v>94</c:v>
                </c:pt>
                <c:pt idx="240">
                  <c:v>94</c:v>
                </c:pt>
                <c:pt idx="241">
                  <c:v>94</c:v>
                </c:pt>
                <c:pt idx="242">
                  <c:v>94</c:v>
                </c:pt>
                <c:pt idx="243">
                  <c:v>94</c:v>
                </c:pt>
                <c:pt idx="244">
                  <c:v>94</c:v>
                </c:pt>
                <c:pt idx="245">
                  <c:v>94</c:v>
                </c:pt>
                <c:pt idx="246">
                  <c:v>94</c:v>
                </c:pt>
                <c:pt idx="247">
                  <c:v>94</c:v>
                </c:pt>
                <c:pt idx="248">
                  <c:v>94</c:v>
                </c:pt>
                <c:pt idx="249">
                  <c:v>94</c:v>
                </c:pt>
                <c:pt idx="250">
                  <c:v>94</c:v>
                </c:pt>
                <c:pt idx="251">
                  <c:v>94</c:v>
                </c:pt>
                <c:pt idx="252">
                  <c:v>94</c:v>
                </c:pt>
                <c:pt idx="253">
                  <c:v>94</c:v>
                </c:pt>
                <c:pt idx="254">
                  <c:v>94</c:v>
                </c:pt>
                <c:pt idx="255">
                  <c:v>94</c:v>
                </c:pt>
                <c:pt idx="256">
                  <c:v>94</c:v>
                </c:pt>
                <c:pt idx="257">
                  <c:v>94</c:v>
                </c:pt>
                <c:pt idx="258">
                  <c:v>94</c:v>
                </c:pt>
                <c:pt idx="259">
                  <c:v>94</c:v>
                </c:pt>
                <c:pt idx="260">
                  <c:v>94</c:v>
                </c:pt>
                <c:pt idx="261">
                  <c:v>94</c:v>
                </c:pt>
                <c:pt idx="262">
                  <c:v>94</c:v>
                </c:pt>
                <c:pt idx="263">
                  <c:v>94</c:v>
                </c:pt>
                <c:pt idx="264">
                  <c:v>94</c:v>
                </c:pt>
                <c:pt idx="265">
                  <c:v>94</c:v>
                </c:pt>
                <c:pt idx="266">
                  <c:v>94</c:v>
                </c:pt>
                <c:pt idx="267">
                  <c:v>94</c:v>
                </c:pt>
                <c:pt idx="268">
                  <c:v>94</c:v>
                </c:pt>
                <c:pt idx="269">
                  <c:v>94</c:v>
                </c:pt>
                <c:pt idx="270">
                  <c:v>94</c:v>
                </c:pt>
                <c:pt idx="271">
                  <c:v>94</c:v>
                </c:pt>
                <c:pt idx="272">
                  <c:v>94</c:v>
                </c:pt>
                <c:pt idx="273">
                  <c:v>94</c:v>
                </c:pt>
                <c:pt idx="274">
                  <c:v>94</c:v>
                </c:pt>
                <c:pt idx="275">
                  <c:v>94</c:v>
                </c:pt>
                <c:pt idx="276">
                  <c:v>94</c:v>
                </c:pt>
                <c:pt idx="277">
                  <c:v>94</c:v>
                </c:pt>
                <c:pt idx="278">
                  <c:v>94</c:v>
                </c:pt>
                <c:pt idx="279">
                  <c:v>94</c:v>
                </c:pt>
                <c:pt idx="280">
                  <c:v>94</c:v>
                </c:pt>
                <c:pt idx="281">
                  <c:v>94</c:v>
                </c:pt>
                <c:pt idx="282">
                  <c:v>94</c:v>
                </c:pt>
                <c:pt idx="283">
                  <c:v>94</c:v>
                </c:pt>
                <c:pt idx="284">
                  <c:v>94</c:v>
                </c:pt>
                <c:pt idx="285">
                  <c:v>94</c:v>
                </c:pt>
                <c:pt idx="286">
                  <c:v>94</c:v>
                </c:pt>
                <c:pt idx="287">
                  <c:v>94</c:v>
                </c:pt>
                <c:pt idx="288">
                  <c:v>94</c:v>
                </c:pt>
                <c:pt idx="289">
                  <c:v>94</c:v>
                </c:pt>
                <c:pt idx="290">
                  <c:v>94</c:v>
                </c:pt>
                <c:pt idx="291">
                  <c:v>94</c:v>
                </c:pt>
                <c:pt idx="292">
                  <c:v>94</c:v>
                </c:pt>
                <c:pt idx="293">
                  <c:v>94</c:v>
                </c:pt>
                <c:pt idx="294">
                  <c:v>94</c:v>
                </c:pt>
                <c:pt idx="295">
                  <c:v>94</c:v>
                </c:pt>
                <c:pt idx="296">
                  <c:v>94</c:v>
                </c:pt>
                <c:pt idx="297">
                  <c:v>94</c:v>
                </c:pt>
                <c:pt idx="298">
                  <c:v>94</c:v>
                </c:pt>
                <c:pt idx="299">
                  <c:v>94</c:v>
                </c:pt>
                <c:pt idx="300">
                  <c:v>94</c:v>
                </c:pt>
                <c:pt idx="301">
                  <c:v>94</c:v>
                </c:pt>
                <c:pt idx="302">
                  <c:v>94</c:v>
                </c:pt>
                <c:pt idx="303">
                  <c:v>94</c:v>
                </c:pt>
                <c:pt idx="304">
                  <c:v>94</c:v>
                </c:pt>
                <c:pt idx="305">
                  <c:v>94</c:v>
                </c:pt>
                <c:pt idx="306">
                  <c:v>94</c:v>
                </c:pt>
                <c:pt idx="307">
                  <c:v>94</c:v>
                </c:pt>
                <c:pt idx="308">
                  <c:v>94</c:v>
                </c:pt>
                <c:pt idx="309">
                  <c:v>94</c:v>
                </c:pt>
                <c:pt idx="310">
                  <c:v>94</c:v>
                </c:pt>
                <c:pt idx="311">
                  <c:v>94</c:v>
                </c:pt>
                <c:pt idx="312">
                  <c:v>94</c:v>
                </c:pt>
                <c:pt idx="313">
                  <c:v>94</c:v>
                </c:pt>
                <c:pt idx="314">
                  <c:v>94</c:v>
                </c:pt>
                <c:pt idx="315">
                  <c:v>94</c:v>
                </c:pt>
                <c:pt idx="316">
                  <c:v>94</c:v>
                </c:pt>
                <c:pt idx="317">
                  <c:v>94</c:v>
                </c:pt>
                <c:pt idx="318">
                  <c:v>94</c:v>
                </c:pt>
                <c:pt idx="319">
                  <c:v>95</c:v>
                </c:pt>
                <c:pt idx="320">
                  <c:v>96</c:v>
                </c:pt>
                <c:pt idx="321">
                  <c:v>96</c:v>
                </c:pt>
                <c:pt idx="322">
                  <c:v>96</c:v>
                </c:pt>
                <c:pt idx="323">
                  <c:v>96</c:v>
                </c:pt>
                <c:pt idx="324">
                  <c:v>96</c:v>
                </c:pt>
                <c:pt idx="325">
                  <c:v>96</c:v>
                </c:pt>
                <c:pt idx="326">
                  <c:v>96</c:v>
                </c:pt>
                <c:pt idx="327">
                  <c:v>96</c:v>
                </c:pt>
                <c:pt idx="328">
                  <c:v>96</c:v>
                </c:pt>
                <c:pt idx="329">
                  <c:v>96</c:v>
                </c:pt>
                <c:pt idx="330">
                  <c:v>96</c:v>
                </c:pt>
                <c:pt idx="331">
                  <c:v>96</c:v>
                </c:pt>
                <c:pt idx="332">
                  <c:v>96</c:v>
                </c:pt>
                <c:pt idx="333">
                  <c:v>96</c:v>
                </c:pt>
                <c:pt idx="334">
                  <c:v>97</c:v>
                </c:pt>
              </c:numCache>
            </c:numRef>
          </c:yVal>
          <c:smooth val="0"/>
          <c:extLst>
            <c:ext xmlns:c16="http://schemas.microsoft.com/office/drawing/2014/chart" uri="{C3380CC4-5D6E-409C-BE32-E72D297353CC}">
              <c16:uniqueId val="{00000000-F6A4-4A53-8DC9-C403FB582FE7}"/>
            </c:ext>
          </c:extLst>
        </c:ser>
        <c:ser>
          <c:idx val="2"/>
          <c:order val="1"/>
          <c:tx>
            <c:v>Success</c:v>
          </c:tx>
          <c:spPr>
            <a:ln w="19050" cap="rnd">
              <a:solidFill>
                <a:schemeClr val="accent6"/>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Daily!$W$4:$W$440</c:f>
              <c:numCache>
                <c:formatCode>General</c:formatCode>
                <c:ptCount val="335"/>
                <c:pt idx="0">
                  <c:v>2</c:v>
                </c:pt>
                <c:pt idx="1">
                  <c:v>2</c:v>
                </c:pt>
                <c:pt idx="2">
                  <c:v>2</c:v>
                </c:pt>
                <c:pt idx="3">
                  <c:v>7</c:v>
                </c:pt>
                <c:pt idx="4">
                  <c:v>11</c:v>
                </c:pt>
                <c:pt idx="5">
                  <c:v>18</c:v>
                </c:pt>
                <c:pt idx="6">
                  <c:v>19</c:v>
                </c:pt>
                <c:pt idx="7">
                  <c:v>19</c:v>
                </c:pt>
                <c:pt idx="8">
                  <c:v>19</c:v>
                </c:pt>
                <c:pt idx="9">
                  <c:v>19</c:v>
                </c:pt>
                <c:pt idx="10">
                  <c:v>20</c:v>
                </c:pt>
                <c:pt idx="11">
                  <c:v>20</c:v>
                </c:pt>
                <c:pt idx="12">
                  <c:v>23</c:v>
                </c:pt>
                <c:pt idx="13">
                  <c:v>25</c:v>
                </c:pt>
                <c:pt idx="14">
                  <c:v>25</c:v>
                </c:pt>
                <c:pt idx="15">
                  <c:v>25</c:v>
                </c:pt>
                <c:pt idx="16">
                  <c:v>25</c:v>
                </c:pt>
                <c:pt idx="17">
                  <c:v>28</c:v>
                </c:pt>
                <c:pt idx="18">
                  <c:v>30</c:v>
                </c:pt>
                <c:pt idx="19">
                  <c:v>31</c:v>
                </c:pt>
                <c:pt idx="20">
                  <c:v>33</c:v>
                </c:pt>
                <c:pt idx="21">
                  <c:v>33</c:v>
                </c:pt>
                <c:pt idx="22">
                  <c:v>33</c:v>
                </c:pt>
                <c:pt idx="23">
                  <c:v>33</c:v>
                </c:pt>
                <c:pt idx="24">
                  <c:v>35</c:v>
                </c:pt>
                <c:pt idx="25">
                  <c:v>38</c:v>
                </c:pt>
                <c:pt idx="26">
                  <c:v>38</c:v>
                </c:pt>
                <c:pt idx="27">
                  <c:v>38</c:v>
                </c:pt>
                <c:pt idx="28">
                  <c:v>38</c:v>
                </c:pt>
                <c:pt idx="29">
                  <c:v>38</c:v>
                </c:pt>
                <c:pt idx="30">
                  <c:v>38</c:v>
                </c:pt>
                <c:pt idx="31">
                  <c:v>39</c:v>
                </c:pt>
                <c:pt idx="32">
                  <c:v>42</c:v>
                </c:pt>
                <c:pt idx="33">
                  <c:v>42</c:v>
                </c:pt>
                <c:pt idx="34">
                  <c:v>42</c:v>
                </c:pt>
                <c:pt idx="35">
                  <c:v>42</c:v>
                </c:pt>
                <c:pt idx="36">
                  <c:v>42</c:v>
                </c:pt>
                <c:pt idx="37">
                  <c:v>42</c:v>
                </c:pt>
                <c:pt idx="38">
                  <c:v>45</c:v>
                </c:pt>
                <c:pt idx="39">
                  <c:v>46</c:v>
                </c:pt>
                <c:pt idx="40">
                  <c:v>46</c:v>
                </c:pt>
                <c:pt idx="41">
                  <c:v>49</c:v>
                </c:pt>
                <c:pt idx="42">
                  <c:v>49</c:v>
                </c:pt>
                <c:pt idx="43">
                  <c:v>49</c:v>
                </c:pt>
                <c:pt idx="44">
                  <c:v>49</c:v>
                </c:pt>
                <c:pt idx="45">
                  <c:v>49</c:v>
                </c:pt>
                <c:pt idx="46">
                  <c:v>50</c:v>
                </c:pt>
                <c:pt idx="47">
                  <c:v>52</c:v>
                </c:pt>
                <c:pt idx="48">
                  <c:v>52</c:v>
                </c:pt>
                <c:pt idx="49">
                  <c:v>52</c:v>
                </c:pt>
                <c:pt idx="50">
                  <c:v>52</c:v>
                </c:pt>
                <c:pt idx="51">
                  <c:v>52</c:v>
                </c:pt>
                <c:pt idx="52">
                  <c:v>52</c:v>
                </c:pt>
                <c:pt idx="53">
                  <c:v>53</c:v>
                </c:pt>
                <c:pt idx="54">
                  <c:v>53</c:v>
                </c:pt>
                <c:pt idx="55">
                  <c:v>53</c:v>
                </c:pt>
                <c:pt idx="56">
                  <c:v>53</c:v>
                </c:pt>
                <c:pt idx="57">
                  <c:v>53</c:v>
                </c:pt>
                <c:pt idx="58">
                  <c:v>53</c:v>
                </c:pt>
                <c:pt idx="59">
                  <c:v>55</c:v>
                </c:pt>
                <c:pt idx="60">
                  <c:v>56</c:v>
                </c:pt>
                <c:pt idx="61">
                  <c:v>56</c:v>
                </c:pt>
                <c:pt idx="62">
                  <c:v>56</c:v>
                </c:pt>
                <c:pt idx="63">
                  <c:v>56</c:v>
                </c:pt>
                <c:pt idx="64">
                  <c:v>56</c:v>
                </c:pt>
                <c:pt idx="65">
                  <c:v>56</c:v>
                </c:pt>
                <c:pt idx="66">
                  <c:v>56</c:v>
                </c:pt>
                <c:pt idx="67">
                  <c:v>56</c:v>
                </c:pt>
                <c:pt idx="68">
                  <c:v>56</c:v>
                </c:pt>
                <c:pt idx="69">
                  <c:v>56</c:v>
                </c:pt>
                <c:pt idx="70">
                  <c:v>57</c:v>
                </c:pt>
                <c:pt idx="71">
                  <c:v>57</c:v>
                </c:pt>
                <c:pt idx="72">
                  <c:v>57</c:v>
                </c:pt>
                <c:pt idx="73">
                  <c:v>57</c:v>
                </c:pt>
                <c:pt idx="74">
                  <c:v>57</c:v>
                </c:pt>
                <c:pt idx="75">
                  <c:v>58</c:v>
                </c:pt>
                <c:pt idx="76">
                  <c:v>59</c:v>
                </c:pt>
                <c:pt idx="77">
                  <c:v>60</c:v>
                </c:pt>
                <c:pt idx="78">
                  <c:v>61</c:v>
                </c:pt>
                <c:pt idx="79">
                  <c:v>62</c:v>
                </c:pt>
                <c:pt idx="80">
                  <c:v>63</c:v>
                </c:pt>
                <c:pt idx="81">
                  <c:v>64</c:v>
                </c:pt>
                <c:pt idx="82">
                  <c:v>65</c:v>
                </c:pt>
                <c:pt idx="83">
                  <c:v>66</c:v>
                </c:pt>
                <c:pt idx="84">
                  <c:v>68</c:v>
                </c:pt>
                <c:pt idx="85">
                  <c:v>68</c:v>
                </c:pt>
                <c:pt idx="86">
                  <c:v>68</c:v>
                </c:pt>
                <c:pt idx="87">
                  <c:v>70</c:v>
                </c:pt>
                <c:pt idx="88">
                  <c:v>71</c:v>
                </c:pt>
                <c:pt idx="89">
                  <c:v>73</c:v>
                </c:pt>
                <c:pt idx="90">
                  <c:v>73</c:v>
                </c:pt>
                <c:pt idx="91">
                  <c:v>74</c:v>
                </c:pt>
                <c:pt idx="92">
                  <c:v>74</c:v>
                </c:pt>
                <c:pt idx="93">
                  <c:v>74</c:v>
                </c:pt>
                <c:pt idx="94">
                  <c:v>75</c:v>
                </c:pt>
                <c:pt idx="95">
                  <c:v>76</c:v>
                </c:pt>
                <c:pt idx="96">
                  <c:v>76</c:v>
                </c:pt>
                <c:pt idx="97">
                  <c:v>76</c:v>
                </c:pt>
                <c:pt idx="98">
                  <c:v>76</c:v>
                </c:pt>
                <c:pt idx="99">
                  <c:v>76</c:v>
                </c:pt>
                <c:pt idx="100">
                  <c:v>76</c:v>
                </c:pt>
                <c:pt idx="101">
                  <c:v>77</c:v>
                </c:pt>
                <c:pt idx="102">
                  <c:v>78</c:v>
                </c:pt>
                <c:pt idx="103">
                  <c:v>79</c:v>
                </c:pt>
                <c:pt idx="104">
                  <c:v>79</c:v>
                </c:pt>
                <c:pt idx="105">
                  <c:v>81</c:v>
                </c:pt>
                <c:pt idx="106">
                  <c:v>81</c:v>
                </c:pt>
                <c:pt idx="107">
                  <c:v>81</c:v>
                </c:pt>
                <c:pt idx="108">
                  <c:v>82</c:v>
                </c:pt>
                <c:pt idx="109">
                  <c:v>83</c:v>
                </c:pt>
                <c:pt idx="110">
                  <c:v>84</c:v>
                </c:pt>
                <c:pt idx="111">
                  <c:v>85</c:v>
                </c:pt>
                <c:pt idx="112">
                  <c:v>85</c:v>
                </c:pt>
                <c:pt idx="113">
                  <c:v>85</c:v>
                </c:pt>
                <c:pt idx="114">
                  <c:v>85</c:v>
                </c:pt>
                <c:pt idx="115">
                  <c:v>85</c:v>
                </c:pt>
                <c:pt idx="116">
                  <c:v>85</c:v>
                </c:pt>
                <c:pt idx="117">
                  <c:v>85</c:v>
                </c:pt>
                <c:pt idx="118">
                  <c:v>85</c:v>
                </c:pt>
                <c:pt idx="119">
                  <c:v>85</c:v>
                </c:pt>
                <c:pt idx="120">
                  <c:v>85</c:v>
                </c:pt>
                <c:pt idx="121">
                  <c:v>85</c:v>
                </c:pt>
                <c:pt idx="122">
                  <c:v>85</c:v>
                </c:pt>
                <c:pt idx="123">
                  <c:v>85</c:v>
                </c:pt>
                <c:pt idx="124">
                  <c:v>85</c:v>
                </c:pt>
                <c:pt idx="125">
                  <c:v>85</c:v>
                </c:pt>
                <c:pt idx="126">
                  <c:v>85</c:v>
                </c:pt>
                <c:pt idx="127">
                  <c:v>85</c:v>
                </c:pt>
                <c:pt idx="128">
                  <c:v>85</c:v>
                </c:pt>
                <c:pt idx="129">
                  <c:v>85</c:v>
                </c:pt>
                <c:pt idx="130">
                  <c:v>85</c:v>
                </c:pt>
                <c:pt idx="131">
                  <c:v>85</c:v>
                </c:pt>
                <c:pt idx="132">
                  <c:v>85</c:v>
                </c:pt>
                <c:pt idx="133">
                  <c:v>85</c:v>
                </c:pt>
                <c:pt idx="134">
                  <c:v>85</c:v>
                </c:pt>
                <c:pt idx="135">
                  <c:v>85</c:v>
                </c:pt>
                <c:pt idx="136">
                  <c:v>85</c:v>
                </c:pt>
                <c:pt idx="137">
                  <c:v>85</c:v>
                </c:pt>
                <c:pt idx="138">
                  <c:v>85</c:v>
                </c:pt>
                <c:pt idx="139">
                  <c:v>85</c:v>
                </c:pt>
                <c:pt idx="140">
                  <c:v>85</c:v>
                </c:pt>
                <c:pt idx="141">
                  <c:v>85</c:v>
                </c:pt>
                <c:pt idx="142">
                  <c:v>85</c:v>
                </c:pt>
                <c:pt idx="143">
                  <c:v>85</c:v>
                </c:pt>
                <c:pt idx="144">
                  <c:v>85</c:v>
                </c:pt>
                <c:pt idx="145">
                  <c:v>85</c:v>
                </c:pt>
                <c:pt idx="146">
                  <c:v>85</c:v>
                </c:pt>
                <c:pt idx="147">
                  <c:v>85</c:v>
                </c:pt>
                <c:pt idx="148">
                  <c:v>85</c:v>
                </c:pt>
                <c:pt idx="149">
                  <c:v>85</c:v>
                </c:pt>
                <c:pt idx="150">
                  <c:v>85</c:v>
                </c:pt>
                <c:pt idx="151">
                  <c:v>85</c:v>
                </c:pt>
                <c:pt idx="152">
                  <c:v>85</c:v>
                </c:pt>
                <c:pt idx="153">
                  <c:v>85</c:v>
                </c:pt>
                <c:pt idx="154">
                  <c:v>85</c:v>
                </c:pt>
                <c:pt idx="155">
                  <c:v>85</c:v>
                </c:pt>
                <c:pt idx="156">
                  <c:v>85</c:v>
                </c:pt>
                <c:pt idx="157">
                  <c:v>85</c:v>
                </c:pt>
                <c:pt idx="158">
                  <c:v>85</c:v>
                </c:pt>
                <c:pt idx="159">
                  <c:v>85</c:v>
                </c:pt>
                <c:pt idx="160">
                  <c:v>85</c:v>
                </c:pt>
                <c:pt idx="161">
                  <c:v>85</c:v>
                </c:pt>
                <c:pt idx="162">
                  <c:v>85</c:v>
                </c:pt>
                <c:pt idx="163">
                  <c:v>85</c:v>
                </c:pt>
                <c:pt idx="164">
                  <c:v>85</c:v>
                </c:pt>
                <c:pt idx="165">
                  <c:v>86</c:v>
                </c:pt>
                <c:pt idx="166">
                  <c:v>87</c:v>
                </c:pt>
                <c:pt idx="167">
                  <c:v>87</c:v>
                </c:pt>
                <c:pt idx="168">
                  <c:v>87</c:v>
                </c:pt>
                <c:pt idx="169">
                  <c:v>87</c:v>
                </c:pt>
                <c:pt idx="170">
                  <c:v>87</c:v>
                </c:pt>
                <c:pt idx="171">
                  <c:v>87</c:v>
                </c:pt>
                <c:pt idx="172">
                  <c:v>87</c:v>
                </c:pt>
                <c:pt idx="173">
                  <c:v>87</c:v>
                </c:pt>
                <c:pt idx="174">
                  <c:v>87</c:v>
                </c:pt>
                <c:pt idx="175">
                  <c:v>87</c:v>
                </c:pt>
                <c:pt idx="176">
                  <c:v>87</c:v>
                </c:pt>
                <c:pt idx="177">
                  <c:v>87</c:v>
                </c:pt>
                <c:pt idx="178">
                  <c:v>87</c:v>
                </c:pt>
                <c:pt idx="179">
                  <c:v>87</c:v>
                </c:pt>
                <c:pt idx="180">
                  <c:v>87</c:v>
                </c:pt>
                <c:pt idx="181">
                  <c:v>87</c:v>
                </c:pt>
                <c:pt idx="182">
                  <c:v>87</c:v>
                </c:pt>
                <c:pt idx="183">
                  <c:v>87</c:v>
                </c:pt>
                <c:pt idx="184">
                  <c:v>87</c:v>
                </c:pt>
                <c:pt idx="185">
                  <c:v>87</c:v>
                </c:pt>
                <c:pt idx="186">
                  <c:v>87</c:v>
                </c:pt>
                <c:pt idx="187">
                  <c:v>87</c:v>
                </c:pt>
                <c:pt idx="188">
                  <c:v>87</c:v>
                </c:pt>
                <c:pt idx="189">
                  <c:v>87</c:v>
                </c:pt>
                <c:pt idx="190">
                  <c:v>87</c:v>
                </c:pt>
                <c:pt idx="191">
                  <c:v>87</c:v>
                </c:pt>
                <c:pt idx="192">
                  <c:v>87</c:v>
                </c:pt>
                <c:pt idx="193">
                  <c:v>87</c:v>
                </c:pt>
                <c:pt idx="194">
                  <c:v>87</c:v>
                </c:pt>
                <c:pt idx="195">
                  <c:v>87</c:v>
                </c:pt>
                <c:pt idx="196">
                  <c:v>87</c:v>
                </c:pt>
                <c:pt idx="197">
                  <c:v>87</c:v>
                </c:pt>
                <c:pt idx="198">
                  <c:v>87</c:v>
                </c:pt>
                <c:pt idx="199">
                  <c:v>87</c:v>
                </c:pt>
                <c:pt idx="200">
                  <c:v>87</c:v>
                </c:pt>
                <c:pt idx="201">
                  <c:v>87</c:v>
                </c:pt>
                <c:pt idx="202">
                  <c:v>87</c:v>
                </c:pt>
                <c:pt idx="203">
                  <c:v>87</c:v>
                </c:pt>
                <c:pt idx="204">
                  <c:v>87</c:v>
                </c:pt>
                <c:pt idx="205">
                  <c:v>87</c:v>
                </c:pt>
                <c:pt idx="206">
                  <c:v>87</c:v>
                </c:pt>
                <c:pt idx="207">
                  <c:v>87</c:v>
                </c:pt>
                <c:pt idx="208">
                  <c:v>87</c:v>
                </c:pt>
                <c:pt idx="209">
                  <c:v>87</c:v>
                </c:pt>
                <c:pt idx="210">
                  <c:v>87</c:v>
                </c:pt>
                <c:pt idx="211">
                  <c:v>87</c:v>
                </c:pt>
                <c:pt idx="212">
                  <c:v>87</c:v>
                </c:pt>
                <c:pt idx="213">
                  <c:v>87</c:v>
                </c:pt>
                <c:pt idx="214">
                  <c:v>87</c:v>
                </c:pt>
                <c:pt idx="215">
                  <c:v>87</c:v>
                </c:pt>
                <c:pt idx="216">
                  <c:v>87</c:v>
                </c:pt>
                <c:pt idx="217">
                  <c:v>87</c:v>
                </c:pt>
                <c:pt idx="218">
                  <c:v>87</c:v>
                </c:pt>
                <c:pt idx="219">
                  <c:v>87</c:v>
                </c:pt>
                <c:pt idx="220">
                  <c:v>87</c:v>
                </c:pt>
                <c:pt idx="221">
                  <c:v>87</c:v>
                </c:pt>
                <c:pt idx="222">
                  <c:v>87</c:v>
                </c:pt>
                <c:pt idx="223">
                  <c:v>89</c:v>
                </c:pt>
                <c:pt idx="224">
                  <c:v>89</c:v>
                </c:pt>
                <c:pt idx="225">
                  <c:v>89</c:v>
                </c:pt>
                <c:pt idx="226">
                  <c:v>89</c:v>
                </c:pt>
                <c:pt idx="227">
                  <c:v>90</c:v>
                </c:pt>
                <c:pt idx="228">
                  <c:v>90</c:v>
                </c:pt>
                <c:pt idx="229">
                  <c:v>90</c:v>
                </c:pt>
                <c:pt idx="230">
                  <c:v>90</c:v>
                </c:pt>
                <c:pt idx="231">
                  <c:v>90</c:v>
                </c:pt>
                <c:pt idx="232">
                  <c:v>90</c:v>
                </c:pt>
                <c:pt idx="233">
                  <c:v>90</c:v>
                </c:pt>
                <c:pt idx="234">
                  <c:v>90</c:v>
                </c:pt>
                <c:pt idx="235">
                  <c:v>90</c:v>
                </c:pt>
                <c:pt idx="236">
                  <c:v>90</c:v>
                </c:pt>
                <c:pt idx="237">
                  <c:v>90</c:v>
                </c:pt>
                <c:pt idx="238">
                  <c:v>90</c:v>
                </c:pt>
                <c:pt idx="239">
                  <c:v>90</c:v>
                </c:pt>
                <c:pt idx="240">
                  <c:v>90</c:v>
                </c:pt>
                <c:pt idx="241">
                  <c:v>90</c:v>
                </c:pt>
                <c:pt idx="242">
                  <c:v>90</c:v>
                </c:pt>
                <c:pt idx="243">
                  <c:v>90</c:v>
                </c:pt>
                <c:pt idx="244">
                  <c:v>90</c:v>
                </c:pt>
                <c:pt idx="245">
                  <c:v>90</c:v>
                </c:pt>
                <c:pt idx="246">
                  <c:v>90</c:v>
                </c:pt>
                <c:pt idx="247">
                  <c:v>90</c:v>
                </c:pt>
                <c:pt idx="248">
                  <c:v>90</c:v>
                </c:pt>
                <c:pt idx="249">
                  <c:v>90</c:v>
                </c:pt>
                <c:pt idx="250">
                  <c:v>90</c:v>
                </c:pt>
                <c:pt idx="251">
                  <c:v>90</c:v>
                </c:pt>
                <c:pt idx="252">
                  <c:v>90</c:v>
                </c:pt>
                <c:pt idx="253">
                  <c:v>90</c:v>
                </c:pt>
                <c:pt idx="254">
                  <c:v>90</c:v>
                </c:pt>
                <c:pt idx="255">
                  <c:v>90</c:v>
                </c:pt>
                <c:pt idx="256">
                  <c:v>90</c:v>
                </c:pt>
                <c:pt idx="257">
                  <c:v>90</c:v>
                </c:pt>
                <c:pt idx="258">
                  <c:v>90</c:v>
                </c:pt>
                <c:pt idx="259">
                  <c:v>90</c:v>
                </c:pt>
                <c:pt idx="260">
                  <c:v>90</c:v>
                </c:pt>
                <c:pt idx="261">
                  <c:v>90</c:v>
                </c:pt>
                <c:pt idx="262">
                  <c:v>90</c:v>
                </c:pt>
                <c:pt idx="263">
                  <c:v>90</c:v>
                </c:pt>
                <c:pt idx="264">
                  <c:v>90</c:v>
                </c:pt>
                <c:pt idx="265">
                  <c:v>90</c:v>
                </c:pt>
                <c:pt idx="266">
                  <c:v>90</c:v>
                </c:pt>
                <c:pt idx="267">
                  <c:v>90</c:v>
                </c:pt>
                <c:pt idx="268">
                  <c:v>90</c:v>
                </c:pt>
                <c:pt idx="269">
                  <c:v>90</c:v>
                </c:pt>
                <c:pt idx="270">
                  <c:v>90</c:v>
                </c:pt>
                <c:pt idx="271">
                  <c:v>90</c:v>
                </c:pt>
                <c:pt idx="272">
                  <c:v>90</c:v>
                </c:pt>
                <c:pt idx="273">
                  <c:v>90</c:v>
                </c:pt>
                <c:pt idx="274">
                  <c:v>90</c:v>
                </c:pt>
                <c:pt idx="275">
                  <c:v>90</c:v>
                </c:pt>
                <c:pt idx="276">
                  <c:v>90</c:v>
                </c:pt>
                <c:pt idx="277">
                  <c:v>90</c:v>
                </c:pt>
                <c:pt idx="278">
                  <c:v>90</c:v>
                </c:pt>
                <c:pt idx="279">
                  <c:v>90</c:v>
                </c:pt>
                <c:pt idx="280">
                  <c:v>90</c:v>
                </c:pt>
                <c:pt idx="281">
                  <c:v>90</c:v>
                </c:pt>
                <c:pt idx="282">
                  <c:v>90</c:v>
                </c:pt>
                <c:pt idx="283">
                  <c:v>90</c:v>
                </c:pt>
                <c:pt idx="284">
                  <c:v>90</c:v>
                </c:pt>
                <c:pt idx="285">
                  <c:v>90</c:v>
                </c:pt>
                <c:pt idx="286">
                  <c:v>90</c:v>
                </c:pt>
                <c:pt idx="287">
                  <c:v>90</c:v>
                </c:pt>
                <c:pt idx="288">
                  <c:v>90</c:v>
                </c:pt>
                <c:pt idx="289">
                  <c:v>90</c:v>
                </c:pt>
                <c:pt idx="290">
                  <c:v>90</c:v>
                </c:pt>
                <c:pt idx="291">
                  <c:v>90</c:v>
                </c:pt>
                <c:pt idx="292">
                  <c:v>90</c:v>
                </c:pt>
                <c:pt idx="293">
                  <c:v>90</c:v>
                </c:pt>
                <c:pt idx="294">
                  <c:v>90</c:v>
                </c:pt>
                <c:pt idx="295">
                  <c:v>90</c:v>
                </c:pt>
                <c:pt idx="296">
                  <c:v>90</c:v>
                </c:pt>
                <c:pt idx="297">
                  <c:v>90</c:v>
                </c:pt>
                <c:pt idx="298">
                  <c:v>90</c:v>
                </c:pt>
                <c:pt idx="299">
                  <c:v>90</c:v>
                </c:pt>
                <c:pt idx="300">
                  <c:v>90</c:v>
                </c:pt>
                <c:pt idx="301">
                  <c:v>90</c:v>
                </c:pt>
                <c:pt idx="302">
                  <c:v>90</c:v>
                </c:pt>
                <c:pt idx="303">
                  <c:v>90</c:v>
                </c:pt>
                <c:pt idx="304">
                  <c:v>90</c:v>
                </c:pt>
                <c:pt idx="305">
                  <c:v>90</c:v>
                </c:pt>
                <c:pt idx="306">
                  <c:v>90</c:v>
                </c:pt>
                <c:pt idx="307">
                  <c:v>90</c:v>
                </c:pt>
                <c:pt idx="308">
                  <c:v>90</c:v>
                </c:pt>
                <c:pt idx="309">
                  <c:v>90</c:v>
                </c:pt>
                <c:pt idx="310">
                  <c:v>90</c:v>
                </c:pt>
                <c:pt idx="311">
                  <c:v>90</c:v>
                </c:pt>
                <c:pt idx="312">
                  <c:v>90</c:v>
                </c:pt>
                <c:pt idx="313">
                  <c:v>90</c:v>
                </c:pt>
                <c:pt idx="314">
                  <c:v>90</c:v>
                </c:pt>
                <c:pt idx="315">
                  <c:v>90</c:v>
                </c:pt>
                <c:pt idx="316">
                  <c:v>90</c:v>
                </c:pt>
                <c:pt idx="317">
                  <c:v>90</c:v>
                </c:pt>
                <c:pt idx="318">
                  <c:v>90</c:v>
                </c:pt>
                <c:pt idx="319">
                  <c:v>91</c:v>
                </c:pt>
                <c:pt idx="320">
                  <c:v>92</c:v>
                </c:pt>
                <c:pt idx="321">
                  <c:v>92</c:v>
                </c:pt>
                <c:pt idx="322">
                  <c:v>92</c:v>
                </c:pt>
                <c:pt idx="323">
                  <c:v>92</c:v>
                </c:pt>
                <c:pt idx="324">
                  <c:v>92</c:v>
                </c:pt>
                <c:pt idx="325">
                  <c:v>92</c:v>
                </c:pt>
                <c:pt idx="326">
                  <c:v>92</c:v>
                </c:pt>
                <c:pt idx="327">
                  <c:v>92</c:v>
                </c:pt>
                <c:pt idx="328">
                  <c:v>92</c:v>
                </c:pt>
                <c:pt idx="329">
                  <c:v>92</c:v>
                </c:pt>
                <c:pt idx="330">
                  <c:v>92</c:v>
                </c:pt>
                <c:pt idx="331">
                  <c:v>92</c:v>
                </c:pt>
                <c:pt idx="332">
                  <c:v>92</c:v>
                </c:pt>
                <c:pt idx="333">
                  <c:v>92</c:v>
                </c:pt>
                <c:pt idx="334">
                  <c:v>93</c:v>
                </c:pt>
              </c:numCache>
            </c:numRef>
          </c:yVal>
          <c:smooth val="0"/>
          <c:extLst>
            <c:ext xmlns:c16="http://schemas.microsoft.com/office/drawing/2014/chart" uri="{C3380CC4-5D6E-409C-BE32-E72D297353CC}">
              <c16:uniqueId val="{00000000-420B-4DC1-A2A6-0FB5E8DBD7A8}"/>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Solved &amp; Success </a:t>
            </a:r>
            <a:r>
              <a:rPr lang="en-US" b="1" baseline="0"/>
              <a:t>- Medium</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Daily!$AA$4:$AA$440</c:f>
              <c:numCache>
                <c:formatCode>General</c:formatCode>
                <c:ptCount val="335"/>
                <c:pt idx="0">
                  <c:v>1</c:v>
                </c:pt>
                <c:pt idx="1">
                  <c:v>1</c:v>
                </c:pt>
                <c:pt idx="2">
                  <c:v>1</c:v>
                </c:pt>
                <c:pt idx="3">
                  <c:v>1</c:v>
                </c:pt>
                <c:pt idx="4">
                  <c:v>4</c:v>
                </c:pt>
                <c:pt idx="5">
                  <c:v>6</c:v>
                </c:pt>
                <c:pt idx="6">
                  <c:v>8</c:v>
                </c:pt>
                <c:pt idx="7">
                  <c:v>12</c:v>
                </c:pt>
                <c:pt idx="8">
                  <c:v>12</c:v>
                </c:pt>
                <c:pt idx="9">
                  <c:v>12</c:v>
                </c:pt>
                <c:pt idx="10">
                  <c:v>14</c:v>
                </c:pt>
                <c:pt idx="11">
                  <c:v>17</c:v>
                </c:pt>
                <c:pt idx="12">
                  <c:v>19</c:v>
                </c:pt>
                <c:pt idx="13">
                  <c:v>23</c:v>
                </c:pt>
                <c:pt idx="14">
                  <c:v>27</c:v>
                </c:pt>
                <c:pt idx="15">
                  <c:v>27</c:v>
                </c:pt>
                <c:pt idx="16">
                  <c:v>28</c:v>
                </c:pt>
                <c:pt idx="17">
                  <c:v>28</c:v>
                </c:pt>
                <c:pt idx="18">
                  <c:v>32</c:v>
                </c:pt>
                <c:pt idx="19">
                  <c:v>34</c:v>
                </c:pt>
                <c:pt idx="20">
                  <c:v>36</c:v>
                </c:pt>
                <c:pt idx="21">
                  <c:v>36</c:v>
                </c:pt>
                <c:pt idx="22">
                  <c:v>36</c:v>
                </c:pt>
                <c:pt idx="23">
                  <c:v>36</c:v>
                </c:pt>
                <c:pt idx="24">
                  <c:v>36</c:v>
                </c:pt>
                <c:pt idx="25">
                  <c:v>38</c:v>
                </c:pt>
                <c:pt idx="26">
                  <c:v>38</c:v>
                </c:pt>
                <c:pt idx="27">
                  <c:v>38</c:v>
                </c:pt>
                <c:pt idx="28">
                  <c:v>39</c:v>
                </c:pt>
                <c:pt idx="29">
                  <c:v>39</c:v>
                </c:pt>
                <c:pt idx="30">
                  <c:v>39</c:v>
                </c:pt>
                <c:pt idx="31">
                  <c:v>44</c:v>
                </c:pt>
                <c:pt idx="32">
                  <c:v>46</c:v>
                </c:pt>
                <c:pt idx="33">
                  <c:v>51</c:v>
                </c:pt>
                <c:pt idx="34">
                  <c:v>51</c:v>
                </c:pt>
                <c:pt idx="35">
                  <c:v>51</c:v>
                </c:pt>
                <c:pt idx="36">
                  <c:v>51</c:v>
                </c:pt>
                <c:pt idx="37">
                  <c:v>51</c:v>
                </c:pt>
                <c:pt idx="38">
                  <c:v>52</c:v>
                </c:pt>
                <c:pt idx="39">
                  <c:v>55</c:v>
                </c:pt>
                <c:pt idx="40">
                  <c:v>56</c:v>
                </c:pt>
                <c:pt idx="41">
                  <c:v>57</c:v>
                </c:pt>
                <c:pt idx="42">
                  <c:v>57</c:v>
                </c:pt>
                <c:pt idx="43">
                  <c:v>57</c:v>
                </c:pt>
                <c:pt idx="44">
                  <c:v>57</c:v>
                </c:pt>
                <c:pt idx="45">
                  <c:v>57</c:v>
                </c:pt>
                <c:pt idx="46">
                  <c:v>59</c:v>
                </c:pt>
                <c:pt idx="47">
                  <c:v>60</c:v>
                </c:pt>
                <c:pt idx="48">
                  <c:v>62</c:v>
                </c:pt>
                <c:pt idx="49">
                  <c:v>63</c:v>
                </c:pt>
                <c:pt idx="50">
                  <c:v>63</c:v>
                </c:pt>
                <c:pt idx="51">
                  <c:v>63</c:v>
                </c:pt>
                <c:pt idx="52">
                  <c:v>67</c:v>
                </c:pt>
                <c:pt idx="53">
                  <c:v>70</c:v>
                </c:pt>
                <c:pt idx="54">
                  <c:v>72</c:v>
                </c:pt>
                <c:pt idx="55">
                  <c:v>75</c:v>
                </c:pt>
                <c:pt idx="56">
                  <c:v>78</c:v>
                </c:pt>
                <c:pt idx="57">
                  <c:v>78</c:v>
                </c:pt>
                <c:pt idx="58">
                  <c:v>78</c:v>
                </c:pt>
                <c:pt idx="59">
                  <c:v>83</c:v>
                </c:pt>
                <c:pt idx="60">
                  <c:v>86</c:v>
                </c:pt>
                <c:pt idx="61">
                  <c:v>90</c:v>
                </c:pt>
                <c:pt idx="62">
                  <c:v>93</c:v>
                </c:pt>
                <c:pt idx="63">
                  <c:v>98</c:v>
                </c:pt>
                <c:pt idx="64">
                  <c:v>98</c:v>
                </c:pt>
                <c:pt idx="65">
                  <c:v>98</c:v>
                </c:pt>
                <c:pt idx="66">
                  <c:v>98</c:v>
                </c:pt>
                <c:pt idx="67">
                  <c:v>98</c:v>
                </c:pt>
                <c:pt idx="68">
                  <c:v>98</c:v>
                </c:pt>
                <c:pt idx="69">
                  <c:v>98</c:v>
                </c:pt>
                <c:pt idx="70">
                  <c:v>98</c:v>
                </c:pt>
                <c:pt idx="71">
                  <c:v>98</c:v>
                </c:pt>
                <c:pt idx="72">
                  <c:v>98</c:v>
                </c:pt>
                <c:pt idx="73">
                  <c:v>98</c:v>
                </c:pt>
                <c:pt idx="74">
                  <c:v>102</c:v>
                </c:pt>
                <c:pt idx="75">
                  <c:v>104</c:v>
                </c:pt>
                <c:pt idx="76">
                  <c:v>105</c:v>
                </c:pt>
                <c:pt idx="77">
                  <c:v>106</c:v>
                </c:pt>
                <c:pt idx="78">
                  <c:v>107</c:v>
                </c:pt>
                <c:pt idx="79">
                  <c:v>108</c:v>
                </c:pt>
                <c:pt idx="80">
                  <c:v>110</c:v>
                </c:pt>
                <c:pt idx="81">
                  <c:v>111</c:v>
                </c:pt>
                <c:pt idx="82">
                  <c:v>112</c:v>
                </c:pt>
                <c:pt idx="83">
                  <c:v>113</c:v>
                </c:pt>
                <c:pt idx="84">
                  <c:v>114</c:v>
                </c:pt>
                <c:pt idx="85">
                  <c:v>114</c:v>
                </c:pt>
                <c:pt idx="86">
                  <c:v>114</c:v>
                </c:pt>
                <c:pt idx="87">
                  <c:v>116</c:v>
                </c:pt>
                <c:pt idx="88">
                  <c:v>119</c:v>
                </c:pt>
                <c:pt idx="89">
                  <c:v>121</c:v>
                </c:pt>
                <c:pt idx="90">
                  <c:v>122</c:v>
                </c:pt>
                <c:pt idx="91">
                  <c:v>125</c:v>
                </c:pt>
                <c:pt idx="92">
                  <c:v>125</c:v>
                </c:pt>
                <c:pt idx="93">
                  <c:v>125</c:v>
                </c:pt>
                <c:pt idx="94">
                  <c:v>126</c:v>
                </c:pt>
                <c:pt idx="95">
                  <c:v>129</c:v>
                </c:pt>
                <c:pt idx="96">
                  <c:v>132</c:v>
                </c:pt>
                <c:pt idx="97">
                  <c:v>136</c:v>
                </c:pt>
                <c:pt idx="98">
                  <c:v>136</c:v>
                </c:pt>
                <c:pt idx="99">
                  <c:v>136</c:v>
                </c:pt>
                <c:pt idx="100">
                  <c:v>136</c:v>
                </c:pt>
                <c:pt idx="101">
                  <c:v>141</c:v>
                </c:pt>
                <c:pt idx="102">
                  <c:v>143</c:v>
                </c:pt>
                <c:pt idx="103">
                  <c:v>144</c:v>
                </c:pt>
                <c:pt idx="104">
                  <c:v>147</c:v>
                </c:pt>
                <c:pt idx="105">
                  <c:v>149</c:v>
                </c:pt>
                <c:pt idx="106">
                  <c:v>149</c:v>
                </c:pt>
                <c:pt idx="107">
                  <c:v>149</c:v>
                </c:pt>
                <c:pt idx="108">
                  <c:v>150</c:v>
                </c:pt>
                <c:pt idx="109">
                  <c:v>151</c:v>
                </c:pt>
                <c:pt idx="110">
                  <c:v>152</c:v>
                </c:pt>
                <c:pt idx="111">
                  <c:v>154</c:v>
                </c:pt>
                <c:pt idx="112">
                  <c:v>159</c:v>
                </c:pt>
                <c:pt idx="113">
                  <c:v>159</c:v>
                </c:pt>
                <c:pt idx="114">
                  <c:v>159</c:v>
                </c:pt>
                <c:pt idx="115">
                  <c:v>161</c:v>
                </c:pt>
                <c:pt idx="116">
                  <c:v>164</c:v>
                </c:pt>
                <c:pt idx="117">
                  <c:v>166</c:v>
                </c:pt>
                <c:pt idx="118">
                  <c:v>169</c:v>
                </c:pt>
                <c:pt idx="119">
                  <c:v>172</c:v>
                </c:pt>
                <c:pt idx="120">
                  <c:v>172</c:v>
                </c:pt>
                <c:pt idx="121">
                  <c:v>172</c:v>
                </c:pt>
                <c:pt idx="122">
                  <c:v>175</c:v>
                </c:pt>
                <c:pt idx="123">
                  <c:v>178</c:v>
                </c:pt>
                <c:pt idx="124">
                  <c:v>181</c:v>
                </c:pt>
                <c:pt idx="125">
                  <c:v>184</c:v>
                </c:pt>
                <c:pt idx="126">
                  <c:v>187</c:v>
                </c:pt>
                <c:pt idx="127">
                  <c:v>187</c:v>
                </c:pt>
                <c:pt idx="128">
                  <c:v>187</c:v>
                </c:pt>
                <c:pt idx="129">
                  <c:v>187</c:v>
                </c:pt>
                <c:pt idx="130">
                  <c:v>187</c:v>
                </c:pt>
                <c:pt idx="131">
                  <c:v>187</c:v>
                </c:pt>
                <c:pt idx="132">
                  <c:v>187</c:v>
                </c:pt>
                <c:pt idx="133">
                  <c:v>187</c:v>
                </c:pt>
                <c:pt idx="134">
                  <c:v>187</c:v>
                </c:pt>
                <c:pt idx="135">
                  <c:v>187</c:v>
                </c:pt>
                <c:pt idx="136">
                  <c:v>187</c:v>
                </c:pt>
                <c:pt idx="137">
                  <c:v>187</c:v>
                </c:pt>
                <c:pt idx="138">
                  <c:v>187</c:v>
                </c:pt>
                <c:pt idx="139">
                  <c:v>187</c:v>
                </c:pt>
                <c:pt idx="140">
                  <c:v>187</c:v>
                </c:pt>
                <c:pt idx="141">
                  <c:v>187</c:v>
                </c:pt>
                <c:pt idx="142">
                  <c:v>187</c:v>
                </c:pt>
                <c:pt idx="143">
                  <c:v>189</c:v>
                </c:pt>
                <c:pt idx="144">
                  <c:v>189</c:v>
                </c:pt>
                <c:pt idx="145">
                  <c:v>189</c:v>
                </c:pt>
                <c:pt idx="146">
                  <c:v>191</c:v>
                </c:pt>
                <c:pt idx="147">
                  <c:v>191</c:v>
                </c:pt>
                <c:pt idx="148">
                  <c:v>191</c:v>
                </c:pt>
                <c:pt idx="149">
                  <c:v>191</c:v>
                </c:pt>
                <c:pt idx="150">
                  <c:v>191</c:v>
                </c:pt>
                <c:pt idx="151">
                  <c:v>191</c:v>
                </c:pt>
                <c:pt idx="152">
                  <c:v>191</c:v>
                </c:pt>
                <c:pt idx="153">
                  <c:v>191</c:v>
                </c:pt>
                <c:pt idx="154">
                  <c:v>191</c:v>
                </c:pt>
                <c:pt idx="155">
                  <c:v>191</c:v>
                </c:pt>
                <c:pt idx="156">
                  <c:v>191</c:v>
                </c:pt>
                <c:pt idx="157">
                  <c:v>191</c:v>
                </c:pt>
                <c:pt idx="158">
                  <c:v>191</c:v>
                </c:pt>
                <c:pt idx="159">
                  <c:v>191</c:v>
                </c:pt>
                <c:pt idx="160">
                  <c:v>191</c:v>
                </c:pt>
                <c:pt idx="161">
                  <c:v>191</c:v>
                </c:pt>
                <c:pt idx="162">
                  <c:v>191</c:v>
                </c:pt>
                <c:pt idx="163">
                  <c:v>191</c:v>
                </c:pt>
                <c:pt idx="164">
                  <c:v>191</c:v>
                </c:pt>
                <c:pt idx="165">
                  <c:v>192</c:v>
                </c:pt>
                <c:pt idx="166">
                  <c:v>194</c:v>
                </c:pt>
                <c:pt idx="167">
                  <c:v>194</c:v>
                </c:pt>
                <c:pt idx="168">
                  <c:v>194</c:v>
                </c:pt>
                <c:pt idx="169">
                  <c:v>194</c:v>
                </c:pt>
                <c:pt idx="170">
                  <c:v>194</c:v>
                </c:pt>
                <c:pt idx="171">
                  <c:v>194</c:v>
                </c:pt>
                <c:pt idx="172">
                  <c:v>194</c:v>
                </c:pt>
                <c:pt idx="173">
                  <c:v>194</c:v>
                </c:pt>
                <c:pt idx="174">
                  <c:v>194</c:v>
                </c:pt>
                <c:pt idx="175">
                  <c:v>194</c:v>
                </c:pt>
                <c:pt idx="176">
                  <c:v>194</c:v>
                </c:pt>
                <c:pt idx="177">
                  <c:v>194</c:v>
                </c:pt>
                <c:pt idx="178">
                  <c:v>194</c:v>
                </c:pt>
                <c:pt idx="179">
                  <c:v>194</c:v>
                </c:pt>
                <c:pt idx="180">
                  <c:v>194</c:v>
                </c:pt>
                <c:pt idx="181">
                  <c:v>194</c:v>
                </c:pt>
                <c:pt idx="182">
                  <c:v>194</c:v>
                </c:pt>
                <c:pt idx="183">
                  <c:v>194</c:v>
                </c:pt>
                <c:pt idx="184">
                  <c:v>194</c:v>
                </c:pt>
                <c:pt idx="185">
                  <c:v>194</c:v>
                </c:pt>
                <c:pt idx="186">
                  <c:v>194</c:v>
                </c:pt>
                <c:pt idx="187">
                  <c:v>194</c:v>
                </c:pt>
                <c:pt idx="188">
                  <c:v>194</c:v>
                </c:pt>
                <c:pt idx="189">
                  <c:v>194</c:v>
                </c:pt>
                <c:pt idx="190">
                  <c:v>194</c:v>
                </c:pt>
                <c:pt idx="191">
                  <c:v>194</c:v>
                </c:pt>
                <c:pt idx="192">
                  <c:v>195</c:v>
                </c:pt>
                <c:pt idx="193">
                  <c:v>195</c:v>
                </c:pt>
                <c:pt idx="194">
                  <c:v>195</c:v>
                </c:pt>
                <c:pt idx="195">
                  <c:v>195</c:v>
                </c:pt>
                <c:pt idx="196">
                  <c:v>195</c:v>
                </c:pt>
                <c:pt idx="197">
                  <c:v>195</c:v>
                </c:pt>
                <c:pt idx="198">
                  <c:v>195</c:v>
                </c:pt>
                <c:pt idx="199">
                  <c:v>195</c:v>
                </c:pt>
                <c:pt idx="200">
                  <c:v>195</c:v>
                </c:pt>
                <c:pt idx="201">
                  <c:v>195</c:v>
                </c:pt>
                <c:pt idx="202">
                  <c:v>195</c:v>
                </c:pt>
                <c:pt idx="203">
                  <c:v>195</c:v>
                </c:pt>
                <c:pt idx="204">
                  <c:v>195</c:v>
                </c:pt>
                <c:pt idx="205">
                  <c:v>195</c:v>
                </c:pt>
                <c:pt idx="206">
                  <c:v>195</c:v>
                </c:pt>
                <c:pt idx="207">
                  <c:v>195</c:v>
                </c:pt>
                <c:pt idx="208">
                  <c:v>195</c:v>
                </c:pt>
                <c:pt idx="209">
                  <c:v>195</c:v>
                </c:pt>
                <c:pt idx="210">
                  <c:v>195</c:v>
                </c:pt>
                <c:pt idx="211">
                  <c:v>195</c:v>
                </c:pt>
                <c:pt idx="212">
                  <c:v>195</c:v>
                </c:pt>
                <c:pt idx="213">
                  <c:v>195</c:v>
                </c:pt>
                <c:pt idx="214">
                  <c:v>195</c:v>
                </c:pt>
                <c:pt idx="215">
                  <c:v>195</c:v>
                </c:pt>
                <c:pt idx="216">
                  <c:v>195</c:v>
                </c:pt>
                <c:pt idx="217">
                  <c:v>195</c:v>
                </c:pt>
                <c:pt idx="218">
                  <c:v>195</c:v>
                </c:pt>
                <c:pt idx="219">
                  <c:v>195</c:v>
                </c:pt>
                <c:pt idx="220">
                  <c:v>195</c:v>
                </c:pt>
                <c:pt idx="221">
                  <c:v>195</c:v>
                </c:pt>
                <c:pt idx="222">
                  <c:v>195</c:v>
                </c:pt>
                <c:pt idx="223">
                  <c:v>196</c:v>
                </c:pt>
                <c:pt idx="224">
                  <c:v>196</c:v>
                </c:pt>
                <c:pt idx="225">
                  <c:v>196</c:v>
                </c:pt>
                <c:pt idx="226">
                  <c:v>196</c:v>
                </c:pt>
                <c:pt idx="227">
                  <c:v>198</c:v>
                </c:pt>
                <c:pt idx="228">
                  <c:v>201</c:v>
                </c:pt>
                <c:pt idx="229">
                  <c:v>201</c:v>
                </c:pt>
                <c:pt idx="230">
                  <c:v>201</c:v>
                </c:pt>
                <c:pt idx="231">
                  <c:v>201</c:v>
                </c:pt>
                <c:pt idx="232">
                  <c:v>201</c:v>
                </c:pt>
                <c:pt idx="233">
                  <c:v>201</c:v>
                </c:pt>
                <c:pt idx="234">
                  <c:v>203</c:v>
                </c:pt>
                <c:pt idx="235">
                  <c:v>205</c:v>
                </c:pt>
                <c:pt idx="236">
                  <c:v>206</c:v>
                </c:pt>
                <c:pt idx="237">
                  <c:v>206</c:v>
                </c:pt>
                <c:pt idx="238">
                  <c:v>206</c:v>
                </c:pt>
                <c:pt idx="239">
                  <c:v>206</c:v>
                </c:pt>
                <c:pt idx="240">
                  <c:v>206</c:v>
                </c:pt>
                <c:pt idx="241">
                  <c:v>207</c:v>
                </c:pt>
                <c:pt idx="242">
                  <c:v>209</c:v>
                </c:pt>
                <c:pt idx="243">
                  <c:v>210</c:v>
                </c:pt>
                <c:pt idx="244">
                  <c:v>210</c:v>
                </c:pt>
                <c:pt idx="245">
                  <c:v>210</c:v>
                </c:pt>
                <c:pt idx="246">
                  <c:v>210</c:v>
                </c:pt>
                <c:pt idx="247">
                  <c:v>210</c:v>
                </c:pt>
                <c:pt idx="248">
                  <c:v>211</c:v>
                </c:pt>
                <c:pt idx="249">
                  <c:v>211</c:v>
                </c:pt>
                <c:pt idx="250">
                  <c:v>212</c:v>
                </c:pt>
                <c:pt idx="251">
                  <c:v>214</c:v>
                </c:pt>
                <c:pt idx="252">
                  <c:v>214</c:v>
                </c:pt>
                <c:pt idx="253">
                  <c:v>214</c:v>
                </c:pt>
                <c:pt idx="254">
                  <c:v>214</c:v>
                </c:pt>
                <c:pt idx="255">
                  <c:v>214</c:v>
                </c:pt>
                <c:pt idx="256">
                  <c:v>216</c:v>
                </c:pt>
                <c:pt idx="257">
                  <c:v>221</c:v>
                </c:pt>
                <c:pt idx="258">
                  <c:v>221</c:v>
                </c:pt>
                <c:pt idx="259">
                  <c:v>221</c:v>
                </c:pt>
                <c:pt idx="260">
                  <c:v>221</c:v>
                </c:pt>
                <c:pt idx="261">
                  <c:v>221</c:v>
                </c:pt>
                <c:pt idx="262">
                  <c:v>224</c:v>
                </c:pt>
                <c:pt idx="263">
                  <c:v>226</c:v>
                </c:pt>
                <c:pt idx="264">
                  <c:v>228</c:v>
                </c:pt>
                <c:pt idx="265">
                  <c:v>229</c:v>
                </c:pt>
                <c:pt idx="266">
                  <c:v>230</c:v>
                </c:pt>
                <c:pt idx="267">
                  <c:v>230</c:v>
                </c:pt>
                <c:pt idx="268">
                  <c:v>230</c:v>
                </c:pt>
                <c:pt idx="269">
                  <c:v>231</c:v>
                </c:pt>
                <c:pt idx="270">
                  <c:v>231</c:v>
                </c:pt>
                <c:pt idx="271">
                  <c:v>232</c:v>
                </c:pt>
                <c:pt idx="272">
                  <c:v>232</c:v>
                </c:pt>
                <c:pt idx="273">
                  <c:v>232</c:v>
                </c:pt>
                <c:pt idx="274">
                  <c:v>232</c:v>
                </c:pt>
                <c:pt idx="275">
                  <c:v>232</c:v>
                </c:pt>
                <c:pt idx="276">
                  <c:v>232</c:v>
                </c:pt>
                <c:pt idx="277">
                  <c:v>232</c:v>
                </c:pt>
                <c:pt idx="278">
                  <c:v>232</c:v>
                </c:pt>
                <c:pt idx="279">
                  <c:v>232</c:v>
                </c:pt>
                <c:pt idx="280">
                  <c:v>232</c:v>
                </c:pt>
                <c:pt idx="281">
                  <c:v>232</c:v>
                </c:pt>
                <c:pt idx="282">
                  <c:v>232</c:v>
                </c:pt>
                <c:pt idx="283">
                  <c:v>232</c:v>
                </c:pt>
                <c:pt idx="284">
                  <c:v>232</c:v>
                </c:pt>
                <c:pt idx="285">
                  <c:v>232</c:v>
                </c:pt>
                <c:pt idx="286">
                  <c:v>232</c:v>
                </c:pt>
                <c:pt idx="287">
                  <c:v>232</c:v>
                </c:pt>
                <c:pt idx="288">
                  <c:v>232</c:v>
                </c:pt>
                <c:pt idx="289">
                  <c:v>232</c:v>
                </c:pt>
                <c:pt idx="290">
                  <c:v>232</c:v>
                </c:pt>
                <c:pt idx="291">
                  <c:v>232</c:v>
                </c:pt>
                <c:pt idx="292">
                  <c:v>232</c:v>
                </c:pt>
                <c:pt idx="293">
                  <c:v>232</c:v>
                </c:pt>
                <c:pt idx="294">
                  <c:v>232</c:v>
                </c:pt>
                <c:pt idx="295">
                  <c:v>232</c:v>
                </c:pt>
                <c:pt idx="296">
                  <c:v>232</c:v>
                </c:pt>
                <c:pt idx="297">
                  <c:v>232</c:v>
                </c:pt>
                <c:pt idx="298">
                  <c:v>232</c:v>
                </c:pt>
                <c:pt idx="299">
                  <c:v>232</c:v>
                </c:pt>
                <c:pt idx="300">
                  <c:v>232</c:v>
                </c:pt>
                <c:pt idx="301">
                  <c:v>232</c:v>
                </c:pt>
                <c:pt idx="302">
                  <c:v>232</c:v>
                </c:pt>
                <c:pt idx="303">
                  <c:v>232</c:v>
                </c:pt>
                <c:pt idx="304">
                  <c:v>232</c:v>
                </c:pt>
                <c:pt idx="305">
                  <c:v>232</c:v>
                </c:pt>
                <c:pt idx="306">
                  <c:v>232</c:v>
                </c:pt>
                <c:pt idx="307">
                  <c:v>232</c:v>
                </c:pt>
                <c:pt idx="308">
                  <c:v>232</c:v>
                </c:pt>
                <c:pt idx="309">
                  <c:v>232</c:v>
                </c:pt>
                <c:pt idx="310">
                  <c:v>232</c:v>
                </c:pt>
                <c:pt idx="311">
                  <c:v>232</c:v>
                </c:pt>
                <c:pt idx="312">
                  <c:v>232</c:v>
                </c:pt>
                <c:pt idx="313">
                  <c:v>232</c:v>
                </c:pt>
                <c:pt idx="314">
                  <c:v>232</c:v>
                </c:pt>
                <c:pt idx="315">
                  <c:v>232</c:v>
                </c:pt>
                <c:pt idx="316">
                  <c:v>234</c:v>
                </c:pt>
                <c:pt idx="317">
                  <c:v>235</c:v>
                </c:pt>
                <c:pt idx="318">
                  <c:v>235</c:v>
                </c:pt>
                <c:pt idx="319">
                  <c:v>237</c:v>
                </c:pt>
                <c:pt idx="320">
                  <c:v>239</c:v>
                </c:pt>
                <c:pt idx="321">
                  <c:v>239</c:v>
                </c:pt>
                <c:pt idx="322">
                  <c:v>239</c:v>
                </c:pt>
                <c:pt idx="323">
                  <c:v>239</c:v>
                </c:pt>
                <c:pt idx="324">
                  <c:v>239</c:v>
                </c:pt>
                <c:pt idx="325">
                  <c:v>239</c:v>
                </c:pt>
                <c:pt idx="326">
                  <c:v>239</c:v>
                </c:pt>
                <c:pt idx="327">
                  <c:v>239</c:v>
                </c:pt>
                <c:pt idx="328">
                  <c:v>239</c:v>
                </c:pt>
                <c:pt idx="329">
                  <c:v>239</c:v>
                </c:pt>
                <c:pt idx="330">
                  <c:v>239</c:v>
                </c:pt>
                <c:pt idx="331">
                  <c:v>239</c:v>
                </c:pt>
                <c:pt idx="332">
                  <c:v>239</c:v>
                </c:pt>
                <c:pt idx="333">
                  <c:v>239</c:v>
                </c:pt>
                <c:pt idx="334">
                  <c:v>241</c:v>
                </c:pt>
              </c:numCache>
            </c:numRef>
          </c:yVal>
          <c:smooth val="0"/>
          <c:extLst>
            <c:ext xmlns:c16="http://schemas.microsoft.com/office/drawing/2014/chart" uri="{C3380CC4-5D6E-409C-BE32-E72D297353CC}">
              <c16:uniqueId val="{00000000-F6A4-4A53-8DC9-C403FB582FE7}"/>
            </c:ext>
          </c:extLst>
        </c:ser>
        <c:ser>
          <c:idx val="2"/>
          <c:order val="1"/>
          <c:tx>
            <c:v>Success</c:v>
          </c:tx>
          <c:spPr>
            <a:ln w="19050" cap="rnd">
              <a:solidFill>
                <a:schemeClr val="accent6"/>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Daily!$AB$4:$AB$440</c:f>
              <c:numCache>
                <c:formatCode>General</c:formatCode>
                <c:ptCount val="335"/>
                <c:pt idx="0">
                  <c:v>1</c:v>
                </c:pt>
                <c:pt idx="1">
                  <c:v>1</c:v>
                </c:pt>
                <c:pt idx="2">
                  <c:v>1</c:v>
                </c:pt>
                <c:pt idx="3">
                  <c:v>1</c:v>
                </c:pt>
                <c:pt idx="4">
                  <c:v>3</c:v>
                </c:pt>
                <c:pt idx="5">
                  <c:v>5</c:v>
                </c:pt>
                <c:pt idx="6">
                  <c:v>6</c:v>
                </c:pt>
                <c:pt idx="7">
                  <c:v>9</c:v>
                </c:pt>
                <c:pt idx="8">
                  <c:v>9</c:v>
                </c:pt>
                <c:pt idx="9">
                  <c:v>9</c:v>
                </c:pt>
                <c:pt idx="10">
                  <c:v>9</c:v>
                </c:pt>
                <c:pt idx="11">
                  <c:v>11</c:v>
                </c:pt>
                <c:pt idx="12">
                  <c:v>12</c:v>
                </c:pt>
                <c:pt idx="13">
                  <c:v>15</c:v>
                </c:pt>
                <c:pt idx="14">
                  <c:v>18</c:v>
                </c:pt>
                <c:pt idx="15">
                  <c:v>18</c:v>
                </c:pt>
                <c:pt idx="16">
                  <c:v>18</c:v>
                </c:pt>
                <c:pt idx="17">
                  <c:v>18</c:v>
                </c:pt>
                <c:pt idx="18">
                  <c:v>21</c:v>
                </c:pt>
                <c:pt idx="19">
                  <c:v>22</c:v>
                </c:pt>
                <c:pt idx="20">
                  <c:v>23</c:v>
                </c:pt>
                <c:pt idx="21">
                  <c:v>23</c:v>
                </c:pt>
                <c:pt idx="22">
                  <c:v>23</c:v>
                </c:pt>
                <c:pt idx="23">
                  <c:v>23</c:v>
                </c:pt>
                <c:pt idx="24">
                  <c:v>23</c:v>
                </c:pt>
                <c:pt idx="25">
                  <c:v>25</c:v>
                </c:pt>
                <c:pt idx="26">
                  <c:v>25</c:v>
                </c:pt>
                <c:pt idx="27">
                  <c:v>25</c:v>
                </c:pt>
                <c:pt idx="28">
                  <c:v>25</c:v>
                </c:pt>
                <c:pt idx="29">
                  <c:v>25</c:v>
                </c:pt>
                <c:pt idx="30">
                  <c:v>25</c:v>
                </c:pt>
                <c:pt idx="31">
                  <c:v>30</c:v>
                </c:pt>
                <c:pt idx="32">
                  <c:v>31</c:v>
                </c:pt>
                <c:pt idx="33">
                  <c:v>36</c:v>
                </c:pt>
                <c:pt idx="34">
                  <c:v>36</c:v>
                </c:pt>
                <c:pt idx="35">
                  <c:v>36</c:v>
                </c:pt>
                <c:pt idx="36">
                  <c:v>36</c:v>
                </c:pt>
                <c:pt idx="37">
                  <c:v>36</c:v>
                </c:pt>
                <c:pt idx="38">
                  <c:v>37</c:v>
                </c:pt>
                <c:pt idx="39">
                  <c:v>40</c:v>
                </c:pt>
                <c:pt idx="40">
                  <c:v>40</c:v>
                </c:pt>
                <c:pt idx="41">
                  <c:v>40</c:v>
                </c:pt>
                <c:pt idx="42">
                  <c:v>40</c:v>
                </c:pt>
                <c:pt idx="43">
                  <c:v>40</c:v>
                </c:pt>
                <c:pt idx="44">
                  <c:v>40</c:v>
                </c:pt>
                <c:pt idx="45">
                  <c:v>40</c:v>
                </c:pt>
                <c:pt idx="46">
                  <c:v>41</c:v>
                </c:pt>
                <c:pt idx="47">
                  <c:v>42</c:v>
                </c:pt>
                <c:pt idx="48">
                  <c:v>44</c:v>
                </c:pt>
                <c:pt idx="49">
                  <c:v>45</c:v>
                </c:pt>
                <c:pt idx="50">
                  <c:v>45</c:v>
                </c:pt>
                <c:pt idx="51">
                  <c:v>45</c:v>
                </c:pt>
                <c:pt idx="52">
                  <c:v>49</c:v>
                </c:pt>
                <c:pt idx="53">
                  <c:v>52</c:v>
                </c:pt>
                <c:pt idx="54">
                  <c:v>54</c:v>
                </c:pt>
                <c:pt idx="55">
                  <c:v>56</c:v>
                </c:pt>
                <c:pt idx="56">
                  <c:v>58</c:v>
                </c:pt>
                <c:pt idx="57">
                  <c:v>58</c:v>
                </c:pt>
                <c:pt idx="58">
                  <c:v>58</c:v>
                </c:pt>
                <c:pt idx="59">
                  <c:v>62</c:v>
                </c:pt>
                <c:pt idx="60">
                  <c:v>65</c:v>
                </c:pt>
                <c:pt idx="61">
                  <c:v>68</c:v>
                </c:pt>
                <c:pt idx="62">
                  <c:v>70</c:v>
                </c:pt>
                <c:pt idx="63">
                  <c:v>75</c:v>
                </c:pt>
                <c:pt idx="64">
                  <c:v>75</c:v>
                </c:pt>
                <c:pt idx="65">
                  <c:v>75</c:v>
                </c:pt>
                <c:pt idx="66">
                  <c:v>75</c:v>
                </c:pt>
                <c:pt idx="67">
                  <c:v>75</c:v>
                </c:pt>
                <c:pt idx="68">
                  <c:v>75</c:v>
                </c:pt>
                <c:pt idx="69">
                  <c:v>75</c:v>
                </c:pt>
                <c:pt idx="70">
                  <c:v>75</c:v>
                </c:pt>
                <c:pt idx="71">
                  <c:v>75</c:v>
                </c:pt>
                <c:pt idx="72">
                  <c:v>75</c:v>
                </c:pt>
                <c:pt idx="73">
                  <c:v>75</c:v>
                </c:pt>
                <c:pt idx="74">
                  <c:v>79</c:v>
                </c:pt>
                <c:pt idx="75">
                  <c:v>81</c:v>
                </c:pt>
                <c:pt idx="76">
                  <c:v>82</c:v>
                </c:pt>
                <c:pt idx="77">
                  <c:v>83</c:v>
                </c:pt>
                <c:pt idx="78">
                  <c:v>84</c:v>
                </c:pt>
                <c:pt idx="79">
                  <c:v>85</c:v>
                </c:pt>
                <c:pt idx="80">
                  <c:v>86</c:v>
                </c:pt>
                <c:pt idx="81">
                  <c:v>87</c:v>
                </c:pt>
                <c:pt idx="82">
                  <c:v>88</c:v>
                </c:pt>
                <c:pt idx="83">
                  <c:v>89</c:v>
                </c:pt>
                <c:pt idx="84">
                  <c:v>90</c:v>
                </c:pt>
                <c:pt idx="85">
                  <c:v>90</c:v>
                </c:pt>
                <c:pt idx="86">
                  <c:v>90</c:v>
                </c:pt>
                <c:pt idx="87">
                  <c:v>92</c:v>
                </c:pt>
                <c:pt idx="88">
                  <c:v>95</c:v>
                </c:pt>
                <c:pt idx="89">
                  <c:v>96</c:v>
                </c:pt>
                <c:pt idx="90">
                  <c:v>97</c:v>
                </c:pt>
                <c:pt idx="91">
                  <c:v>100</c:v>
                </c:pt>
                <c:pt idx="92">
                  <c:v>100</c:v>
                </c:pt>
                <c:pt idx="93">
                  <c:v>100</c:v>
                </c:pt>
                <c:pt idx="94">
                  <c:v>101</c:v>
                </c:pt>
                <c:pt idx="95">
                  <c:v>104</c:v>
                </c:pt>
                <c:pt idx="96">
                  <c:v>107</c:v>
                </c:pt>
                <c:pt idx="97">
                  <c:v>110</c:v>
                </c:pt>
                <c:pt idx="98">
                  <c:v>110</c:v>
                </c:pt>
                <c:pt idx="99">
                  <c:v>110</c:v>
                </c:pt>
                <c:pt idx="100">
                  <c:v>110</c:v>
                </c:pt>
                <c:pt idx="101">
                  <c:v>115</c:v>
                </c:pt>
                <c:pt idx="102">
                  <c:v>116</c:v>
                </c:pt>
                <c:pt idx="103">
                  <c:v>117</c:v>
                </c:pt>
                <c:pt idx="104">
                  <c:v>119</c:v>
                </c:pt>
                <c:pt idx="105">
                  <c:v>121</c:v>
                </c:pt>
                <c:pt idx="106">
                  <c:v>121</c:v>
                </c:pt>
                <c:pt idx="107">
                  <c:v>121</c:v>
                </c:pt>
                <c:pt idx="108">
                  <c:v>122</c:v>
                </c:pt>
                <c:pt idx="109">
                  <c:v>123</c:v>
                </c:pt>
                <c:pt idx="110">
                  <c:v>123</c:v>
                </c:pt>
                <c:pt idx="111">
                  <c:v>124</c:v>
                </c:pt>
                <c:pt idx="112">
                  <c:v>128</c:v>
                </c:pt>
                <c:pt idx="113">
                  <c:v>128</c:v>
                </c:pt>
                <c:pt idx="114">
                  <c:v>128</c:v>
                </c:pt>
                <c:pt idx="115">
                  <c:v>130</c:v>
                </c:pt>
                <c:pt idx="116">
                  <c:v>132</c:v>
                </c:pt>
                <c:pt idx="117">
                  <c:v>134</c:v>
                </c:pt>
                <c:pt idx="118">
                  <c:v>137</c:v>
                </c:pt>
                <c:pt idx="119">
                  <c:v>140</c:v>
                </c:pt>
                <c:pt idx="120">
                  <c:v>140</c:v>
                </c:pt>
                <c:pt idx="121">
                  <c:v>140</c:v>
                </c:pt>
                <c:pt idx="122">
                  <c:v>143</c:v>
                </c:pt>
                <c:pt idx="123">
                  <c:v>145</c:v>
                </c:pt>
                <c:pt idx="124">
                  <c:v>148</c:v>
                </c:pt>
                <c:pt idx="125">
                  <c:v>150</c:v>
                </c:pt>
                <c:pt idx="126">
                  <c:v>153</c:v>
                </c:pt>
                <c:pt idx="127">
                  <c:v>153</c:v>
                </c:pt>
                <c:pt idx="128">
                  <c:v>153</c:v>
                </c:pt>
                <c:pt idx="129">
                  <c:v>153</c:v>
                </c:pt>
                <c:pt idx="130">
                  <c:v>153</c:v>
                </c:pt>
                <c:pt idx="131">
                  <c:v>153</c:v>
                </c:pt>
                <c:pt idx="132">
                  <c:v>153</c:v>
                </c:pt>
                <c:pt idx="133">
                  <c:v>153</c:v>
                </c:pt>
                <c:pt idx="134">
                  <c:v>153</c:v>
                </c:pt>
                <c:pt idx="135">
                  <c:v>153</c:v>
                </c:pt>
                <c:pt idx="136">
                  <c:v>153</c:v>
                </c:pt>
                <c:pt idx="137">
                  <c:v>153</c:v>
                </c:pt>
                <c:pt idx="138">
                  <c:v>153</c:v>
                </c:pt>
                <c:pt idx="139">
                  <c:v>153</c:v>
                </c:pt>
                <c:pt idx="140">
                  <c:v>153</c:v>
                </c:pt>
                <c:pt idx="141">
                  <c:v>153</c:v>
                </c:pt>
                <c:pt idx="142">
                  <c:v>153</c:v>
                </c:pt>
                <c:pt idx="143">
                  <c:v>155</c:v>
                </c:pt>
                <c:pt idx="144">
                  <c:v>155</c:v>
                </c:pt>
                <c:pt idx="145">
                  <c:v>155</c:v>
                </c:pt>
                <c:pt idx="146">
                  <c:v>157</c:v>
                </c:pt>
                <c:pt idx="147">
                  <c:v>157</c:v>
                </c:pt>
                <c:pt idx="148">
                  <c:v>157</c:v>
                </c:pt>
                <c:pt idx="149">
                  <c:v>157</c:v>
                </c:pt>
                <c:pt idx="150">
                  <c:v>157</c:v>
                </c:pt>
                <c:pt idx="151">
                  <c:v>157</c:v>
                </c:pt>
                <c:pt idx="152">
                  <c:v>157</c:v>
                </c:pt>
                <c:pt idx="153">
                  <c:v>157</c:v>
                </c:pt>
                <c:pt idx="154">
                  <c:v>157</c:v>
                </c:pt>
                <c:pt idx="155">
                  <c:v>157</c:v>
                </c:pt>
                <c:pt idx="156">
                  <c:v>157</c:v>
                </c:pt>
                <c:pt idx="157">
                  <c:v>157</c:v>
                </c:pt>
                <c:pt idx="158">
                  <c:v>157</c:v>
                </c:pt>
                <c:pt idx="159">
                  <c:v>157</c:v>
                </c:pt>
                <c:pt idx="160">
                  <c:v>157</c:v>
                </c:pt>
                <c:pt idx="161">
                  <c:v>157</c:v>
                </c:pt>
                <c:pt idx="162">
                  <c:v>157</c:v>
                </c:pt>
                <c:pt idx="163">
                  <c:v>157</c:v>
                </c:pt>
                <c:pt idx="164">
                  <c:v>157</c:v>
                </c:pt>
                <c:pt idx="165">
                  <c:v>158</c:v>
                </c:pt>
                <c:pt idx="166">
                  <c:v>160</c:v>
                </c:pt>
                <c:pt idx="167">
                  <c:v>160</c:v>
                </c:pt>
                <c:pt idx="168">
                  <c:v>160</c:v>
                </c:pt>
                <c:pt idx="169">
                  <c:v>160</c:v>
                </c:pt>
                <c:pt idx="170">
                  <c:v>160</c:v>
                </c:pt>
                <c:pt idx="171">
                  <c:v>160</c:v>
                </c:pt>
                <c:pt idx="172">
                  <c:v>160</c:v>
                </c:pt>
                <c:pt idx="173">
                  <c:v>160</c:v>
                </c:pt>
                <c:pt idx="174">
                  <c:v>160</c:v>
                </c:pt>
                <c:pt idx="175">
                  <c:v>160</c:v>
                </c:pt>
                <c:pt idx="176">
                  <c:v>160</c:v>
                </c:pt>
                <c:pt idx="177">
                  <c:v>160</c:v>
                </c:pt>
                <c:pt idx="178">
                  <c:v>160</c:v>
                </c:pt>
                <c:pt idx="179">
                  <c:v>160</c:v>
                </c:pt>
                <c:pt idx="180">
                  <c:v>160</c:v>
                </c:pt>
                <c:pt idx="181">
                  <c:v>160</c:v>
                </c:pt>
                <c:pt idx="182">
                  <c:v>160</c:v>
                </c:pt>
                <c:pt idx="183">
                  <c:v>160</c:v>
                </c:pt>
                <c:pt idx="184">
                  <c:v>160</c:v>
                </c:pt>
                <c:pt idx="185">
                  <c:v>160</c:v>
                </c:pt>
                <c:pt idx="186">
                  <c:v>160</c:v>
                </c:pt>
                <c:pt idx="187">
                  <c:v>160</c:v>
                </c:pt>
                <c:pt idx="188">
                  <c:v>160</c:v>
                </c:pt>
                <c:pt idx="189">
                  <c:v>160</c:v>
                </c:pt>
                <c:pt idx="190">
                  <c:v>160</c:v>
                </c:pt>
                <c:pt idx="191">
                  <c:v>160</c:v>
                </c:pt>
                <c:pt idx="192">
                  <c:v>161</c:v>
                </c:pt>
                <c:pt idx="193">
                  <c:v>161</c:v>
                </c:pt>
                <c:pt idx="194">
                  <c:v>161</c:v>
                </c:pt>
                <c:pt idx="195">
                  <c:v>161</c:v>
                </c:pt>
                <c:pt idx="196">
                  <c:v>161</c:v>
                </c:pt>
                <c:pt idx="197">
                  <c:v>161</c:v>
                </c:pt>
                <c:pt idx="198">
                  <c:v>161</c:v>
                </c:pt>
                <c:pt idx="199">
                  <c:v>161</c:v>
                </c:pt>
                <c:pt idx="200">
                  <c:v>161</c:v>
                </c:pt>
                <c:pt idx="201">
                  <c:v>161</c:v>
                </c:pt>
                <c:pt idx="202">
                  <c:v>161</c:v>
                </c:pt>
                <c:pt idx="203">
                  <c:v>161</c:v>
                </c:pt>
                <c:pt idx="204">
                  <c:v>161</c:v>
                </c:pt>
                <c:pt idx="205">
                  <c:v>161</c:v>
                </c:pt>
                <c:pt idx="206">
                  <c:v>161</c:v>
                </c:pt>
                <c:pt idx="207">
                  <c:v>161</c:v>
                </c:pt>
                <c:pt idx="208">
                  <c:v>161</c:v>
                </c:pt>
                <c:pt idx="209">
                  <c:v>161</c:v>
                </c:pt>
                <c:pt idx="210">
                  <c:v>161</c:v>
                </c:pt>
                <c:pt idx="211">
                  <c:v>161</c:v>
                </c:pt>
                <c:pt idx="212">
                  <c:v>161</c:v>
                </c:pt>
                <c:pt idx="213">
                  <c:v>161</c:v>
                </c:pt>
                <c:pt idx="214">
                  <c:v>161</c:v>
                </c:pt>
                <c:pt idx="215">
                  <c:v>161</c:v>
                </c:pt>
                <c:pt idx="216">
                  <c:v>161</c:v>
                </c:pt>
                <c:pt idx="217">
                  <c:v>161</c:v>
                </c:pt>
                <c:pt idx="218">
                  <c:v>161</c:v>
                </c:pt>
                <c:pt idx="219">
                  <c:v>161</c:v>
                </c:pt>
                <c:pt idx="220">
                  <c:v>161</c:v>
                </c:pt>
                <c:pt idx="221">
                  <c:v>161</c:v>
                </c:pt>
                <c:pt idx="222">
                  <c:v>161</c:v>
                </c:pt>
                <c:pt idx="223">
                  <c:v>162</c:v>
                </c:pt>
                <c:pt idx="224">
                  <c:v>162</c:v>
                </c:pt>
                <c:pt idx="225">
                  <c:v>162</c:v>
                </c:pt>
                <c:pt idx="226">
                  <c:v>162</c:v>
                </c:pt>
                <c:pt idx="227">
                  <c:v>162</c:v>
                </c:pt>
                <c:pt idx="228">
                  <c:v>165</c:v>
                </c:pt>
                <c:pt idx="229">
                  <c:v>165</c:v>
                </c:pt>
                <c:pt idx="230">
                  <c:v>165</c:v>
                </c:pt>
                <c:pt idx="231">
                  <c:v>165</c:v>
                </c:pt>
                <c:pt idx="232">
                  <c:v>165</c:v>
                </c:pt>
                <c:pt idx="233">
                  <c:v>165</c:v>
                </c:pt>
                <c:pt idx="234">
                  <c:v>167</c:v>
                </c:pt>
                <c:pt idx="235">
                  <c:v>167</c:v>
                </c:pt>
                <c:pt idx="236">
                  <c:v>167</c:v>
                </c:pt>
                <c:pt idx="237">
                  <c:v>167</c:v>
                </c:pt>
                <c:pt idx="238">
                  <c:v>167</c:v>
                </c:pt>
                <c:pt idx="239">
                  <c:v>167</c:v>
                </c:pt>
                <c:pt idx="240">
                  <c:v>167</c:v>
                </c:pt>
                <c:pt idx="241">
                  <c:v>167</c:v>
                </c:pt>
                <c:pt idx="242">
                  <c:v>169</c:v>
                </c:pt>
                <c:pt idx="243">
                  <c:v>170</c:v>
                </c:pt>
                <c:pt idx="244">
                  <c:v>170</c:v>
                </c:pt>
                <c:pt idx="245">
                  <c:v>170</c:v>
                </c:pt>
                <c:pt idx="246">
                  <c:v>170</c:v>
                </c:pt>
                <c:pt idx="247">
                  <c:v>170</c:v>
                </c:pt>
                <c:pt idx="248">
                  <c:v>171</c:v>
                </c:pt>
                <c:pt idx="249">
                  <c:v>171</c:v>
                </c:pt>
                <c:pt idx="250">
                  <c:v>171</c:v>
                </c:pt>
                <c:pt idx="251">
                  <c:v>172</c:v>
                </c:pt>
                <c:pt idx="252">
                  <c:v>172</c:v>
                </c:pt>
                <c:pt idx="253">
                  <c:v>172</c:v>
                </c:pt>
                <c:pt idx="254">
                  <c:v>172</c:v>
                </c:pt>
                <c:pt idx="255">
                  <c:v>172</c:v>
                </c:pt>
                <c:pt idx="256">
                  <c:v>174</c:v>
                </c:pt>
                <c:pt idx="257">
                  <c:v>178</c:v>
                </c:pt>
                <c:pt idx="258">
                  <c:v>178</c:v>
                </c:pt>
                <c:pt idx="259">
                  <c:v>178</c:v>
                </c:pt>
                <c:pt idx="260">
                  <c:v>178</c:v>
                </c:pt>
                <c:pt idx="261">
                  <c:v>178</c:v>
                </c:pt>
                <c:pt idx="262">
                  <c:v>181</c:v>
                </c:pt>
                <c:pt idx="263">
                  <c:v>183</c:v>
                </c:pt>
                <c:pt idx="264">
                  <c:v>183</c:v>
                </c:pt>
                <c:pt idx="265">
                  <c:v>184</c:v>
                </c:pt>
                <c:pt idx="266">
                  <c:v>185</c:v>
                </c:pt>
                <c:pt idx="267">
                  <c:v>185</c:v>
                </c:pt>
                <c:pt idx="268">
                  <c:v>185</c:v>
                </c:pt>
                <c:pt idx="269">
                  <c:v>186</c:v>
                </c:pt>
                <c:pt idx="270">
                  <c:v>186</c:v>
                </c:pt>
                <c:pt idx="271">
                  <c:v>186</c:v>
                </c:pt>
                <c:pt idx="272">
                  <c:v>186</c:v>
                </c:pt>
                <c:pt idx="273">
                  <c:v>186</c:v>
                </c:pt>
                <c:pt idx="274">
                  <c:v>186</c:v>
                </c:pt>
                <c:pt idx="275">
                  <c:v>186</c:v>
                </c:pt>
                <c:pt idx="276">
                  <c:v>186</c:v>
                </c:pt>
                <c:pt idx="277">
                  <c:v>186</c:v>
                </c:pt>
                <c:pt idx="278">
                  <c:v>186</c:v>
                </c:pt>
                <c:pt idx="279">
                  <c:v>186</c:v>
                </c:pt>
                <c:pt idx="280">
                  <c:v>186</c:v>
                </c:pt>
                <c:pt idx="281">
                  <c:v>186</c:v>
                </c:pt>
                <c:pt idx="282">
                  <c:v>186</c:v>
                </c:pt>
                <c:pt idx="283">
                  <c:v>186</c:v>
                </c:pt>
                <c:pt idx="284">
                  <c:v>186</c:v>
                </c:pt>
                <c:pt idx="285">
                  <c:v>186</c:v>
                </c:pt>
                <c:pt idx="286">
                  <c:v>186</c:v>
                </c:pt>
                <c:pt idx="287">
                  <c:v>186</c:v>
                </c:pt>
                <c:pt idx="288">
                  <c:v>186</c:v>
                </c:pt>
                <c:pt idx="289">
                  <c:v>186</c:v>
                </c:pt>
                <c:pt idx="290">
                  <c:v>186</c:v>
                </c:pt>
                <c:pt idx="291">
                  <c:v>186</c:v>
                </c:pt>
                <c:pt idx="292">
                  <c:v>186</c:v>
                </c:pt>
                <c:pt idx="293">
                  <c:v>186</c:v>
                </c:pt>
                <c:pt idx="294">
                  <c:v>186</c:v>
                </c:pt>
                <c:pt idx="295">
                  <c:v>186</c:v>
                </c:pt>
                <c:pt idx="296">
                  <c:v>186</c:v>
                </c:pt>
                <c:pt idx="297">
                  <c:v>186</c:v>
                </c:pt>
                <c:pt idx="298">
                  <c:v>186</c:v>
                </c:pt>
                <c:pt idx="299">
                  <c:v>186</c:v>
                </c:pt>
                <c:pt idx="300">
                  <c:v>186</c:v>
                </c:pt>
                <c:pt idx="301">
                  <c:v>186</c:v>
                </c:pt>
                <c:pt idx="302">
                  <c:v>186</c:v>
                </c:pt>
                <c:pt idx="303">
                  <c:v>186</c:v>
                </c:pt>
                <c:pt idx="304">
                  <c:v>186</c:v>
                </c:pt>
                <c:pt idx="305">
                  <c:v>186</c:v>
                </c:pt>
                <c:pt idx="306">
                  <c:v>186</c:v>
                </c:pt>
                <c:pt idx="307">
                  <c:v>186</c:v>
                </c:pt>
                <c:pt idx="308">
                  <c:v>186</c:v>
                </c:pt>
                <c:pt idx="309">
                  <c:v>186</c:v>
                </c:pt>
                <c:pt idx="310">
                  <c:v>186</c:v>
                </c:pt>
                <c:pt idx="311">
                  <c:v>186</c:v>
                </c:pt>
                <c:pt idx="312">
                  <c:v>186</c:v>
                </c:pt>
                <c:pt idx="313">
                  <c:v>186</c:v>
                </c:pt>
                <c:pt idx="314">
                  <c:v>186</c:v>
                </c:pt>
                <c:pt idx="315">
                  <c:v>186</c:v>
                </c:pt>
                <c:pt idx="316">
                  <c:v>187</c:v>
                </c:pt>
                <c:pt idx="317">
                  <c:v>187</c:v>
                </c:pt>
                <c:pt idx="318">
                  <c:v>187</c:v>
                </c:pt>
                <c:pt idx="319">
                  <c:v>188</c:v>
                </c:pt>
                <c:pt idx="320">
                  <c:v>190</c:v>
                </c:pt>
                <c:pt idx="321">
                  <c:v>190</c:v>
                </c:pt>
                <c:pt idx="322">
                  <c:v>190</c:v>
                </c:pt>
                <c:pt idx="323">
                  <c:v>190</c:v>
                </c:pt>
                <c:pt idx="324">
                  <c:v>190</c:v>
                </c:pt>
                <c:pt idx="325">
                  <c:v>190</c:v>
                </c:pt>
                <c:pt idx="326">
                  <c:v>190</c:v>
                </c:pt>
                <c:pt idx="327">
                  <c:v>190</c:v>
                </c:pt>
                <c:pt idx="328">
                  <c:v>190</c:v>
                </c:pt>
                <c:pt idx="329">
                  <c:v>190</c:v>
                </c:pt>
                <c:pt idx="330">
                  <c:v>190</c:v>
                </c:pt>
                <c:pt idx="331">
                  <c:v>190</c:v>
                </c:pt>
                <c:pt idx="332">
                  <c:v>190</c:v>
                </c:pt>
                <c:pt idx="333">
                  <c:v>190</c:v>
                </c:pt>
                <c:pt idx="334">
                  <c:v>192</c:v>
                </c:pt>
              </c:numCache>
            </c:numRef>
          </c:yVal>
          <c:smooth val="0"/>
          <c:extLst>
            <c:ext xmlns:c16="http://schemas.microsoft.com/office/drawing/2014/chart" uri="{C3380CC4-5D6E-409C-BE32-E72D297353CC}">
              <c16:uniqueId val="{00000000-420B-4DC1-A2A6-0FB5E8DBD7A8}"/>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Solved &amp; Success </a:t>
            </a:r>
            <a:r>
              <a:rPr lang="en-US" b="1" baseline="0"/>
              <a:t>- Hard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Daily!$AF$4:$AF$440</c:f>
              <c:numCache>
                <c:formatCode>General</c:formatCode>
                <c:ptCount val="3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1</c:v>
                </c:pt>
                <c:pt idx="20">
                  <c:v>2</c:v>
                </c:pt>
                <c:pt idx="21">
                  <c:v>4</c:v>
                </c:pt>
                <c:pt idx="22">
                  <c:v>4</c:v>
                </c:pt>
                <c:pt idx="23">
                  <c:v>4</c:v>
                </c:pt>
                <c:pt idx="24">
                  <c:v>4</c:v>
                </c:pt>
                <c:pt idx="25">
                  <c:v>4</c:v>
                </c:pt>
                <c:pt idx="26">
                  <c:v>4</c:v>
                </c:pt>
                <c:pt idx="27">
                  <c:v>4</c:v>
                </c:pt>
                <c:pt idx="28">
                  <c:v>4</c:v>
                </c:pt>
                <c:pt idx="29">
                  <c:v>4</c:v>
                </c:pt>
                <c:pt idx="30">
                  <c:v>4</c:v>
                </c:pt>
                <c:pt idx="31">
                  <c:v>4</c:v>
                </c:pt>
                <c:pt idx="32">
                  <c:v>4</c:v>
                </c:pt>
                <c:pt idx="33">
                  <c:v>5</c:v>
                </c:pt>
                <c:pt idx="34">
                  <c:v>5</c:v>
                </c:pt>
                <c:pt idx="35">
                  <c:v>5</c:v>
                </c:pt>
                <c:pt idx="36">
                  <c:v>5</c:v>
                </c:pt>
                <c:pt idx="37">
                  <c:v>5</c:v>
                </c:pt>
                <c:pt idx="38">
                  <c:v>6</c:v>
                </c:pt>
                <c:pt idx="39">
                  <c:v>6</c:v>
                </c:pt>
                <c:pt idx="40">
                  <c:v>6</c:v>
                </c:pt>
                <c:pt idx="41">
                  <c:v>7</c:v>
                </c:pt>
                <c:pt idx="42">
                  <c:v>7</c:v>
                </c:pt>
                <c:pt idx="43">
                  <c:v>7</c:v>
                </c:pt>
                <c:pt idx="44">
                  <c:v>7</c:v>
                </c:pt>
                <c:pt idx="45">
                  <c:v>8</c:v>
                </c:pt>
                <c:pt idx="46">
                  <c:v>9</c:v>
                </c:pt>
                <c:pt idx="47">
                  <c:v>9</c:v>
                </c:pt>
                <c:pt idx="48">
                  <c:v>9</c:v>
                </c:pt>
                <c:pt idx="49">
                  <c:v>9</c:v>
                </c:pt>
                <c:pt idx="50">
                  <c:v>9</c:v>
                </c:pt>
                <c:pt idx="51">
                  <c:v>9</c:v>
                </c:pt>
                <c:pt idx="52">
                  <c:v>9</c:v>
                </c:pt>
                <c:pt idx="53">
                  <c:v>10</c:v>
                </c:pt>
                <c:pt idx="54">
                  <c:v>10</c:v>
                </c:pt>
                <c:pt idx="55">
                  <c:v>10</c:v>
                </c:pt>
                <c:pt idx="56">
                  <c:v>11</c:v>
                </c:pt>
                <c:pt idx="57">
                  <c:v>11</c:v>
                </c:pt>
                <c:pt idx="58">
                  <c:v>11</c:v>
                </c:pt>
                <c:pt idx="59">
                  <c:v>12</c:v>
                </c:pt>
                <c:pt idx="60">
                  <c:v>15</c:v>
                </c:pt>
                <c:pt idx="61">
                  <c:v>15</c:v>
                </c:pt>
                <c:pt idx="62">
                  <c:v>15</c:v>
                </c:pt>
                <c:pt idx="63">
                  <c:v>18</c:v>
                </c:pt>
                <c:pt idx="64">
                  <c:v>18</c:v>
                </c:pt>
                <c:pt idx="65">
                  <c:v>18</c:v>
                </c:pt>
                <c:pt idx="66">
                  <c:v>18</c:v>
                </c:pt>
                <c:pt idx="67">
                  <c:v>18</c:v>
                </c:pt>
                <c:pt idx="68">
                  <c:v>18</c:v>
                </c:pt>
                <c:pt idx="69">
                  <c:v>18</c:v>
                </c:pt>
                <c:pt idx="70">
                  <c:v>18</c:v>
                </c:pt>
                <c:pt idx="71">
                  <c:v>18</c:v>
                </c:pt>
                <c:pt idx="72">
                  <c:v>18</c:v>
                </c:pt>
                <c:pt idx="73">
                  <c:v>18</c:v>
                </c:pt>
                <c:pt idx="74">
                  <c:v>18</c:v>
                </c:pt>
                <c:pt idx="75">
                  <c:v>18</c:v>
                </c:pt>
                <c:pt idx="76">
                  <c:v>18</c:v>
                </c:pt>
                <c:pt idx="77">
                  <c:v>19</c:v>
                </c:pt>
                <c:pt idx="78">
                  <c:v>19</c:v>
                </c:pt>
                <c:pt idx="79">
                  <c:v>19</c:v>
                </c:pt>
                <c:pt idx="80">
                  <c:v>20</c:v>
                </c:pt>
                <c:pt idx="81">
                  <c:v>21</c:v>
                </c:pt>
                <c:pt idx="82">
                  <c:v>22</c:v>
                </c:pt>
                <c:pt idx="83">
                  <c:v>22</c:v>
                </c:pt>
                <c:pt idx="84">
                  <c:v>24</c:v>
                </c:pt>
                <c:pt idx="85">
                  <c:v>24</c:v>
                </c:pt>
                <c:pt idx="86">
                  <c:v>24</c:v>
                </c:pt>
                <c:pt idx="87">
                  <c:v>25</c:v>
                </c:pt>
                <c:pt idx="88">
                  <c:v>26</c:v>
                </c:pt>
                <c:pt idx="89">
                  <c:v>26</c:v>
                </c:pt>
                <c:pt idx="90">
                  <c:v>28</c:v>
                </c:pt>
                <c:pt idx="91">
                  <c:v>29</c:v>
                </c:pt>
                <c:pt idx="92">
                  <c:v>29</c:v>
                </c:pt>
                <c:pt idx="93">
                  <c:v>29</c:v>
                </c:pt>
                <c:pt idx="94">
                  <c:v>30</c:v>
                </c:pt>
                <c:pt idx="95">
                  <c:v>32</c:v>
                </c:pt>
                <c:pt idx="96">
                  <c:v>32</c:v>
                </c:pt>
                <c:pt idx="97">
                  <c:v>33</c:v>
                </c:pt>
                <c:pt idx="98">
                  <c:v>33</c:v>
                </c:pt>
                <c:pt idx="99">
                  <c:v>33</c:v>
                </c:pt>
                <c:pt idx="100">
                  <c:v>33</c:v>
                </c:pt>
                <c:pt idx="101">
                  <c:v>34</c:v>
                </c:pt>
                <c:pt idx="102">
                  <c:v>34</c:v>
                </c:pt>
                <c:pt idx="103">
                  <c:v>35</c:v>
                </c:pt>
                <c:pt idx="104">
                  <c:v>36</c:v>
                </c:pt>
                <c:pt idx="105">
                  <c:v>37</c:v>
                </c:pt>
                <c:pt idx="106">
                  <c:v>37</c:v>
                </c:pt>
                <c:pt idx="107">
                  <c:v>37</c:v>
                </c:pt>
                <c:pt idx="108">
                  <c:v>38</c:v>
                </c:pt>
                <c:pt idx="109">
                  <c:v>40</c:v>
                </c:pt>
                <c:pt idx="110">
                  <c:v>41</c:v>
                </c:pt>
                <c:pt idx="111">
                  <c:v>42</c:v>
                </c:pt>
                <c:pt idx="112">
                  <c:v>42</c:v>
                </c:pt>
                <c:pt idx="113">
                  <c:v>42</c:v>
                </c:pt>
                <c:pt idx="114">
                  <c:v>42</c:v>
                </c:pt>
                <c:pt idx="115">
                  <c:v>42</c:v>
                </c:pt>
                <c:pt idx="116">
                  <c:v>42</c:v>
                </c:pt>
                <c:pt idx="117">
                  <c:v>42</c:v>
                </c:pt>
                <c:pt idx="118">
                  <c:v>42</c:v>
                </c:pt>
                <c:pt idx="119">
                  <c:v>42</c:v>
                </c:pt>
                <c:pt idx="120">
                  <c:v>42</c:v>
                </c:pt>
                <c:pt idx="121">
                  <c:v>42</c:v>
                </c:pt>
                <c:pt idx="122">
                  <c:v>42</c:v>
                </c:pt>
                <c:pt idx="123">
                  <c:v>42</c:v>
                </c:pt>
                <c:pt idx="124">
                  <c:v>42</c:v>
                </c:pt>
                <c:pt idx="125">
                  <c:v>42</c:v>
                </c:pt>
                <c:pt idx="126">
                  <c:v>42</c:v>
                </c:pt>
                <c:pt idx="127">
                  <c:v>42</c:v>
                </c:pt>
                <c:pt idx="128">
                  <c:v>42</c:v>
                </c:pt>
                <c:pt idx="129">
                  <c:v>42</c:v>
                </c:pt>
                <c:pt idx="130">
                  <c:v>42</c:v>
                </c:pt>
                <c:pt idx="131">
                  <c:v>42</c:v>
                </c:pt>
                <c:pt idx="132">
                  <c:v>42</c:v>
                </c:pt>
                <c:pt idx="133">
                  <c:v>42</c:v>
                </c:pt>
                <c:pt idx="134">
                  <c:v>42</c:v>
                </c:pt>
                <c:pt idx="135">
                  <c:v>42</c:v>
                </c:pt>
                <c:pt idx="136">
                  <c:v>42</c:v>
                </c:pt>
                <c:pt idx="137">
                  <c:v>42</c:v>
                </c:pt>
                <c:pt idx="138">
                  <c:v>42</c:v>
                </c:pt>
                <c:pt idx="139">
                  <c:v>42</c:v>
                </c:pt>
                <c:pt idx="140">
                  <c:v>42</c:v>
                </c:pt>
                <c:pt idx="141">
                  <c:v>42</c:v>
                </c:pt>
                <c:pt idx="142">
                  <c:v>42</c:v>
                </c:pt>
                <c:pt idx="143">
                  <c:v>42</c:v>
                </c:pt>
                <c:pt idx="144">
                  <c:v>42</c:v>
                </c:pt>
                <c:pt idx="145">
                  <c:v>42</c:v>
                </c:pt>
                <c:pt idx="146">
                  <c:v>42</c:v>
                </c:pt>
                <c:pt idx="147">
                  <c:v>42</c:v>
                </c:pt>
                <c:pt idx="148">
                  <c:v>42</c:v>
                </c:pt>
                <c:pt idx="149">
                  <c:v>42</c:v>
                </c:pt>
                <c:pt idx="150">
                  <c:v>42</c:v>
                </c:pt>
                <c:pt idx="151">
                  <c:v>42</c:v>
                </c:pt>
                <c:pt idx="152">
                  <c:v>42</c:v>
                </c:pt>
                <c:pt idx="153">
                  <c:v>42</c:v>
                </c:pt>
                <c:pt idx="154">
                  <c:v>42</c:v>
                </c:pt>
                <c:pt idx="155">
                  <c:v>42</c:v>
                </c:pt>
                <c:pt idx="156">
                  <c:v>42</c:v>
                </c:pt>
                <c:pt idx="157">
                  <c:v>42</c:v>
                </c:pt>
                <c:pt idx="158">
                  <c:v>42</c:v>
                </c:pt>
                <c:pt idx="159">
                  <c:v>42</c:v>
                </c:pt>
                <c:pt idx="160">
                  <c:v>42</c:v>
                </c:pt>
                <c:pt idx="161">
                  <c:v>42</c:v>
                </c:pt>
                <c:pt idx="162">
                  <c:v>42</c:v>
                </c:pt>
                <c:pt idx="163">
                  <c:v>42</c:v>
                </c:pt>
                <c:pt idx="164">
                  <c:v>42</c:v>
                </c:pt>
                <c:pt idx="165">
                  <c:v>42</c:v>
                </c:pt>
                <c:pt idx="166">
                  <c:v>42</c:v>
                </c:pt>
                <c:pt idx="167">
                  <c:v>42</c:v>
                </c:pt>
                <c:pt idx="168">
                  <c:v>42</c:v>
                </c:pt>
                <c:pt idx="169">
                  <c:v>42</c:v>
                </c:pt>
                <c:pt idx="170">
                  <c:v>42</c:v>
                </c:pt>
                <c:pt idx="171">
                  <c:v>42</c:v>
                </c:pt>
                <c:pt idx="172">
                  <c:v>42</c:v>
                </c:pt>
                <c:pt idx="173">
                  <c:v>42</c:v>
                </c:pt>
                <c:pt idx="174">
                  <c:v>42</c:v>
                </c:pt>
                <c:pt idx="175">
                  <c:v>42</c:v>
                </c:pt>
                <c:pt idx="176">
                  <c:v>42</c:v>
                </c:pt>
                <c:pt idx="177">
                  <c:v>42</c:v>
                </c:pt>
                <c:pt idx="178">
                  <c:v>42</c:v>
                </c:pt>
                <c:pt idx="179">
                  <c:v>42</c:v>
                </c:pt>
                <c:pt idx="180">
                  <c:v>42</c:v>
                </c:pt>
                <c:pt idx="181">
                  <c:v>42</c:v>
                </c:pt>
                <c:pt idx="182">
                  <c:v>42</c:v>
                </c:pt>
                <c:pt idx="183">
                  <c:v>42</c:v>
                </c:pt>
                <c:pt idx="184">
                  <c:v>42</c:v>
                </c:pt>
                <c:pt idx="185">
                  <c:v>42</c:v>
                </c:pt>
                <c:pt idx="186">
                  <c:v>42</c:v>
                </c:pt>
                <c:pt idx="187">
                  <c:v>42</c:v>
                </c:pt>
                <c:pt idx="188">
                  <c:v>42</c:v>
                </c:pt>
                <c:pt idx="189">
                  <c:v>42</c:v>
                </c:pt>
                <c:pt idx="190">
                  <c:v>42</c:v>
                </c:pt>
                <c:pt idx="191">
                  <c:v>42</c:v>
                </c:pt>
                <c:pt idx="192">
                  <c:v>42</c:v>
                </c:pt>
                <c:pt idx="193">
                  <c:v>42</c:v>
                </c:pt>
                <c:pt idx="194">
                  <c:v>42</c:v>
                </c:pt>
                <c:pt idx="195">
                  <c:v>42</c:v>
                </c:pt>
                <c:pt idx="196">
                  <c:v>42</c:v>
                </c:pt>
                <c:pt idx="197">
                  <c:v>42</c:v>
                </c:pt>
                <c:pt idx="198">
                  <c:v>42</c:v>
                </c:pt>
                <c:pt idx="199">
                  <c:v>42</c:v>
                </c:pt>
                <c:pt idx="200">
                  <c:v>42</c:v>
                </c:pt>
                <c:pt idx="201">
                  <c:v>42</c:v>
                </c:pt>
                <c:pt idx="202">
                  <c:v>42</c:v>
                </c:pt>
                <c:pt idx="203">
                  <c:v>42</c:v>
                </c:pt>
                <c:pt idx="204">
                  <c:v>42</c:v>
                </c:pt>
                <c:pt idx="205">
                  <c:v>42</c:v>
                </c:pt>
                <c:pt idx="206">
                  <c:v>42</c:v>
                </c:pt>
                <c:pt idx="207">
                  <c:v>42</c:v>
                </c:pt>
                <c:pt idx="208">
                  <c:v>42</c:v>
                </c:pt>
                <c:pt idx="209">
                  <c:v>42</c:v>
                </c:pt>
                <c:pt idx="210">
                  <c:v>42</c:v>
                </c:pt>
                <c:pt idx="211">
                  <c:v>42</c:v>
                </c:pt>
                <c:pt idx="212">
                  <c:v>42</c:v>
                </c:pt>
                <c:pt idx="213">
                  <c:v>42</c:v>
                </c:pt>
                <c:pt idx="214">
                  <c:v>42</c:v>
                </c:pt>
                <c:pt idx="215">
                  <c:v>42</c:v>
                </c:pt>
                <c:pt idx="216">
                  <c:v>42</c:v>
                </c:pt>
                <c:pt idx="217">
                  <c:v>42</c:v>
                </c:pt>
                <c:pt idx="218">
                  <c:v>42</c:v>
                </c:pt>
                <c:pt idx="219">
                  <c:v>42</c:v>
                </c:pt>
                <c:pt idx="220">
                  <c:v>42</c:v>
                </c:pt>
                <c:pt idx="221">
                  <c:v>42</c:v>
                </c:pt>
                <c:pt idx="222">
                  <c:v>42</c:v>
                </c:pt>
                <c:pt idx="223">
                  <c:v>42</c:v>
                </c:pt>
                <c:pt idx="224">
                  <c:v>42</c:v>
                </c:pt>
                <c:pt idx="225">
                  <c:v>42</c:v>
                </c:pt>
                <c:pt idx="226">
                  <c:v>42</c:v>
                </c:pt>
                <c:pt idx="227">
                  <c:v>42</c:v>
                </c:pt>
                <c:pt idx="228">
                  <c:v>42</c:v>
                </c:pt>
                <c:pt idx="229">
                  <c:v>42</c:v>
                </c:pt>
                <c:pt idx="230">
                  <c:v>42</c:v>
                </c:pt>
                <c:pt idx="231">
                  <c:v>42</c:v>
                </c:pt>
                <c:pt idx="232">
                  <c:v>42</c:v>
                </c:pt>
                <c:pt idx="233">
                  <c:v>42</c:v>
                </c:pt>
                <c:pt idx="234">
                  <c:v>42</c:v>
                </c:pt>
                <c:pt idx="235">
                  <c:v>42</c:v>
                </c:pt>
                <c:pt idx="236">
                  <c:v>42</c:v>
                </c:pt>
                <c:pt idx="237">
                  <c:v>42</c:v>
                </c:pt>
                <c:pt idx="238">
                  <c:v>42</c:v>
                </c:pt>
                <c:pt idx="239">
                  <c:v>42</c:v>
                </c:pt>
                <c:pt idx="240">
                  <c:v>42</c:v>
                </c:pt>
                <c:pt idx="241">
                  <c:v>42</c:v>
                </c:pt>
                <c:pt idx="242">
                  <c:v>42</c:v>
                </c:pt>
                <c:pt idx="243">
                  <c:v>42</c:v>
                </c:pt>
                <c:pt idx="244">
                  <c:v>42</c:v>
                </c:pt>
                <c:pt idx="245">
                  <c:v>42</c:v>
                </c:pt>
                <c:pt idx="246">
                  <c:v>42</c:v>
                </c:pt>
                <c:pt idx="247">
                  <c:v>42</c:v>
                </c:pt>
                <c:pt idx="248">
                  <c:v>42</c:v>
                </c:pt>
                <c:pt idx="249">
                  <c:v>42</c:v>
                </c:pt>
                <c:pt idx="250">
                  <c:v>42</c:v>
                </c:pt>
                <c:pt idx="251">
                  <c:v>42</c:v>
                </c:pt>
                <c:pt idx="252">
                  <c:v>42</c:v>
                </c:pt>
                <c:pt idx="253">
                  <c:v>42</c:v>
                </c:pt>
                <c:pt idx="254">
                  <c:v>42</c:v>
                </c:pt>
                <c:pt idx="255">
                  <c:v>42</c:v>
                </c:pt>
                <c:pt idx="256">
                  <c:v>42</c:v>
                </c:pt>
                <c:pt idx="257">
                  <c:v>42</c:v>
                </c:pt>
                <c:pt idx="258">
                  <c:v>42</c:v>
                </c:pt>
                <c:pt idx="259">
                  <c:v>42</c:v>
                </c:pt>
                <c:pt idx="260">
                  <c:v>42</c:v>
                </c:pt>
                <c:pt idx="261">
                  <c:v>42</c:v>
                </c:pt>
                <c:pt idx="262">
                  <c:v>42</c:v>
                </c:pt>
                <c:pt idx="263">
                  <c:v>42</c:v>
                </c:pt>
                <c:pt idx="264">
                  <c:v>42</c:v>
                </c:pt>
                <c:pt idx="265">
                  <c:v>42</c:v>
                </c:pt>
                <c:pt idx="266">
                  <c:v>42</c:v>
                </c:pt>
                <c:pt idx="267">
                  <c:v>42</c:v>
                </c:pt>
                <c:pt idx="268">
                  <c:v>42</c:v>
                </c:pt>
                <c:pt idx="269">
                  <c:v>42</c:v>
                </c:pt>
                <c:pt idx="270">
                  <c:v>42</c:v>
                </c:pt>
                <c:pt idx="271">
                  <c:v>42</c:v>
                </c:pt>
                <c:pt idx="272">
                  <c:v>42</c:v>
                </c:pt>
                <c:pt idx="273">
                  <c:v>42</c:v>
                </c:pt>
                <c:pt idx="274">
                  <c:v>42</c:v>
                </c:pt>
                <c:pt idx="275">
                  <c:v>42</c:v>
                </c:pt>
                <c:pt idx="276">
                  <c:v>42</c:v>
                </c:pt>
                <c:pt idx="277">
                  <c:v>42</c:v>
                </c:pt>
                <c:pt idx="278">
                  <c:v>42</c:v>
                </c:pt>
                <c:pt idx="279">
                  <c:v>42</c:v>
                </c:pt>
                <c:pt idx="280">
                  <c:v>42</c:v>
                </c:pt>
                <c:pt idx="281">
                  <c:v>42</c:v>
                </c:pt>
                <c:pt idx="282">
                  <c:v>42</c:v>
                </c:pt>
                <c:pt idx="283">
                  <c:v>42</c:v>
                </c:pt>
                <c:pt idx="284">
                  <c:v>42</c:v>
                </c:pt>
                <c:pt idx="285">
                  <c:v>42</c:v>
                </c:pt>
                <c:pt idx="286">
                  <c:v>42</c:v>
                </c:pt>
                <c:pt idx="287">
                  <c:v>42</c:v>
                </c:pt>
                <c:pt idx="288">
                  <c:v>42</c:v>
                </c:pt>
                <c:pt idx="289">
                  <c:v>42</c:v>
                </c:pt>
                <c:pt idx="290">
                  <c:v>42</c:v>
                </c:pt>
                <c:pt idx="291">
                  <c:v>42</c:v>
                </c:pt>
                <c:pt idx="292">
                  <c:v>42</c:v>
                </c:pt>
                <c:pt idx="293">
                  <c:v>42</c:v>
                </c:pt>
                <c:pt idx="294">
                  <c:v>42</c:v>
                </c:pt>
                <c:pt idx="295">
                  <c:v>42</c:v>
                </c:pt>
                <c:pt idx="296">
                  <c:v>42</c:v>
                </c:pt>
                <c:pt idx="297">
                  <c:v>42</c:v>
                </c:pt>
                <c:pt idx="298">
                  <c:v>42</c:v>
                </c:pt>
                <c:pt idx="299">
                  <c:v>42</c:v>
                </c:pt>
                <c:pt idx="300">
                  <c:v>42</c:v>
                </c:pt>
                <c:pt idx="301">
                  <c:v>42</c:v>
                </c:pt>
                <c:pt idx="302">
                  <c:v>42</c:v>
                </c:pt>
                <c:pt idx="303">
                  <c:v>42</c:v>
                </c:pt>
                <c:pt idx="304">
                  <c:v>42</c:v>
                </c:pt>
                <c:pt idx="305">
                  <c:v>42</c:v>
                </c:pt>
                <c:pt idx="306">
                  <c:v>42</c:v>
                </c:pt>
                <c:pt idx="307">
                  <c:v>42</c:v>
                </c:pt>
                <c:pt idx="308">
                  <c:v>42</c:v>
                </c:pt>
                <c:pt idx="309">
                  <c:v>42</c:v>
                </c:pt>
                <c:pt idx="310">
                  <c:v>42</c:v>
                </c:pt>
                <c:pt idx="311">
                  <c:v>42</c:v>
                </c:pt>
                <c:pt idx="312">
                  <c:v>42</c:v>
                </c:pt>
                <c:pt idx="313">
                  <c:v>42</c:v>
                </c:pt>
                <c:pt idx="314">
                  <c:v>42</c:v>
                </c:pt>
                <c:pt idx="315">
                  <c:v>42</c:v>
                </c:pt>
                <c:pt idx="316">
                  <c:v>42</c:v>
                </c:pt>
                <c:pt idx="317">
                  <c:v>42</c:v>
                </c:pt>
                <c:pt idx="318">
                  <c:v>42</c:v>
                </c:pt>
                <c:pt idx="319">
                  <c:v>42</c:v>
                </c:pt>
                <c:pt idx="320">
                  <c:v>42</c:v>
                </c:pt>
                <c:pt idx="321">
                  <c:v>42</c:v>
                </c:pt>
                <c:pt idx="322">
                  <c:v>42</c:v>
                </c:pt>
                <c:pt idx="323">
                  <c:v>42</c:v>
                </c:pt>
                <c:pt idx="324">
                  <c:v>42</c:v>
                </c:pt>
                <c:pt idx="325">
                  <c:v>42</c:v>
                </c:pt>
                <c:pt idx="326">
                  <c:v>42</c:v>
                </c:pt>
                <c:pt idx="327">
                  <c:v>42</c:v>
                </c:pt>
                <c:pt idx="328">
                  <c:v>42</c:v>
                </c:pt>
                <c:pt idx="329">
                  <c:v>42</c:v>
                </c:pt>
                <c:pt idx="330">
                  <c:v>42</c:v>
                </c:pt>
                <c:pt idx="331">
                  <c:v>42</c:v>
                </c:pt>
                <c:pt idx="332">
                  <c:v>42</c:v>
                </c:pt>
                <c:pt idx="333">
                  <c:v>42</c:v>
                </c:pt>
                <c:pt idx="334">
                  <c:v>42</c:v>
                </c:pt>
              </c:numCache>
            </c:numRef>
          </c:yVal>
          <c:smooth val="0"/>
          <c:extLst>
            <c:ext xmlns:c16="http://schemas.microsoft.com/office/drawing/2014/chart" uri="{C3380CC4-5D6E-409C-BE32-E72D297353CC}">
              <c16:uniqueId val="{00000000-F6A4-4A53-8DC9-C403FB582FE7}"/>
            </c:ext>
          </c:extLst>
        </c:ser>
        <c:ser>
          <c:idx val="2"/>
          <c:order val="1"/>
          <c:tx>
            <c:v>Success</c:v>
          </c:tx>
          <c:spPr>
            <a:ln w="19050" cap="rnd">
              <a:solidFill>
                <a:schemeClr val="accent6"/>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Daily!$AG$4:$AG$440</c:f>
              <c:numCache>
                <c:formatCode>General</c:formatCode>
                <c:ptCount val="3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1</c:v>
                </c:pt>
                <c:pt idx="24">
                  <c:v>1</c:v>
                </c:pt>
                <c:pt idx="25">
                  <c:v>1</c:v>
                </c:pt>
                <c:pt idx="26">
                  <c:v>1</c:v>
                </c:pt>
                <c:pt idx="27">
                  <c:v>1</c:v>
                </c:pt>
                <c:pt idx="28">
                  <c:v>1</c:v>
                </c:pt>
                <c:pt idx="29">
                  <c:v>1</c:v>
                </c:pt>
                <c:pt idx="30">
                  <c:v>1</c:v>
                </c:pt>
                <c:pt idx="31">
                  <c:v>1</c:v>
                </c:pt>
                <c:pt idx="32">
                  <c:v>1</c:v>
                </c:pt>
                <c:pt idx="33">
                  <c:v>2</c:v>
                </c:pt>
                <c:pt idx="34">
                  <c:v>2</c:v>
                </c:pt>
                <c:pt idx="35">
                  <c:v>2</c:v>
                </c:pt>
                <c:pt idx="36">
                  <c:v>2</c:v>
                </c:pt>
                <c:pt idx="37">
                  <c:v>2</c:v>
                </c:pt>
                <c:pt idx="38">
                  <c:v>3</c:v>
                </c:pt>
                <c:pt idx="39">
                  <c:v>3</c:v>
                </c:pt>
                <c:pt idx="40">
                  <c:v>3</c:v>
                </c:pt>
                <c:pt idx="41">
                  <c:v>4</c:v>
                </c:pt>
                <c:pt idx="42">
                  <c:v>4</c:v>
                </c:pt>
                <c:pt idx="43">
                  <c:v>4</c:v>
                </c:pt>
                <c:pt idx="44">
                  <c:v>4</c:v>
                </c:pt>
                <c:pt idx="45">
                  <c:v>5</c:v>
                </c:pt>
                <c:pt idx="46">
                  <c:v>6</c:v>
                </c:pt>
                <c:pt idx="47">
                  <c:v>6</c:v>
                </c:pt>
                <c:pt idx="48">
                  <c:v>6</c:v>
                </c:pt>
                <c:pt idx="49">
                  <c:v>6</c:v>
                </c:pt>
                <c:pt idx="50">
                  <c:v>6</c:v>
                </c:pt>
                <c:pt idx="51">
                  <c:v>6</c:v>
                </c:pt>
                <c:pt idx="52">
                  <c:v>6</c:v>
                </c:pt>
                <c:pt idx="53">
                  <c:v>6</c:v>
                </c:pt>
                <c:pt idx="54">
                  <c:v>6</c:v>
                </c:pt>
                <c:pt idx="55">
                  <c:v>6</c:v>
                </c:pt>
                <c:pt idx="56">
                  <c:v>6</c:v>
                </c:pt>
                <c:pt idx="57">
                  <c:v>6</c:v>
                </c:pt>
                <c:pt idx="58">
                  <c:v>6</c:v>
                </c:pt>
                <c:pt idx="59">
                  <c:v>7</c:v>
                </c:pt>
                <c:pt idx="60">
                  <c:v>9</c:v>
                </c:pt>
                <c:pt idx="61">
                  <c:v>9</c:v>
                </c:pt>
                <c:pt idx="62">
                  <c:v>9</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13</c:v>
                </c:pt>
                <c:pt idx="81">
                  <c:v>14</c:v>
                </c:pt>
                <c:pt idx="82">
                  <c:v>14</c:v>
                </c:pt>
                <c:pt idx="83">
                  <c:v>14</c:v>
                </c:pt>
                <c:pt idx="84">
                  <c:v>14</c:v>
                </c:pt>
                <c:pt idx="85">
                  <c:v>14</c:v>
                </c:pt>
                <c:pt idx="86">
                  <c:v>14</c:v>
                </c:pt>
                <c:pt idx="87">
                  <c:v>15</c:v>
                </c:pt>
                <c:pt idx="88">
                  <c:v>16</c:v>
                </c:pt>
                <c:pt idx="89">
                  <c:v>16</c:v>
                </c:pt>
                <c:pt idx="90">
                  <c:v>17</c:v>
                </c:pt>
                <c:pt idx="91">
                  <c:v>18</c:v>
                </c:pt>
                <c:pt idx="92">
                  <c:v>18</c:v>
                </c:pt>
                <c:pt idx="93">
                  <c:v>18</c:v>
                </c:pt>
                <c:pt idx="94">
                  <c:v>18</c:v>
                </c:pt>
                <c:pt idx="95">
                  <c:v>20</c:v>
                </c:pt>
                <c:pt idx="96">
                  <c:v>20</c:v>
                </c:pt>
                <c:pt idx="97">
                  <c:v>21</c:v>
                </c:pt>
                <c:pt idx="98">
                  <c:v>21</c:v>
                </c:pt>
                <c:pt idx="99">
                  <c:v>21</c:v>
                </c:pt>
                <c:pt idx="100">
                  <c:v>21</c:v>
                </c:pt>
                <c:pt idx="101">
                  <c:v>22</c:v>
                </c:pt>
                <c:pt idx="102">
                  <c:v>22</c:v>
                </c:pt>
                <c:pt idx="103">
                  <c:v>23</c:v>
                </c:pt>
                <c:pt idx="104">
                  <c:v>23</c:v>
                </c:pt>
                <c:pt idx="105">
                  <c:v>24</c:v>
                </c:pt>
                <c:pt idx="106">
                  <c:v>24</c:v>
                </c:pt>
                <c:pt idx="107">
                  <c:v>24</c:v>
                </c:pt>
                <c:pt idx="108">
                  <c:v>24</c:v>
                </c:pt>
                <c:pt idx="109">
                  <c:v>26</c:v>
                </c:pt>
                <c:pt idx="110">
                  <c:v>26</c:v>
                </c:pt>
                <c:pt idx="111">
                  <c:v>27</c:v>
                </c:pt>
                <c:pt idx="112">
                  <c:v>27</c:v>
                </c:pt>
                <c:pt idx="113">
                  <c:v>27</c:v>
                </c:pt>
                <c:pt idx="114">
                  <c:v>27</c:v>
                </c:pt>
                <c:pt idx="115">
                  <c:v>27</c:v>
                </c:pt>
                <c:pt idx="116">
                  <c:v>27</c:v>
                </c:pt>
                <c:pt idx="117">
                  <c:v>27</c:v>
                </c:pt>
                <c:pt idx="118">
                  <c:v>27</c:v>
                </c:pt>
                <c:pt idx="119">
                  <c:v>27</c:v>
                </c:pt>
                <c:pt idx="120">
                  <c:v>27</c:v>
                </c:pt>
                <c:pt idx="121">
                  <c:v>27</c:v>
                </c:pt>
                <c:pt idx="122">
                  <c:v>27</c:v>
                </c:pt>
                <c:pt idx="123">
                  <c:v>27</c:v>
                </c:pt>
                <c:pt idx="124">
                  <c:v>27</c:v>
                </c:pt>
                <c:pt idx="125">
                  <c:v>27</c:v>
                </c:pt>
                <c:pt idx="126">
                  <c:v>27</c:v>
                </c:pt>
                <c:pt idx="127">
                  <c:v>27</c:v>
                </c:pt>
                <c:pt idx="128">
                  <c:v>27</c:v>
                </c:pt>
                <c:pt idx="129">
                  <c:v>27</c:v>
                </c:pt>
                <c:pt idx="130">
                  <c:v>27</c:v>
                </c:pt>
                <c:pt idx="131">
                  <c:v>27</c:v>
                </c:pt>
                <c:pt idx="132">
                  <c:v>27</c:v>
                </c:pt>
                <c:pt idx="133">
                  <c:v>27</c:v>
                </c:pt>
                <c:pt idx="134">
                  <c:v>27</c:v>
                </c:pt>
                <c:pt idx="135">
                  <c:v>27</c:v>
                </c:pt>
                <c:pt idx="136">
                  <c:v>27</c:v>
                </c:pt>
                <c:pt idx="137">
                  <c:v>27</c:v>
                </c:pt>
                <c:pt idx="138">
                  <c:v>27</c:v>
                </c:pt>
                <c:pt idx="139">
                  <c:v>27</c:v>
                </c:pt>
                <c:pt idx="140">
                  <c:v>27</c:v>
                </c:pt>
                <c:pt idx="141">
                  <c:v>27</c:v>
                </c:pt>
                <c:pt idx="142">
                  <c:v>27</c:v>
                </c:pt>
                <c:pt idx="143">
                  <c:v>27</c:v>
                </c:pt>
                <c:pt idx="144">
                  <c:v>27</c:v>
                </c:pt>
                <c:pt idx="145">
                  <c:v>27</c:v>
                </c:pt>
                <c:pt idx="146">
                  <c:v>27</c:v>
                </c:pt>
                <c:pt idx="147">
                  <c:v>27</c:v>
                </c:pt>
                <c:pt idx="148">
                  <c:v>27</c:v>
                </c:pt>
                <c:pt idx="149">
                  <c:v>27</c:v>
                </c:pt>
                <c:pt idx="150">
                  <c:v>27</c:v>
                </c:pt>
                <c:pt idx="151">
                  <c:v>27</c:v>
                </c:pt>
                <c:pt idx="152">
                  <c:v>27</c:v>
                </c:pt>
                <c:pt idx="153">
                  <c:v>27</c:v>
                </c:pt>
                <c:pt idx="154">
                  <c:v>27</c:v>
                </c:pt>
                <c:pt idx="155">
                  <c:v>27</c:v>
                </c:pt>
                <c:pt idx="156">
                  <c:v>27</c:v>
                </c:pt>
                <c:pt idx="157">
                  <c:v>27</c:v>
                </c:pt>
                <c:pt idx="158">
                  <c:v>27</c:v>
                </c:pt>
                <c:pt idx="159">
                  <c:v>27</c:v>
                </c:pt>
                <c:pt idx="160">
                  <c:v>27</c:v>
                </c:pt>
                <c:pt idx="161">
                  <c:v>27</c:v>
                </c:pt>
                <c:pt idx="162">
                  <c:v>27</c:v>
                </c:pt>
                <c:pt idx="163">
                  <c:v>27</c:v>
                </c:pt>
                <c:pt idx="164">
                  <c:v>27</c:v>
                </c:pt>
                <c:pt idx="165">
                  <c:v>27</c:v>
                </c:pt>
                <c:pt idx="166">
                  <c:v>27</c:v>
                </c:pt>
                <c:pt idx="167">
                  <c:v>27</c:v>
                </c:pt>
                <c:pt idx="168">
                  <c:v>27</c:v>
                </c:pt>
                <c:pt idx="169">
                  <c:v>27</c:v>
                </c:pt>
                <c:pt idx="170">
                  <c:v>27</c:v>
                </c:pt>
                <c:pt idx="171">
                  <c:v>27</c:v>
                </c:pt>
                <c:pt idx="172">
                  <c:v>27</c:v>
                </c:pt>
                <c:pt idx="173">
                  <c:v>27</c:v>
                </c:pt>
                <c:pt idx="174">
                  <c:v>27</c:v>
                </c:pt>
                <c:pt idx="175">
                  <c:v>27</c:v>
                </c:pt>
                <c:pt idx="176">
                  <c:v>27</c:v>
                </c:pt>
                <c:pt idx="177">
                  <c:v>27</c:v>
                </c:pt>
                <c:pt idx="178">
                  <c:v>27</c:v>
                </c:pt>
                <c:pt idx="179">
                  <c:v>27</c:v>
                </c:pt>
                <c:pt idx="180">
                  <c:v>27</c:v>
                </c:pt>
                <c:pt idx="181">
                  <c:v>27</c:v>
                </c:pt>
                <c:pt idx="182">
                  <c:v>27</c:v>
                </c:pt>
                <c:pt idx="183">
                  <c:v>27</c:v>
                </c:pt>
                <c:pt idx="184">
                  <c:v>27</c:v>
                </c:pt>
                <c:pt idx="185">
                  <c:v>27</c:v>
                </c:pt>
                <c:pt idx="186">
                  <c:v>27</c:v>
                </c:pt>
                <c:pt idx="187">
                  <c:v>27</c:v>
                </c:pt>
                <c:pt idx="188">
                  <c:v>27</c:v>
                </c:pt>
                <c:pt idx="189">
                  <c:v>27</c:v>
                </c:pt>
                <c:pt idx="190">
                  <c:v>27</c:v>
                </c:pt>
                <c:pt idx="191">
                  <c:v>27</c:v>
                </c:pt>
                <c:pt idx="192">
                  <c:v>27</c:v>
                </c:pt>
                <c:pt idx="193">
                  <c:v>27</c:v>
                </c:pt>
                <c:pt idx="194">
                  <c:v>27</c:v>
                </c:pt>
                <c:pt idx="195">
                  <c:v>27</c:v>
                </c:pt>
                <c:pt idx="196">
                  <c:v>27</c:v>
                </c:pt>
                <c:pt idx="197">
                  <c:v>27</c:v>
                </c:pt>
                <c:pt idx="198">
                  <c:v>27</c:v>
                </c:pt>
                <c:pt idx="199">
                  <c:v>27</c:v>
                </c:pt>
                <c:pt idx="200">
                  <c:v>27</c:v>
                </c:pt>
                <c:pt idx="201">
                  <c:v>27</c:v>
                </c:pt>
                <c:pt idx="202">
                  <c:v>27</c:v>
                </c:pt>
                <c:pt idx="203">
                  <c:v>27</c:v>
                </c:pt>
                <c:pt idx="204">
                  <c:v>27</c:v>
                </c:pt>
                <c:pt idx="205">
                  <c:v>27</c:v>
                </c:pt>
                <c:pt idx="206">
                  <c:v>27</c:v>
                </c:pt>
                <c:pt idx="207">
                  <c:v>27</c:v>
                </c:pt>
                <c:pt idx="208">
                  <c:v>27</c:v>
                </c:pt>
                <c:pt idx="209">
                  <c:v>27</c:v>
                </c:pt>
                <c:pt idx="210">
                  <c:v>27</c:v>
                </c:pt>
                <c:pt idx="211">
                  <c:v>27</c:v>
                </c:pt>
                <c:pt idx="212">
                  <c:v>27</c:v>
                </c:pt>
                <c:pt idx="213">
                  <c:v>27</c:v>
                </c:pt>
                <c:pt idx="214">
                  <c:v>27</c:v>
                </c:pt>
                <c:pt idx="215">
                  <c:v>27</c:v>
                </c:pt>
                <c:pt idx="216">
                  <c:v>27</c:v>
                </c:pt>
                <c:pt idx="217">
                  <c:v>27</c:v>
                </c:pt>
                <c:pt idx="218">
                  <c:v>27</c:v>
                </c:pt>
                <c:pt idx="219">
                  <c:v>27</c:v>
                </c:pt>
                <c:pt idx="220">
                  <c:v>27</c:v>
                </c:pt>
                <c:pt idx="221">
                  <c:v>27</c:v>
                </c:pt>
                <c:pt idx="222">
                  <c:v>27</c:v>
                </c:pt>
                <c:pt idx="223">
                  <c:v>27</c:v>
                </c:pt>
                <c:pt idx="224">
                  <c:v>27</c:v>
                </c:pt>
                <c:pt idx="225">
                  <c:v>27</c:v>
                </c:pt>
                <c:pt idx="226">
                  <c:v>27</c:v>
                </c:pt>
                <c:pt idx="227">
                  <c:v>27</c:v>
                </c:pt>
                <c:pt idx="228">
                  <c:v>27</c:v>
                </c:pt>
                <c:pt idx="229">
                  <c:v>27</c:v>
                </c:pt>
                <c:pt idx="230">
                  <c:v>27</c:v>
                </c:pt>
                <c:pt idx="231">
                  <c:v>27</c:v>
                </c:pt>
                <c:pt idx="232">
                  <c:v>27</c:v>
                </c:pt>
                <c:pt idx="233">
                  <c:v>27</c:v>
                </c:pt>
                <c:pt idx="234">
                  <c:v>27</c:v>
                </c:pt>
                <c:pt idx="235">
                  <c:v>27</c:v>
                </c:pt>
                <c:pt idx="236">
                  <c:v>27</c:v>
                </c:pt>
                <c:pt idx="237">
                  <c:v>27</c:v>
                </c:pt>
                <c:pt idx="238">
                  <c:v>27</c:v>
                </c:pt>
                <c:pt idx="239">
                  <c:v>27</c:v>
                </c:pt>
                <c:pt idx="240">
                  <c:v>27</c:v>
                </c:pt>
                <c:pt idx="241">
                  <c:v>27</c:v>
                </c:pt>
                <c:pt idx="242">
                  <c:v>27</c:v>
                </c:pt>
                <c:pt idx="243">
                  <c:v>27</c:v>
                </c:pt>
                <c:pt idx="244">
                  <c:v>27</c:v>
                </c:pt>
                <c:pt idx="245">
                  <c:v>27</c:v>
                </c:pt>
                <c:pt idx="246">
                  <c:v>27</c:v>
                </c:pt>
                <c:pt idx="247">
                  <c:v>27</c:v>
                </c:pt>
                <c:pt idx="248">
                  <c:v>27</c:v>
                </c:pt>
                <c:pt idx="249">
                  <c:v>27</c:v>
                </c:pt>
                <c:pt idx="250">
                  <c:v>27</c:v>
                </c:pt>
                <c:pt idx="251">
                  <c:v>27</c:v>
                </c:pt>
                <c:pt idx="252">
                  <c:v>27</c:v>
                </c:pt>
                <c:pt idx="253">
                  <c:v>27</c:v>
                </c:pt>
                <c:pt idx="254">
                  <c:v>27</c:v>
                </c:pt>
                <c:pt idx="255">
                  <c:v>27</c:v>
                </c:pt>
                <c:pt idx="256">
                  <c:v>27</c:v>
                </c:pt>
                <c:pt idx="257">
                  <c:v>27</c:v>
                </c:pt>
                <c:pt idx="258">
                  <c:v>27</c:v>
                </c:pt>
                <c:pt idx="259">
                  <c:v>27</c:v>
                </c:pt>
                <c:pt idx="260">
                  <c:v>27</c:v>
                </c:pt>
                <c:pt idx="261">
                  <c:v>27</c:v>
                </c:pt>
                <c:pt idx="262">
                  <c:v>27</c:v>
                </c:pt>
                <c:pt idx="263">
                  <c:v>27</c:v>
                </c:pt>
                <c:pt idx="264">
                  <c:v>27</c:v>
                </c:pt>
                <c:pt idx="265">
                  <c:v>27</c:v>
                </c:pt>
                <c:pt idx="266">
                  <c:v>27</c:v>
                </c:pt>
                <c:pt idx="267">
                  <c:v>27</c:v>
                </c:pt>
                <c:pt idx="268">
                  <c:v>27</c:v>
                </c:pt>
                <c:pt idx="269">
                  <c:v>27</c:v>
                </c:pt>
                <c:pt idx="270">
                  <c:v>27</c:v>
                </c:pt>
                <c:pt idx="271">
                  <c:v>27</c:v>
                </c:pt>
                <c:pt idx="272">
                  <c:v>27</c:v>
                </c:pt>
                <c:pt idx="273">
                  <c:v>27</c:v>
                </c:pt>
                <c:pt idx="274">
                  <c:v>27</c:v>
                </c:pt>
                <c:pt idx="275">
                  <c:v>27</c:v>
                </c:pt>
                <c:pt idx="276">
                  <c:v>27</c:v>
                </c:pt>
                <c:pt idx="277">
                  <c:v>27</c:v>
                </c:pt>
                <c:pt idx="278">
                  <c:v>27</c:v>
                </c:pt>
                <c:pt idx="279">
                  <c:v>27</c:v>
                </c:pt>
                <c:pt idx="280">
                  <c:v>27</c:v>
                </c:pt>
                <c:pt idx="281">
                  <c:v>27</c:v>
                </c:pt>
                <c:pt idx="282">
                  <c:v>27</c:v>
                </c:pt>
                <c:pt idx="283">
                  <c:v>27</c:v>
                </c:pt>
                <c:pt idx="284">
                  <c:v>27</c:v>
                </c:pt>
                <c:pt idx="285">
                  <c:v>27</c:v>
                </c:pt>
                <c:pt idx="286">
                  <c:v>27</c:v>
                </c:pt>
                <c:pt idx="287">
                  <c:v>27</c:v>
                </c:pt>
                <c:pt idx="288">
                  <c:v>27</c:v>
                </c:pt>
                <c:pt idx="289">
                  <c:v>27</c:v>
                </c:pt>
                <c:pt idx="290">
                  <c:v>27</c:v>
                </c:pt>
                <c:pt idx="291">
                  <c:v>27</c:v>
                </c:pt>
                <c:pt idx="292">
                  <c:v>27</c:v>
                </c:pt>
                <c:pt idx="293">
                  <c:v>27</c:v>
                </c:pt>
                <c:pt idx="294">
                  <c:v>27</c:v>
                </c:pt>
                <c:pt idx="295">
                  <c:v>27</c:v>
                </c:pt>
                <c:pt idx="296">
                  <c:v>27</c:v>
                </c:pt>
                <c:pt idx="297">
                  <c:v>27</c:v>
                </c:pt>
                <c:pt idx="298">
                  <c:v>27</c:v>
                </c:pt>
                <c:pt idx="299">
                  <c:v>27</c:v>
                </c:pt>
                <c:pt idx="300">
                  <c:v>27</c:v>
                </c:pt>
                <c:pt idx="301">
                  <c:v>27</c:v>
                </c:pt>
                <c:pt idx="302">
                  <c:v>27</c:v>
                </c:pt>
                <c:pt idx="303">
                  <c:v>27</c:v>
                </c:pt>
                <c:pt idx="304">
                  <c:v>27</c:v>
                </c:pt>
                <c:pt idx="305">
                  <c:v>27</c:v>
                </c:pt>
                <c:pt idx="306">
                  <c:v>27</c:v>
                </c:pt>
                <c:pt idx="307">
                  <c:v>27</c:v>
                </c:pt>
                <c:pt idx="308">
                  <c:v>27</c:v>
                </c:pt>
                <c:pt idx="309">
                  <c:v>27</c:v>
                </c:pt>
                <c:pt idx="310">
                  <c:v>27</c:v>
                </c:pt>
                <c:pt idx="311">
                  <c:v>27</c:v>
                </c:pt>
                <c:pt idx="312">
                  <c:v>27</c:v>
                </c:pt>
                <c:pt idx="313">
                  <c:v>27</c:v>
                </c:pt>
                <c:pt idx="314">
                  <c:v>27</c:v>
                </c:pt>
                <c:pt idx="315">
                  <c:v>27</c:v>
                </c:pt>
                <c:pt idx="316">
                  <c:v>27</c:v>
                </c:pt>
                <c:pt idx="317">
                  <c:v>27</c:v>
                </c:pt>
                <c:pt idx="318">
                  <c:v>27</c:v>
                </c:pt>
                <c:pt idx="319">
                  <c:v>27</c:v>
                </c:pt>
                <c:pt idx="320">
                  <c:v>27</c:v>
                </c:pt>
                <c:pt idx="321">
                  <c:v>27</c:v>
                </c:pt>
                <c:pt idx="322">
                  <c:v>27</c:v>
                </c:pt>
                <c:pt idx="323">
                  <c:v>27</c:v>
                </c:pt>
                <c:pt idx="324">
                  <c:v>27</c:v>
                </c:pt>
                <c:pt idx="325">
                  <c:v>27</c:v>
                </c:pt>
                <c:pt idx="326">
                  <c:v>27</c:v>
                </c:pt>
                <c:pt idx="327">
                  <c:v>27</c:v>
                </c:pt>
                <c:pt idx="328">
                  <c:v>27</c:v>
                </c:pt>
                <c:pt idx="329">
                  <c:v>27</c:v>
                </c:pt>
                <c:pt idx="330">
                  <c:v>27</c:v>
                </c:pt>
                <c:pt idx="331">
                  <c:v>27</c:v>
                </c:pt>
                <c:pt idx="332">
                  <c:v>27</c:v>
                </c:pt>
                <c:pt idx="333">
                  <c:v>27</c:v>
                </c:pt>
                <c:pt idx="334">
                  <c:v>27</c:v>
                </c:pt>
              </c:numCache>
            </c:numRef>
          </c:yVal>
          <c:smooth val="0"/>
          <c:extLst>
            <c:ext xmlns:c16="http://schemas.microsoft.com/office/drawing/2014/chart" uri="{C3380CC4-5D6E-409C-BE32-E72D297353CC}">
              <c16:uniqueId val="{00000000-420B-4DC1-A2A6-0FB5E8DBD7A8}"/>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Solved &amp; Success </a:t>
            </a:r>
            <a:r>
              <a:rPr lang="en-US" b="1" baseline="0"/>
              <a:t>- Total</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Daily!$AK$4:$AK$440</c:f>
              <c:numCache>
                <c:formatCode>General</c:formatCode>
                <c:ptCount val="335"/>
                <c:pt idx="0">
                  <c:v>3</c:v>
                </c:pt>
                <c:pt idx="1">
                  <c:v>3</c:v>
                </c:pt>
                <c:pt idx="2">
                  <c:v>3</c:v>
                </c:pt>
                <c:pt idx="3">
                  <c:v>8</c:v>
                </c:pt>
                <c:pt idx="4">
                  <c:v>15</c:v>
                </c:pt>
                <c:pt idx="5">
                  <c:v>26</c:v>
                </c:pt>
                <c:pt idx="6">
                  <c:v>29</c:v>
                </c:pt>
                <c:pt idx="7">
                  <c:v>33</c:v>
                </c:pt>
                <c:pt idx="8">
                  <c:v>33</c:v>
                </c:pt>
                <c:pt idx="9">
                  <c:v>33</c:v>
                </c:pt>
                <c:pt idx="10">
                  <c:v>36</c:v>
                </c:pt>
                <c:pt idx="11">
                  <c:v>39</c:v>
                </c:pt>
                <c:pt idx="12">
                  <c:v>44</c:v>
                </c:pt>
                <c:pt idx="13">
                  <c:v>51</c:v>
                </c:pt>
                <c:pt idx="14">
                  <c:v>55</c:v>
                </c:pt>
                <c:pt idx="15">
                  <c:v>55</c:v>
                </c:pt>
                <c:pt idx="16">
                  <c:v>56</c:v>
                </c:pt>
                <c:pt idx="17">
                  <c:v>60</c:v>
                </c:pt>
                <c:pt idx="18">
                  <c:v>66</c:v>
                </c:pt>
                <c:pt idx="19">
                  <c:v>69</c:v>
                </c:pt>
                <c:pt idx="20">
                  <c:v>74</c:v>
                </c:pt>
                <c:pt idx="21">
                  <c:v>76</c:v>
                </c:pt>
                <c:pt idx="22">
                  <c:v>76</c:v>
                </c:pt>
                <c:pt idx="23">
                  <c:v>76</c:v>
                </c:pt>
                <c:pt idx="24">
                  <c:v>79</c:v>
                </c:pt>
                <c:pt idx="25">
                  <c:v>84</c:v>
                </c:pt>
                <c:pt idx="26">
                  <c:v>84</c:v>
                </c:pt>
                <c:pt idx="27">
                  <c:v>84</c:v>
                </c:pt>
                <c:pt idx="28">
                  <c:v>85</c:v>
                </c:pt>
                <c:pt idx="29">
                  <c:v>85</c:v>
                </c:pt>
                <c:pt idx="30">
                  <c:v>85</c:v>
                </c:pt>
                <c:pt idx="31">
                  <c:v>91</c:v>
                </c:pt>
                <c:pt idx="32">
                  <c:v>96</c:v>
                </c:pt>
                <c:pt idx="33">
                  <c:v>102</c:v>
                </c:pt>
                <c:pt idx="34">
                  <c:v>102</c:v>
                </c:pt>
                <c:pt idx="35">
                  <c:v>102</c:v>
                </c:pt>
                <c:pt idx="36">
                  <c:v>102</c:v>
                </c:pt>
                <c:pt idx="37">
                  <c:v>102</c:v>
                </c:pt>
                <c:pt idx="38">
                  <c:v>107</c:v>
                </c:pt>
                <c:pt idx="39">
                  <c:v>111</c:v>
                </c:pt>
                <c:pt idx="40">
                  <c:v>112</c:v>
                </c:pt>
                <c:pt idx="41">
                  <c:v>117</c:v>
                </c:pt>
                <c:pt idx="42">
                  <c:v>117</c:v>
                </c:pt>
                <c:pt idx="43">
                  <c:v>117</c:v>
                </c:pt>
                <c:pt idx="44">
                  <c:v>117</c:v>
                </c:pt>
                <c:pt idx="45">
                  <c:v>118</c:v>
                </c:pt>
                <c:pt idx="46">
                  <c:v>122</c:v>
                </c:pt>
                <c:pt idx="47">
                  <c:v>125</c:v>
                </c:pt>
                <c:pt idx="48">
                  <c:v>127</c:v>
                </c:pt>
                <c:pt idx="49">
                  <c:v>128</c:v>
                </c:pt>
                <c:pt idx="50">
                  <c:v>128</c:v>
                </c:pt>
                <c:pt idx="51">
                  <c:v>128</c:v>
                </c:pt>
                <c:pt idx="52">
                  <c:v>132</c:v>
                </c:pt>
                <c:pt idx="53">
                  <c:v>137</c:v>
                </c:pt>
                <c:pt idx="54">
                  <c:v>139</c:v>
                </c:pt>
                <c:pt idx="55">
                  <c:v>142</c:v>
                </c:pt>
                <c:pt idx="56">
                  <c:v>146</c:v>
                </c:pt>
                <c:pt idx="57">
                  <c:v>146</c:v>
                </c:pt>
                <c:pt idx="58">
                  <c:v>146</c:v>
                </c:pt>
                <c:pt idx="59">
                  <c:v>154</c:v>
                </c:pt>
                <c:pt idx="60">
                  <c:v>161</c:v>
                </c:pt>
                <c:pt idx="61">
                  <c:v>165</c:v>
                </c:pt>
                <c:pt idx="62">
                  <c:v>168</c:v>
                </c:pt>
                <c:pt idx="63">
                  <c:v>176</c:v>
                </c:pt>
                <c:pt idx="64">
                  <c:v>176</c:v>
                </c:pt>
                <c:pt idx="65">
                  <c:v>176</c:v>
                </c:pt>
                <c:pt idx="66">
                  <c:v>176</c:v>
                </c:pt>
                <c:pt idx="67">
                  <c:v>176</c:v>
                </c:pt>
                <c:pt idx="68">
                  <c:v>176</c:v>
                </c:pt>
                <c:pt idx="69">
                  <c:v>176</c:v>
                </c:pt>
                <c:pt idx="70">
                  <c:v>177</c:v>
                </c:pt>
                <c:pt idx="71">
                  <c:v>177</c:v>
                </c:pt>
                <c:pt idx="72">
                  <c:v>177</c:v>
                </c:pt>
                <c:pt idx="73">
                  <c:v>177</c:v>
                </c:pt>
                <c:pt idx="74">
                  <c:v>181</c:v>
                </c:pt>
                <c:pt idx="75">
                  <c:v>184</c:v>
                </c:pt>
                <c:pt idx="76">
                  <c:v>186</c:v>
                </c:pt>
                <c:pt idx="77">
                  <c:v>189</c:v>
                </c:pt>
                <c:pt idx="78">
                  <c:v>191</c:v>
                </c:pt>
                <c:pt idx="79">
                  <c:v>193</c:v>
                </c:pt>
                <c:pt idx="80">
                  <c:v>197</c:v>
                </c:pt>
                <c:pt idx="81">
                  <c:v>200</c:v>
                </c:pt>
                <c:pt idx="82">
                  <c:v>203</c:v>
                </c:pt>
                <c:pt idx="83">
                  <c:v>205</c:v>
                </c:pt>
                <c:pt idx="84">
                  <c:v>210</c:v>
                </c:pt>
                <c:pt idx="85">
                  <c:v>210</c:v>
                </c:pt>
                <c:pt idx="86">
                  <c:v>210</c:v>
                </c:pt>
                <c:pt idx="87">
                  <c:v>215</c:v>
                </c:pt>
                <c:pt idx="88">
                  <c:v>220</c:v>
                </c:pt>
                <c:pt idx="89">
                  <c:v>224</c:v>
                </c:pt>
                <c:pt idx="90">
                  <c:v>227</c:v>
                </c:pt>
                <c:pt idx="91">
                  <c:v>232</c:v>
                </c:pt>
                <c:pt idx="92">
                  <c:v>232</c:v>
                </c:pt>
                <c:pt idx="93">
                  <c:v>232</c:v>
                </c:pt>
                <c:pt idx="94">
                  <c:v>235</c:v>
                </c:pt>
                <c:pt idx="95">
                  <c:v>241</c:v>
                </c:pt>
                <c:pt idx="96">
                  <c:v>244</c:v>
                </c:pt>
                <c:pt idx="97">
                  <c:v>249</c:v>
                </c:pt>
                <c:pt idx="98">
                  <c:v>249</c:v>
                </c:pt>
                <c:pt idx="99">
                  <c:v>249</c:v>
                </c:pt>
                <c:pt idx="100">
                  <c:v>249</c:v>
                </c:pt>
                <c:pt idx="101">
                  <c:v>256</c:v>
                </c:pt>
                <c:pt idx="102">
                  <c:v>259</c:v>
                </c:pt>
                <c:pt idx="103">
                  <c:v>262</c:v>
                </c:pt>
                <c:pt idx="104">
                  <c:v>266</c:v>
                </c:pt>
                <c:pt idx="105">
                  <c:v>271</c:v>
                </c:pt>
                <c:pt idx="106">
                  <c:v>271</c:v>
                </c:pt>
                <c:pt idx="107">
                  <c:v>271</c:v>
                </c:pt>
                <c:pt idx="108">
                  <c:v>274</c:v>
                </c:pt>
                <c:pt idx="109">
                  <c:v>278</c:v>
                </c:pt>
                <c:pt idx="110">
                  <c:v>281</c:v>
                </c:pt>
                <c:pt idx="111">
                  <c:v>285</c:v>
                </c:pt>
                <c:pt idx="112">
                  <c:v>290</c:v>
                </c:pt>
                <c:pt idx="113">
                  <c:v>290</c:v>
                </c:pt>
                <c:pt idx="114">
                  <c:v>290</c:v>
                </c:pt>
                <c:pt idx="115">
                  <c:v>292</c:v>
                </c:pt>
                <c:pt idx="116">
                  <c:v>295</c:v>
                </c:pt>
                <c:pt idx="117">
                  <c:v>297</c:v>
                </c:pt>
                <c:pt idx="118">
                  <c:v>300</c:v>
                </c:pt>
                <c:pt idx="119">
                  <c:v>303</c:v>
                </c:pt>
                <c:pt idx="120">
                  <c:v>303</c:v>
                </c:pt>
                <c:pt idx="121">
                  <c:v>303</c:v>
                </c:pt>
                <c:pt idx="122">
                  <c:v>306</c:v>
                </c:pt>
                <c:pt idx="123">
                  <c:v>309</c:v>
                </c:pt>
                <c:pt idx="124">
                  <c:v>312</c:v>
                </c:pt>
                <c:pt idx="125">
                  <c:v>315</c:v>
                </c:pt>
                <c:pt idx="126">
                  <c:v>318</c:v>
                </c:pt>
                <c:pt idx="127">
                  <c:v>318</c:v>
                </c:pt>
                <c:pt idx="128">
                  <c:v>318</c:v>
                </c:pt>
                <c:pt idx="129">
                  <c:v>318</c:v>
                </c:pt>
                <c:pt idx="130">
                  <c:v>318</c:v>
                </c:pt>
                <c:pt idx="131">
                  <c:v>318</c:v>
                </c:pt>
                <c:pt idx="132">
                  <c:v>318</c:v>
                </c:pt>
                <c:pt idx="133">
                  <c:v>318</c:v>
                </c:pt>
                <c:pt idx="134">
                  <c:v>318</c:v>
                </c:pt>
                <c:pt idx="135">
                  <c:v>318</c:v>
                </c:pt>
                <c:pt idx="136">
                  <c:v>318</c:v>
                </c:pt>
                <c:pt idx="137">
                  <c:v>318</c:v>
                </c:pt>
                <c:pt idx="138">
                  <c:v>318</c:v>
                </c:pt>
                <c:pt idx="139">
                  <c:v>318</c:v>
                </c:pt>
                <c:pt idx="140">
                  <c:v>318</c:v>
                </c:pt>
                <c:pt idx="141">
                  <c:v>318</c:v>
                </c:pt>
                <c:pt idx="142">
                  <c:v>318</c:v>
                </c:pt>
                <c:pt idx="143">
                  <c:v>320</c:v>
                </c:pt>
                <c:pt idx="144">
                  <c:v>320</c:v>
                </c:pt>
                <c:pt idx="145">
                  <c:v>320</c:v>
                </c:pt>
                <c:pt idx="146">
                  <c:v>322</c:v>
                </c:pt>
                <c:pt idx="147">
                  <c:v>322</c:v>
                </c:pt>
                <c:pt idx="148">
                  <c:v>322</c:v>
                </c:pt>
                <c:pt idx="149">
                  <c:v>322</c:v>
                </c:pt>
                <c:pt idx="150">
                  <c:v>322</c:v>
                </c:pt>
                <c:pt idx="151">
                  <c:v>322</c:v>
                </c:pt>
                <c:pt idx="152">
                  <c:v>322</c:v>
                </c:pt>
                <c:pt idx="153">
                  <c:v>322</c:v>
                </c:pt>
                <c:pt idx="154">
                  <c:v>322</c:v>
                </c:pt>
                <c:pt idx="155">
                  <c:v>322</c:v>
                </c:pt>
                <c:pt idx="156">
                  <c:v>322</c:v>
                </c:pt>
                <c:pt idx="157">
                  <c:v>322</c:v>
                </c:pt>
                <c:pt idx="158">
                  <c:v>322</c:v>
                </c:pt>
                <c:pt idx="159">
                  <c:v>322</c:v>
                </c:pt>
                <c:pt idx="160">
                  <c:v>322</c:v>
                </c:pt>
                <c:pt idx="161">
                  <c:v>322</c:v>
                </c:pt>
                <c:pt idx="162">
                  <c:v>322</c:v>
                </c:pt>
                <c:pt idx="163">
                  <c:v>322</c:v>
                </c:pt>
                <c:pt idx="164">
                  <c:v>322</c:v>
                </c:pt>
                <c:pt idx="165">
                  <c:v>324</c:v>
                </c:pt>
                <c:pt idx="166">
                  <c:v>327</c:v>
                </c:pt>
                <c:pt idx="167">
                  <c:v>327</c:v>
                </c:pt>
                <c:pt idx="168">
                  <c:v>327</c:v>
                </c:pt>
                <c:pt idx="169">
                  <c:v>327</c:v>
                </c:pt>
                <c:pt idx="170">
                  <c:v>327</c:v>
                </c:pt>
                <c:pt idx="171">
                  <c:v>327</c:v>
                </c:pt>
                <c:pt idx="172">
                  <c:v>327</c:v>
                </c:pt>
                <c:pt idx="173">
                  <c:v>327</c:v>
                </c:pt>
                <c:pt idx="174">
                  <c:v>327</c:v>
                </c:pt>
                <c:pt idx="175">
                  <c:v>327</c:v>
                </c:pt>
                <c:pt idx="176">
                  <c:v>327</c:v>
                </c:pt>
                <c:pt idx="177">
                  <c:v>327</c:v>
                </c:pt>
                <c:pt idx="178">
                  <c:v>327</c:v>
                </c:pt>
                <c:pt idx="179">
                  <c:v>327</c:v>
                </c:pt>
                <c:pt idx="180">
                  <c:v>327</c:v>
                </c:pt>
                <c:pt idx="181">
                  <c:v>327</c:v>
                </c:pt>
                <c:pt idx="182">
                  <c:v>327</c:v>
                </c:pt>
                <c:pt idx="183">
                  <c:v>327</c:v>
                </c:pt>
                <c:pt idx="184">
                  <c:v>327</c:v>
                </c:pt>
                <c:pt idx="185">
                  <c:v>327</c:v>
                </c:pt>
                <c:pt idx="186">
                  <c:v>327</c:v>
                </c:pt>
                <c:pt idx="187">
                  <c:v>327</c:v>
                </c:pt>
                <c:pt idx="188">
                  <c:v>327</c:v>
                </c:pt>
                <c:pt idx="189">
                  <c:v>327</c:v>
                </c:pt>
                <c:pt idx="190">
                  <c:v>327</c:v>
                </c:pt>
                <c:pt idx="191">
                  <c:v>327</c:v>
                </c:pt>
                <c:pt idx="192">
                  <c:v>328</c:v>
                </c:pt>
                <c:pt idx="193">
                  <c:v>328</c:v>
                </c:pt>
                <c:pt idx="194">
                  <c:v>328</c:v>
                </c:pt>
                <c:pt idx="195">
                  <c:v>328</c:v>
                </c:pt>
                <c:pt idx="196">
                  <c:v>328</c:v>
                </c:pt>
                <c:pt idx="197">
                  <c:v>328</c:v>
                </c:pt>
                <c:pt idx="198">
                  <c:v>328</c:v>
                </c:pt>
                <c:pt idx="199">
                  <c:v>328</c:v>
                </c:pt>
                <c:pt idx="200">
                  <c:v>328</c:v>
                </c:pt>
                <c:pt idx="201">
                  <c:v>328</c:v>
                </c:pt>
                <c:pt idx="202">
                  <c:v>328</c:v>
                </c:pt>
                <c:pt idx="203">
                  <c:v>328</c:v>
                </c:pt>
                <c:pt idx="204">
                  <c:v>328</c:v>
                </c:pt>
                <c:pt idx="205">
                  <c:v>328</c:v>
                </c:pt>
                <c:pt idx="206">
                  <c:v>328</c:v>
                </c:pt>
                <c:pt idx="207">
                  <c:v>328</c:v>
                </c:pt>
                <c:pt idx="208">
                  <c:v>328</c:v>
                </c:pt>
                <c:pt idx="209">
                  <c:v>328</c:v>
                </c:pt>
                <c:pt idx="210">
                  <c:v>328</c:v>
                </c:pt>
                <c:pt idx="211">
                  <c:v>328</c:v>
                </c:pt>
                <c:pt idx="212">
                  <c:v>328</c:v>
                </c:pt>
                <c:pt idx="213">
                  <c:v>328</c:v>
                </c:pt>
                <c:pt idx="214">
                  <c:v>328</c:v>
                </c:pt>
                <c:pt idx="215">
                  <c:v>328</c:v>
                </c:pt>
                <c:pt idx="216">
                  <c:v>328</c:v>
                </c:pt>
                <c:pt idx="217">
                  <c:v>328</c:v>
                </c:pt>
                <c:pt idx="218">
                  <c:v>328</c:v>
                </c:pt>
                <c:pt idx="219">
                  <c:v>328</c:v>
                </c:pt>
                <c:pt idx="220">
                  <c:v>328</c:v>
                </c:pt>
                <c:pt idx="221">
                  <c:v>328</c:v>
                </c:pt>
                <c:pt idx="222">
                  <c:v>328</c:v>
                </c:pt>
                <c:pt idx="223">
                  <c:v>331</c:v>
                </c:pt>
                <c:pt idx="224">
                  <c:v>331</c:v>
                </c:pt>
                <c:pt idx="225">
                  <c:v>331</c:v>
                </c:pt>
                <c:pt idx="226">
                  <c:v>331</c:v>
                </c:pt>
                <c:pt idx="227">
                  <c:v>334</c:v>
                </c:pt>
                <c:pt idx="228">
                  <c:v>337</c:v>
                </c:pt>
                <c:pt idx="229">
                  <c:v>337</c:v>
                </c:pt>
                <c:pt idx="230">
                  <c:v>337</c:v>
                </c:pt>
                <c:pt idx="231">
                  <c:v>337</c:v>
                </c:pt>
                <c:pt idx="232">
                  <c:v>337</c:v>
                </c:pt>
                <c:pt idx="233">
                  <c:v>337</c:v>
                </c:pt>
                <c:pt idx="234">
                  <c:v>339</c:v>
                </c:pt>
                <c:pt idx="235">
                  <c:v>341</c:v>
                </c:pt>
                <c:pt idx="236">
                  <c:v>342</c:v>
                </c:pt>
                <c:pt idx="237">
                  <c:v>342</c:v>
                </c:pt>
                <c:pt idx="238">
                  <c:v>342</c:v>
                </c:pt>
                <c:pt idx="239">
                  <c:v>342</c:v>
                </c:pt>
                <c:pt idx="240">
                  <c:v>342</c:v>
                </c:pt>
                <c:pt idx="241">
                  <c:v>343</c:v>
                </c:pt>
                <c:pt idx="242">
                  <c:v>345</c:v>
                </c:pt>
                <c:pt idx="243">
                  <c:v>346</c:v>
                </c:pt>
                <c:pt idx="244">
                  <c:v>346</c:v>
                </c:pt>
                <c:pt idx="245">
                  <c:v>346</c:v>
                </c:pt>
                <c:pt idx="246">
                  <c:v>346</c:v>
                </c:pt>
                <c:pt idx="247">
                  <c:v>346</c:v>
                </c:pt>
                <c:pt idx="248">
                  <c:v>347</c:v>
                </c:pt>
                <c:pt idx="249">
                  <c:v>347</c:v>
                </c:pt>
                <c:pt idx="250">
                  <c:v>348</c:v>
                </c:pt>
                <c:pt idx="251">
                  <c:v>350</c:v>
                </c:pt>
                <c:pt idx="252">
                  <c:v>350</c:v>
                </c:pt>
                <c:pt idx="253">
                  <c:v>350</c:v>
                </c:pt>
                <c:pt idx="254">
                  <c:v>350</c:v>
                </c:pt>
                <c:pt idx="255">
                  <c:v>350</c:v>
                </c:pt>
                <c:pt idx="256">
                  <c:v>352</c:v>
                </c:pt>
                <c:pt idx="257">
                  <c:v>357</c:v>
                </c:pt>
                <c:pt idx="258">
                  <c:v>357</c:v>
                </c:pt>
                <c:pt idx="259">
                  <c:v>357</c:v>
                </c:pt>
                <c:pt idx="260">
                  <c:v>357</c:v>
                </c:pt>
                <c:pt idx="261">
                  <c:v>357</c:v>
                </c:pt>
                <c:pt idx="262">
                  <c:v>360</c:v>
                </c:pt>
                <c:pt idx="263">
                  <c:v>362</c:v>
                </c:pt>
                <c:pt idx="264">
                  <c:v>364</c:v>
                </c:pt>
                <c:pt idx="265">
                  <c:v>365</c:v>
                </c:pt>
                <c:pt idx="266">
                  <c:v>366</c:v>
                </c:pt>
                <c:pt idx="267">
                  <c:v>366</c:v>
                </c:pt>
                <c:pt idx="268">
                  <c:v>366</c:v>
                </c:pt>
                <c:pt idx="269">
                  <c:v>367</c:v>
                </c:pt>
                <c:pt idx="270">
                  <c:v>367</c:v>
                </c:pt>
                <c:pt idx="271">
                  <c:v>368</c:v>
                </c:pt>
                <c:pt idx="272">
                  <c:v>368</c:v>
                </c:pt>
                <c:pt idx="273">
                  <c:v>368</c:v>
                </c:pt>
                <c:pt idx="274">
                  <c:v>368</c:v>
                </c:pt>
                <c:pt idx="275">
                  <c:v>368</c:v>
                </c:pt>
                <c:pt idx="276">
                  <c:v>368</c:v>
                </c:pt>
                <c:pt idx="277">
                  <c:v>368</c:v>
                </c:pt>
                <c:pt idx="278">
                  <c:v>368</c:v>
                </c:pt>
                <c:pt idx="279">
                  <c:v>368</c:v>
                </c:pt>
                <c:pt idx="280">
                  <c:v>368</c:v>
                </c:pt>
                <c:pt idx="281">
                  <c:v>368</c:v>
                </c:pt>
                <c:pt idx="282">
                  <c:v>368</c:v>
                </c:pt>
                <c:pt idx="283">
                  <c:v>368</c:v>
                </c:pt>
                <c:pt idx="284">
                  <c:v>368</c:v>
                </c:pt>
                <c:pt idx="285">
                  <c:v>368</c:v>
                </c:pt>
                <c:pt idx="286">
                  <c:v>368</c:v>
                </c:pt>
                <c:pt idx="287">
                  <c:v>368</c:v>
                </c:pt>
                <c:pt idx="288">
                  <c:v>368</c:v>
                </c:pt>
                <c:pt idx="289">
                  <c:v>368</c:v>
                </c:pt>
                <c:pt idx="290">
                  <c:v>368</c:v>
                </c:pt>
                <c:pt idx="291">
                  <c:v>368</c:v>
                </c:pt>
                <c:pt idx="292">
                  <c:v>368</c:v>
                </c:pt>
                <c:pt idx="293">
                  <c:v>368</c:v>
                </c:pt>
                <c:pt idx="294">
                  <c:v>368</c:v>
                </c:pt>
                <c:pt idx="295">
                  <c:v>368</c:v>
                </c:pt>
                <c:pt idx="296">
                  <c:v>368</c:v>
                </c:pt>
                <c:pt idx="297">
                  <c:v>368</c:v>
                </c:pt>
                <c:pt idx="298">
                  <c:v>368</c:v>
                </c:pt>
                <c:pt idx="299">
                  <c:v>368</c:v>
                </c:pt>
                <c:pt idx="300">
                  <c:v>368</c:v>
                </c:pt>
                <c:pt idx="301">
                  <c:v>368</c:v>
                </c:pt>
                <c:pt idx="302">
                  <c:v>368</c:v>
                </c:pt>
                <c:pt idx="303">
                  <c:v>368</c:v>
                </c:pt>
                <c:pt idx="304">
                  <c:v>368</c:v>
                </c:pt>
                <c:pt idx="305">
                  <c:v>368</c:v>
                </c:pt>
                <c:pt idx="306">
                  <c:v>368</c:v>
                </c:pt>
                <c:pt idx="307">
                  <c:v>368</c:v>
                </c:pt>
                <c:pt idx="308">
                  <c:v>368</c:v>
                </c:pt>
                <c:pt idx="309">
                  <c:v>368</c:v>
                </c:pt>
                <c:pt idx="310">
                  <c:v>368</c:v>
                </c:pt>
                <c:pt idx="311">
                  <c:v>368</c:v>
                </c:pt>
                <c:pt idx="312">
                  <c:v>368</c:v>
                </c:pt>
                <c:pt idx="313">
                  <c:v>368</c:v>
                </c:pt>
                <c:pt idx="314">
                  <c:v>368</c:v>
                </c:pt>
                <c:pt idx="315">
                  <c:v>368</c:v>
                </c:pt>
                <c:pt idx="316">
                  <c:v>370</c:v>
                </c:pt>
                <c:pt idx="317">
                  <c:v>371</c:v>
                </c:pt>
                <c:pt idx="318">
                  <c:v>371</c:v>
                </c:pt>
                <c:pt idx="319">
                  <c:v>374</c:v>
                </c:pt>
                <c:pt idx="320">
                  <c:v>377</c:v>
                </c:pt>
                <c:pt idx="321">
                  <c:v>377</c:v>
                </c:pt>
                <c:pt idx="322">
                  <c:v>377</c:v>
                </c:pt>
                <c:pt idx="323">
                  <c:v>377</c:v>
                </c:pt>
                <c:pt idx="324">
                  <c:v>377</c:v>
                </c:pt>
                <c:pt idx="325">
                  <c:v>377</c:v>
                </c:pt>
                <c:pt idx="326">
                  <c:v>377</c:v>
                </c:pt>
                <c:pt idx="327">
                  <c:v>377</c:v>
                </c:pt>
                <c:pt idx="328">
                  <c:v>377</c:v>
                </c:pt>
                <c:pt idx="329">
                  <c:v>377</c:v>
                </c:pt>
                <c:pt idx="330">
                  <c:v>377</c:v>
                </c:pt>
                <c:pt idx="331">
                  <c:v>377</c:v>
                </c:pt>
                <c:pt idx="332">
                  <c:v>377</c:v>
                </c:pt>
                <c:pt idx="333">
                  <c:v>377</c:v>
                </c:pt>
                <c:pt idx="334">
                  <c:v>380</c:v>
                </c:pt>
              </c:numCache>
            </c:numRef>
          </c:yVal>
          <c:smooth val="0"/>
          <c:extLst>
            <c:ext xmlns:c16="http://schemas.microsoft.com/office/drawing/2014/chart" uri="{C3380CC4-5D6E-409C-BE32-E72D297353CC}">
              <c16:uniqueId val="{00000000-F6A4-4A53-8DC9-C403FB582FE7}"/>
            </c:ext>
          </c:extLst>
        </c:ser>
        <c:ser>
          <c:idx val="2"/>
          <c:order val="1"/>
          <c:tx>
            <c:v>Success</c:v>
          </c:tx>
          <c:spPr>
            <a:ln w="19050" cap="rnd">
              <a:solidFill>
                <a:schemeClr val="accent6"/>
              </a:solidFill>
              <a:round/>
            </a:ln>
            <a:effectLst/>
          </c:spPr>
          <c:marker>
            <c:symbol val="none"/>
          </c:marker>
          <c:xVal>
            <c:numRef>
              <c:f>Daily!$C$4:$C$440</c:f>
              <c:numCache>
                <c:formatCode>m/d/yyyy</c:formatCode>
                <c:ptCount val="335"/>
                <c:pt idx="0">
                  <c:v>45219</c:v>
                </c:pt>
                <c:pt idx="1">
                  <c:v>45220</c:v>
                </c:pt>
                <c:pt idx="2">
                  <c:v>45221</c:v>
                </c:pt>
                <c:pt idx="3">
                  <c:v>45222</c:v>
                </c:pt>
                <c:pt idx="4">
                  <c:v>45223</c:v>
                </c:pt>
                <c:pt idx="5">
                  <c:v>45224</c:v>
                </c:pt>
                <c:pt idx="6">
                  <c:v>45225</c:v>
                </c:pt>
                <c:pt idx="7">
                  <c:v>45226</c:v>
                </c:pt>
                <c:pt idx="8">
                  <c:v>45227</c:v>
                </c:pt>
                <c:pt idx="9">
                  <c:v>45228</c:v>
                </c:pt>
                <c:pt idx="10">
                  <c:v>45229</c:v>
                </c:pt>
                <c:pt idx="11">
                  <c:v>45230</c:v>
                </c:pt>
                <c:pt idx="12">
                  <c:v>45231</c:v>
                </c:pt>
                <c:pt idx="13">
                  <c:v>45232</c:v>
                </c:pt>
                <c:pt idx="14">
                  <c:v>45233</c:v>
                </c:pt>
                <c:pt idx="15">
                  <c:v>45234</c:v>
                </c:pt>
                <c:pt idx="16">
                  <c:v>45235</c:v>
                </c:pt>
                <c:pt idx="17">
                  <c:v>45236</c:v>
                </c:pt>
                <c:pt idx="18">
                  <c:v>45237</c:v>
                </c:pt>
                <c:pt idx="19">
                  <c:v>45238</c:v>
                </c:pt>
                <c:pt idx="20">
                  <c:v>45239</c:v>
                </c:pt>
                <c:pt idx="21">
                  <c:v>45240</c:v>
                </c:pt>
                <c:pt idx="22">
                  <c:v>45241</c:v>
                </c:pt>
                <c:pt idx="23">
                  <c:v>45242</c:v>
                </c:pt>
                <c:pt idx="24">
                  <c:v>45243</c:v>
                </c:pt>
                <c:pt idx="25">
                  <c:v>45244</c:v>
                </c:pt>
                <c:pt idx="26">
                  <c:v>45245</c:v>
                </c:pt>
                <c:pt idx="27">
                  <c:v>45246</c:v>
                </c:pt>
                <c:pt idx="28">
                  <c:v>45247</c:v>
                </c:pt>
                <c:pt idx="29">
                  <c:v>45248</c:v>
                </c:pt>
                <c:pt idx="30">
                  <c:v>45249</c:v>
                </c:pt>
                <c:pt idx="31">
                  <c:v>45250</c:v>
                </c:pt>
                <c:pt idx="32">
                  <c:v>45251</c:v>
                </c:pt>
                <c:pt idx="33">
                  <c:v>45252</c:v>
                </c:pt>
                <c:pt idx="34">
                  <c:v>45253</c:v>
                </c:pt>
                <c:pt idx="35">
                  <c:v>45254</c:v>
                </c:pt>
                <c:pt idx="36">
                  <c:v>45255</c:v>
                </c:pt>
                <c:pt idx="37">
                  <c:v>45256</c:v>
                </c:pt>
                <c:pt idx="38">
                  <c:v>45257</c:v>
                </c:pt>
                <c:pt idx="39">
                  <c:v>45258</c:v>
                </c:pt>
                <c:pt idx="40">
                  <c:v>45259</c:v>
                </c:pt>
                <c:pt idx="41">
                  <c:v>45260</c:v>
                </c:pt>
                <c:pt idx="42">
                  <c:v>45261</c:v>
                </c:pt>
                <c:pt idx="43">
                  <c:v>45262</c:v>
                </c:pt>
                <c:pt idx="44">
                  <c:v>45263</c:v>
                </c:pt>
                <c:pt idx="45">
                  <c:v>45264</c:v>
                </c:pt>
                <c:pt idx="46">
                  <c:v>45265</c:v>
                </c:pt>
                <c:pt idx="47">
                  <c:v>45266</c:v>
                </c:pt>
                <c:pt idx="48">
                  <c:v>45267</c:v>
                </c:pt>
                <c:pt idx="49">
                  <c:v>45268</c:v>
                </c:pt>
                <c:pt idx="50">
                  <c:v>45269</c:v>
                </c:pt>
                <c:pt idx="51">
                  <c:v>45270</c:v>
                </c:pt>
                <c:pt idx="52">
                  <c:v>45271</c:v>
                </c:pt>
                <c:pt idx="53">
                  <c:v>45272</c:v>
                </c:pt>
                <c:pt idx="54">
                  <c:v>45273</c:v>
                </c:pt>
                <c:pt idx="55">
                  <c:v>45274</c:v>
                </c:pt>
                <c:pt idx="56">
                  <c:v>45275</c:v>
                </c:pt>
                <c:pt idx="57">
                  <c:v>45276</c:v>
                </c:pt>
                <c:pt idx="58">
                  <c:v>45277</c:v>
                </c:pt>
                <c:pt idx="59">
                  <c:v>45278</c:v>
                </c:pt>
                <c:pt idx="60">
                  <c:v>45279</c:v>
                </c:pt>
                <c:pt idx="61">
                  <c:v>45280</c:v>
                </c:pt>
                <c:pt idx="62">
                  <c:v>45281</c:v>
                </c:pt>
                <c:pt idx="63">
                  <c:v>45282</c:v>
                </c:pt>
                <c:pt idx="64">
                  <c:v>45283</c:v>
                </c:pt>
                <c:pt idx="65">
                  <c:v>45284</c:v>
                </c:pt>
                <c:pt idx="66">
                  <c:v>45285</c:v>
                </c:pt>
                <c:pt idx="67">
                  <c:v>45286</c:v>
                </c:pt>
                <c:pt idx="68">
                  <c:v>45287</c:v>
                </c:pt>
                <c:pt idx="69">
                  <c:v>45288</c:v>
                </c:pt>
                <c:pt idx="70">
                  <c:v>45289</c:v>
                </c:pt>
                <c:pt idx="71">
                  <c:v>45290</c:v>
                </c:pt>
                <c:pt idx="72">
                  <c:v>45291</c:v>
                </c:pt>
                <c:pt idx="73">
                  <c:v>45292</c:v>
                </c:pt>
                <c:pt idx="74">
                  <c:v>45293</c:v>
                </c:pt>
                <c:pt idx="75">
                  <c:v>45294</c:v>
                </c:pt>
                <c:pt idx="76">
                  <c:v>45295</c:v>
                </c:pt>
                <c:pt idx="77">
                  <c:v>45296</c:v>
                </c:pt>
                <c:pt idx="78">
                  <c:v>45297</c:v>
                </c:pt>
                <c:pt idx="79">
                  <c:v>45298</c:v>
                </c:pt>
                <c:pt idx="80">
                  <c:v>45299</c:v>
                </c:pt>
                <c:pt idx="81">
                  <c:v>45300</c:v>
                </c:pt>
                <c:pt idx="82">
                  <c:v>45301</c:v>
                </c:pt>
                <c:pt idx="83">
                  <c:v>45302</c:v>
                </c:pt>
                <c:pt idx="84">
                  <c:v>45303</c:v>
                </c:pt>
                <c:pt idx="85">
                  <c:v>45304</c:v>
                </c:pt>
                <c:pt idx="86">
                  <c:v>45305</c:v>
                </c:pt>
                <c:pt idx="87">
                  <c:v>45306</c:v>
                </c:pt>
                <c:pt idx="88">
                  <c:v>45307</c:v>
                </c:pt>
                <c:pt idx="89">
                  <c:v>45308</c:v>
                </c:pt>
                <c:pt idx="90">
                  <c:v>45309</c:v>
                </c:pt>
                <c:pt idx="91">
                  <c:v>45310</c:v>
                </c:pt>
                <c:pt idx="92">
                  <c:v>45311</c:v>
                </c:pt>
                <c:pt idx="93">
                  <c:v>45312</c:v>
                </c:pt>
                <c:pt idx="94">
                  <c:v>45313</c:v>
                </c:pt>
                <c:pt idx="95">
                  <c:v>45314</c:v>
                </c:pt>
                <c:pt idx="96">
                  <c:v>45315</c:v>
                </c:pt>
                <c:pt idx="97">
                  <c:v>45316</c:v>
                </c:pt>
                <c:pt idx="98">
                  <c:v>45317</c:v>
                </c:pt>
                <c:pt idx="99">
                  <c:v>45318</c:v>
                </c:pt>
                <c:pt idx="100">
                  <c:v>45319</c:v>
                </c:pt>
                <c:pt idx="101">
                  <c:v>45320</c:v>
                </c:pt>
                <c:pt idx="102">
                  <c:v>45321</c:v>
                </c:pt>
                <c:pt idx="103">
                  <c:v>45322</c:v>
                </c:pt>
                <c:pt idx="104">
                  <c:v>45323</c:v>
                </c:pt>
                <c:pt idx="105">
                  <c:v>45324</c:v>
                </c:pt>
                <c:pt idx="106">
                  <c:v>45325</c:v>
                </c:pt>
                <c:pt idx="107">
                  <c:v>45326</c:v>
                </c:pt>
                <c:pt idx="108">
                  <c:v>45327</c:v>
                </c:pt>
                <c:pt idx="109">
                  <c:v>45328</c:v>
                </c:pt>
                <c:pt idx="110">
                  <c:v>45329</c:v>
                </c:pt>
                <c:pt idx="111">
                  <c:v>45330</c:v>
                </c:pt>
                <c:pt idx="112">
                  <c:v>45331</c:v>
                </c:pt>
                <c:pt idx="113">
                  <c:v>45332</c:v>
                </c:pt>
                <c:pt idx="114">
                  <c:v>45333</c:v>
                </c:pt>
                <c:pt idx="115">
                  <c:v>45334</c:v>
                </c:pt>
                <c:pt idx="116">
                  <c:v>45335</c:v>
                </c:pt>
                <c:pt idx="117">
                  <c:v>45336</c:v>
                </c:pt>
                <c:pt idx="118">
                  <c:v>45337</c:v>
                </c:pt>
                <c:pt idx="119">
                  <c:v>45338</c:v>
                </c:pt>
                <c:pt idx="120">
                  <c:v>45339</c:v>
                </c:pt>
                <c:pt idx="121">
                  <c:v>45340</c:v>
                </c:pt>
                <c:pt idx="122">
                  <c:v>45341</c:v>
                </c:pt>
                <c:pt idx="123">
                  <c:v>45342</c:v>
                </c:pt>
                <c:pt idx="124">
                  <c:v>45343</c:v>
                </c:pt>
                <c:pt idx="125">
                  <c:v>45344</c:v>
                </c:pt>
                <c:pt idx="126">
                  <c:v>45345</c:v>
                </c:pt>
                <c:pt idx="127">
                  <c:v>45346</c:v>
                </c:pt>
                <c:pt idx="128">
                  <c:v>45347</c:v>
                </c:pt>
                <c:pt idx="129">
                  <c:v>45348</c:v>
                </c:pt>
                <c:pt idx="130">
                  <c:v>45349</c:v>
                </c:pt>
                <c:pt idx="131">
                  <c:v>45350</c:v>
                </c:pt>
                <c:pt idx="132">
                  <c:v>45351</c:v>
                </c:pt>
                <c:pt idx="133">
                  <c:v>45352</c:v>
                </c:pt>
                <c:pt idx="134">
                  <c:v>45353</c:v>
                </c:pt>
                <c:pt idx="135">
                  <c:v>45354</c:v>
                </c:pt>
                <c:pt idx="136">
                  <c:v>45355</c:v>
                </c:pt>
                <c:pt idx="137">
                  <c:v>45356</c:v>
                </c:pt>
                <c:pt idx="138">
                  <c:v>45357</c:v>
                </c:pt>
                <c:pt idx="139">
                  <c:v>45358</c:v>
                </c:pt>
                <c:pt idx="140">
                  <c:v>45359</c:v>
                </c:pt>
                <c:pt idx="141">
                  <c:v>45360</c:v>
                </c:pt>
                <c:pt idx="142">
                  <c:v>45361</c:v>
                </c:pt>
                <c:pt idx="143">
                  <c:v>45362</c:v>
                </c:pt>
                <c:pt idx="144">
                  <c:v>45363</c:v>
                </c:pt>
                <c:pt idx="145">
                  <c:v>45364</c:v>
                </c:pt>
                <c:pt idx="146">
                  <c:v>45365</c:v>
                </c:pt>
                <c:pt idx="147">
                  <c:v>45366</c:v>
                </c:pt>
                <c:pt idx="148">
                  <c:v>45367</c:v>
                </c:pt>
                <c:pt idx="149">
                  <c:v>45368</c:v>
                </c:pt>
                <c:pt idx="150">
                  <c:v>45369</c:v>
                </c:pt>
                <c:pt idx="151">
                  <c:v>45370</c:v>
                </c:pt>
                <c:pt idx="152">
                  <c:v>45371</c:v>
                </c:pt>
                <c:pt idx="153">
                  <c:v>45372</c:v>
                </c:pt>
                <c:pt idx="154">
                  <c:v>45373</c:v>
                </c:pt>
                <c:pt idx="155">
                  <c:v>45374</c:v>
                </c:pt>
                <c:pt idx="156">
                  <c:v>45375</c:v>
                </c:pt>
                <c:pt idx="157">
                  <c:v>45376</c:v>
                </c:pt>
                <c:pt idx="158">
                  <c:v>45377</c:v>
                </c:pt>
                <c:pt idx="159">
                  <c:v>45378</c:v>
                </c:pt>
                <c:pt idx="160">
                  <c:v>45379</c:v>
                </c:pt>
                <c:pt idx="161">
                  <c:v>45380</c:v>
                </c:pt>
                <c:pt idx="162">
                  <c:v>45381</c:v>
                </c:pt>
                <c:pt idx="163">
                  <c:v>45382</c:v>
                </c:pt>
                <c:pt idx="164">
                  <c:v>45383</c:v>
                </c:pt>
                <c:pt idx="165">
                  <c:v>45384</c:v>
                </c:pt>
                <c:pt idx="166">
                  <c:v>45385</c:v>
                </c:pt>
                <c:pt idx="167">
                  <c:v>45386</c:v>
                </c:pt>
                <c:pt idx="168">
                  <c:v>45387</c:v>
                </c:pt>
                <c:pt idx="169">
                  <c:v>45388</c:v>
                </c:pt>
                <c:pt idx="170">
                  <c:v>45389</c:v>
                </c:pt>
                <c:pt idx="171">
                  <c:v>45390</c:v>
                </c:pt>
                <c:pt idx="172">
                  <c:v>45391</c:v>
                </c:pt>
                <c:pt idx="173">
                  <c:v>45392</c:v>
                </c:pt>
                <c:pt idx="174">
                  <c:v>45393</c:v>
                </c:pt>
                <c:pt idx="175">
                  <c:v>45394</c:v>
                </c:pt>
                <c:pt idx="176">
                  <c:v>45395</c:v>
                </c:pt>
                <c:pt idx="177">
                  <c:v>45396</c:v>
                </c:pt>
                <c:pt idx="178">
                  <c:v>45397</c:v>
                </c:pt>
                <c:pt idx="179">
                  <c:v>45398</c:v>
                </c:pt>
                <c:pt idx="180">
                  <c:v>45399</c:v>
                </c:pt>
                <c:pt idx="181">
                  <c:v>45400</c:v>
                </c:pt>
                <c:pt idx="182">
                  <c:v>45401</c:v>
                </c:pt>
                <c:pt idx="183">
                  <c:v>45402</c:v>
                </c:pt>
                <c:pt idx="184">
                  <c:v>45403</c:v>
                </c:pt>
                <c:pt idx="185">
                  <c:v>45404</c:v>
                </c:pt>
                <c:pt idx="186">
                  <c:v>45405</c:v>
                </c:pt>
                <c:pt idx="187">
                  <c:v>45406</c:v>
                </c:pt>
                <c:pt idx="188">
                  <c:v>45407</c:v>
                </c:pt>
                <c:pt idx="189">
                  <c:v>45408</c:v>
                </c:pt>
                <c:pt idx="190">
                  <c:v>45409</c:v>
                </c:pt>
                <c:pt idx="191">
                  <c:v>45410</c:v>
                </c:pt>
                <c:pt idx="192">
                  <c:v>45411</c:v>
                </c:pt>
                <c:pt idx="193">
                  <c:v>45412</c:v>
                </c:pt>
                <c:pt idx="194">
                  <c:v>45413</c:v>
                </c:pt>
                <c:pt idx="195">
                  <c:v>45414</c:v>
                </c:pt>
                <c:pt idx="196">
                  <c:v>45415</c:v>
                </c:pt>
                <c:pt idx="197">
                  <c:v>45416</c:v>
                </c:pt>
                <c:pt idx="198">
                  <c:v>45417</c:v>
                </c:pt>
                <c:pt idx="199">
                  <c:v>45418</c:v>
                </c:pt>
                <c:pt idx="200">
                  <c:v>45419</c:v>
                </c:pt>
                <c:pt idx="201">
                  <c:v>45420</c:v>
                </c:pt>
                <c:pt idx="202">
                  <c:v>45421</c:v>
                </c:pt>
                <c:pt idx="203">
                  <c:v>45422</c:v>
                </c:pt>
                <c:pt idx="204">
                  <c:v>45423</c:v>
                </c:pt>
                <c:pt idx="205">
                  <c:v>45424</c:v>
                </c:pt>
                <c:pt idx="206">
                  <c:v>45425</c:v>
                </c:pt>
                <c:pt idx="207">
                  <c:v>45426</c:v>
                </c:pt>
                <c:pt idx="208">
                  <c:v>45427</c:v>
                </c:pt>
                <c:pt idx="209">
                  <c:v>45428</c:v>
                </c:pt>
                <c:pt idx="210">
                  <c:v>45429</c:v>
                </c:pt>
                <c:pt idx="211">
                  <c:v>45430</c:v>
                </c:pt>
                <c:pt idx="212">
                  <c:v>45431</c:v>
                </c:pt>
                <c:pt idx="213">
                  <c:v>45432</c:v>
                </c:pt>
                <c:pt idx="214">
                  <c:v>45433</c:v>
                </c:pt>
                <c:pt idx="215">
                  <c:v>45434</c:v>
                </c:pt>
                <c:pt idx="216">
                  <c:v>45435</c:v>
                </c:pt>
                <c:pt idx="217">
                  <c:v>45436</c:v>
                </c:pt>
                <c:pt idx="218">
                  <c:v>45437</c:v>
                </c:pt>
                <c:pt idx="219">
                  <c:v>45438</c:v>
                </c:pt>
                <c:pt idx="220">
                  <c:v>45439</c:v>
                </c:pt>
                <c:pt idx="221">
                  <c:v>45440</c:v>
                </c:pt>
                <c:pt idx="222">
                  <c:v>45441</c:v>
                </c:pt>
                <c:pt idx="223">
                  <c:v>45442</c:v>
                </c:pt>
                <c:pt idx="224">
                  <c:v>45443</c:v>
                </c:pt>
                <c:pt idx="225">
                  <c:v>45444</c:v>
                </c:pt>
                <c:pt idx="226">
                  <c:v>45445</c:v>
                </c:pt>
                <c:pt idx="227">
                  <c:v>45446</c:v>
                </c:pt>
                <c:pt idx="228">
                  <c:v>45447</c:v>
                </c:pt>
                <c:pt idx="229">
                  <c:v>45448</c:v>
                </c:pt>
                <c:pt idx="230">
                  <c:v>45449</c:v>
                </c:pt>
                <c:pt idx="231">
                  <c:v>45450</c:v>
                </c:pt>
                <c:pt idx="232">
                  <c:v>45451</c:v>
                </c:pt>
                <c:pt idx="233">
                  <c:v>45452</c:v>
                </c:pt>
                <c:pt idx="234">
                  <c:v>45453</c:v>
                </c:pt>
                <c:pt idx="235">
                  <c:v>45454</c:v>
                </c:pt>
                <c:pt idx="236">
                  <c:v>45455</c:v>
                </c:pt>
                <c:pt idx="237">
                  <c:v>45456</c:v>
                </c:pt>
                <c:pt idx="238">
                  <c:v>45457</c:v>
                </c:pt>
                <c:pt idx="239">
                  <c:v>45458</c:v>
                </c:pt>
                <c:pt idx="240">
                  <c:v>45459</c:v>
                </c:pt>
                <c:pt idx="241">
                  <c:v>45460</c:v>
                </c:pt>
                <c:pt idx="242">
                  <c:v>45461</c:v>
                </c:pt>
                <c:pt idx="243">
                  <c:v>45462</c:v>
                </c:pt>
                <c:pt idx="244">
                  <c:v>45463</c:v>
                </c:pt>
                <c:pt idx="245">
                  <c:v>45464</c:v>
                </c:pt>
                <c:pt idx="246">
                  <c:v>45465</c:v>
                </c:pt>
                <c:pt idx="247">
                  <c:v>45466</c:v>
                </c:pt>
                <c:pt idx="248">
                  <c:v>45467</c:v>
                </c:pt>
                <c:pt idx="249">
                  <c:v>45468</c:v>
                </c:pt>
                <c:pt idx="250">
                  <c:v>45469</c:v>
                </c:pt>
                <c:pt idx="251">
                  <c:v>45470</c:v>
                </c:pt>
                <c:pt idx="252">
                  <c:v>45471</c:v>
                </c:pt>
                <c:pt idx="253">
                  <c:v>45472</c:v>
                </c:pt>
                <c:pt idx="254">
                  <c:v>45473</c:v>
                </c:pt>
                <c:pt idx="255">
                  <c:v>45474</c:v>
                </c:pt>
                <c:pt idx="256">
                  <c:v>45475</c:v>
                </c:pt>
                <c:pt idx="257">
                  <c:v>45476</c:v>
                </c:pt>
                <c:pt idx="258">
                  <c:v>45477</c:v>
                </c:pt>
                <c:pt idx="259">
                  <c:v>45478</c:v>
                </c:pt>
                <c:pt idx="260">
                  <c:v>45479</c:v>
                </c:pt>
                <c:pt idx="261">
                  <c:v>45480</c:v>
                </c:pt>
                <c:pt idx="262">
                  <c:v>45481</c:v>
                </c:pt>
                <c:pt idx="263">
                  <c:v>45482</c:v>
                </c:pt>
                <c:pt idx="264">
                  <c:v>45483</c:v>
                </c:pt>
                <c:pt idx="265">
                  <c:v>45484</c:v>
                </c:pt>
                <c:pt idx="266">
                  <c:v>45485</c:v>
                </c:pt>
                <c:pt idx="267">
                  <c:v>45486</c:v>
                </c:pt>
                <c:pt idx="268">
                  <c:v>45487</c:v>
                </c:pt>
                <c:pt idx="269">
                  <c:v>45488</c:v>
                </c:pt>
                <c:pt idx="270">
                  <c:v>45489</c:v>
                </c:pt>
                <c:pt idx="271">
                  <c:v>45490</c:v>
                </c:pt>
                <c:pt idx="272">
                  <c:v>45491</c:v>
                </c:pt>
                <c:pt idx="273">
                  <c:v>45492</c:v>
                </c:pt>
                <c:pt idx="274">
                  <c:v>45493</c:v>
                </c:pt>
                <c:pt idx="275">
                  <c:v>45494</c:v>
                </c:pt>
                <c:pt idx="276">
                  <c:v>45495</c:v>
                </c:pt>
                <c:pt idx="277">
                  <c:v>45496</c:v>
                </c:pt>
                <c:pt idx="278">
                  <c:v>45497</c:v>
                </c:pt>
                <c:pt idx="279">
                  <c:v>45498</c:v>
                </c:pt>
                <c:pt idx="280">
                  <c:v>45499</c:v>
                </c:pt>
                <c:pt idx="281">
                  <c:v>45500</c:v>
                </c:pt>
                <c:pt idx="282">
                  <c:v>45501</c:v>
                </c:pt>
                <c:pt idx="283">
                  <c:v>45502</c:v>
                </c:pt>
                <c:pt idx="284">
                  <c:v>45503</c:v>
                </c:pt>
                <c:pt idx="285">
                  <c:v>45504</c:v>
                </c:pt>
                <c:pt idx="286">
                  <c:v>45505</c:v>
                </c:pt>
                <c:pt idx="287">
                  <c:v>45506</c:v>
                </c:pt>
                <c:pt idx="288">
                  <c:v>45507</c:v>
                </c:pt>
                <c:pt idx="289">
                  <c:v>45508</c:v>
                </c:pt>
                <c:pt idx="290">
                  <c:v>45509</c:v>
                </c:pt>
                <c:pt idx="291">
                  <c:v>45510</c:v>
                </c:pt>
                <c:pt idx="292">
                  <c:v>45511</c:v>
                </c:pt>
                <c:pt idx="293">
                  <c:v>45512</c:v>
                </c:pt>
                <c:pt idx="294">
                  <c:v>45513</c:v>
                </c:pt>
                <c:pt idx="295">
                  <c:v>45514</c:v>
                </c:pt>
                <c:pt idx="296">
                  <c:v>45515</c:v>
                </c:pt>
                <c:pt idx="297">
                  <c:v>45516</c:v>
                </c:pt>
                <c:pt idx="298">
                  <c:v>45517</c:v>
                </c:pt>
                <c:pt idx="299">
                  <c:v>45518</c:v>
                </c:pt>
                <c:pt idx="300">
                  <c:v>45519</c:v>
                </c:pt>
                <c:pt idx="301">
                  <c:v>45520</c:v>
                </c:pt>
                <c:pt idx="302">
                  <c:v>45521</c:v>
                </c:pt>
                <c:pt idx="303">
                  <c:v>45522</c:v>
                </c:pt>
                <c:pt idx="304">
                  <c:v>45523</c:v>
                </c:pt>
                <c:pt idx="305">
                  <c:v>45524</c:v>
                </c:pt>
                <c:pt idx="306">
                  <c:v>45525</c:v>
                </c:pt>
                <c:pt idx="307">
                  <c:v>45526</c:v>
                </c:pt>
                <c:pt idx="308">
                  <c:v>45527</c:v>
                </c:pt>
                <c:pt idx="309">
                  <c:v>45528</c:v>
                </c:pt>
                <c:pt idx="310">
                  <c:v>45529</c:v>
                </c:pt>
                <c:pt idx="311">
                  <c:v>45530</c:v>
                </c:pt>
                <c:pt idx="312">
                  <c:v>45531</c:v>
                </c:pt>
                <c:pt idx="313">
                  <c:v>45532</c:v>
                </c:pt>
                <c:pt idx="314">
                  <c:v>45533</c:v>
                </c:pt>
                <c:pt idx="315">
                  <c:v>45534</c:v>
                </c:pt>
                <c:pt idx="316">
                  <c:v>45535</c:v>
                </c:pt>
                <c:pt idx="317">
                  <c:v>45536</c:v>
                </c:pt>
                <c:pt idx="318">
                  <c:v>45537</c:v>
                </c:pt>
                <c:pt idx="319">
                  <c:v>45538</c:v>
                </c:pt>
                <c:pt idx="320">
                  <c:v>45539</c:v>
                </c:pt>
                <c:pt idx="321">
                  <c:v>45540</c:v>
                </c:pt>
                <c:pt idx="322">
                  <c:v>45541</c:v>
                </c:pt>
                <c:pt idx="323">
                  <c:v>45542</c:v>
                </c:pt>
                <c:pt idx="324">
                  <c:v>45543</c:v>
                </c:pt>
                <c:pt idx="325">
                  <c:v>45544</c:v>
                </c:pt>
                <c:pt idx="326">
                  <c:v>45545</c:v>
                </c:pt>
                <c:pt idx="327">
                  <c:v>45546</c:v>
                </c:pt>
                <c:pt idx="328">
                  <c:v>45547</c:v>
                </c:pt>
                <c:pt idx="329">
                  <c:v>45548</c:v>
                </c:pt>
                <c:pt idx="330">
                  <c:v>45549</c:v>
                </c:pt>
                <c:pt idx="331">
                  <c:v>45550</c:v>
                </c:pt>
                <c:pt idx="332">
                  <c:v>45551</c:v>
                </c:pt>
                <c:pt idx="333">
                  <c:v>45552</c:v>
                </c:pt>
                <c:pt idx="334">
                  <c:v>45553</c:v>
                </c:pt>
              </c:numCache>
            </c:numRef>
          </c:xVal>
          <c:yVal>
            <c:numRef>
              <c:f>Daily!$AL$4:$AL$440</c:f>
              <c:numCache>
                <c:formatCode>General</c:formatCode>
                <c:ptCount val="335"/>
                <c:pt idx="0">
                  <c:v>3</c:v>
                </c:pt>
                <c:pt idx="1">
                  <c:v>3</c:v>
                </c:pt>
                <c:pt idx="2">
                  <c:v>3</c:v>
                </c:pt>
                <c:pt idx="3">
                  <c:v>8</c:v>
                </c:pt>
                <c:pt idx="4">
                  <c:v>14</c:v>
                </c:pt>
                <c:pt idx="5">
                  <c:v>23</c:v>
                </c:pt>
                <c:pt idx="6">
                  <c:v>25</c:v>
                </c:pt>
                <c:pt idx="7">
                  <c:v>28</c:v>
                </c:pt>
                <c:pt idx="8">
                  <c:v>28</c:v>
                </c:pt>
                <c:pt idx="9">
                  <c:v>28</c:v>
                </c:pt>
                <c:pt idx="10">
                  <c:v>29</c:v>
                </c:pt>
                <c:pt idx="11">
                  <c:v>31</c:v>
                </c:pt>
                <c:pt idx="12">
                  <c:v>35</c:v>
                </c:pt>
                <c:pt idx="13">
                  <c:v>40</c:v>
                </c:pt>
                <c:pt idx="14">
                  <c:v>43</c:v>
                </c:pt>
                <c:pt idx="15">
                  <c:v>43</c:v>
                </c:pt>
                <c:pt idx="16">
                  <c:v>43</c:v>
                </c:pt>
                <c:pt idx="17">
                  <c:v>46</c:v>
                </c:pt>
                <c:pt idx="18">
                  <c:v>51</c:v>
                </c:pt>
                <c:pt idx="19">
                  <c:v>53</c:v>
                </c:pt>
                <c:pt idx="20">
                  <c:v>57</c:v>
                </c:pt>
                <c:pt idx="21">
                  <c:v>57</c:v>
                </c:pt>
                <c:pt idx="22">
                  <c:v>57</c:v>
                </c:pt>
                <c:pt idx="23">
                  <c:v>57</c:v>
                </c:pt>
                <c:pt idx="24">
                  <c:v>59</c:v>
                </c:pt>
                <c:pt idx="25">
                  <c:v>64</c:v>
                </c:pt>
                <c:pt idx="26">
                  <c:v>64</c:v>
                </c:pt>
                <c:pt idx="27">
                  <c:v>64</c:v>
                </c:pt>
                <c:pt idx="28">
                  <c:v>64</c:v>
                </c:pt>
                <c:pt idx="29">
                  <c:v>64</c:v>
                </c:pt>
                <c:pt idx="30">
                  <c:v>64</c:v>
                </c:pt>
                <c:pt idx="31">
                  <c:v>70</c:v>
                </c:pt>
                <c:pt idx="32">
                  <c:v>74</c:v>
                </c:pt>
                <c:pt idx="33">
                  <c:v>80</c:v>
                </c:pt>
                <c:pt idx="34">
                  <c:v>80</c:v>
                </c:pt>
                <c:pt idx="35">
                  <c:v>80</c:v>
                </c:pt>
                <c:pt idx="36">
                  <c:v>80</c:v>
                </c:pt>
                <c:pt idx="37">
                  <c:v>80</c:v>
                </c:pt>
                <c:pt idx="38">
                  <c:v>85</c:v>
                </c:pt>
                <c:pt idx="39">
                  <c:v>89</c:v>
                </c:pt>
                <c:pt idx="40">
                  <c:v>89</c:v>
                </c:pt>
                <c:pt idx="41">
                  <c:v>93</c:v>
                </c:pt>
                <c:pt idx="42">
                  <c:v>93</c:v>
                </c:pt>
                <c:pt idx="43">
                  <c:v>93</c:v>
                </c:pt>
                <c:pt idx="44">
                  <c:v>93</c:v>
                </c:pt>
                <c:pt idx="45">
                  <c:v>94</c:v>
                </c:pt>
                <c:pt idx="46">
                  <c:v>97</c:v>
                </c:pt>
                <c:pt idx="47">
                  <c:v>100</c:v>
                </c:pt>
                <c:pt idx="48">
                  <c:v>102</c:v>
                </c:pt>
                <c:pt idx="49">
                  <c:v>103</c:v>
                </c:pt>
                <c:pt idx="50">
                  <c:v>103</c:v>
                </c:pt>
                <c:pt idx="51">
                  <c:v>103</c:v>
                </c:pt>
                <c:pt idx="52">
                  <c:v>107</c:v>
                </c:pt>
                <c:pt idx="53">
                  <c:v>111</c:v>
                </c:pt>
                <c:pt idx="54">
                  <c:v>113</c:v>
                </c:pt>
                <c:pt idx="55">
                  <c:v>115</c:v>
                </c:pt>
                <c:pt idx="56">
                  <c:v>117</c:v>
                </c:pt>
                <c:pt idx="57">
                  <c:v>117</c:v>
                </c:pt>
                <c:pt idx="58">
                  <c:v>117</c:v>
                </c:pt>
                <c:pt idx="59">
                  <c:v>124</c:v>
                </c:pt>
                <c:pt idx="60">
                  <c:v>130</c:v>
                </c:pt>
                <c:pt idx="61">
                  <c:v>133</c:v>
                </c:pt>
                <c:pt idx="62">
                  <c:v>135</c:v>
                </c:pt>
                <c:pt idx="63">
                  <c:v>143</c:v>
                </c:pt>
                <c:pt idx="64">
                  <c:v>143</c:v>
                </c:pt>
                <c:pt idx="65">
                  <c:v>143</c:v>
                </c:pt>
                <c:pt idx="66">
                  <c:v>143</c:v>
                </c:pt>
                <c:pt idx="67">
                  <c:v>143</c:v>
                </c:pt>
                <c:pt idx="68">
                  <c:v>143</c:v>
                </c:pt>
                <c:pt idx="69">
                  <c:v>143</c:v>
                </c:pt>
                <c:pt idx="70">
                  <c:v>144</c:v>
                </c:pt>
                <c:pt idx="71">
                  <c:v>144</c:v>
                </c:pt>
                <c:pt idx="72">
                  <c:v>144</c:v>
                </c:pt>
                <c:pt idx="73">
                  <c:v>144</c:v>
                </c:pt>
                <c:pt idx="74">
                  <c:v>148</c:v>
                </c:pt>
                <c:pt idx="75">
                  <c:v>151</c:v>
                </c:pt>
                <c:pt idx="76">
                  <c:v>153</c:v>
                </c:pt>
                <c:pt idx="77">
                  <c:v>155</c:v>
                </c:pt>
                <c:pt idx="78">
                  <c:v>157</c:v>
                </c:pt>
                <c:pt idx="79">
                  <c:v>159</c:v>
                </c:pt>
                <c:pt idx="80">
                  <c:v>162</c:v>
                </c:pt>
                <c:pt idx="81">
                  <c:v>165</c:v>
                </c:pt>
                <c:pt idx="82">
                  <c:v>167</c:v>
                </c:pt>
                <c:pt idx="83">
                  <c:v>169</c:v>
                </c:pt>
                <c:pt idx="84">
                  <c:v>172</c:v>
                </c:pt>
                <c:pt idx="85">
                  <c:v>172</c:v>
                </c:pt>
                <c:pt idx="86">
                  <c:v>172</c:v>
                </c:pt>
                <c:pt idx="87">
                  <c:v>177</c:v>
                </c:pt>
                <c:pt idx="88">
                  <c:v>182</c:v>
                </c:pt>
                <c:pt idx="89">
                  <c:v>185</c:v>
                </c:pt>
                <c:pt idx="90">
                  <c:v>187</c:v>
                </c:pt>
                <c:pt idx="91">
                  <c:v>192</c:v>
                </c:pt>
                <c:pt idx="92">
                  <c:v>192</c:v>
                </c:pt>
                <c:pt idx="93">
                  <c:v>192</c:v>
                </c:pt>
                <c:pt idx="94">
                  <c:v>194</c:v>
                </c:pt>
                <c:pt idx="95">
                  <c:v>200</c:v>
                </c:pt>
                <c:pt idx="96">
                  <c:v>203</c:v>
                </c:pt>
                <c:pt idx="97">
                  <c:v>207</c:v>
                </c:pt>
                <c:pt idx="98">
                  <c:v>207</c:v>
                </c:pt>
                <c:pt idx="99">
                  <c:v>207</c:v>
                </c:pt>
                <c:pt idx="100">
                  <c:v>207</c:v>
                </c:pt>
                <c:pt idx="101">
                  <c:v>214</c:v>
                </c:pt>
                <c:pt idx="102">
                  <c:v>216</c:v>
                </c:pt>
                <c:pt idx="103">
                  <c:v>219</c:v>
                </c:pt>
                <c:pt idx="104">
                  <c:v>221</c:v>
                </c:pt>
                <c:pt idx="105">
                  <c:v>226</c:v>
                </c:pt>
                <c:pt idx="106">
                  <c:v>226</c:v>
                </c:pt>
                <c:pt idx="107">
                  <c:v>226</c:v>
                </c:pt>
                <c:pt idx="108">
                  <c:v>228</c:v>
                </c:pt>
                <c:pt idx="109">
                  <c:v>232</c:v>
                </c:pt>
                <c:pt idx="110">
                  <c:v>233</c:v>
                </c:pt>
                <c:pt idx="111">
                  <c:v>236</c:v>
                </c:pt>
                <c:pt idx="112">
                  <c:v>240</c:v>
                </c:pt>
                <c:pt idx="113">
                  <c:v>240</c:v>
                </c:pt>
                <c:pt idx="114">
                  <c:v>240</c:v>
                </c:pt>
                <c:pt idx="115">
                  <c:v>242</c:v>
                </c:pt>
                <c:pt idx="116">
                  <c:v>244</c:v>
                </c:pt>
                <c:pt idx="117">
                  <c:v>246</c:v>
                </c:pt>
                <c:pt idx="118">
                  <c:v>249</c:v>
                </c:pt>
                <c:pt idx="119">
                  <c:v>252</c:v>
                </c:pt>
                <c:pt idx="120">
                  <c:v>252</c:v>
                </c:pt>
                <c:pt idx="121">
                  <c:v>252</c:v>
                </c:pt>
                <c:pt idx="122">
                  <c:v>255</c:v>
                </c:pt>
                <c:pt idx="123">
                  <c:v>257</c:v>
                </c:pt>
                <c:pt idx="124">
                  <c:v>260</c:v>
                </c:pt>
                <c:pt idx="125">
                  <c:v>262</c:v>
                </c:pt>
                <c:pt idx="126">
                  <c:v>265</c:v>
                </c:pt>
                <c:pt idx="127">
                  <c:v>265</c:v>
                </c:pt>
                <c:pt idx="128">
                  <c:v>265</c:v>
                </c:pt>
                <c:pt idx="129">
                  <c:v>265</c:v>
                </c:pt>
                <c:pt idx="130">
                  <c:v>265</c:v>
                </c:pt>
                <c:pt idx="131">
                  <c:v>265</c:v>
                </c:pt>
                <c:pt idx="132">
                  <c:v>265</c:v>
                </c:pt>
                <c:pt idx="133">
                  <c:v>265</c:v>
                </c:pt>
                <c:pt idx="134">
                  <c:v>265</c:v>
                </c:pt>
                <c:pt idx="135">
                  <c:v>265</c:v>
                </c:pt>
                <c:pt idx="136">
                  <c:v>265</c:v>
                </c:pt>
                <c:pt idx="137">
                  <c:v>265</c:v>
                </c:pt>
                <c:pt idx="138">
                  <c:v>265</c:v>
                </c:pt>
                <c:pt idx="139">
                  <c:v>265</c:v>
                </c:pt>
                <c:pt idx="140">
                  <c:v>265</c:v>
                </c:pt>
                <c:pt idx="141">
                  <c:v>265</c:v>
                </c:pt>
                <c:pt idx="142">
                  <c:v>265</c:v>
                </c:pt>
                <c:pt idx="143">
                  <c:v>267</c:v>
                </c:pt>
                <c:pt idx="144">
                  <c:v>267</c:v>
                </c:pt>
                <c:pt idx="145">
                  <c:v>267</c:v>
                </c:pt>
                <c:pt idx="146">
                  <c:v>269</c:v>
                </c:pt>
                <c:pt idx="147">
                  <c:v>269</c:v>
                </c:pt>
                <c:pt idx="148">
                  <c:v>269</c:v>
                </c:pt>
                <c:pt idx="149">
                  <c:v>269</c:v>
                </c:pt>
                <c:pt idx="150">
                  <c:v>269</c:v>
                </c:pt>
                <c:pt idx="151">
                  <c:v>269</c:v>
                </c:pt>
                <c:pt idx="152">
                  <c:v>269</c:v>
                </c:pt>
                <c:pt idx="153">
                  <c:v>269</c:v>
                </c:pt>
                <c:pt idx="154">
                  <c:v>269</c:v>
                </c:pt>
                <c:pt idx="155">
                  <c:v>269</c:v>
                </c:pt>
                <c:pt idx="156">
                  <c:v>269</c:v>
                </c:pt>
                <c:pt idx="157">
                  <c:v>269</c:v>
                </c:pt>
                <c:pt idx="158">
                  <c:v>269</c:v>
                </c:pt>
                <c:pt idx="159">
                  <c:v>269</c:v>
                </c:pt>
                <c:pt idx="160">
                  <c:v>269</c:v>
                </c:pt>
                <c:pt idx="161">
                  <c:v>269</c:v>
                </c:pt>
                <c:pt idx="162">
                  <c:v>269</c:v>
                </c:pt>
                <c:pt idx="163">
                  <c:v>269</c:v>
                </c:pt>
                <c:pt idx="164">
                  <c:v>269</c:v>
                </c:pt>
                <c:pt idx="165">
                  <c:v>271</c:v>
                </c:pt>
                <c:pt idx="166">
                  <c:v>274</c:v>
                </c:pt>
                <c:pt idx="167">
                  <c:v>274</c:v>
                </c:pt>
                <c:pt idx="168">
                  <c:v>274</c:v>
                </c:pt>
                <c:pt idx="169">
                  <c:v>274</c:v>
                </c:pt>
                <c:pt idx="170">
                  <c:v>274</c:v>
                </c:pt>
                <c:pt idx="171">
                  <c:v>274</c:v>
                </c:pt>
                <c:pt idx="172">
                  <c:v>274</c:v>
                </c:pt>
                <c:pt idx="173">
                  <c:v>274</c:v>
                </c:pt>
                <c:pt idx="174">
                  <c:v>274</c:v>
                </c:pt>
                <c:pt idx="175">
                  <c:v>274</c:v>
                </c:pt>
                <c:pt idx="176">
                  <c:v>274</c:v>
                </c:pt>
                <c:pt idx="177">
                  <c:v>274</c:v>
                </c:pt>
                <c:pt idx="178">
                  <c:v>274</c:v>
                </c:pt>
                <c:pt idx="179">
                  <c:v>274</c:v>
                </c:pt>
                <c:pt idx="180">
                  <c:v>274</c:v>
                </c:pt>
                <c:pt idx="181">
                  <c:v>274</c:v>
                </c:pt>
                <c:pt idx="182">
                  <c:v>274</c:v>
                </c:pt>
                <c:pt idx="183">
                  <c:v>274</c:v>
                </c:pt>
                <c:pt idx="184">
                  <c:v>274</c:v>
                </c:pt>
                <c:pt idx="185">
                  <c:v>274</c:v>
                </c:pt>
                <c:pt idx="186">
                  <c:v>274</c:v>
                </c:pt>
                <c:pt idx="187">
                  <c:v>274</c:v>
                </c:pt>
                <c:pt idx="188">
                  <c:v>274</c:v>
                </c:pt>
                <c:pt idx="189">
                  <c:v>274</c:v>
                </c:pt>
                <c:pt idx="190">
                  <c:v>274</c:v>
                </c:pt>
                <c:pt idx="191">
                  <c:v>274</c:v>
                </c:pt>
                <c:pt idx="192">
                  <c:v>275</c:v>
                </c:pt>
                <c:pt idx="193">
                  <c:v>275</c:v>
                </c:pt>
                <c:pt idx="194">
                  <c:v>275</c:v>
                </c:pt>
                <c:pt idx="195">
                  <c:v>275</c:v>
                </c:pt>
                <c:pt idx="196">
                  <c:v>275</c:v>
                </c:pt>
                <c:pt idx="197">
                  <c:v>275</c:v>
                </c:pt>
                <c:pt idx="198">
                  <c:v>275</c:v>
                </c:pt>
                <c:pt idx="199">
                  <c:v>275</c:v>
                </c:pt>
                <c:pt idx="200">
                  <c:v>275</c:v>
                </c:pt>
                <c:pt idx="201">
                  <c:v>275</c:v>
                </c:pt>
                <c:pt idx="202">
                  <c:v>275</c:v>
                </c:pt>
                <c:pt idx="203">
                  <c:v>275</c:v>
                </c:pt>
                <c:pt idx="204">
                  <c:v>275</c:v>
                </c:pt>
                <c:pt idx="205">
                  <c:v>275</c:v>
                </c:pt>
                <c:pt idx="206">
                  <c:v>275</c:v>
                </c:pt>
                <c:pt idx="207">
                  <c:v>275</c:v>
                </c:pt>
                <c:pt idx="208">
                  <c:v>275</c:v>
                </c:pt>
                <c:pt idx="209">
                  <c:v>275</c:v>
                </c:pt>
                <c:pt idx="210">
                  <c:v>275</c:v>
                </c:pt>
                <c:pt idx="211">
                  <c:v>275</c:v>
                </c:pt>
                <c:pt idx="212">
                  <c:v>275</c:v>
                </c:pt>
                <c:pt idx="213">
                  <c:v>275</c:v>
                </c:pt>
                <c:pt idx="214">
                  <c:v>275</c:v>
                </c:pt>
                <c:pt idx="215">
                  <c:v>275</c:v>
                </c:pt>
                <c:pt idx="216">
                  <c:v>275</c:v>
                </c:pt>
                <c:pt idx="217">
                  <c:v>275</c:v>
                </c:pt>
                <c:pt idx="218">
                  <c:v>275</c:v>
                </c:pt>
                <c:pt idx="219">
                  <c:v>275</c:v>
                </c:pt>
                <c:pt idx="220">
                  <c:v>275</c:v>
                </c:pt>
                <c:pt idx="221">
                  <c:v>275</c:v>
                </c:pt>
                <c:pt idx="222">
                  <c:v>275</c:v>
                </c:pt>
                <c:pt idx="223">
                  <c:v>278</c:v>
                </c:pt>
                <c:pt idx="224">
                  <c:v>278</c:v>
                </c:pt>
                <c:pt idx="225">
                  <c:v>278</c:v>
                </c:pt>
                <c:pt idx="226">
                  <c:v>278</c:v>
                </c:pt>
                <c:pt idx="227">
                  <c:v>279</c:v>
                </c:pt>
                <c:pt idx="228">
                  <c:v>282</c:v>
                </c:pt>
                <c:pt idx="229">
                  <c:v>282</c:v>
                </c:pt>
                <c:pt idx="230">
                  <c:v>282</c:v>
                </c:pt>
                <c:pt idx="231">
                  <c:v>282</c:v>
                </c:pt>
                <c:pt idx="232">
                  <c:v>282</c:v>
                </c:pt>
                <c:pt idx="233">
                  <c:v>282</c:v>
                </c:pt>
                <c:pt idx="234">
                  <c:v>284</c:v>
                </c:pt>
                <c:pt idx="235">
                  <c:v>284</c:v>
                </c:pt>
                <c:pt idx="236">
                  <c:v>284</c:v>
                </c:pt>
                <c:pt idx="237">
                  <c:v>284</c:v>
                </c:pt>
                <c:pt idx="238">
                  <c:v>284</c:v>
                </c:pt>
                <c:pt idx="239">
                  <c:v>284</c:v>
                </c:pt>
                <c:pt idx="240">
                  <c:v>284</c:v>
                </c:pt>
                <c:pt idx="241">
                  <c:v>284</c:v>
                </c:pt>
                <c:pt idx="242">
                  <c:v>286</c:v>
                </c:pt>
                <c:pt idx="243">
                  <c:v>287</c:v>
                </c:pt>
                <c:pt idx="244">
                  <c:v>287</c:v>
                </c:pt>
                <c:pt idx="245">
                  <c:v>287</c:v>
                </c:pt>
                <c:pt idx="246">
                  <c:v>287</c:v>
                </c:pt>
                <c:pt idx="247">
                  <c:v>287</c:v>
                </c:pt>
                <c:pt idx="248">
                  <c:v>288</c:v>
                </c:pt>
                <c:pt idx="249">
                  <c:v>288</c:v>
                </c:pt>
                <c:pt idx="250">
                  <c:v>288</c:v>
                </c:pt>
                <c:pt idx="251">
                  <c:v>289</c:v>
                </c:pt>
                <c:pt idx="252">
                  <c:v>289</c:v>
                </c:pt>
                <c:pt idx="253">
                  <c:v>289</c:v>
                </c:pt>
                <c:pt idx="254">
                  <c:v>289</c:v>
                </c:pt>
                <c:pt idx="255">
                  <c:v>289</c:v>
                </c:pt>
                <c:pt idx="256">
                  <c:v>291</c:v>
                </c:pt>
                <c:pt idx="257">
                  <c:v>295</c:v>
                </c:pt>
                <c:pt idx="258">
                  <c:v>295</c:v>
                </c:pt>
                <c:pt idx="259">
                  <c:v>295</c:v>
                </c:pt>
                <c:pt idx="260">
                  <c:v>295</c:v>
                </c:pt>
                <c:pt idx="261">
                  <c:v>295</c:v>
                </c:pt>
                <c:pt idx="262">
                  <c:v>298</c:v>
                </c:pt>
                <c:pt idx="263">
                  <c:v>300</c:v>
                </c:pt>
                <c:pt idx="264">
                  <c:v>300</c:v>
                </c:pt>
                <c:pt idx="265">
                  <c:v>301</c:v>
                </c:pt>
                <c:pt idx="266">
                  <c:v>302</c:v>
                </c:pt>
                <c:pt idx="267">
                  <c:v>302</c:v>
                </c:pt>
                <c:pt idx="268">
                  <c:v>302</c:v>
                </c:pt>
                <c:pt idx="269">
                  <c:v>303</c:v>
                </c:pt>
                <c:pt idx="270">
                  <c:v>303</c:v>
                </c:pt>
                <c:pt idx="271">
                  <c:v>303</c:v>
                </c:pt>
                <c:pt idx="272">
                  <c:v>303</c:v>
                </c:pt>
                <c:pt idx="273">
                  <c:v>303</c:v>
                </c:pt>
                <c:pt idx="274">
                  <c:v>303</c:v>
                </c:pt>
                <c:pt idx="275">
                  <c:v>303</c:v>
                </c:pt>
                <c:pt idx="276">
                  <c:v>303</c:v>
                </c:pt>
                <c:pt idx="277">
                  <c:v>303</c:v>
                </c:pt>
                <c:pt idx="278">
                  <c:v>303</c:v>
                </c:pt>
                <c:pt idx="279">
                  <c:v>303</c:v>
                </c:pt>
                <c:pt idx="280">
                  <c:v>303</c:v>
                </c:pt>
                <c:pt idx="281">
                  <c:v>303</c:v>
                </c:pt>
                <c:pt idx="282">
                  <c:v>303</c:v>
                </c:pt>
                <c:pt idx="283">
                  <c:v>303</c:v>
                </c:pt>
                <c:pt idx="284">
                  <c:v>303</c:v>
                </c:pt>
                <c:pt idx="285">
                  <c:v>303</c:v>
                </c:pt>
                <c:pt idx="286">
                  <c:v>303</c:v>
                </c:pt>
                <c:pt idx="287">
                  <c:v>303</c:v>
                </c:pt>
                <c:pt idx="288">
                  <c:v>303</c:v>
                </c:pt>
                <c:pt idx="289">
                  <c:v>303</c:v>
                </c:pt>
                <c:pt idx="290">
                  <c:v>303</c:v>
                </c:pt>
                <c:pt idx="291">
                  <c:v>303</c:v>
                </c:pt>
                <c:pt idx="292">
                  <c:v>303</c:v>
                </c:pt>
                <c:pt idx="293">
                  <c:v>303</c:v>
                </c:pt>
                <c:pt idx="294">
                  <c:v>303</c:v>
                </c:pt>
                <c:pt idx="295">
                  <c:v>303</c:v>
                </c:pt>
                <c:pt idx="296">
                  <c:v>303</c:v>
                </c:pt>
                <c:pt idx="297">
                  <c:v>303</c:v>
                </c:pt>
                <c:pt idx="298">
                  <c:v>303</c:v>
                </c:pt>
                <c:pt idx="299">
                  <c:v>303</c:v>
                </c:pt>
                <c:pt idx="300">
                  <c:v>303</c:v>
                </c:pt>
                <c:pt idx="301">
                  <c:v>303</c:v>
                </c:pt>
                <c:pt idx="302">
                  <c:v>303</c:v>
                </c:pt>
                <c:pt idx="303">
                  <c:v>303</c:v>
                </c:pt>
                <c:pt idx="304">
                  <c:v>303</c:v>
                </c:pt>
                <c:pt idx="305">
                  <c:v>303</c:v>
                </c:pt>
                <c:pt idx="306">
                  <c:v>303</c:v>
                </c:pt>
                <c:pt idx="307">
                  <c:v>303</c:v>
                </c:pt>
                <c:pt idx="308">
                  <c:v>303</c:v>
                </c:pt>
                <c:pt idx="309">
                  <c:v>303</c:v>
                </c:pt>
                <c:pt idx="310">
                  <c:v>303</c:v>
                </c:pt>
                <c:pt idx="311">
                  <c:v>303</c:v>
                </c:pt>
                <c:pt idx="312">
                  <c:v>303</c:v>
                </c:pt>
                <c:pt idx="313">
                  <c:v>303</c:v>
                </c:pt>
                <c:pt idx="314">
                  <c:v>303</c:v>
                </c:pt>
                <c:pt idx="315">
                  <c:v>303</c:v>
                </c:pt>
                <c:pt idx="316">
                  <c:v>304</c:v>
                </c:pt>
                <c:pt idx="317">
                  <c:v>304</c:v>
                </c:pt>
                <c:pt idx="318">
                  <c:v>304</c:v>
                </c:pt>
                <c:pt idx="319">
                  <c:v>306</c:v>
                </c:pt>
                <c:pt idx="320">
                  <c:v>309</c:v>
                </c:pt>
                <c:pt idx="321">
                  <c:v>309</c:v>
                </c:pt>
                <c:pt idx="322">
                  <c:v>309</c:v>
                </c:pt>
                <c:pt idx="323">
                  <c:v>309</c:v>
                </c:pt>
                <c:pt idx="324">
                  <c:v>309</c:v>
                </c:pt>
                <c:pt idx="325">
                  <c:v>309</c:v>
                </c:pt>
                <c:pt idx="326">
                  <c:v>309</c:v>
                </c:pt>
                <c:pt idx="327">
                  <c:v>309</c:v>
                </c:pt>
                <c:pt idx="328">
                  <c:v>309</c:v>
                </c:pt>
                <c:pt idx="329">
                  <c:v>309</c:v>
                </c:pt>
                <c:pt idx="330">
                  <c:v>309</c:v>
                </c:pt>
                <c:pt idx="331">
                  <c:v>309</c:v>
                </c:pt>
                <c:pt idx="332">
                  <c:v>309</c:v>
                </c:pt>
                <c:pt idx="333">
                  <c:v>309</c:v>
                </c:pt>
                <c:pt idx="334">
                  <c:v>312</c:v>
                </c:pt>
              </c:numCache>
            </c:numRef>
          </c:yVal>
          <c:smooth val="0"/>
          <c:extLst>
            <c:ext xmlns:c16="http://schemas.microsoft.com/office/drawing/2014/chart" uri="{C3380CC4-5D6E-409C-BE32-E72D297353CC}">
              <c16:uniqueId val="{00000000-420B-4DC1-A2A6-0FB5E8DBD7A8}"/>
            </c:ext>
          </c:extLst>
        </c:ser>
        <c:dLbls>
          <c:showLegendKey val="0"/>
          <c:showVal val="0"/>
          <c:showCatName val="0"/>
          <c:showSerName val="0"/>
          <c:showPercent val="0"/>
          <c:showBubbleSize val="0"/>
        </c:dLbls>
        <c:axId val="1713202664"/>
        <c:axId val="923286168"/>
      </c:scatterChart>
      <c:valAx>
        <c:axId val="1713202664"/>
        <c:scaling>
          <c:orientation val="minMax"/>
        </c:scaling>
        <c:delete val="0"/>
        <c:axPos val="b"/>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286168"/>
        <c:crosses val="autoZero"/>
        <c:crossBetween val="midCat"/>
      </c:valAx>
      <c:valAx>
        <c:axId val="923286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2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6" Type="http://schemas.openxmlformats.org/officeDocument/2006/relationships/chart" Target="../charts/chart17.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5" Type="http://schemas.openxmlformats.org/officeDocument/2006/relationships/chart" Target="../charts/chart1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712470</xdr:colOff>
      <xdr:row>0</xdr:row>
      <xdr:rowOff>72390</xdr:rowOff>
    </xdr:from>
    <xdr:to>
      <xdr:col>15</xdr:col>
      <xdr:colOff>285750</xdr:colOff>
      <xdr:row>15</xdr:row>
      <xdr:rowOff>72390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419100</xdr:colOff>
      <xdr:row>7</xdr:row>
      <xdr:rowOff>138112</xdr:rowOff>
    </xdr:from>
    <xdr:to>
      <xdr:col>25</xdr:col>
      <xdr:colOff>538164</xdr:colOff>
      <xdr:row>26</xdr:row>
      <xdr:rowOff>157163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428625</xdr:colOff>
      <xdr:row>28</xdr:row>
      <xdr:rowOff>95250</xdr:rowOff>
    </xdr:from>
    <xdr:to>
      <xdr:col>25</xdr:col>
      <xdr:colOff>547689</xdr:colOff>
      <xdr:row>47</xdr:row>
      <xdr:rowOff>114301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428625</xdr:colOff>
      <xdr:row>49</xdr:row>
      <xdr:rowOff>38100</xdr:rowOff>
    </xdr:from>
    <xdr:to>
      <xdr:col>25</xdr:col>
      <xdr:colOff>547689</xdr:colOff>
      <xdr:row>68</xdr:row>
      <xdr:rowOff>57151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428625</xdr:colOff>
      <xdr:row>69</xdr:row>
      <xdr:rowOff>85725</xdr:rowOff>
    </xdr:from>
    <xdr:to>
      <xdr:col>25</xdr:col>
      <xdr:colOff>547689</xdr:colOff>
      <xdr:row>88</xdr:row>
      <xdr:rowOff>104776</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395288</xdr:colOff>
      <xdr:row>7</xdr:row>
      <xdr:rowOff>138112</xdr:rowOff>
    </xdr:from>
    <xdr:to>
      <xdr:col>40</xdr:col>
      <xdr:colOff>604838</xdr:colOff>
      <xdr:row>26</xdr:row>
      <xdr:rowOff>157163</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414337</xdr:colOff>
      <xdr:row>28</xdr:row>
      <xdr:rowOff>109537</xdr:rowOff>
    </xdr:from>
    <xdr:to>
      <xdr:col>41</xdr:col>
      <xdr:colOff>14287</xdr:colOff>
      <xdr:row>47</xdr:row>
      <xdr:rowOff>128588</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414337</xdr:colOff>
      <xdr:row>49</xdr:row>
      <xdr:rowOff>71437</xdr:rowOff>
    </xdr:from>
    <xdr:to>
      <xdr:col>41</xdr:col>
      <xdr:colOff>33337</xdr:colOff>
      <xdr:row>68</xdr:row>
      <xdr:rowOff>90488</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26</xdr:col>
      <xdr:colOff>414338</xdr:colOff>
      <xdr:row>69</xdr:row>
      <xdr:rowOff>119062</xdr:rowOff>
    </xdr:from>
    <xdr:to>
      <xdr:col>41</xdr:col>
      <xdr:colOff>61913</xdr:colOff>
      <xdr:row>88</xdr:row>
      <xdr:rowOff>138113</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41</xdr:col>
      <xdr:colOff>252413</xdr:colOff>
      <xdr:row>7</xdr:row>
      <xdr:rowOff>138112</xdr:rowOff>
    </xdr:from>
    <xdr:to>
      <xdr:col>55</xdr:col>
      <xdr:colOff>461963</xdr:colOff>
      <xdr:row>26</xdr:row>
      <xdr:rowOff>157163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41</xdr:col>
      <xdr:colOff>252413</xdr:colOff>
      <xdr:row>28</xdr:row>
      <xdr:rowOff>128587</xdr:rowOff>
    </xdr:from>
    <xdr:to>
      <xdr:col>55</xdr:col>
      <xdr:colOff>461963</xdr:colOff>
      <xdr:row>47</xdr:row>
      <xdr:rowOff>147638</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41</xdr:col>
      <xdr:colOff>252413</xdr:colOff>
      <xdr:row>49</xdr:row>
      <xdr:rowOff>61912</xdr:rowOff>
    </xdr:from>
    <xdr:to>
      <xdr:col>55</xdr:col>
      <xdr:colOff>461963</xdr:colOff>
      <xdr:row>68</xdr:row>
      <xdr:rowOff>80963</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252413</xdr:colOff>
      <xdr:row>69</xdr:row>
      <xdr:rowOff>119062</xdr:rowOff>
    </xdr:from>
    <xdr:to>
      <xdr:col>55</xdr:col>
      <xdr:colOff>461963</xdr:colOff>
      <xdr:row>88</xdr:row>
      <xdr:rowOff>138113</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7</xdr:row>
      <xdr:rowOff>138112</xdr:rowOff>
    </xdr:from>
    <xdr:to>
      <xdr:col>11</xdr:col>
      <xdr:colOff>23814</xdr:colOff>
      <xdr:row>26</xdr:row>
      <xdr:rowOff>157163</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28</xdr:row>
      <xdr:rowOff>119062</xdr:rowOff>
    </xdr:from>
    <xdr:to>
      <xdr:col>11</xdr:col>
      <xdr:colOff>23814</xdr:colOff>
      <xdr:row>47</xdr:row>
      <xdr:rowOff>138113</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49</xdr:row>
      <xdr:rowOff>42862</xdr:rowOff>
    </xdr:from>
    <xdr:to>
      <xdr:col>11</xdr:col>
      <xdr:colOff>23814</xdr:colOff>
      <xdr:row>68</xdr:row>
      <xdr:rowOff>61913</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69</xdr:row>
      <xdr:rowOff>90487</xdr:rowOff>
    </xdr:from>
    <xdr:to>
      <xdr:col>11</xdr:col>
      <xdr:colOff>23814</xdr:colOff>
      <xdr:row>88</xdr:row>
      <xdr:rowOff>109538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428625</xdr:colOff>
          <xdr:row>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Get Questions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257175</xdr:colOff>
          <xdr:row>4</xdr:row>
          <xdr:rowOff>76200</xdr:rowOff>
        </xdr:to>
        <xdr:sp macro="" textlink="">
          <xdr:nvSpPr>
            <xdr:cNvPr id="12289" name="Control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257175</xdr:colOff>
          <xdr:row>5</xdr:row>
          <xdr:rowOff>76200</xdr:rowOff>
        </xdr:to>
        <xdr:sp macro="" textlink="">
          <xdr:nvSpPr>
            <xdr:cNvPr id="12290" name="Control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257175</xdr:colOff>
          <xdr:row>6</xdr:row>
          <xdr:rowOff>76200</xdr:rowOff>
        </xdr:to>
        <xdr:sp macro="" textlink="">
          <xdr:nvSpPr>
            <xdr:cNvPr id="12291" name="Control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257175</xdr:colOff>
          <xdr:row>7</xdr:row>
          <xdr:rowOff>76200</xdr:rowOff>
        </xdr:to>
        <xdr:sp macro="" textlink="">
          <xdr:nvSpPr>
            <xdr:cNvPr id="12292" name="Control 4"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257175</xdr:colOff>
          <xdr:row>8</xdr:row>
          <xdr:rowOff>76200</xdr:rowOff>
        </xdr:to>
        <xdr:sp macro="" textlink="">
          <xdr:nvSpPr>
            <xdr:cNvPr id="12293" name="Control 5"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257175</xdr:colOff>
          <xdr:row>9</xdr:row>
          <xdr:rowOff>76200</xdr:rowOff>
        </xdr:to>
        <xdr:sp macro="" textlink="">
          <xdr:nvSpPr>
            <xdr:cNvPr id="12294" name="Control 6"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257175</xdr:colOff>
          <xdr:row>10</xdr:row>
          <xdr:rowOff>76200</xdr:rowOff>
        </xdr:to>
        <xdr:sp macro="" textlink="">
          <xdr:nvSpPr>
            <xdr:cNvPr id="12295" name="Control 7" hidden="1">
              <a:extLst>
                <a:ext uri="{63B3BB69-23CF-44E3-9099-C40C66FF867C}">
                  <a14:compatExt spid="_x0000_s12295"/>
                </a:ext>
                <a:ext uri="{FF2B5EF4-FFF2-40B4-BE49-F238E27FC236}">
                  <a16:creationId xmlns:a16="http://schemas.microsoft.com/office/drawing/2014/main" id="{00000000-0008-0000-0600-00000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1</xdr:col>
          <xdr:colOff>257175</xdr:colOff>
          <xdr:row>17</xdr:row>
          <xdr:rowOff>76200</xdr:rowOff>
        </xdr:to>
        <xdr:sp macro="" textlink="">
          <xdr:nvSpPr>
            <xdr:cNvPr id="12296" name="Control 8" hidden="1">
              <a:extLst>
                <a:ext uri="{63B3BB69-23CF-44E3-9099-C40C66FF867C}">
                  <a14:compatExt spid="_x0000_s12296"/>
                </a:ext>
                <a:ext uri="{FF2B5EF4-FFF2-40B4-BE49-F238E27FC236}">
                  <a16:creationId xmlns:a16="http://schemas.microsoft.com/office/drawing/2014/main" id="{00000000-0008-0000-0600-00000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1</xdr:col>
          <xdr:colOff>257175</xdr:colOff>
          <xdr:row>18</xdr:row>
          <xdr:rowOff>76200</xdr:rowOff>
        </xdr:to>
        <xdr:sp macro="" textlink="">
          <xdr:nvSpPr>
            <xdr:cNvPr id="12297" name="Control 9" hidden="1">
              <a:extLst>
                <a:ext uri="{63B3BB69-23CF-44E3-9099-C40C66FF867C}">
                  <a14:compatExt spid="_x0000_s12297"/>
                </a:ext>
                <a:ext uri="{FF2B5EF4-FFF2-40B4-BE49-F238E27FC236}">
                  <a16:creationId xmlns:a16="http://schemas.microsoft.com/office/drawing/2014/main" id="{00000000-0008-0000-0600-00000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257175</xdr:colOff>
          <xdr:row>19</xdr:row>
          <xdr:rowOff>76200</xdr:rowOff>
        </xdr:to>
        <xdr:sp macro="" textlink="">
          <xdr:nvSpPr>
            <xdr:cNvPr id="12298" name="Control 10" hidden="1">
              <a:extLst>
                <a:ext uri="{63B3BB69-23CF-44E3-9099-C40C66FF867C}">
                  <a14:compatExt spid="_x0000_s12298"/>
                </a:ext>
                <a:ext uri="{FF2B5EF4-FFF2-40B4-BE49-F238E27FC236}">
                  <a16:creationId xmlns:a16="http://schemas.microsoft.com/office/drawing/2014/main" id="{00000000-0008-0000-0600-00000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257175</xdr:colOff>
          <xdr:row>20</xdr:row>
          <xdr:rowOff>76200</xdr:rowOff>
        </xdr:to>
        <xdr:sp macro="" textlink="">
          <xdr:nvSpPr>
            <xdr:cNvPr id="12299" name="Control 11" hidden="1">
              <a:extLst>
                <a:ext uri="{63B3BB69-23CF-44E3-9099-C40C66FF867C}">
                  <a14:compatExt spid="_x0000_s12299"/>
                </a:ext>
                <a:ext uri="{FF2B5EF4-FFF2-40B4-BE49-F238E27FC236}">
                  <a16:creationId xmlns:a16="http://schemas.microsoft.com/office/drawing/2014/main" id="{00000000-0008-0000-0600-00000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257175</xdr:colOff>
          <xdr:row>21</xdr:row>
          <xdr:rowOff>76200</xdr:rowOff>
        </xdr:to>
        <xdr:sp macro="" textlink="">
          <xdr:nvSpPr>
            <xdr:cNvPr id="12300" name="Control 12" hidden="1">
              <a:extLst>
                <a:ext uri="{63B3BB69-23CF-44E3-9099-C40C66FF867C}">
                  <a14:compatExt spid="_x0000_s12300"/>
                </a:ext>
                <a:ext uri="{FF2B5EF4-FFF2-40B4-BE49-F238E27FC236}">
                  <a16:creationId xmlns:a16="http://schemas.microsoft.com/office/drawing/2014/main" id="{00000000-0008-0000-0600-00000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257175</xdr:colOff>
          <xdr:row>22</xdr:row>
          <xdr:rowOff>76200</xdr:rowOff>
        </xdr:to>
        <xdr:sp macro="" textlink="">
          <xdr:nvSpPr>
            <xdr:cNvPr id="12301" name="Control 13" hidden="1">
              <a:extLst>
                <a:ext uri="{63B3BB69-23CF-44E3-9099-C40C66FF867C}">
                  <a14:compatExt spid="_x0000_s12301"/>
                </a:ext>
                <a:ext uri="{FF2B5EF4-FFF2-40B4-BE49-F238E27FC236}">
                  <a16:creationId xmlns:a16="http://schemas.microsoft.com/office/drawing/2014/main" id="{00000000-0008-0000-0600-00000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257175</xdr:colOff>
          <xdr:row>32</xdr:row>
          <xdr:rowOff>76200</xdr:rowOff>
        </xdr:to>
        <xdr:sp macro="" textlink="">
          <xdr:nvSpPr>
            <xdr:cNvPr id="12302" name="Control 14" hidden="1">
              <a:extLst>
                <a:ext uri="{63B3BB69-23CF-44E3-9099-C40C66FF867C}">
                  <a14:compatExt spid="_x0000_s12302"/>
                </a:ext>
                <a:ext uri="{FF2B5EF4-FFF2-40B4-BE49-F238E27FC236}">
                  <a16:creationId xmlns:a16="http://schemas.microsoft.com/office/drawing/2014/main" id="{00000000-0008-0000-0600-00000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1</xdr:col>
          <xdr:colOff>257175</xdr:colOff>
          <xdr:row>33</xdr:row>
          <xdr:rowOff>76200</xdr:rowOff>
        </xdr:to>
        <xdr:sp macro="" textlink="">
          <xdr:nvSpPr>
            <xdr:cNvPr id="12303" name="Control 15" hidden="1">
              <a:extLst>
                <a:ext uri="{63B3BB69-23CF-44E3-9099-C40C66FF867C}">
                  <a14:compatExt spid="_x0000_s12303"/>
                </a:ext>
                <a:ext uri="{FF2B5EF4-FFF2-40B4-BE49-F238E27FC236}">
                  <a16:creationId xmlns:a16="http://schemas.microsoft.com/office/drawing/2014/main" id="{00000000-0008-0000-0600-00000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1</xdr:col>
          <xdr:colOff>257175</xdr:colOff>
          <xdr:row>34</xdr:row>
          <xdr:rowOff>76200</xdr:rowOff>
        </xdr:to>
        <xdr:sp macro="" textlink="">
          <xdr:nvSpPr>
            <xdr:cNvPr id="12304" name="Control 16" hidden="1">
              <a:extLst>
                <a:ext uri="{63B3BB69-23CF-44E3-9099-C40C66FF867C}">
                  <a14:compatExt spid="_x0000_s12304"/>
                </a:ext>
                <a:ext uri="{FF2B5EF4-FFF2-40B4-BE49-F238E27FC236}">
                  <a16:creationId xmlns:a16="http://schemas.microsoft.com/office/drawing/2014/main" id="{00000000-0008-0000-0600-00001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1</xdr:col>
          <xdr:colOff>257175</xdr:colOff>
          <xdr:row>35</xdr:row>
          <xdr:rowOff>76200</xdr:rowOff>
        </xdr:to>
        <xdr:sp macro="" textlink="">
          <xdr:nvSpPr>
            <xdr:cNvPr id="12305" name="Control 17" hidden="1">
              <a:extLst>
                <a:ext uri="{63B3BB69-23CF-44E3-9099-C40C66FF867C}">
                  <a14:compatExt spid="_x0000_s12305"/>
                </a:ext>
                <a:ext uri="{FF2B5EF4-FFF2-40B4-BE49-F238E27FC236}">
                  <a16:creationId xmlns:a16="http://schemas.microsoft.com/office/drawing/2014/main" id="{00000000-0008-0000-0600-00001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1</xdr:col>
          <xdr:colOff>257175</xdr:colOff>
          <xdr:row>36</xdr:row>
          <xdr:rowOff>76200</xdr:rowOff>
        </xdr:to>
        <xdr:sp macro="" textlink="">
          <xdr:nvSpPr>
            <xdr:cNvPr id="12306" name="Control 18" hidden="1">
              <a:extLst>
                <a:ext uri="{63B3BB69-23CF-44E3-9099-C40C66FF867C}">
                  <a14:compatExt spid="_x0000_s12306"/>
                </a:ext>
                <a:ext uri="{FF2B5EF4-FFF2-40B4-BE49-F238E27FC236}">
                  <a16:creationId xmlns:a16="http://schemas.microsoft.com/office/drawing/2014/main" id="{00000000-0008-0000-0600-00001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257175</xdr:colOff>
          <xdr:row>42</xdr:row>
          <xdr:rowOff>76200</xdr:rowOff>
        </xdr:to>
        <xdr:sp macro="" textlink="">
          <xdr:nvSpPr>
            <xdr:cNvPr id="12307" name="Control 19" hidden="1">
              <a:extLst>
                <a:ext uri="{63B3BB69-23CF-44E3-9099-C40C66FF867C}">
                  <a14:compatExt spid="_x0000_s12307"/>
                </a:ext>
                <a:ext uri="{FF2B5EF4-FFF2-40B4-BE49-F238E27FC236}">
                  <a16:creationId xmlns:a16="http://schemas.microsoft.com/office/drawing/2014/main" id="{00000000-0008-0000-0600-00001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257175</xdr:colOff>
          <xdr:row>43</xdr:row>
          <xdr:rowOff>76200</xdr:rowOff>
        </xdr:to>
        <xdr:sp macro="" textlink="">
          <xdr:nvSpPr>
            <xdr:cNvPr id="12308" name="Control 20" hidden="1">
              <a:extLst>
                <a:ext uri="{63B3BB69-23CF-44E3-9099-C40C66FF867C}">
                  <a14:compatExt spid="_x0000_s12308"/>
                </a:ext>
                <a:ext uri="{FF2B5EF4-FFF2-40B4-BE49-F238E27FC236}">
                  <a16:creationId xmlns:a16="http://schemas.microsoft.com/office/drawing/2014/main" id="{00000000-0008-0000-0600-00001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257175</xdr:colOff>
          <xdr:row>44</xdr:row>
          <xdr:rowOff>76200</xdr:rowOff>
        </xdr:to>
        <xdr:sp macro="" textlink="">
          <xdr:nvSpPr>
            <xdr:cNvPr id="12309" name="Control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257175</xdr:colOff>
          <xdr:row>45</xdr:row>
          <xdr:rowOff>76200</xdr:rowOff>
        </xdr:to>
        <xdr:sp macro="" textlink="">
          <xdr:nvSpPr>
            <xdr:cNvPr id="12310" name="Control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257175</xdr:colOff>
          <xdr:row>46</xdr:row>
          <xdr:rowOff>76200</xdr:rowOff>
        </xdr:to>
        <xdr:sp macro="" textlink="">
          <xdr:nvSpPr>
            <xdr:cNvPr id="12311" name="Control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60</xdr:row>
          <xdr:rowOff>0</xdr:rowOff>
        </xdr:from>
        <xdr:to>
          <xdr:col>1</xdr:col>
          <xdr:colOff>257175</xdr:colOff>
          <xdr:row>61</xdr:row>
          <xdr:rowOff>76200</xdr:rowOff>
        </xdr:to>
        <xdr:sp macro="" textlink="">
          <xdr:nvSpPr>
            <xdr:cNvPr id="12318" name="Control 30" hidden="1">
              <a:extLst>
                <a:ext uri="{63B3BB69-23CF-44E3-9099-C40C66FF867C}">
                  <a14:compatExt spid="_x0000_s12318"/>
                </a:ext>
                <a:ext uri="{FF2B5EF4-FFF2-40B4-BE49-F238E27FC236}">
                  <a16:creationId xmlns:a16="http://schemas.microsoft.com/office/drawing/2014/main" id="{00000000-0008-0000-0600-00001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1</xdr:col>
          <xdr:colOff>257175</xdr:colOff>
          <xdr:row>62</xdr:row>
          <xdr:rowOff>76200</xdr:rowOff>
        </xdr:to>
        <xdr:sp macro="" textlink="">
          <xdr:nvSpPr>
            <xdr:cNvPr id="12319" name="Control 31" hidden="1">
              <a:extLst>
                <a:ext uri="{63B3BB69-23CF-44E3-9099-C40C66FF867C}">
                  <a14:compatExt spid="_x0000_s12319"/>
                </a:ext>
                <a:ext uri="{FF2B5EF4-FFF2-40B4-BE49-F238E27FC236}">
                  <a16:creationId xmlns:a16="http://schemas.microsoft.com/office/drawing/2014/main" id="{00000000-0008-0000-0600-00001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62</xdr:row>
          <xdr:rowOff>0</xdr:rowOff>
        </xdr:from>
        <xdr:to>
          <xdr:col>1</xdr:col>
          <xdr:colOff>257175</xdr:colOff>
          <xdr:row>63</xdr:row>
          <xdr:rowOff>76200</xdr:rowOff>
        </xdr:to>
        <xdr:sp macro="" textlink="">
          <xdr:nvSpPr>
            <xdr:cNvPr id="12320" name="Control 32" hidden="1">
              <a:extLst>
                <a:ext uri="{63B3BB69-23CF-44E3-9099-C40C66FF867C}">
                  <a14:compatExt spid="_x0000_s12320"/>
                </a:ext>
                <a:ext uri="{FF2B5EF4-FFF2-40B4-BE49-F238E27FC236}">
                  <a16:creationId xmlns:a16="http://schemas.microsoft.com/office/drawing/2014/main" id="{00000000-0008-0000-0600-00002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63</xdr:row>
          <xdr:rowOff>0</xdr:rowOff>
        </xdr:from>
        <xdr:to>
          <xdr:col>1</xdr:col>
          <xdr:colOff>257175</xdr:colOff>
          <xdr:row>64</xdr:row>
          <xdr:rowOff>76200</xdr:rowOff>
        </xdr:to>
        <xdr:sp macro="" textlink="">
          <xdr:nvSpPr>
            <xdr:cNvPr id="12321" name="Control 33" hidden="1">
              <a:extLst>
                <a:ext uri="{63B3BB69-23CF-44E3-9099-C40C66FF867C}">
                  <a14:compatExt spid="_x0000_s12321"/>
                </a:ext>
                <a:ext uri="{FF2B5EF4-FFF2-40B4-BE49-F238E27FC236}">
                  <a16:creationId xmlns:a16="http://schemas.microsoft.com/office/drawing/2014/main" id="{00000000-0008-0000-0600-00002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64</xdr:row>
          <xdr:rowOff>0</xdr:rowOff>
        </xdr:from>
        <xdr:to>
          <xdr:col>1</xdr:col>
          <xdr:colOff>257175</xdr:colOff>
          <xdr:row>65</xdr:row>
          <xdr:rowOff>76200</xdr:rowOff>
        </xdr:to>
        <xdr:sp macro="" textlink="">
          <xdr:nvSpPr>
            <xdr:cNvPr id="12322" name="Control 34" hidden="1">
              <a:extLst>
                <a:ext uri="{63B3BB69-23CF-44E3-9099-C40C66FF867C}">
                  <a14:compatExt spid="_x0000_s12322"/>
                </a:ext>
                <a:ext uri="{FF2B5EF4-FFF2-40B4-BE49-F238E27FC236}">
                  <a16:creationId xmlns:a16="http://schemas.microsoft.com/office/drawing/2014/main" id="{00000000-0008-0000-0600-00002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xdr:col>
          <xdr:colOff>257175</xdr:colOff>
          <xdr:row>66</xdr:row>
          <xdr:rowOff>76200</xdr:rowOff>
        </xdr:to>
        <xdr:sp macro="" textlink="">
          <xdr:nvSpPr>
            <xdr:cNvPr id="12323" name="Control 35" hidden="1">
              <a:extLst>
                <a:ext uri="{63B3BB69-23CF-44E3-9099-C40C66FF867C}">
                  <a14:compatExt spid="_x0000_s12323"/>
                </a:ext>
                <a:ext uri="{FF2B5EF4-FFF2-40B4-BE49-F238E27FC236}">
                  <a16:creationId xmlns:a16="http://schemas.microsoft.com/office/drawing/2014/main" id="{00000000-0008-0000-0600-00002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131</xdr:row>
          <xdr:rowOff>0</xdr:rowOff>
        </xdr:from>
        <xdr:to>
          <xdr:col>1</xdr:col>
          <xdr:colOff>257175</xdr:colOff>
          <xdr:row>132</xdr:row>
          <xdr:rowOff>76200</xdr:rowOff>
        </xdr:to>
        <xdr:sp macro="" textlink="">
          <xdr:nvSpPr>
            <xdr:cNvPr id="12324" name="Control 36" hidden="1">
              <a:extLst>
                <a:ext uri="{63B3BB69-23CF-44E3-9099-C40C66FF867C}">
                  <a14:compatExt spid="_x0000_s12324"/>
                </a:ext>
                <a:ext uri="{FF2B5EF4-FFF2-40B4-BE49-F238E27FC236}">
                  <a16:creationId xmlns:a16="http://schemas.microsoft.com/office/drawing/2014/main" id="{00000000-0008-0000-0600-00002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132</xdr:row>
          <xdr:rowOff>0</xdr:rowOff>
        </xdr:from>
        <xdr:to>
          <xdr:col>1</xdr:col>
          <xdr:colOff>257175</xdr:colOff>
          <xdr:row>133</xdr:row>
          <xdr:rowOff>76200</xdr:rowOff>
        </xdr:to>
        <xdr:sp macro="" textlink="">
          <xdr:nvSpPr>
            <xdr:cNvPr id="12325" name="Control 37" hidden="1">
              <a:extLst>
                <a:ext uri="{63B3BB69-23CF-44E3-9099-C40C66FF867C}">
                  <a14:compatExt spid="_x0000_s12325"/>
                </a:ext>
                <a:ext uri="{FF2B5EF4-FFF2-40B4-BE49-F238E27FC236}">
                  <a16:creationId xmlns:a16="http://schemas.microsoft.com/office/drawing/2014/main" id="{00000000-0008-0000-0600-00002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133</xdr:row>
          <xdr:rowOff>0</xdr:rowOff>
        </xdr:from>
        <xdr:to>
          <xdr:col>1</xdr:col>
          <xdr:colOff>257175</xdr:colOff>
          <xdr:row>134</xdr:row>
          <xdr:rowOff>76200</xdr:rowOff>
        </xdr:to>
        <xdr:sp macro="" textlink="">
          <xdr:nvSpPr>
            <xdr:cNvPr id="12326" name="Control 38" hidden="1">
              <a:extLst>
                <a:ext uri="{63B3BB69-23CF-44E3-9099-C40C66FF867C}">
                  <a14:compatExt spid="_x0000_s12326"/>
                </a:ext>
                <a:ext uri="{FF2B5EF4-FFF2-40B4-BE49-F238E27FC236}">
                  <a16:creationId xmlns:a16="http://schemas.microsoft.com/office/drawing/2014/main" id="{00000000-0008-0000-0600-00002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186</xdr:row>
          <xdr:rowOff>0</xdr:rowOff>
        </xdr:from>
        <xdr:to>
          <xdr:col>1</xdr:col>
          <xdr:colOff>257175</xdr:colOff>
          <xdr:row>187</xdr:row>
          <xdr:rowOff>76200</xdr:rowOff>
        </xdr:to>
        <xdr:sp macro="" textlink="">
          <xdr:nvSpPr>
            <xdr:cNvPr id="12327" name="Control 39" hidden="1">
              <a:extLst>
                <a:ext uri="{63B3BB69-23CF-44E3-9099-C40C66FF867C}">
                  <a14:compatExt spid="_x0000_s12327"/>
                </a:ext>
                <a:ext uri="{FF2B5EF4-FFF2-40B4-BE49-F238E27FC236}">
                  <a16:creationId xmlns:a16="http://schemas.microsoft.com/office/drawing/2014/main" id="{00000000-0008-0000-0600-00002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187</xdr:row>
          <xdr:rowOff>0</xdr:rowOff>
        </xdr:from>
        <xdr:to>
          <xdr:col>1</xdr:col>
          <xdr:colOff>257175</xdr:colOff>
          <xdr:row>188</xdr:row>
          <xdr:rowOff>76200</xdr:rowOff>
        </xdr:to>
        <xdr:sp macro="" textlink="">
          <xdr:nvSpPr>
            <xdr:cNvPr id="12328" name="Control 40" hidden="1">
              <a:extLst>
                <a:ext uri="{63B3BB69-23CF-44E3-9099-C40C66FF867C}">
                  <a14:compatExt spid="_x0000_s12328"/>
                </a:ext>
                <a:ext uri="{FF2B5EF4-FFF2-40B4-BE49-F238E27FC236}">
                  <a16:creationId xmlns:a16="http://schemas.microsoft.com/office/drawing/2014/main" id="{00000000-0008-0000-0600-00002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188</xdr:row>
          <xdr:rowOff>0</xdr:rowOff>
        </xdr:from>
        <xdr:to>
          <xdr:col>1</xdr:col>
          <xdr:colOff>257175</xdr:colOff>
          <xdr:row>189</xdr:row>
          <xdr:rowOff>76200</xdr:rowOff>
        </xdr:to>
        <xdr:sp macro="" textlink="">
          <xdr:nvSpPr>
            <xdr:cNvPr id="12329" name="Control 41" hidden="1">
              <a:extLst>
                <a:ext uri="{63B3BB69-23CF-44E3-9099-C40C66FF867C}">
                  <a14:compatExt spid="_x0000_s12329"/>
                </a:ext>
                <a:ext uri="{FF2B5EF4-FFF2-40B4-BE49-F238E27FC236}">
                  <a16:creationId xmlns:a16="http://schemas.microsoft.com/office/drawing/2014/main" id="{00000000-0008-0000-0600-00002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189</xdr:row>
          <xdr:rowOff>0</xdr:rowOff>
        </xdr:from>
        <xdr:to>
          <xdr:col>1</xdr:col>
          <xdr:colOff>257175</xdr:colOff>
          <xdr:row>190</xdr:row>
          <xdr:rowOff>76200</xdr:rowOff>
        </xdr:to>
        <xdr:sp macro="" textlink="">
          <xdr:nvSpPr>
            <xdr:cNvPr id="12330" name="Control 42" hidden="1">
              <a:extLst>
                <a:ext uri="{63B3BB69-23CF-44E3-9099-C40C66FF867C}">
                  <a14:compatExt spid="_x0000_s12330"/>
                </a:ext>
                <a:ext uri="{FF2B5EF4-FFF2-40B4-BE49-F238E27FC236}">
                  <a16:creationId xmlns:a16="http://schemas.microsoft.com/office/drawing/2014/main" id="{00000000-0008-0000-0600-00002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190</xdr:row>
          <xdr:rowOff>0</xdr:rowOff>
        </xdr:from>
        <xdr:to>
          <xdr:col>1</xdr:col>
          <xdr:colOff>257175</xdr:colOff>
          <xdr:row>191</xdr:row>
          <xdr:rowOff>76200</xdr:rowOff>
        </xdr:to>
        <xdr:sp macro="" textlink="">
          <xdr:nvSpPr>
            <xdr:cNvPr id="12331" name="Control 43" hidden="1">
              <a:extLst>
                <a:ext uri="{63B3BB69-23CF-44E3-9099-C40C66FF867C}">
                  <a14:compatExt spid="_x0000_s12331"/>
                </a:ext>
                <a:ext uri="{FF2B5EF4-FFF2-40B4-BE49-F238E27FC236}">
                  <a16:creationId xmlns:a16="http://schemas.microsoft.com/office/drawing/2014/main" id="{00000000-0008-0000-0600-00002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191</xdr:row>
          <xdr:rowOff>0</xdr:rowOff>
        </xdr:from>
        <xdr:to>
          <xdr:col>1</xdr:col>
          <xdr:colOff>257175</xdr:colOff>
          <xdr:row>192</xdr:row>
          <xdr:rowOff>76200</xdr:rowOff>
        </xdr:to>
        <xdr:sp macro="" textlink="">
          <xdr:nvSpPr>
            <xdr:cNvPr id="12332" name="Control 44" hidden="1">
              <a:extLst>
                <a:ext uri="{63B3BB69-23CF-44E3-9099-C40C66FF867C}">
                  <a14:compatExt spid="_x0000_s12332"/>
                </a:ext>
                <a:ext uri="{FF2B5EF4-FFF2-40B4-BE49-F238E27FC236}">
                  <a16:creationId xmlns:a16="http://schemas.microsoft.com/office/drawing/2014/main" id="{00000000-0008-0000-0600-00002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170</xdr:row>
          <xdr:rowOff>0</xdr:rowOff>
        </xdr:from>
        <xdr:to>
          <xdr:col>1</xdr:col>
          <xdr:colOff>257175</xdr:colOff>
          <xdr:row>171</xdr:row>
          <xdr:rowOff>76200</xdr:rowOff>
        </xdr:to>
        <xdr:sp macro="" textlink="">
          <xdr:nvSpPr>
            <xdr:cNvPr id="12333" name="Control 45" hidden="1">
              <a:extLst>
                <a:ext uri="{63B3BB69-23CF-44E3-9099-C40C66FF867C}">
                  <a14:compatExt spid="_x0000_s12333"/>
                </a:ext>
                <a:ext uri="{FF2B5EF4-FFF2-40B4-BE49-F238E27FC236}">
                  <a16:creationId xmlns:a16="http://schemas.microsoft.com/office/drawing/2014/main" id="{00000000-0008-0000-0600-00002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171</xdr:row>
          <xdr:rowOff>0</xdr:rowOff>
        </xdr:from>
        <xdr:to>
          <xdr:col>1</xdr:col>
          <xdr:colOff>257175</xdr:colOff>
          <xdr:row>172</xdr:row>
          <xdr:rowOff>76200</xdr:rowOff>
        </xdr:to>
        <xdr:sp macro="" textlink="">
          <xdr:nvSpPr>
            <xdr:cNvPr id="12334" name="Control 46" hidden="1">
              <a:extLst>
                <a:ext uri="{63B3BB69-23CF-44E3-9099-C40C66FF867C}">
                  <a14:compatExt spid="_x0000_s12334"/>
                </a:ext>
                <a:ext uri="{FF2B5EF4-FFF2-40B4-BE49-F238E27FC236}">
                  <a16:creationId xmlns:a16="http://schemas.microsoft.com/office/drawing/2014/main" id="{00000000-0008-0000-0600-00002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172</xdr:row>
          <xdr:rowOff>0</xdr:rowOff>
        </xdr:from>
        <xdr:to>
          <xdr:col>1</xdr:col>
          <xdr:colOff>257175</xdr:colOff>
          <xdr:row>173</xdr:row>
          <xdr:rowOff>76200</xdr:rowOff>
        </xdr:to>
        <xdr:sp macro="" textlink="">
          <xdr:nvSpPr>
            <xdr:cNvPr id="12335" name="Control 47" hidden="1">
              <a:extLst>
                <a:ext uri="{63B3BB69-23CF-44E3-9099-C40C66FF867C}">
                  <a14:compatExt spid="_x0000_s12335"/>
                </a:ext>
                <a:ext uri="{FF2B5EF4-FFF2-40B4-BE49-F238E27FC236}">
                  <a16:creationId xmlns:a16="http://schemas.microsoft.com/office/drawing/2014/main" id="{00000000-0008-0000-0600-00002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173</xdr:row>
          <xdr:rowOff>0</xdr:rowOff>
        </xdr:from>
        <xdr:to>
          <xdr:col>1</xdr:col>
          <xdr:colOff>257175</xdr:colOff>
          <xdr:row>174</xdr:row>
          <xdr:rowOff>76200</xdr:rowOff>
        </xdr:to>
        <xdr:sp macro="" textlink="">
          <xdr:nvSpPr>
            <xdr:cNvPr id="12336" name="Control 48" hidden="1">
              <a:extLst>
                <a:ext uri="{63B3BB69-23CF-44E3-9099-C40C66FF867C}">
                  <a14:compatExt spid="_x0000_s12336"/>
                </a:ext>
                <a:ext uri="{FF2B5EF4-FFF2-40B4-BE49-F238E27FC236}">
                  <a16:creationId xmlns:a16="http://schemas.microsoft.com/office/drawing/2014/main" id="{00000000-0008-0000-0600-00003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174</xdr:row>
          <xdr:rowOff>0</xdr:rowOff>
        </xdr:from>
        <xdr:to>
          <xdr:col>1</xdr:col>
          <xdr:colOff>257175</xdr:colOff>
          <xdr:row>175</xdr:row>
          <xdr:rowOff>76200</xdr:rowOff>
        </xdr:to>
        <xdr:sp macro="" textlink="">
          <xdr:nvSpPr>
            <xdr:cNvPr id="12337" name="Control 49" hidden="1">
              <a:extLst>
                <a:ext uri="{63B3BB69-23CF-44E3-9099-C40C66FF867C}">
                  <a14:compatExt spid="_x0000_s12337"/>
                </a:ext>
                <a:ext uri="{FF2B5EF4-FFF2-40B4-BE49-F238E27FC236}">
                  <a16:creationId xmlns:a16="http://schemas.microsoft.com/office/drawing/2014/main" id="{00000000-0008-0000-0600-00003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175</xdr:row>
          <xdr:rowOff>0</xdr:rowOff>
        </xdr:from>
        <xdr:to>
          <xdr:col>1</xdr:col>
          <xdr:colOff>257175</xdr:colOff>
          <xdr:row>176</xdr:row>
          <xdr:rowOff>76200</xdr:rowOff>
        </xdr:to>
        <xdr:sp macro="" textlink="">
          <xdr:nvSpPr>
            <xdr:cNvPr id="12338" name="Control 50" hidden="1">
              <a:extLst>
                <a:ext uri="{63B3BB69-23CF-44E3-9099-C40C66FF867C}">
                  <a14:compatExt spid="_x0000_s12338"/>
                </a:ext>
                <a:ext uri="{FF2B5EF4-FFF2-40B4-BE49-F238E27FC236}">
                  <a16:creationId xmlns:a16="http://schemas.microsoft.com/office/drawing/2014/main" id="{00000000-0008-0000-0600-00003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150</xdr:row>
          <xdr:rowOff>0</xdr:rowOff>
        </xdr:from>
        <xdr:to>
          <xdr:col>1</xdr:col>
          <xdr:colOff>257175</xdr:colOff>
          <xdr:row>151</xdr:row>
          <xdr:rowOff>76200</xdr:rowOff>
        </xdr:to>
        <xdr:sp macro="" textlink="">
          <xdr:nvSpPr>
            <xdr:cNvPr id="12339" name="Control 51" hidden="1">
              <a:extLst>
                <a:ext uri="{63B3BB69-23CF-44E3-9099-C40C66FF867C}">
                  <a14:compatExt spid="_x0000_s12339"/>
                </a:ext>
                <a:ext uri="{FF2B5EF4-FFF2-40B4-BE49-F238E27FC236}">
                  <a16:creationId xmlns:a16="http://schemas.microsoft.com/office/drawing/2014/main" id="{00000000-0008-0000-0600-00003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151</xdr:row>
          <xdr:rowOff>0</xdr:rowOff>
        </xdr:from>
        <xdr:to>
          <xdr:col>1</xdr:col>
          <xdr:colOff>257175</xdr:colOff>
          <xdr:row>152</xdr:row>
          <xdr:rowOff>76200</xdr:rowOff>
        </xdr:to>
        <xdr:sp macro="" textlink="">
          <xdr:nvSpPr>
            <xdr:cNvPr id="12340" name="Control 52" hidden="1">
              <a:extLst>
                <a:ext uri="{63B3BB69-23CF-44E3-9099-C40C66FF867C}">
                  <a14:compatExt spid="_x0000_s12340"/>
                </a:ext>
                <a:ext uri="{FF2B5EF4-FFF2-40B4-BE49-F238E27FC236}">
                  <a16:creationId xmlns:a16="http://schemas.microsoft.com/office/drawing/2014/main" id="{00000000-0008-0000-0600-00003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152</xdr:row>
          <xdr:rowOff>0</xdr:rowOff>
        </xdr:from>
        <xdr:to>
          <xdr:col>1</xdr:col>
          <xdr:colOff>257175</xdr:colOff>
          <xdr:row>153</xdr:row>
          <xdr:rowOff>76200</xdr:rowOff>
        </xdr:to>
        <xdr:sp macro="" textlink="">
          <xdr:nvSpPr>
            <xdr:cNvPr id="12341" name="Control 53" hidden="1">
              <a:extLst>
                <a:ext uri="{63B3BB69-23CF-44E3-9099-C40C66FF867C}">
                  <a14:compatExt spid="_x0000_s12341"/>
                </a:ext>
                <a:ext uri="{FF2B5EF4-FFF2-40B4-BE49-F238E27FC236}">
                  <a16:creationId xmlns:a16="http://schemas.microsoft.com/office/drawing/2014/main" id="{00000000-0008-0000-0600-00003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153</xdr:row>
          <xdr:rowOff>0</xdr:rowOff>
        </xdr:from>
        <xdr:to>
          <xdr:col>1</xdr:col>
          <xdr:colOff>257175</xdr:colOff>
          <xdr:row>154</xdr:row>
          <xdr:rowOff>76200</xdr:rowOff>
        </xdr:to>
        <xdr:sp macro="" textlink="">
          <xdr:nvSpPr>
            <xdr:cNvPr id="12342" name="Control 54" hidden="1">
              <a:extLst>
                <a:ext uri="{63B3BB69-23CF-44E3-9099-C40C66FF867C}">
                  <a14:compatExt spid="_x0000_s12342"/>
                </a:ext>
                <a:ext uri="{FF2B5EF4-FFF2-40B4-BE49-F238E27FC236}">
                  <a16:creationId xmlns:a16="http://schemas.microsoft.com/office/drawing/2014/main" id="{00000000-0008-0000-0600-00003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154</xdr:row>
          <xdr:rowOff>0</xdr:rowOff>
        </xdr:from>
        <xdr:to>
          <xdr:col>1</xdr:col>
          <xdr:colOff>257175</xdr:colOff>
          <xdr:row>155</xdr:row>
          <xdr:rowOff>76200</xdr:rowOff>
        </xdr:to>
        <xdr:sp macro="" textlink="">
          <xdr:nvSpPr>
            <xdr:cNvPr id="12343" name="Control 55" hidden="1">
              <a:extLst>
                <a:ext uri="{63B3BB69-23CF-44E3-9099-C40C66FF867C}">
                  <a14:compatExt spid="_x0000_s12343"/>
                </a:ext>
                <a:ext uri="{FF2B5EF4-FFF2-40B4-BE49-F238E27FC236}">
                  <a16:creationId xmlns:a16="http://schemas.microsoft.com/office/drawing/2014/main" id="{00000000-0008-0000-0600-00003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155</xdr:row>
          <xdr:rowOff>0</xdr:rowOff>
        </xdr:from>
        <xdr:to>
          <xdr:col>1</xdr:col>
          <xdr:colOff>257175</xdr:colOff>
          <xdr:row>156</xdr:row>
          <xdr:rowOff>76200</xdr:rowOff>
        </xdr:to>
        <xdr:sp macro="" textlink="">
          <xdr:nvSpPr>
            <xdr:cNvPr id="12344" name="Control 56" hidden="1">
              <a:extLst>
                <a:ext uri="{63B3BB69-23CF-44E3-9099-C40C66FF867C}">
                  <a14:compatExt spid="_x0000_s12344"/>
                </a:ext>
                <a:ext uri="{FF2B5EF4-FFF2-40B4-BE49-F238E27FC236}">
                  <a16:creationId xmlns:a16="http://schemas.microsoft.com/office/drawing/2014/main" id="{00000000-0008-0000-0600-00003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138</xdr:row>
          <xdr:rowOff>0</xdr:rowOff>
        </xdr:from>
        <xdr:to>
          <xdr:col>1</xdr:col>
          <xdr:colOff>257175</xdr:colOff>
          <xdr:row>139</xdr:row>
          <xdr:rowOff>76200</xdr:rowOff>
        </xdr:to>
        <xdr:sp macro="" textlink="">
          <xdr:nvSpPr>
            <xdr:cNvPr id="12345" name="Control 57" hidden="1">
              <a:extLst>
                <a:ext uri="{63B3BB69-23CF-44E3-9099-C40C66FF867C}">
                  <a14:compatExt spid="_x0000_s12345"/>
                </a:ext>
                <a:ext uri="{FF2B5EF4-FFF2-40B4-BE49-F238E27FC236}">
                  <a16:creationId xmlns:a16="http://schemas.microsoft.com/office/drawing/2014/main" id="{00000000-0008-0000-0600-00003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139</xdr:row>
          <xdr:rowOff>0</xdr:rowOff>
        </xdr:from>
        <xdr:to>
          <xdr:col>1</xdr:col>
          <xdr:colOff>257175</xdr:colOff>
          <xdr:row>140</xdr:row>
          <xdr:rowOff>76200</xdr:rowOff>
        </xdr:to>
        <xdr:sp macro="" textlink="">
          <xdr:nvSpPr>
            <xdr:cNvPr id="12346" name="Control 58" hidden="1">
              <a:extLst>
                <a:ext uri="{63B3BB69-23CF-44E3-9099-C40C66FF867C}">
                  <a14:compatExt spid="_x0000_s12346"/>
                </a:ext>
                <a:ext uri="{FF2B5EF4-FFF2-40B4-BE49-F238E27FC236}">
                  <a16:creationId xmlns:a16="http://schemas.microsoft.com/office/drawing/2014/main" id="{00000000-0008-0000-0600-00003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140</xdr:row>
          <xdr:rowOff>0</xdr:rowOff>
        </xdr:from>
        <xdr:to>
          <xdr:col>1</xdr:col>
          <xdr:colOff>257175</xdr:colOff>
          <xdr:row>141</xdr:row>
          <xdr:rowOff>76200</xdr:rowOff>
        </xdr:to>
        <xdr:sp macro="" textlink="">
          <xdr:nvSpPr>
            <xdr:cNvPr id="12347" name="Control 59" hidden="1">
              <a:extLst>
                <a:ext uri="{63B3BB69-23CF-44E3-9099-C40C66FF867C}">
                  <a14:compatExt spid="_x0000_s12347"/>
                </a:ext>
                <a:ext uri="{FF2B5EF4-FFF2-40B4-BE49-F238E27FC236}">
                  <a16:creationId xmlns:a16="http://schemas.microsoft.com/office/drawing/2014/main" id="{00000000-0008-0000-0600-00003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141</xdr:row>
          <xdr:rowOff>0</xdr:rowOff>
        </xdr:from>
        <xdr:to>
          <xdr:col>1</xdr:col>
          <xdr:colOff>257175</xdr:colOff>
          <xdr:row>142</xdr:row>
          <xdr:rowOff>76200</xdr:rowOff>
        </xdr:to>
        <xdr:sp macro="" textlink="">
          <xdr:nvSpPr>
            <xdr:cNvPr id="12348" name="Control 60" hidden="1">
              <a:extLst>
                <a:ext uri="{63B3BB69-23CF-44E3-9099-C40C66FF867C}">
                  <a14:compatExt spid="_x0000_s12348"/>
                </a:ext>
                <a:ext uri="{FF2B5EF4-FFF2-40B4-BE49-F238E27FC236}">
                  <a16:creationId xmlns:a16="http://schemas.microsoft.com/office/drawing/2014/main" id="{00000000-0008-0000-0600-00003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216</xdr:row>
          <xdr:rowOff>0</xdr:rowOff>
        </xdr:from>
        <xdr:to>
          <xdr:col>1</xdr:col>
          <xdr:colOff>257175</xdr:colOff>
          <xdr:row>217</xdr:row>
          <xdr:rowOff>76200</xdr:rowOff>
        </xdr:to>
        <xdr:sp macro="" textlink="">
          <xdr:nvSpPr>
            <xdr:cNvPr id="12349" name="Control 61" hidden="1">
              <a:extLst>
                <a:ext uri="{63B3BB69-23CF-44E3-9099-C40C66FF867C}">
                  <a14:compatExt spid="_x0000_s12349"/>
                </a:ext>
                <a:ext uri="{FF2B5EF4-FFF2-40B4-BE49-F238E27FC236}">
                  <a16:creationId xmlns:a16="http://schemas.microsoft.com/office/drawing/2014/main" id="{00000000-0008-0000-0600-00003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217</xdr:row>
          <xdr:rowOff>0</xdr:rowOff>
        </xdr:from>
        <xdr:to>
          <xdr:col>1</xdr:col>
          <xdr:colOff>257175</xdr:colOff>
          <xdr:row>218</xdr:row>
          <xdr:rowOff>76200</xdr:rowOff>
        </xdr:to>
        <xdr:sp macro="" textlink="">
          <xdr:nvSpPr>
            <xdr:cNvPr id="12350" name="Control 62" hidden="1">
              <a:extLst>
                <a:ext uri="{63B3BB69-23CF-44E3-9099-C40C66FF867C}">
                  <a14:compatExt spid="_x0000_s12350"/>
                </a:ext>
                <a:ext uri="{FF2B5EF4-FFF2-40B4-BE49-F238E27FC236}">
                  <a16:creationId xmlns:a16="http://schemas.microsoft.com/office/drawing/2014/main" id="{00000000-0008-0000-0600-00003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218</xdr:row>
          <xdr:rowOff>0</xdr:rowOff>
        </xdr:from>
        <xdr:to>
          <xdr:col>1</xdr:col>
          <xdr:colOff>257175</xdr:colOff>
          <xdr:row>219</xdr:row>
          <xdr:rowOff>76200</xdr:rowOff>
        </xdr:to>
        <xdr:sp macro="" textlink="">
          <xdr:nvSpPr>
            <xdr:cNvPr id="12351" name="Control 63" hidden="1">
              <a:extLst>
                <a:ext uri="{63B3BB69-23CF-44E3-9099-C40C66FF867C}">
                  <a14:compatExt spid="_x0000_s12351"/>
                </a:ext>
                <a:ext uri="{FF2B5EF4-FFF2-40B4-BE49-F238E27FC236}">
                  <a16:creationId xmlns:a16="http://schemas.microsoft.com/office/drawing/2014/main" id="{00000000-0008-0000-0600-00003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219</xdr:row>
          <xdr:rowOff>0</xdr:rowOff>
        </xdr:from>
        <xdr:to>
          <xdr:col>1</xdr:col>
          <xdr:colOff>257175</xdr:colOff>
          <xdr:row>220</xdr:row>
          <xdr:rowOff>76200</xdr:rowOff>
        </xdr:to>
        <xdr:sp macro="" textlink="">
          <xdr:nvSpPr>
            <xdr:cNvPr id="12352" name="Control 64" hidden="1">
              <a:extLst>
                <a:ext uri="{63B3BB69-23CF-44E3-9099-C40C66FF867C}">
                  <a14:compatExt spid="_x0000_s12352"/>
                </a:ext>
                <a:ext uri="{FF2B5EF4-FFF2-40B4-BE49-F238E27FC236}">
                  <a16:creationId xmlns:a16="http://schemas.microsoft.com/office/drawing/2014/main" id="{00000000-0008-0000-0600-00004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94</xdr:row>
          <xdr:rowOff>0</xdr:rowOff>
        </xdr:from>
        <xdr:to>
          <xdr:col>1</xdr:col>
          <xdr:colOff>257175</xdr:colOff>
          <xdr:row>95</xdr:row>
          <xdr:rowOff>76200</xdr:rowOff>
        </xdr:to>
        <xdr:sp macro="" textlink="">
          <xdr:nvSpPr>
            <xdr:cNvPr id="12353" name="Control 65" hidden="1">
              <a:extLst>
                <a:ext uri="{63B3BB69-23CF-44E3-9099-C40C66FF867C}">
                  <a14:compatExt spid="_x0000_s12353"/>
                </a:ext>
                <a:ext uri="{FF2B5EF4-FFF2-40B4-BE49-F238E27FC236}">
                  <a16:creationId xmlns:a16="http://schemas.microsoft.com/office/drawing/2014/main" id="{00000000-0008-0000-0600-00004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95</xdr:row>
          <xdr:rowOff>0</xdr:rowOff>
        </xdr:from>
        <xdr:to>
          <xdr:col>1</xdr:col>
          <xdr:colOff>257175</xdr:colOff>
          <xdr:row>96</xdr:row>
          <xdr:rowOff>76200</xdr:rowOff>
        </xdr:to>
        <xdr:sp macro="" textlink="">
          <xdr:nvSpPr>
            <xdr:cNvPr id="12354" name="Control 66" hidden="1">
              <a:extLst>
                <a:ext uri="{63B3BB69-23CF-44E3-9099-C40C66FF867C}">
                  <a14:compatExt spid="_x0000_s12354"/>
                </a:ext>
                <a:ext uri="{FF2B5EF4-FFF2-40B4-BE49-F238E27FC236}">
                  <a16:creationId xmlns:a16="http://schemas.microsoft.com/office/drawing/2014/main" id="{00000000-0008-0000-0600-00004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96</xdr:row>
          <xdr:rowOff>0</xdr:rowOff>
        </xdr:from>
        <xdr:to>
          <xdr:col>1</xdr:col>
          <xdr:colOff>257175</xdr:colOff>
          <xdr:row>97</xdr:row>
          <xdr:rowOff>76200</xdr:rowOff>
        </xdr:to>
        <xdr:sp macro="" textlink="">
          <xdr:nvSpPr>
            <xdr:cNvPr id="12355" name="Control 67" hidden="1">
              <a:extLst>
                <a:ext uri="{63B3BB69-23CF-44E3-9099-C40C66FF867C}">
                  <a14:compatExt spid="_x0000_s12355"/>
                </a:ext>
                <a:ext uri="{FF2B5EF4-FFF2-40B4-BE49-F238E27FC236}">
                  <a16:creationId xmlns:a16="http://schemas.microsoft.com/office/drawing/2014/main" id="{00000000-0008-0000-0600-00004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97</xdr:row>
          <xdr:rowOff>0</xdr:rowOff>
        </xdr:from>
        <xdr:to>
          <xdr:col>1</xdr:col>
          <xdr:colOff>257175</xdr:colOff>
          <xdr:row>98</xdr:row>
          <xdr:rowOff>76200</xdr:rowOff>
        </xdr:to>
        <xdr:sp macro="" textlink="">
          <xdr:nvSpPr>
            <xdr:cNvPr id="12356" name="Control 68" hidden="1">
              <a:extLst>
                <a:ext uri="{63B3BB69-23CF-44E3-9099-C40C66FF867C}">
                  <a14:compatExt spid="_x0000_s12356"/>
                </a:ext>
                <a:ext uri="{FF2B5EF4-FFF2-40B4-BE49-F238E27FC236}">
                  <a16:creationId xmlns:a16="http://schemas.microsoft.com/office/drawing/2014/main" id="{00000000-0008-0000-0600-00004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98</xdr:row>
          <xdr:rowOff>0</xdr:rowOff>
        </xdr:from>
        <xdr:to>
          <xdr:col>1</xdr:col>
          <xdr:colOff>257175</xdr:colOff>
          <xdr:row>99</xdr:row>
          <xdr:rowOff>76200</xdr:rowOff>
        </xdr:to>
        <xdr:sp macro="" textlink="">
          <xdr:nvSpPr>
            <xdr:cNvPr id="12357" name="Control 69" hidden="1">
              <a:extLst>
                <a:ext uri="{63B3BB69-23CF-44E3-9099-C40C66FF867C}">
                  <a14:compatExt spid="_x0000_s12357"/>
                </a:ext>
                <a:ext uri="{FF2B5EF4-FFF2-40B4-BE49-F238E27FC236}">
                  <a16:creationId xmlns:a16="http://schemas.microsoft.com/office/drawing/2014/main" id="{00000000-0008-0000-0600-00004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99</xdr:row>
          <xdr:rowOff>0</xdr:rowOff>
        </xdr:from>
        <xdr:to>
          <xdr:col>1</xdr:col>
          <xdr:colOff>257175</xdr:colOff>
          <xdr:row>100</xdr:row>
          <xdr:rowOff>76200</xdr:rowOff>
        </xdr:to>
        <xdr:sp macro="" textlink="">
          <xdr:nvSpPr>
            <xdr:cNvPr id="12358" name="Control 70" hidden="1">
              <a:extLst>
                <a:ext uri="{63B3BB69-23CF-44E3-9099-C40C66FF867C}">
                  <a14:compatExt spid="_x0000_s12358"/>
                </a:ext>
                <a:ext uri="{FF2B5EF4-FFF2-40B4-BE49-F238E27FC236}">
                  <a16:creationId xmlns:a16="http://schemas.microsoft.com/office/drawing/2014/main" id="{00000000-0008-0000-0600-00004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224</xdr:row>
          <xdr:rowOff>0</xdr:rowOff>
        </xdr:from>
        <xdr:to>
          <xdr:col>1</xdr:col>
          <xdr:colOff>257175</xdr:colOff>
          <xdr:row>225</xdr:row>
          <xdr:rowOff>76200</xdr:rowOff>
        </xdr:to>
        <xdr:sp macro="" textlink="">
          <xdr:nvSpPr>
            <xdr:cNvPr id="12359" name="Control 71" hidden="1">
              <a:extLst>
                <a:ext uri="{63B3BB69-23CF-44E3-9099-C40C66FF867C}">
                  <a14:compatExt spid="_x0000_s12359"/>
                </a:ext>
                <a:ext uri="{FF2B5EF4-FFF2-40B4-BE49-F238E27FC236}">
                  <a16:creationId xmlns:a16="http://schemas.microsoft.com/office/drawing/2014/main" id="{00000000-0008-0000-0600-00004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225</xdr:row>
          <xdr:rowOff>0</xdr:rowOff>
        </xdr:from>
        <xdr:to>
          <xdr:col>1</xdr:col>
          <xdr:colOff>257175</xdr:colOff>
          <xdr:row>226</xdr:row>
          <xdr:rowOff>76200</xdr:rowOff>
        </xdr:to>
        <xdr:sp macro="" textlink="">
          <xdr:nvSpPr>
            <xdr:cNvPr id="12360" name="Control 72" hidden="1">
              <a:extLst>
                <a:ext uri="{63B3BB69-23CF-44E3-9099-C40C66FF867C}">
                  <a14:compatExt spid="_x0000_s12360"/>
                </a:ext>
                <a:ext uri="{FF2B5EF4-FFF2-40B4-BE49-F238E27FC236}">
                  <a16:creationId xmlns:a16="http://schemas.microsoft.com/office/drawing/2014/main" id="{00000000-0008-0000-0600-00004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226</xdr:row>
          <xdr:rowOff>0</xdr:rowOff>
        </xdr:from>
        <xdr:to>
          <xdr:col>1</xdr:col>
          <xdr:colOff>257175</xdr:colOff>
          <xdr:row>227</xdr:row>
          <xdr:rowOff>76200</xdr:rowOff>
        </xdr:to>
        <xdr:sp macro="" textlink="">
          <xdr:nvSpPr>
            <xdr:cNvPr id="12361" name="Control 73" hidden="1">
              <a:extLst>
                <a:ext uri="{63B3BB69-23CF-44E3-9099-C40C66FF867C}">
                  <a14:compatExt spid="_x0000_s12361"/>
                </a:ext>
                <a:ext uri="{FF2B5EF4-FFF2-40B4-BE49-F238E27FC236}">
                  <a16:creationId xmlns:a16="http://schemas.microsoft.com/office/drawing/2014/main" id="{00000000-0008-0000-0600-00004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227</xdr:row>
          <xdr:rowOff>0</xdr:rowOff>
        </xdr:from>
        <xdr:to>
          <xdr:col>1</xdr:col>
          <xdr:colOff>257175</xdr:colOff>
          <xdr:row>228</xdr:row>
          <xdr:rowOff>76200</xdr:rowOff>
        </xdr:to>
        <xdr:sp macro="" textlink="">
          <xdr:nvSpPr>
            <xdr:cNvPr id="12362" name="Control 74" hidden="1">
              <a:extLst>
                <a:ext uri="{63B3BB69-23CF-44E3-9099-C40C66FF867C}">
                  <a14:compatExt spid="_x0000_s12362"/>
                </a:ext>
                <a:ext uri="{FF2B5EF4-FFF2-40B4-BE49-F238E27FC236}">
                  <a16:creationId xmlns:a16="http://schemas.microsoft.com/office/drawing/2014/main" id="{00000000-0008-0000-0600-00004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228</xdr:row>
          <xdr:rowOff>0</xdr:rowOff>
        </xdr:from>
        <xdr:to>
          <xdr:col>1</xdr:col>
          <xdr:colOff>257175</xdr:colOff>
          <xdr:row>229</xdr:row>
          <xdr:rowOff>76200</xdr:rowOff>
        </xdr:to>
        <xdr:sp macro="" textlink="">
          <xdr:nvSpPr>
            <xdr:cNvPr id="12363" name="Control 75" hidden="1">
              <a:extLst>
                <a:ext uri="{63B3BB69-23CF-44E3-9099-C40C66FF867C}">
                  <a14:compatExt spid="_x0000_s12363"/>
                </a:ext>
                <a:ext uri="{FF2B5EF4-FFF2-40B4-BE49-F238E27FC236}">
                  <a16:creationId xmlns:a16="http://schemas.microsoft.com/office/drawing/2014/main" id="{00000000-0008-0000-0600-00004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229</xdr:row>
          <xdr:rowOff>0</xdr:rowOff>
        </xdr:from>
        <xdr:to>
          <xdr:col>1</xdr:col>
          <xdr:colOff>257175</xdr:colOff>
          <xdr:row>230</xdr:row>
          <xdr:rowOff>76200</xdr:rowOff>
        </xdr:to>
        <xdr:sp macro="" textlink="">
          <xdr:nvSpPr>
            <xdr:cNvPr id="12364" name="Control 76" hidden="1">
              <a:extLst>
                <a:ext uri="{63B3BB69-23CF-44E3-9099-C40C66FF867C}">
                  <a14:compatExt spid="_x0000_s12364"/>
                </a:ext>
                <a:ext uri="{FF2B5EF4-FFF2-40B4-BE49-F238E27FC236}">
                  <a16:creationId xmlns:a16="http://schemas.microsoft.com/office/drawing/2014/main" id="{00000000-0008-0000-0600-00004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230</xdr:row>
          <xdr:rowOff>0</xdr:rowOff>
        </xdr:from>
        <xdr:to>
          <xdr:col>1</xdr:col>
          <xdr:colOff>257175</xdr:colOff>
          <xdr:row>231</xdr:row>
          <xdr:rowOff>76200</xdr:rowOff>
        </xdr:to>
        <xdr:sp macro="" textlink="">
          <xdr:nvSpPr>
            <xdr:cNvPr id="12365" name="Control 77" hidden="1">
              <a:extLst>
                <a:ext uri="{63B3BB69-23CF-44E3-9099-C40C66FF867C}">
                  <a14:compatExt spid="_x0000_s12365"/>
                </a:ext>
                <a:ext uri="{FF2B5EF4-FFF2-40B4-BE49-F238E27FC236}">
                  <a16:creationId xmlns:a16="http://schemas.microsoft.com/office/drawing/2014/main" id="{00000000-0008-0000-0600-00004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231</xdr:row>
          <xdr:rowOff>0</xdr:rowOff>
        </xdr:from>
        <xdr:to>
          <xdr:col>1</xdr:col>
          <xdr:colOff>257175</xdr:colOff>
          <xdr:row>232</xdr:row>
          <xdr:rowOff>76200</xdr:rowOff>
        </xdr:to>
        <xdr:sp macro="" textlink="">
          <xdr:nvSpPr>
            <xdr:cNvPr id="12366" name="Control 78" hidden="1">
              <a:extLst>
                <a:ext uri="{63B3BB69-23CF-44E3-9099-C40C66FF867C}">
                  <a14:compatExt spid="_x0000_s12366"/>
                </a:ext>
                <a:ext uri="{FF2B5EF4-FFF2-40B4-BE49-F238E27FC236}">
                  <a16:creationId xmlns:a16="http://schemas.microsoft.com/office/drawing/2014/main" id="{00000000-0008-0000-0600-00004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232</xdr:row>
          <xdr:rowOff>0</xdr:rowOff>
        </xdr:from>
        <xdr:to>
          <xdr:col>1</xdr:col>
          <xdr:colOff>257175</xdr:colOff>
          <xdr:row>233</xdr:row>
          <xdr:rowOff>76200</xdr:rowOff>
        </xdr:to>
        <xdr:sp macro="" textlink="">
          <xdr:nvSpPr>
            <xdr:cNvPr id="12367" name="Control 79" hidden="1">
              <a:extLst>
                <a:ext uri="{63B3BB69-23CF-44E3-9099-C40C66FF867C}">
                  <a14:compatExt spid="_x0000_s12367"/>
                </a:ext>
                <a:ext uri="{FF2B5EF4-FFF2-40B4-BE49-F238E27FC236}">
                  <a16:creationId xmlns:a16="http://schemas.microsoft.com/office/drawing/2014/main" id="{00000000-0008-0000-0600-00004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233</xdr:row>
          <xdr:rowOff>0</xdr:rowOff>
        </xdr:from>
        <xdr:to>
          <xdr:col>1</xdr:col>
          <xdr:colOff>257175</xdr:colOff>
          <xdr:row>234</xdr:row>
          <xdr:rowOff>76200</xdr:rowOff>
        </xdr:to>
        <xdr:sp macro="" textlink="">
          <xdr:nvSpPr>
            <xdr:cNvPr id="12368" name="Control 80" hidden="1">
              <a:extLst>
                <a:ext uri="{63B3BB69-23CF-44E3-9099-C40C66FF867C}">
                  <a14:compatExt spid="_x0000_s12368"/>
                </a:ext>
                <a:ext uri="{FF2B5EF4-FFF2-40B4-BE49-F238E27FC236}">
                  <a16:creationId xmlns:a16="http://schemas.microsoft.com/office/drawing/2014/main" id="{00000000-0008-0000-0600-00005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234</xdr:row>
          <xdr:rowOff>0</xdr:rowOff>
        </xdr:from>
        <xdr:to>
          <xdr:col>1</xdr:col>
          <xdr:colOff>257175</xdr:colOff>
          <xdr:row>235</xdr:row>
          <xdr:rowOff>76200</xdr:rowOff>
        </xdr:to>
        <xdr:sp macro="" textlink="">
          <xdr:nvSpPr>
            <xdr:cNvPr id="12369" name="Control 81" hidden="1">
              <a:extLst>
                <a:ext uri="{63B3BB69-23CF-44E3-9099-C40C66FF867C}">
                  <a14:compatExt spid="_x0000_s12369"/>
                </a:ext>
                <a:ext uri="{FF2B5EF4-FFF2-40B4-BE49-F238E27FC236}">
                  <a16:creationId xmlns:a16="http://schemas.microsoft.com/office/drawing/2014/main" id="{00000000-0008-0000-0600-00005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235</xdr:row>
          <xdr:rowOff>0</xdr:rowOff>
        </xdr:from>
        <xdr:to>
          <xdr:col>1</xdr:col>
          <xdr:colOff>257175</xdr:colOff>
          <xdr:row>236</xdr:row>
          <xdr:rowOff>76200</xdr:rowOff>
        </xdr:to>
        <xdr:sp macro="" textlink="">
          <xdr:nvSpPr>
            <xdr:cNvPr id="12370" name="Control 82" hidden="1">
              <a:extLst>
                <a:ext uri="{63B3BB69-23CF-44E3-9099-C40C66FF867C}">
                  <a14:compatExt spid="_x0000_s12370"/>
                </a:ext>
                <a:ext uri="{FF2B5EF4-FFF2-40B4-BE49-F238E27FC236}">
                  <a16:creationId xmlns:a16="http://schemas.microsoft.com/office/drawing/2014/main" id="{00000000-0008-0000-0600-00005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236</xdr:row>
          <xdr:rowOff>0</xdr:rowOff>
        </xdr:from>
        <xdr:to>
          <xdr:col>1</xdr:col>
          <xdr:colOff>257175</xdr:colOff>
          <xdr:row>237</xdr:row>
          <xdr:rowOff>76200</xdr:rowOff>
        </xdr:to>
        <xdr:sp macro="" textlink="">
          <xdr:nvSpPr>
            <xdr:cNvPr id="12371" name="Control 83" hidden="1">
              <a:extLst>
                <a:ext uri="{63B3BB69-23CF-44E3-9099-C40C66FF867C}">
                  <a14:compatExt spid="_x0000_s12371"/>
                </a:ext>
                <a:ext uri="{FF2B5EF4-FFF2-40B4-BE49-F238E27FC236}">
                  <a16:creationId xmlns:a16="http://schemas.microsoft.com/office/drawing/2014/main" id="{00000000-0008-0000-0600-00005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237</xdr:row>
          <xdr:rowOff>0</xdr:rowOff>
        </xdr:from>
        <xdr:to>
          <xdr:col>1</xdr:col>
          <xdr:colOff>257175</xdr:colOff>
          <xdr:row>238</xdr:row>
          <xdr:rowOff>76200</xdr:rowOff>
        </xdr:to>
        <xdr:sp macro="" textlink="">
          <xdr:nvSpPr>
            <xdr:cNvPr id="12372" name="Control 84" hidden="1">
              <a:extLst>
                <a:ext uri="{63B3BB69-23CF-44E3-9099-C40C66FF867C}">
                  <a14:compatExt spid="_x0000_s12372"/>
                </a:ext>
                <a:ext uri="{FF2B5EF4-FFF2-40B4-BE49-F238E27FC236}">
                  <a16:creationId xmlns:a16="http://schemas.microsoft.com/office/drawing/2014/main" id="{00000000-0008-0000-0600-00005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238</xdr:row>
          <xdr:rowOff>0</xdr:rowOff>
        </xdr:from>
        <xdr:to>
          <xdr:col>1</xdr:col>
          <xdr:colOff>257175</xdr:colOff>
          <xdr:row>239</xdr:row>
          <xdr:rowOff>76200</xdr:rowOff>
        </xdr:to>
        <xdr:sp macro="" textlink="">
          <xdr:nvSpPr>
            <xdr:cNvPr id="12373" name="Control 85" hidden="1">
              <a:extLst>
                <a:ext uri="{63B3BB69-23CF-44E3-9099-C40C66FF867C}">
                  <a14:compatExt spid="_x0000_s12373"/>
                </a:ext>
                <a:ext uri="{FF2B5EF4-FFF2-40B4-BE49-F238E27FC236}">
                  <a16:creationId xmlns:a16="http://schemas.microsoft.com/office/drawing/2014/main" id="{00000000-0008-0000-0600-00005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257175</xdr:colOff>
          <xdr:row>49</xdr:row>
          <xdr:rowOff>76200</xdr:rowOff>
        </xdr:to>
        <xdr:sp macro="" textlink="">
          <xdr:nvSpPr>
            <xdr:cNvPr id="12374" name="Control 86" hidden="1">
              <a:extLst>
                <a:ext uri="{63B3BB69-23CF-44E3-9099-C40C66FF867C}">
                  <a14:compatExt spid="_x0000_s12374"/>
                </a:ext>
                <a:ext uri="{FF2B5EF4-FFF2-40B4-BE49-F238E27FC236}">
                  <a16:creationId xmlns:a16="http://schemas.microsoft.com/office/drawing/2014/main" id="{00000000-0008-0000-0600-00005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257175</xdr:colOff>
          <xdr:row>50</xdr:row>
          <xdr:rowOff>76200</xdr:rowOff>
        </xdr:to>
        <xdr:sp macro="" textlink="">
          <xdr:nvSpPr>
            <xdr:cNvPr id="12375" name="Control 87" hidden="1">
              <a:extLst>
                <a:ext uri="{63B3BB69-23CF-44E3-9099-C40C66FF867C}">
                  <a14:compatExt spid="_x0000_s12375"/>
                </a:ext>
                <a:ext uri="{FF2B5EF4-FFF2-40B4-BE49-F238E27FC236}">
                  <a16:creationId xmlns:a16="http://schemas.microsoft.com/office/drawing/2014/main" id="{00000000-0008-0000-0600-00005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1</xdr:col>
          <xdr:colOff>257175</xdr:colOff>
          <xdr:row>51</xdr:row>
          <xdr:rowOff>76200</xdr:rowOff>
        </xdr:to>
        <xdr:sp macro="" textlink="">
          <xdr:nvSpPr>
            <xdr:cNvPr id="12376" name="Control 88" hidden="1">
              <a:extLst>
                <a:ext uri="{63B3BB69-23CF-44E3-9099-C40C66FF867C}">
                  <a14:compatExt spid="_x0000_s12376"/>
                </a:ext>
                <a:ext uri="{FF2B5EF4-FFF2-40B4-BE49-F238E27FC236}">
                  <a16:creationId xmlns:a16="http://schemas.microsoft.com/office/drawing/2014/main" id="{00000000-0008-0000-0600-00005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0</xdr:rowOff>
        </xdr:from>
        <xdr:to>
          <xdr:col>1</xdr:col>
          <xdr:colOff>257175</xdr:colOff>
          <xdr:row>52</xdr:row>
          <xdr:rowOff>76200</xdr:rowOff>
        </xdr:to>
        <xdr:sp macro="" textlink="">
          <xdr:nvSpPr>
            <xdr:cNvPr id="12377" name="Control 89" hidden="1">
              <a:extLst>
                <a:ext uri="{63B3BB69-23CF-44E3-9099-C40C66FF867C}">
                  <a14:compatExt spid="_x0000_s12377"/>
                </a:ext>
                <a:ext uri="{FF2B5EF4-FFF2-40B4-BE49-F238E27FC236}">
                  <a16:creationId xmlns:a16="http://schemas.microsoft.com/office/drawing/2014/main" id="{00000000-0008-0000-0600-00005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xdr:col>
          <xdr:colOff>257175</xdr:colOff>
          <xdr:row>53</xdr:row>
          <xdr:rowOff>76200</xdr:rowOff>
        </xdr:to>
        <xdr:sp macro="" textlink="">
          <xdr:nvSpPr>
            <xdr:cNvPr id="12378" name="Control 90" hidden="1">
              <a:extLst>
                <a:ext uri="{63B3BB69-23CF-44E3-9099-C40C66FF867C}">
                  <a14:compatExt spid="_x0000_s12378"/>
                </a:ext>
                <a:ext uri="{FF2B5EF4-FFF2-40B4-BE49-F238E27FC236}">
                  <a16:creationId xmlns:a16="http://schemas.microsoft.com/office/drawing/2014/main" id="{00000000-0008-0000-0600-00005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207</xdr:row>
          <xdr:rowOff>0</xdr:rowOff>
        </xdr:from>
        <xdr:to>
          <xdr:col>1</xdr:col>
          <xdr:colOff>257175</xdr:colOff>
          <xdr:row>208</xdr:row>
          <xdr:rowOff>76200</xdr:rowOff>
        </xdr:to>
        <xdr:sp macro="" textlink="">
          <xdr:nvSpPr>
            <xdr:cNvPr id="12379" name="Control 91" hidden="1">
              <a:extLst>
                <a:ext uri="{63B3BB69-23CF-44E3-9099-C40C66FF867C}">
                  <a14:compatExt spid="_x0000_s12379"/>
                </a:ext>
                <a:ext uri="{FF2B5EF4-FFF2-40B4-BE49-F238E27FC236}">
                  <a16:creationId xmlns:a16="http://schemas.microsoft.com/office/drawing/2014/main" id="{00000000-0008-0000-0600-00005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208</xdr:row>
          <xdr:rowOff>0</xdr:rowOff>
        </xdr:from>
        <xdr:to>
          <xdr:col>1</xdr:col>
          <xdr:colOff>257175</xdr:colOff>
          <xdr:row>209</xdr:row>
          <xdr:rowOff>76200</xdr:rowOff>
        </xdr:to>
        <xdr:sp macro="" textlink="">
          <xdr:nvSpPr>
            <xdr:cNvPr id="12380" name="Control 92" hidden="1">
              <a:extLst>
                <a:ext uri="{63B3BB69-23CF-44E3-9099-C40C66FF867C}">
                  <a14:compatExt spid="_x0000_s12380"/>
                </a:ext>
                <a:ext uri="{FF2B5EF4-FFF2-40B4-BE49-F238E27FC236}">
                  <a16:creationId xmlns:a16="http://schemas.microsoft.com/office/drawing/2014/main" id="{00000000-0008-0000-0600-00005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209</xdr:row>
          <xdr:rowOff>0</xdr:rowOff>
        </xdr:from>
        <xdr:to>
          <xdr:col>1</xdr:col>
          <xdr:colOff>257175</xdr:colOff>
          <xdr:row>210</xdr:row>
          <xdr:rowOff>76200</xdr:rowOff>
        </xdr:to>
        <xdr:sp macro="" textlink="">
          <xdr:nvSpPr>
            <xdr:cNvPr id="12381" name="Control 93" hidden="1">
              <a:extLst>
                <a:ext uri="{63B3BB69-23CF-44E3-9099-C40C66FF867C}">
                  <a14:compatExt spid="_x0000_s12381"/>
                </a:ext>
                <a:ext uri="{FF2B5EF4-FFF2-40B4-BE49-F238E27FC236}">
                  <a16:creationId xmlns:a16="http://schemas.microsoft.com/office/drawing/2014/main" id="{00000000-0008-0000-0600-00005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210</xdr:row>
          <xdr:rowOff>0</xdr:rowOff>
        </xdr:from>
        <xdr:to>
          <xdr:col>1</xdr:col>
          <xdr:colOff>257175</xdr:colOff>
          <xdr:row>211</xdr:row>
          <xdr:rowOff>76200</xdr:rowOff>
        </xdr:to>
        <xdr:sp macro="" textlink="">
          <xdr:nvSpPr>
            <xdr:cNvPr id="12382" name="Control 94" hidden="1">
              <a:extLst>
                <a:ext uri="{63B3BB69-23CF-44E3-9099-C40C66FF867C}">
                  <a14:compatExt spid="_x0000_s12382"/>
                </a:ext>
                <a:ext uri="{FF2B5EF4-FFF2-40B4-BE49-F238E27FC236}">
                  <a16:creationId xmlns:a16="http://schemas.microsoft.com/office/drawing/2014/main" id="{00000000-0008-0000-0600-00005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211</xdr:row>
          <xdr:rowOff>0</xdr:rowOff>
        </xdr:from>
        <xdr:to>
          <xdr:col>1</xdr:col>
          <xdr:colOff>257175</xdr:colOff>
          <xdr:row>212</xdr:row>
          <xdr:rowOff>76200</xdr:rowOff>
        </xdr:to>
        <xdr:sp macro="" textlink="">
          <xdr:nvSpPr>
            <xdr:cNvPr id="12383" name="Control 95" hidden="1">
              <a:extLst>
                <a:ext uri="{63B3BB69-23CF-44E3-9099-C40C66FF867C}">
                  <a14:compatExt spid="_x0000_s12383"/>
                </a:ext>
                <a:ext uri="{FF2B5EF4-FFF2-40B4-BE49-F238E27FC236}">
                  <a16:creationId xmlns:a16="http://schemas.microsoft.com/office/drawing/2014/main" id="{00000000-0008-0000-0600-00005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244</xdr:row>
          <xdr:rowOff>0</xdr:rowOff>
        </xdr:from>
        <xdr:to>
          <xdr:col>1</xdr:col>
          <xdr:colOff>257175</xdr:colOff>
          <xdr:row>245</xdr:row>
          <xdr:rowOff>76200</xdr:rowOff>
        </xdr:to>
        <xdr:sp macro="" textlink="">
          <xdr:nvSpPr>
            <xdr:cNvPr id="12384" name="Control 96" hidden="1">
              <a:extLst>
                <a:ext uri="{63B3BB69-23CF-44E3-9099-C40C66FF867C}">
                  <a14:compatExt spid="_x0000_s12384"/>
                </a:ext>
                <a:ext uri="{FF2B5EF4-FFF2-40B4-BE49-F238E27FC236}">
                  <a16:creationId xmlns:a16="http://schemas.microsoft.com/office/drawing/2014/main" id="{00000000-0008-0000-0600-00006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245</xdr:row>
          <xdr:rowOff>0</xdr:rowOff>
        </xdr:from>
        <xdr:to>
          <xdr:col>1</xdr:col>
          <xdr:colOff>257175</xdr:colOff>
          <xdr:row>246</xdr:row>
          <xdr:rowOff>76200</xdr:rowOff>
        </xdr:to>
        <xdr:sp macro="" textlink="">
          <xdr:nvSpPr>
            <xdr:cNvPr id="12385" name="Control 97" hidden="1">
              <a:extLst>
                <a:ext uri="{63B3BB69-23CF-44E3-9099-C40C66FF867C}">
                  <a14:compatExt spid="_x0000_s12385"/>
                </a:ext>
                <a:ext uri="{FF2B5EF4-FFF2-40B4-BE49-F238E27FC236}">
                  <a16:creationId xmlns:a16="http://schemas.microsoft.com/office/drawing/2014/main" id="{00000000-0008-0000-0600-00006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246</xdr:row>
          <xdr:rowOff>0</xdr:rowOff>
        </xdr:from>
        <xdr:to>
          <xdr:col>1</xdr:col>
          <xdr:colOff>257175</xdr:colOff>
          <xdr:row>247</xdr:row>
          <xdr:rowOff>76200</xdr:rowOff>
        </xdr:to>
        <xdr:sp macro="" textlink="">
          <xdr:nvSpPr>
            <xdr:cNvPr id="12386" name="Control 98" hidden="1">
              <a:extLst>
                <a:ext uri="{63B3BB69-23CF-44E3-9099-C40C66FF867C}">
                  <a14:compatExt spid="_x0000_s12386"/>
                </a:ext>
                <a:ext uri="{FF2B5EF4-FFF2-40B4-BE49-F238E27FC236}">
                  <a16:creationId xmlns:a16="http://schemas.microsoft.com/office/drawing/2014/main" id="{00000000-0008-0000-0600-00006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120</xdr:row>
          <xdr:rowOff>0</xdr:rowOff>
        </xdr:from>
        <xdr:to>
          <xdr:col>1</xdr:col>
          <xdr:colOff>257175</xdr:colOff>
          <xdr:row>121</xdr:row>
          <xdr:rowOff>76200</xdr:rowOff>
        </xdr:to>
        <xdr:sp macro="" textlink="">
          <xdr:nvSpPr>
            <xdr:cNvPr id="12387" name="Control 99" hidden="1">
              <a:extLst>
                <a:ext uri="{63B3BB69-23CF-44E3-9099-C40C66FF867C}">
                  <a14:compatExt spid="_x0000_s12387"/>
                </a:ext>
                <a:ext uri="{FF2B5EF4-FFF2-40B4-BE49-F238E27FC236}">
                  <a16:creationId xmlns:a16="http://schemas.microsoft.com/office/drawing/2014/main" id="{00000000-0008-0000-0600-00006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121</xdr:row>
          <xdr:rowOff>0</xdr:rowOff>
        </xdr:from>
        <xdr:to>
          <xdr:col>1</xdr:col>
          <xdr:colOff>257175</xdr:colOff>
          <xdr:row>122</xdr:row>
          <xdr:rowOff>76200</xdr:rowOff>
        </xdr:to>
        <xdr:sp macro="" textlink="">
          <xdr:nvSpPr>
            <xdr:cNvPr id="12388" name="Control 100" hidden="1">
              <a:extLst>
                <a:ext uri="{63B3BB69-23CF-44E3-9099-C40C66FF867C}">
                  <a14:compatExt spid="_x0000_s12388"/>
                </a:ext>
                <a:ext uri="{FF2B5EF4-FFF2-40B4-BE49-F238E27FC236}">
                  <a16:creationId xmlns:a16="http://schemas.microsoft.com/office/drawing/2014/main" id="{00000000-0008-0000-0600-00006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122</xdr:row>
          <xdr:rowOff>0</xdr:rowOff>
        </xdr:from>
        <xdr:to>
          <xdr:col>1</xdr:col>
          <xdr:colOff>257175</xdr:colOff>
          <xdr:row>123</xdr:row>
          <xdr:rowOff>76200</xdr:rowOff>
        </xdr:to>
        <xdr:sp macro="" textlink="">
          <xdr:nvSpPr>
            <xdr:cNvPr id="12389" name="Control 101" hidden="1">
              <a:extLst>
                <a:ext uri="{63B3BB69-23CF-44E3-9099-C40C66FF867C}">
                  <a14:compatExt spid="_x0000_s12389"/>
                </a:ext>
                <a:ext uri="{FF2B5EF4-FFF2-40B4-BE49-F238E27FC236}">
                  <a16:creationId xmlns:a16="http://schemas.microsoft.com/office/drawing/2014/main" id="{00000000-0008-0000-0600-00006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123</xdr:row>
          <xdr:rowOff>0</xdr:rowOff>
        </xdr:from>
        <xdr:to>
          <xdr:col>1</xdr:col>
          <xdr:colOff>257175</xdr:colOff>
          <xdr:row>124</xdr:row>
          <xdr:rowOff>76200</xdr:rowOff>
        </xdr:to>
        <xdr:sp macro="" textlink="">
          <xdr:nvSpPr>
            <xdr:cNvPr id="12390" name="Control 102" hidden="1">
              <a:extLst>
                <a:ext uri="{63B3BB69-23CF-44E3-9099-C40C66FF867C}">
                  <a14:compatExt spid="_x0000_s12390"/>
                </a:ext>
                <a:ext uri="{FF2B5EF4-FFF2-40B4-BE49-F238E27FC236}">
                  <a16:creationId xmlns:a16="http://schemas.microsoft.com/office/drawing/2014/main" id="{00000000-0008-0000-0600-00006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124</xdr:row>
          <xdr:rowOff>0</xdr:rowOff>
        </xdr:from>
        <xdr:to>
          <xdr:col>1</xdr:col>
          <xdr:colOff>257175</xdr:colOff>
          <xdr:row>125</xdr:row>
          <xdr:rowOff>76200</xdr:rowOff>
        </xdr:to>
        <xdr:sp macro="" textlink="">
          <xdr:nvSpPr>
            <xdr:cNvPr id="12391" name="Control 103" hidden="1">
              <a:extLst>
                <a:ext uri="{63B3BB69-23CF-44E3-9099-C40C66FF867C}">
                  <a14:compatExt spid="_x0000_s12391"/>
                </a:ext>
                <a:ext uri="{FF2B5EF4-FFF2-40B4-BE49-F238E27FC236}">
                  <a16:creationId xmlns:a16="http://schemas.microsoft.com/office/drawing/2014/main" id="{00000000-0008-0000-0600-00006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125</xdr:row>
          <xdr:rowOff>0</xdr:rowOff>
        </xdr:from>
        <xdr:to>
          <xdr:col>1</xdr:col>
          <xdr:colOff>257175</xdr:colOff>
          <xdr:row>126</xdr:row>
          <xdr:rowOff>76200</xdr:rowOff>
        </xdr:to>
        <xdr:sp macro="" textlink="">
          <xdr:nvSpPr>
            <xdr:cNvPr id="12392" name="Control 104" hidden="1">
              <a:extLst>
                <a:ext uri="{63B3BB69-23CF-44E3-9099-C40C66FF867C}">
                  <a14:compatExt spid="_x0000_s12392"/>
                </a:ext>
                <a:ext uri="{FF2B5EF4-FFF2-40B4-BE49-F238E27FC236}">
                  <a16:creationId xmlns:a16="http://schemas.microsoft.com/office/drawing/2014/main" id="{00000000-0008-0000-0600-00006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126</xdr:row>
          <xdr:rowOff>0</xdr:rowOff>
        </xdr:from>
        <xdr:to>
          <xdr:col>1</xdr:col>
          <xdr:colOff>257175</xdr:colOff>
          <xdr:row>127</xdr:row>
          <xdr:rowOff>76200</xdr:rowOff>
        </xdr:to>
        <xdr:sp macro="" textlink="">
          <xdr:nvSpPr>
            <xdr:cNvPr id="12393" name="Control 105" hidden="1">
              <a:extLst>
                <a:ext uri="{63B3BB69-23CF-44E3-9099-C40C66FF867C}">
                  <a14:compatExt spid="_x0000_s12393"/>
                </a:ext>
                <a:ext uri="{FF2B5EF4-FFF2-40B4-BE49-F238E27FC236}">
                  <a16:creationId xmlns:a16="http://schemas.microsoft.com/office/drawing/2014/main" id="{00000000-0008-0000-0600-00006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104</xdr:row>
          <xdr:rowOff>0</xdr:rowOff>
        </xdr:from>
        <xdr:to>
          <xdr:col>1</xdr:col>
          <xdr:colOff>257175</xdr:colOff>
          <xdr:row>105</xdr:row>
          <xdr:rowOff>76200</xdr:rowOff>
        </xdr:to>
        <xdr:sp macro="" textlink="">
          <xdr:nvSpPr>
            <xdr:cNvPr id="12394" name="Control 106" hidden="1">
              <a:extLst>
                <a:ext uri="{63B3BB69-23CF-44E3-9099-C40C66FF867C}">
                  <a14:compatExt spid="_x0000_s12394"/>
                </a:ext>
                <a:ext uri="{FF2B5EF4-FFF2-40B4-BE49-F238E27FC236}">
                  <a16:creationId xmlns:a16="http://schemas.microsoft.com/office/drawing/2014/main" id="{00000000-0008-0000-0600-00006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105</xdr:row>
          <xdr:rowOff>0</xdr:rowOff>
        </xdr:from>
        <xdr:to>
          <xdr:col>1</xdr:col>
          <xdr:colOff>257175</xdr:colOff>
          <xdr:row>106</xdr:row>
          <xdr:rowOff>76200</xdr:rowOff>
        </xdr:to>
        <xdr:sp macro="" textlink="">
          <xdr:nvSpPr>
            <xdr:cNvPr id="12395" name="Control 107" hidden="1">
              <a:extLst>
                <a:ext uri="{63B3BB69-23CF-44E3-9099-C40C66FF867C}">
                  <a14:compatExt spid="_x0000_s12395"/>
                </a:ext>
                <a:ext uri="{FF2B5EF4-FFF2-40B4-BE49-F238E27FC236}">
                  <a16:creationId xmlns:a16="http://schemas.microsoft.com/office/drawing/2014/main" id="{00000000-0008-0000-0600-00006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257175</xdr:colOff>
          <xdr:row>107</xdr:row>
          <xdr:rowOff>76200</xdr:rowOff>
        </xdr:to>
        <xdr:sp macro="" textlink="">
          <xdr:nvSpPr>
            <xdr:cNvPr id="12396" name="Control 108" hidden="1">
              <a:extLst>
                <a:ext uri="{63B3BB69-23CF-44E3-9099-C40C66FF867C}">
                  <a14:compatExt spid="_x0000_s12396"/>
                </a:ext>
                <a:ext uri="{FF2B5EF4-FFF2-40B4-BE49-F238E27FC236}">
                  <a16:creationId xmlns:a16="http://schemas.microsoft.com/office/drawing/2014/main" id="{00000000-0008-0000-0600-00006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107</xdr:row>
          <xdr:rowOff>0</xdr:rowOff>
        </xdr:from>
        <xdr:to>
          <xdr:col>1</xdr:col>
          <xdr:colOff>257175</xdr:colOff>
          <xdr:row>108</xdr:row>
          <xdr:rowOff>76200</xdr:rowOff>
        </xdr:to>
        <xdr:sp macro="" textlink="">
          <xdr:nvSpPr>
            <xdr:cNvPr id="12397" name="Control 109" hidden="1">
              <a:extLst>
                <a:ext uri="{63B3BB69-23CF-44E3-9099-C40C66FF867C}">
                  <a14:compatExt spid="_x0000_s12397"/>
                </a:ext>
                <a:ext uri="{FF2B5EF4-FFF2-40B4-BE49-F238E27FC236}">
                  <a16:creationId xmlns:a16="http://schemas.microsoft.com/office/drawing/2014/main" id="{00000000-0008-0000-0600-00006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79</xdr:row>
          <xdr:rowOff>0</xdr:rowOff>
        </xdr:from>
        <xdr:to>
          <xdr:col>1</xdr:col>
          <xdr:colOff>257175</xdr:colOff>
          <xdr:row>80</xdr:row>
          <xdr:rowOff>76200</xdr:rowOff>
        </xdr:to>
        <xdr:sp macro="" textlink="">
          <xdr:nvSpPr>
            <xdr:cNvPr id="12398" name="Control 110" hidden="1">
              <a:extLst>
                <a:ext uri="{63B3BB69-23CF-44E3-9099-C40C66FF867C}">
                  <a14:compatExt spid="_x0000_s12398"/>
                </a:ext>
                <a:ext uri="{FF2B5EF4-FFF2-40B4-BE49-F238E27FC236}">
                  <a16:creationId xmlns:a16="http://schemas.microsoft.com/office/drawing/2014/main" id="{00000000-0008-0000-0600-00006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80</xdr:row>
          <xdr:rowOff>0</xdr:rowOff>
        </xdr:from>
        <xdr:to>
          <xdr:col>1</xdr:col>
          <xdr:colOff>257175</xdr:colOff>
          <xdr:row>81</xdr:row>
          <xdr:rowOff>76200</xdr:rowOff>
        </xdr:to>
        <xdr:sp macro="" textlink="">
          <xdr:nvSpPr>
            <xdr:cNvPr id="12399" name="Control 111" hidden="1">
              <a:extLst>
                <a:ext uri="{63B3BB69-23CF-44E3-9099-C40C66FF867C}">
                  <a14:compatExt spid="_x0000_s12399"/>
                </a:ext>
                <a:ext uri="{FF2B5EF4-FFF2-40B4-BE49-F238E27FC236}">
                  <a16:creationId xmlns:a16="http://schemas.microsoft.com/office/drawing/2014/main" id="{00000000-0008-0000-0600-00006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81</xdr:row>
          <xdr:rowOff>0</xdr:rowOff>
        </xdr:from>
        <xdr:to>
          <xdr:col>1</xdr:col>
          <xdr:colOff>257175</xdr:colOff>
          <xdr:row>82</xdr:row>
          <xdr:rowOff>76200</xdr:rowOff>
        </xdr:to>
        <xdr:sp macro="" textlink="">
          <xdr:nvSpPr>
            <xdr:cNvPr id="12400" name="Control 112" hidden="1">
              <a:extLst>
                <a:ext uri="{63B3BB69-23CF-44E3-9099-C40C66FF867C}">
                  <a14:compatExt spid="_x0000_s12400"/>
                </a:ext>
                <a:ext uri="{FF2B5EF4-FFF2-40B4-BE49-F238E27FC236}">
                  <a16:creationId xmlns:a16="http://schemas.microsoft.com/office/drawing/2014/main" id="{00000000-0008-0000-0600-00007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82</xdr:row>
          <xdr:rowOff>0</xdr:rowOff>
        </xdr:from>
        <xdr:to>
          <xdr:col>1</xdr:col>
          <xdr:colOff>257175</xdr:colOff>
          <xdr:row>83</xdr:row>
          <xdr:rowOff>76200</xdr:rowOff>
        </xdr:to>
        <xdr:sp macro="" textlink="">
          <xdr:nvSpPr>
            <xdr:cNvPr id="12401" name="Control 113" hidden="1">
              <a:extLst>
                <a:ext uri="{63B3BB69-23CF-44E3-9099-C40C66FF867C}">
                  <a14:compatExt spid="_x0000_s12401"/>
                </a:ext>
                <a:ext uri="{FF2B5EF4-FFF2-40B4-BE49-F238E27FC236}">
                  <a16:creationId xmlns:a16="http://schemas.microsoft.com/office/drawing/2014/main" id="{00000000-0008-0000-0600-00007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83</xdr:row>
          <xdr:rowOff>0</xdr:rowOff>
        </xdr:from>
        <xdr:to>
          <xdr:col>1</xdr:col>
          <xdr:colOff>257175</xdr:colOff>
          <xdr:row>84</xdr:row>
          <xdr:rowOff>76200</xdr:rowOff>
        </xdr:to>
        <xdr:sp macro="" textlink="">
          <xdr:nvSpPr>
            <xdr:cNvPr id="12402" name="Control 114" hidden="1">
              <a:extLst>
                <a:ext uri="{63B3BB69-23CF-44E3-9099-C40C66FF867C}">
                  <a14:compatExt spid="_x0000_s12402"/>
                </a:ext>
                <a:ext uri="{FF2B5EF4-FFF2-40B4-BE49-F238E27FC236}">
                  <a16:creationId xmlns:a16="http://schemas.microsoft.com/office/drawing/2014/main" id="{00000000-0008-0000-0600-00007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84</xdr:row>
          <xdr:rowOff>0</xdr:rowOff>
        </xdr:from>
        <xdr:to>
          <xdr:col>1</xdr:col>
          <xdr:colOff>257175</xdr:colOff>
          <xdr:row>85</xdr:row>
          <xdr:rowOff>76200</xdr:rowOff>
        </xdr:to>
        <xdr:sp macro="" textlink="">
          <xdr:nvSpPr>
            <xdr:cNvPr id="12403" name="Control 115" hidden="1">
              <a:extLst>
                <a:ext uri="{63B3BB69-23CF-44E3-9099-C40C66FF867C}">
                  <a14:compatExt spid="_x0000_s12403"/>
                </a:ext>
                <a:ext uri="{FF2B5EF4-FFF2-40B4-BE49-F238E27FC236}">
                  <a16:creationId xmlns:a16="http://schemas.microsoft.com/office/drawing/2014/main" id="{00000000-0008-0000-0600-00007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85</xdr:row>
          <xdr:rowOff>0</xdr:rowOff>
        </xdr:from>
        <xdr:to>
          <xdr:col>1</xdr:col>
          <xdr:colOff>257175</xdr:colOff>
          <xdr:row>86</xdr:row>
          <xdr:rowOff>76200</xdr:rowOff>
        </xdr:to>
        <xdr:sp macro="" textlink="">
          <xdr:nvSpPr>
            <xdr:cNvPr id="12404" name="Control 116" hidden="1">
              <a:extLst>
                <a:ext uri="{63B3BB69-23CF-44E3-9099-C40C66FF867C}">
                  <a14:compatExt spid="_x0000_s12404"/>
                </a:ext>
                <a:ext uri="{FF2B5EF4-FFF2-40B4-BE49-F238E27FC236}">
                  <a16:creationId xmlns:a16="http://schemas.microsoft.com/office/drawing/2014/main" id="{00000000-0008-0000-0600-00007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86</xdr:row>
          <xdr:rowOff>0</xdr:rowOff>
        </xdr:from>
        <xdr:to>
          <xdr:col>1</xdr:col>
          <xdr:colOff>257175</xdr:colOff>
          <xdr:row>87</xdr:row>
          <xdr:rowOff>76200</xdr:rowOff>
        </xdr:to>
        <xdr:sp macro="" textlink="">
          <xdr:nvSpPr>
            <xdr:cNvPr id="12405" name="Control 117" hidden="1">
              <a:extLst>
                <a:ext uri="{63B3BB69-23CF-44E3-9099-C40C66FF867C}">
                  <a14:compatExt spid="_x0000_s12405"/>
                </a:ext>
                <a:ext uri="{FF2B5EF4-FFF2-40B4-BE49-F238E27FC236}">
                  <a16:creationId xmlns:a16="http://schemas.microsoft.com/office/drawing/2014/main" id="{00000000-0008-0000-0600-00007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87</xdr:row>
          <xdr:rowOff>0</xdr:rowOff>
        </xdr:from>
        <xdr:to>
          <xdr:col>1</xdr:col>
          <xdr:colOff>257175</xdr:colOff>
          <xdr:row>88</xdr:row>
          <xdr:rowOff>76200</xdr:rowOff>
        </xdr:to>
        <xdr:sp macro="" textlink="">
          <xdr:nvSpPr>
            <xdr:cNvPr id="12406" name="Control 118" hidden="1">
              <a:extLst>
                <a:ext uri="{63B3BB69-23CF-44E3-9099-C40C66FF867C}">
                  <a14:compatExt spid="_x0000_s12406"/>
                </a:ext>
                <a:ext uri="{FF2B5EF4-FFF2-40B4-BE49-F238E27FC236}">
                  <a16:creationId xmlns:a16="http://schemas.microsoft.com/office/drawing/2014/main" id="{00000000-0008-0000-0600-00007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88</xdr:row>
          <xdr:rowOff>0</xdr:rowOff>
        </xdr:from>
        <xdr:to>
          <xdr:col>1</xdr:col>
          <xdr:colOff>257175</xdr:colOff>
          <xdr:row>89</xdr:row>
          <xdr:rowOff>76200</xdr:rowOff>
        </xdr:to>
        <xdr:sp macro="" textlink="">
          <xdr:nvSpPr>
            <xdr:cNvPr id="12407" name="Control 119" hidden="1">
              <a:extLst>
                <a:ext uri="{63B3BB69-23CF-44E3-9099-C40C66FF867C}">
                  <a14:compatExt spid="_x0000_s12407"/>
                </a:ext>
                <a:ext uri="{FF2B5EF4-FFF2-40B4-BE49-F238E27FC236}">
                  <a16:creationId xmlns:a16="http://schemas.microsoft.com/office/drawing/2014/main" id="{00000000-0008-0000-0600-00007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xdr:col>
          <xdr:colOff>257175</xdr:colOff>
          <xdr:row>90</xdr:row>
          <xdr:rowOff>76200</xdr:rowOff>
        </xdr:to>
        <xdr:sp macro="" textlink="">
          <xdr:nvSpPr>
            <xdr:cNvPr id="12408" name="Control 120" hidden="1">
              <a:extLst>
                <a:ext uri="{63B3BB69-23CF-44E3-9099-C40C66FF867C}">
                  <a14:compatExt spid="_x0000_s12408"/>
                </a:ext>
                <a:ext uri="{FF2B5EF4-FFF2-40B4-BE49-F238E27FC236}">
                  <a16:creationId xmlns:a16="http://schemas.microsoft.com/office/drawing/2014/main" id="{00000000-0008-0000-0600-00007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90</xdr:row>
          <xdr:rowOff>0</xdr:rowOff>
        </xdr:from>
        <xdr:to>
          <xdr:col>1</xdr:col>
          <xdr:colOff>257175</xdr:colOff>
          <xdr:row>91</xdr:row>
          <xdr:rowOff>76200</xdr:rowOff>
        </xdr:to>
        <xdr:sp macro="" textlink="">
          <xdr:nvSpPr>
            <xdr:cNvPr id="12409" name="Control 121" hidden="1">
              <a:extLst>
                <a:ext uri="{63B3BB69-23CF-44E3-9099-C40C66FF867C}">
                  <a14:compatExt spid="_x0000_s12409"/>
                </a:ext>
                <a:ext uri="{FF2B5EF4-FFF2-40B4-BE49-F238E27FC236}">
                  <a16:creationId xmlns:a16="http://schemas.microsoft.com/office/drawing/2014/main" id="{00000000-0008-0000-0600-00007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0</xdr:rowOff>
        </xdr:from>
        <xdr:to>
          <xdr:col>1</xdr:col>
          <xdr:colOff>257175</xdr:colOff>
          <xdr:row>71</xdr:row>
          <xdr:rowOff>76200</xdr:rowOff>
        </xdr:to>
        <xdr:sp macro="" textlink="">
          <xdr:nvSpPr>
            <xdr:cNvPr id="12410" name="Control 122" hidden="1">
              <a:extLst>
                <a:ext uri="{63B3BB69-23CF-44E3-9099-C40C66FF867C}">
                  <a14:compatExt spid="_x0000_s12410"/>
                </a:ext>
                <a:ext uri="{FF2B5EF4-FFF2-40B4-BE49-F238E27FC236}">
                  <a16:creationId xmlns:a16="http://schemas.microsoft.com/office/drawing/2014/main" id="{00000000-0008-0000-0600-00007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71</xdr:row>
          <xdr:rowOff>0</xdr:rowOff>
        </xdr:from>
        <xdr:to>
          <xdr:col>1</xdr:col>
          <xdr:colOff>257175</xdr:colOff>
          <xdr:row>72</xdr:row>
          <xdr:rowOff>76200</xdr:rowOff>
        </xdr:to>
        <xdr:sp macro="" textlink="">
          <xdr:nvSpPr>
            <xdr:cNvPr id="12411" name="Control 123" hidden="1">
              <a:extLst>
                <a:ext uri="{63B3BB69-23CF-44E3-9099-C40C66FF867C}">
                  <a14:compatExt spid="_x0000_s12411"/>
                </a:ext>
                <a:ext uri="{FF2B5EF4-FFF2-40B4-BE49-F238E27FC236}">
                  <a16:creationId xmlns:a16="http://schemas.microsoft.com/office/drawing/2014/main" id="{00000000-0008-0000-0600-00007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0</xdr:rowOff>
        </xdr:from>
        <xdr:to>
          <xdr:col>1</xdr:col>
          <xdr:colOff>257175</xdr:colOff>
          <xdr:row>73</xdr:row>
          <xdr:rowOff>76200</xdr:rowOff>
        </xdr:to>
        <xdr:sp macro="" textlink="">
          <xdr:nvSpPr>
            <xdr:cNvPr id="12412" name="Control 124" hidden="1">
              <a:extLst>
                <a:ext uri="{63B3BB69-23CF-44E3-9099-C40C66FF867C}">
                  <a14:compatExt spid="_x0000_s12412"/>
                </a:ext>
                <a:ext uri="{FF2B5EF4-FFF2-40B4-BE49-F238E27FC236}">
                  <a16:creationId xmlns:a16="http://schemas.microsoft.com/office/drawing/2014/main" id="{00000000-0008-0000-0600-00007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xdr:col>
          <xdr:colOff>257175</xdr:colOff>
          <xdr:row>74</xdr:row>
          <xdr:rowOff>76200</xdr:rowOff>
        </xdr:to>
        <xdr:sp macro="" textlink="">
          <xdr:nvSpPr>
            <xdr:cNvPr id="12413" name="Control 125" hidden="1">
              <a:extLst>
                <a:ext uri="{63B3BB69-23CF-44E3-9099-C40C66FF867C}">
                  <a14:compatExt spid="_x0000_s12413"/>
                </a:ext>
                <a:ext uri="{FF2B5EF4-FFF2-40B4-BE49-F238E27FC236}">
                  <a16:creationId xmlns:a16="http://schemas.microsoft.com/office/drawing/2014/main" id="{00000000-0008-0000-0600-00007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74</xdr:row>
          <xdr:rowOff>0</xdr:rowOff>
        </xdr:from>
        <xdr:to>
          <xdr:col>1</xdr:col>
          <xdr:colOff>257175</xdr:colOff>
          <xdr:row>75</xdr:row>
          <xdr:rowOff>76200</xdr:rowOff>
        </xdr:to>
        <xdr:sp macro="" textlink="">
          <xdr:nvSpPr>
            <xdr:cNvPr id="12414" name="Control 126" hidden="1">
              <a:extLst>
                <a:ext uri="{63B3BB69-23CF-44E3-9099-C40C66FF867C}">
                  <a14:compatExt spid="_x0000_s12414"/>
                </a:ext>
                <a:ext uri="{FF2B5EF4-FFF2-40B4-BE49-F238E27FC236}">
                  <a16:creationId xmlns:a16="http://schemas.microsoft.com/office/drawing/2014/main" id="{00000000-0008-0000-0600-00007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75</xdr:row>
          <xdr:rowOff>0</xdr:rowOff>
        </xdr:from>
        <xdr:to>
          <xdr:col>1</xdr:col>
          <xdr:colOff>257175</xdr:colOff>
          <xdr:row>76</xdr:row>
          <xdr:rowOff>76200</xdr:rowOff>
        </xdr:to>
        <xdr:sp macro="" textlink="">
          <xdr:nvSpPr>
            <xdr:cNvPr id="12415" name="Control 127" hidden="1">
              <a:extLst>
                <a:ext uri="{63B3BB69-23CF-44E3-9099-C40C66FF867C}">
                  <a14:compatExt spid="_x0000_s12415"/>
                </a:ext>
                <a:ext uri="{FF2B5EF4-FFF2-40B4-BE49-F238E27FC236}">
                  <a16:creationId xmlns:a16="http://schemas.microsoft.com/office/drawing/2014/main" id="{00000000-0008-0000-0600-00007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112</xdr:row>
          <xdr:rowOff>0</xdr:rowOff>
        </xdr:from>
        <xdr:to>
          <xdr:col>1</xdr:col>
          <xdr:colOff>257175</xdr:colOff>
          <xdr:row>113</xdr:row>
          <xdr:rowOff>76200</xdr:rowOff>
        </xdr:to>
        <xdr:sp macro="" textlink="">
          <xdr:nvSpPr>
            <xdr:cNvPr id="12416" name="Control 128" hidden="1">
              <a:extLst>
                <a:ext uri="{63B3BB69-23CF-44E3-9099-C40C66FF867C}">
                  <a14:compatExt spid="_x0000_s12416"/>
                </a:ext>
                <a:ext uri="{FF2B5EF4-FFF2-40B4-BE49-F238E27FC236}">
                  <a16:creationId xmlns:a16="http://schemas.microsoft.com/office/drawing/2014/main" id="{00000000-0008-0000-0600-00008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113</xdr:row>
          <xdr:rowOff>0</xdr:rowOff>
        </xdr:from>
        <xdr:to>
          <xdr:col>1</xdr:col>
          <xdr:colOff>257175</xdr:colOff>
          <xdr:row>114</xdr:row>
          <xdr:rowOff>76200</xdr:rowOff>
        </xdr:to>
        <xdr:sp macro="" textlink="">
          <xdr:nvSpPr>
            <xdr:cNvPr id="12417" name="Control 129" hidden="1">
              <a:extLst>
                <a:ext uri="{63B3BB69-23CF-44E3-9099-C40C66FF867C}">
                  <a14:compatExt spid="_x0000_s12417"/>
                </a:ext>
                <a:ext uri="{FF2B5EF4-FFF2-40B4-BE49-F238E27FC236}">
                  <a16:creationId xmlns:a16="http://schemas.microsoft.com/office/drawing/2014/main" id="{00000000-0008-0000-0600-00008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114</xdr:row>
          <xdr:rowOff>0</xdr:rowOff>
        </xdr:from>
        <xdr:to>
          <xdr:col>1</xdr:col>
          <xdr:colOff>257175</xdr:colOff>
          <xdr:row>115</xdr:row>
          <xdr:rowOff>76200</xdr:rowOff>
        </xdr:to>
        <xdr:sp macro="" textlink="">
          <xdr:nvSpPr>
            <xdr:cNvPr id="12418" name="Control 130" hidden="1">
              <a:extLst>
                <a:ext uri="{63B3BB69-23CF-44E3-9099-C40C66FF867C}">
                  <a14:compatExt spid="_x0000_s12418"/>
                </a:ext>
                <a:ext uri="{FF2B5EF4-FFF2-40B4-BE49-F238E27FC236}">
                  <a16:creationId xmlns:a16="http://schemas.microsoft.com/office/drawing/2014/main" id="{00000000-0008-0000-0600-00008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115</xdr:row>
          <xdr:rowOff>0</xdr:rowOff>
        </xdr:from>
        <xdr:to>
          <xdr:col>1</xdr:col>
          <xdr:colOff>257175</xdr:colOff>
          <xdr:row>116</xdr:row>
          <xdr:rowOff>76200</xdr:rowOff>
        </xdr:to>
        <xdr:sp macro="" textlink="">
          <xdr:nvSpPr>
            <xdr:cNvPr id="12419" name="Control 131" hidden="1">
              <a:extLst>
                <a:ext uri="{63B3BB69-23CF-44E3-9099-C40C66FF867C}">
                  <a14:compatExt spid="_x0000_s12419"/>
                </a:ext>
                <a:ext uri="{FF2B5EF4-FFF2-40B4-BE49-F238E27FC236}">
                  <a16:creationId xmlns:a16="http://schemas.microsoft.com/office/drawing/2014/main" id="{00000000-0008-0000-0600-00008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116</xdr:row>
          <xdr:rowOff>0</xdr:rowOff>
        </xdr:from>
        <xdr:to>
          <xdr:col>1</xdr:col>
          <xdr:colOff>257175</xdr:colOff>
          <xdr:row>117</xdr:row>
          <xdr:rowOff>76200</xdr:rowOff>
        </xdr:to>
        <xdr:sp macro="" textlink="">
          <xdr:nvSpPr>
            <xdr:cNvPr id="12420" name="Control 132" hidden="1">
              <a:extLst>
                <a:ext uri="{63B3BB69-23CF-44E3-9099-C40C66FF867C}">
                  <a14:compatExt spid="_x0000_s12420"/>
                </a:ext>
                <a:ext uri="{FF2B5EF4-FFF2-40B4-BE49-F238E27FC236}">
                  <a16:creationId xmlns:a16="http://schemas.microsoft.com/office/drawing/2014/main" id="{00000000-0008-0000-0600-00008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252</xdr:row>
          <xdr:rowOff>0</xdr:rowOff>
        </xdr:from>
        <xdr:to>
          <xdr:col>1</xdr:col>
          <xdr:colOff>257175</xdr:colOff>
          <xdr:row>253</xdr:row>
          <xdr:rowOff>76200</xdr:rowOff>
        </xdr:to>
        <xdr:sp macro="" textlink="">
          <xdr:nvSpPr>
            <xdr:cNvPr id="12421" name="Control 133" hidden="1">
              <a:extLst>
                <a:ext uri="{63B3BB69-23CF-44E3-9099-C40C66FF867C}">
                  <a14:compatExt spid="_x0000_s12421"/>
                </a:ext>
                <a:ext uri="{FF2B5EF4-FFF2-40B4-BE49-F238E27FC236}">
                  <a16:creationId xmlns:a16="http://schemas.microsoft.com/office/drawing/2014/main" id="{00000000-0008-0000-0600-00008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253</xdr:row>
          <xdr:rowOff>0</xdr:rowOff>
        </xdr:from>
        <xdr:to>
          <xdr:col>1</xdr:col>
          <xdr:colOff>257175</xdr:colOff>
          <xdr:row>254</xdr:row>
          <xdr:rowOff>76200</xdr:rowOff>
        </xdr:to>
        <xdr:sp macro="" textlink="">
          <xdr:nvSpPr>
            <xdr:cNvPr id="12422" name="Control 134" hidden="1">
              <a:extLst>
                <a:ext uri="{63B3BB69-23CF-44E3-9099-C40C66FF867C}">
                  <a14:compatExt spid="_x0000_s12422"/>
                </a:ext>
                <a:ext uri="{FF2B5EF4-FFF2-40B4-BE49-F238E27FC236}">
                  <a16:creationId xmlns:a16="http://schemas.microsoft.com/office/drawing/2014/main" id="{00000000-0008-0000-0600-00008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254</xdr:row>
          <xdr:rowOff>0</xdr:rowOff>
        </xdr:from>
        <xdr:to>
          <xdr:col>1</xdr:col>
          <xdr:colOff>257175</xdr:colOff>
          <xdr:row>255</xdr:row>
          <xdr:rowOff>76200</xdr:rowOff>
        </xdr:to>
        <xdr:sp macro="" textlink="">
          <xdr:nvSpPr>
            <xdr:cNvPr id="12423" name="Control 135" hidden="1">
              <a:extLst>
                <a:ext uri="{63B3BB69-23CF-44E3-9099-C40C66FF867C}">
                  <a14:compatExt spid="_x0000_s12423"/>
                </a:ext>
                <a:ext uri="{FF2B5EF4-FFF2-40B4-BE49-F238E27FC236}">
                  <a16:creationId xmlns:a16="http://schemas.microsoft.com/office/drawing/2014/main" id="{00000000-0008-0000-0600-00008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255</xdr:row>
          <xdr:rowOff>0</xdr:rowOff>
        </xdr:from>
        <xdr:to>
          <xdr:col>1</xdr:col>
          <xdr:colOff>257175</xdr:colOff>
          <xdr:row>256</xdr:row>
          <xdr:rowOff>76200</xdr:rowOff>
        </xdr:to>
        <xdr:sp macro="" textlink="">
          <xdr:nvSpPr>
            <xdr:cNvPr id="12424" name="Control 136" hidden="1">
              <a:extLst>
                <a:ext uri="{63B3BB69-23CF-44E3-9099-C40C66FF867C}">
                  <a14:compatExt spid="_x0000_s12424"/>
                </a:ext>
                <a:ext uri="{FF2B5EF4-FFF2-40B4-BE49-F238E27FC236}">
                  <a16:creationId xmlns:a16="http://schemas.microsoft.com/office/drawing/2014/main" id="{00000000-0008-0000-0600-00008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256</xdr:row>
          <xdr:rowOff>0</xdr:rowOff>
        </xdr:from>
        <xdr:to>
          <xdr:col>1</xdr:col>
          <xdr:colOff>257175</xdr:colOff>
          <xdr:row>257</xdr:row>
          <xdr:rowOff>76200</xdr:rowOff>
        </xdr:to>
        <xdr:sp macro="" textlink="">
          <xdr:nvSpPr>
            <xdr:cNvPr id="12425" name="Control 137" hidden="1">
              <a:extLst>
                <a:ext uri="{63B3BB69-23CF-44E3-9099-C40C66FF867C}">
                  <a14:compatExt spid="_x0000_s12425"/>
                </a:ext>
                <a:ext uri="{FF2B5EF4-FFF2-40B4-BE49-F238E27FC236}">
                  <a16:creationId xmlns:a16="http://schemas.microsoft.com/office/drawing/2014/main" id="{00000000-0008-0000-0600-00008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262</xdr:row>
          <xdr:rowOff>0</xdr:rowOff>
        </xdr:from>
        <xdr:to>
          <xdr:col>1</xdr:col>
          <xdr:colOff>257175</xdr:colOff>
          <xdr:row>263</xdr:row>
          <xdr:rowOff>76200</xdr:rowOff>
        </xdr:to>
        <xdr:sp macro="" textlink="">
          <xdr:nvSpPr>
            <xdr:cNvPr id="12426" name="Control 138" hidden="1">
              <a:extLst>
                <a:ext uri="{63B3BB69-23CF-44E3-9099-C40C66FF867C}">
                  <a14:compatExt spid="_x0000_s12426"/>
                </a:ext>
                <a:ext uri="{FF2B5EF4-FFF2-40B4-BE49-F238E27FC236}">
                  <a16:creationId xmlns:a16="http://schemas.microsoft.com/office/drawing/2014/main" id="{00000000-0008-0000-0600-00008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263</xdr:row>
          <xdr:rowOff>0</xdr:rowOff>
        </xdr:from>
        <xdr:to>
          <xdr:col>1</xdr:col>
          <xdr:colOff>257175</xdr:colOff>
          <xdr:row>264</xdr:row>
          <xdr:rowOff>76200</xdr:rowOff>
        </xdr:to>
        <xdr:sp macro="" textlink="">
          <xdr:nvSpPr>
            <xdr:cNvPr id="12427" name="Control 139" hidden="1">
              <a:extLst>
                <a:ext uri="{63B3BB69-23CF-44E3-9099-C40C66FF867C}">
                  <a14:compatExt spid="_x0000_s12427"/>
                </a:ext>
                <a:ext uri="{FF2B5EF4-FFF2-40B4-BE49-F238E27FC236}">
                  <a16:creationId xmlns:a16="http://schemas.microsoft.com/office/drawing/2014/main" id="{00000000-0008-0000-0600-00008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264</xdr:row>
          <xdr:rowOff>0</xdr:rowOff>
        </xdr:from>
        <xdr:to>
          <xdr:col>1</xdr:col>
          <xdr:colOff>257175</xdr:colOff>
          <xdr:row>265</xdr:row>
          <xdr:rowOff>76200</xdr:rowOff>
        </xdr:to>
        <xdr:sp macro="" textlink="">
          <xdr:nvSpPr>
            <xdr:cNvPr id="12428" name="Control 140" hidden="1">
              <a:extLst>
                <a:ext uri="{63B3BB69-23CF-44E3-9099-C40C66FF867C}">
                  <a14:compatExt spid="_x0000_s12428"/>
                </a:ext>
                <a:ext uri="{FF2B5EF4-FFF2-40B4-BE49-F238E27FC236}">
                  <a16:creationId xmlns:a16="http://schemas.microsoft.com/office/drawing/2014/main" id="{00000000-0008-0000-0600-00008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265</xdr:row>
          <xdr:rowOff>0</xdr:rowOff>
        </xdr:from>
        <xdr:to>
          <xdr:col>1</xdr:col>
          <xdr:colOff>257175</xdr:colOff>
          <xdr:row>266</xdr:row>
          <xdr:rowOff>76200</xdr:rowOff>
        </xdr:to>
        <xdr:sp macro="" textlink="">
          <xdr:nvSpPr>
            <xdr:cNvPr id="12429" name="Control 141" hidden="1">
              <a:extLst>
                <a:ext uri="{63B3BB69-23CF-44E3-9099-C40C66FF867C}">
                  <a14:compatExt spid="_x0000_s12429"/>
                </a:ext>
                <a:ext uri="{FF2B5EF4-FFF2-40B4-BE49-F238E27FC236}">
                  <a16:creationId xmlns:a16="http://schemas.microsoft.com/office/drawing/2014/main" id="{00000000-0008-0000-0600-00008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266</xdr:row>
          <xdr:rowOff>0</xdr:rowOff>
        </xdr:from>
        <xdr:to>
          <xdr:col>1</xdr:col>
          <xdr:colOff>257175</xdr:colOff>
          <xdr:row>267</xdr:row>
          <xdr:rowOff>76200</xdr:rowOff>
        </xdr:to>
        <xdr:sp macro="" textlink="">
          <xdr:nvSpPr>
            <xdr:cNvPr id="12430" name="Control 142" hidden="1">
              <a:extLst>
                <a:ext uri="{63B3BB69-23CF-44E3-9099-C40C66FF867C}">
                  <a14:compatExt spid="_x0000_s12430"/>
                </a:ext>
                <a:ext uri="{FF2B5EF4-FFF2-40B4-BE49-F238E27FC236}">
                  <a16:creationId xmlns:a16="http://schemas.microsoft.com/office/drawing/2014/main" id="{00000000-0008-0000-0600-00008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267</xdr:row>
          <xdr:rowOff>0</xdr:rowOff>
        </xdr:from>
        <xdr:to>
          <xdr:col>1</xdr:col>
          <xdr:colOff>257175</xdr:colOff>
          <xdr:row>268</xdr:row>
          <xdr:rowOff>76200</xdr:rowOff>
        </xdr:to>
        <xdr:sp macro="" textlink="">
          <xdr:nvSpPr>
            <xdr:cNvPr id="12431" name="Control 143" hidden="1">
              <a:extLst>
                <a:ext uri="{63B3BB69-23CF-44E3-9099-C40C66FF867C}">
                  <a14:compatExt spid="_x0000_s12431"/>
                </a:ext>
                <a:ext uri="{FF2B5EF4-FFF2-40B4-BE49-F238E27FC236}">
                  <a16:creationId xmlns:a16="http://schemas.microsoft.com/office/drawing/2014/main" id="{00000000-0008-0000-0600-00008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268</xdr:row>
          <xdr:rowOff>0</xdr:rowOff>
        </xdr:from>
        <xdr:to>
          <xdr:col>1</xdr:col>
          <xdr:colOff>257175</xdr:colOff>
          <xdr:row>269</xdr:row>
          <xdr:rowOff>76200</xdr:rowOff>
        </xdr:to>
        <xdr:sp macro="" textlink="">
          <xdr:nvSpPr>
            <xdr:cNvPr id="12432" name="Control 144" hidden="1">
              <a:extLst>
                <a:ext uri="{63B3BB69-23CF-44E3-9099-C40C66FF867C}">
                  <a14:compatExt spid="_x0000_s12432"/>
                </a:ext>
                <a:ext uri="{FF2B5EF4-FFF2-40B4-BE49-F238E27FC236}">
                  <a16:creationId xmlns:a16="http://schemas.microsoft.com/office/drawing/2014/main" id="{00000000-0008-0000-0600-00009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273</xdr:row>
          <xdr:rowOff>0</xdr:rowOff>
        </xdr:from>
        <xdr:to>
          <xdr:col>1</xdr:col>
          <xdr:colOff>257175</xdr:colOff>
          <xdr:row>274</xdr:row>
          <xdr:rowOff>76200</xdr:rowOff>
        </xdr:to>
        <xdr:sp macro="" textlink="">
          <xdr:nvSpPr>
            <xdr:cNvPr id="12433" name="Control 145" hidden="1">
              <a:extLst>
                <a:ext uri="{63B3BB69-23CF-44E3-9099-C40C66FF867C}">
                  <a14:compatExt spid="_x0000_s12433"/>
                </a:ext>
                <a:ext uri="{FF2B5EF4-FFF2-40B4-BE49-F238E27FC236}">
                  <a16:creationId xmlns:a16="http://schemas.microsoft.com/office/drawing/2014/main" id="{00000000-0008-0000-0600-00009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274</xdr:row>
          <xdr:rowOff>0</xdr:rowOff>
        </xdr:from>
        <xdr:to>
          <xdr:col>1</xdr:col>
          <xdr:colOff>257175</xdr:colOff>
          <xdr:row>275</xdr:row>
          <xdr:rowOff>76200</xdr:rowOff>
        </xdr:to>
        <xdr:sp macro="" textlink="">
          <xdr:nvSpPr>
            <xdr:cNvPr id="12434" name="Control 146" hidden="1">
              <a:extLst>
                <a:ext uri="{63B3BB69-23CF-44E3-9099-C40C66FF867C}">
                  <a14:compatExt spid="_x0000_s12434"/>
                </a:ext>
                <a:ext uri="{FF2B5EF4-FFF2-40B4-BE49-F238E27FC236}">
                  <a16:creationId xmlns:a16="http://schemas.microsoft.com/office/drawing/2014/main" id="{00000000-0008-0000-0600-00009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275</xdr:row>
          <xdr:rowOff>0</xdr:rowOff>
        </xdr:from>
        <xdr:to>
          <xdr:col>1</xdr:col>
          <xdr:colOff>257175</xdr:colOff>
          <xdr:row>276</xdr:row>
          <xdr:rowOff>76200</xdr:rowOff>
        </xdr:to>
        <xdr:sp macro="" textlink="">
          <xdr:nvSpPr>
            <xdr:cNvPr id="12435" name="Control 147" hidden="1">
              <a:extLst>
                <a:ext uri="{63B3BB69-23CF-44E3-9099-C40C66FF867C}">
                  <a14:compatExt spid="_x0000_s12435"/>
                </a:ext>
                <a:ext uri="{FF2B5EF4-FFF2-40B4-BE49-F238E27FC236}">
                  <a16:creationId xmlns:a16="http://schemas.microsoft.com/office/drawing/2014/main" id="{00000000-0008-0000-0600-00009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276</xdr:row>
          <xdr:rowOff>0</xdr:rowOff>
        </xdr:from>
        <xdr:to>
          <xdr:col>1</xdr:col>
          <xdr:colOff>257175</xdr:colOff>
          <xdr:row>277</xdr:row>
          <xdr:rowOff>76200</xdr:rowOff>
        </xdr:to>
        <xdr:sp macro="" textlink="">
          <xdr:nvSpPr>
            <xdr:cNvPr id="12436" name="Control 148" hidden="1">
              <a:extLst>
                <a:ext uri="{63B3BB69-23CF-44E3-9099-C40C66FF867C}">
                  <a14:compatExt spid="_x0000_s12436"/>
                </a:ext>
                <a:ext uri="{FF2B5EF4-FFF2-40B4-BE49-F238E27FC236}">
                  <a16:creationId xmlns:a16="http://schemas.microsoft.com/office/drawing/2014/main" id="{00000000-0008-0000-0600-00009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277</xdr:row>
          <xdr:rowOff>0</xdr:rowOff>
        </xdr:from>
        <xdr:to>
          <xdr:col>1</xdr:col>
          <xdr:colOff>257175</xdr:colOff>
          <xdr:row>278</xdr:row>
          <xdr:rowOff>76200</xdr:rowOff>
        </xdr:to>
        <xdr:sp macro="" textlink="">
          <xdr:nvSpPr>
            <xdr:cNvPr id="12437" name="Control 149" hidden="1">
              <a:extLst>
                <a:ext uri="{63B3BB69-23CF-44E3-9099-C40C66FF867C}">
                  <a14:compatExt spid="_x0000_s12437"/>
                </a:ext>
                <a:ext uri="{FF2B5EF4-FFF2-40B4-BE49-F238E27FC236}">
                  <a16:creationId xmlns:a16="http://schemas.microsoft.com/office/drawing/2014/main" id="{00000000-0008-0000-0600-00009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278</xdr:row>
          <xdr:rowOff>0</xdr:rowOff>
        </xdr:from>
        <xdr:to>
          <xdr:col>1</xdr:col>
          <xdr:colOff>257175</xdr:colOff>
          <xdr:row>279</xdr:row>
          <xdr:rowOff>76200</xdr:rowOff>
        </xdr:to>
        <xdr:sp macro="" textlink="">
          <xdr:nvSpPr>
            <xdr:cNvPr id="12438" name="Control 150" hidden="1">
              <a:extLst>
                <a:ext uri="{63B3BB69-23CF-44E3-9099-C40C66FF867C}">
                  <a14:compatExt spid="_x0000_s12438"/>
                </a:ext>
                <a:ext uri="{FF2B5EF4-FFF2-40B4-BE49-F238E27FC236}">
                  <a16:creationId xmlns:a16="http://schemas.microsoft.com/office/drawing/2014/main" id="{00000000-0008-0000-0600-00009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279</xdr:row>
          <xdr:rowOff>0</xdr:rowOff>
        </xdr:from>
        <xdr:to>
          <xdr:col>1</xdr:col>
          <xdr:colOff>257175</xdr:colOff>
          <xdr:row>280</xdr:row>
          <xdr:rowOff>76200</xdr:rowOff>
        </xdr:to>
        <xdr:sp macro="" textlink="">
          <xdr:nvSpPr>
            <xdr:cNvPr id="12439" name="Control 151" hidden="1">
              <a:extLst>
                <a:ext uri="{63B3BB69-23CF-44E3-9099-C40C66FF867C}">
                  <a14:compatExt spid="_x0000_s12439"/>
                </a:ext>
                <a:ext uri="{FF2B5EF4-FFF2-40B4-BE49-F238E27FC236}">
                  <a16:creationId xmlns:a16="http://schemas.microsoft.com/office/drawing/2014/main" id="{00000000-0008-0000-0600-00009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280</xdr:row>
          <xdr:rowOff>0</xdr:rowOff>
        </xdr:from>
        <xdr:to>
          <xdr:col>1</xdr:col>
          <xdr:colOff>257175</xdr:colOff>
          <xdr:row>281</xdr:row>
          <xdr:rowOff>76200</xdr:rowOff>
        </xdr:to>
        <xdr:sp macro="" textlink="">
          <xdr:nvSpPr>
            <xdr:cNvPr id="12440" name="Control 152" hidden="1">
              <a:extLst>
                <a:ext uri="{63B3BB69-23CF-44E3-9099-C40C66FF867C}">
                  <a14:compatExt spid="_x0000_s12440"/>
                </a:ext>
                <a:ext uri="{FF2B5EF4-FFF2-40B4-BE49-F238E27FC236}">
                  <a16:creationId xmlns:a16="http://schemas.microsoft.com/office/drawing/2014/main" id="{00000000-0008-0000-0600-00009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285</xdr:row>
          <xdr:rowOff>0</xdr:rowOff>
        </xdr:from>
        <xdr:to>
          <xdr:col>1</xdr:col>
          <xdr:colOff>257175</xdr:colOff>
          <xdr:row>286</xdr:row>
          <xdr:rowOff>76200</xdr:rowOff>
        </xdr:to>
        <xdr:sp macro="" textlink="">
          <xdr:nvSpPr>
            <xdr:cNvPr id="12441" name="Control 153" hidden="1">
              <a:extLst>
                <a:ext uri="{63B3BB69-23CF-44E3-9099-C40C66FF867C}">
                  <a14:compatExt spid="_x0000_s12441"/>
                </a:ext>
                <a:ext uri="{FF2B5EF4-FFF2-40B4-BE49-F238E27FC236}">
                  <a16:creationId xmlns:a16="http://schemas.microsoft.com/office/drawing/2014/main" id="{00000000-0008-0000-0600-00009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286</xdr:row>
          <xdr:rowOff>0</xdr:rowOff>
        </xdr:from>
        <xdr:to>
          <xdr:col>1</xdr:col>
          <xdr:colOff>257175</xdr:colOff>
          <xdr:row>287</xdr:row>
          <xdr:rowOff>76200</xdr:rowOff>
        </xdr:to>
        <xdr:sp macro="" textlink="">
          <xdr:nvSpPr>
            <xdr:cNvPr id="12442" name="Control 154" hidden="1">
              <a:extLst>
                <a:ext uri="{63B3BB69-23CF-44E3-9099-C40C66FF867C}">
                  <a14:compatExt spid="_x0000_s12442"/>
                </a:ext>
                <a:ext uri="{FF2B5EF4-FFF2-40B4-BE49-F238E27FC236}">
                  <a16:creationId xmlns:a16="http://schemas.microsoft.com/office/drawing/2014/main" id="{00000000-0008-0000-0600-00009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287</xdr:row>
          <xdr:rowOff>0</xdr:rowOff>
        </xdr:from>
        <xdr:to>
          <xdr:col>1</xdr:col>
          <xdr:colOff>257175</xdr:colOff>
          <xdr:row>288</xdr:row>
          <xdr:rowOff>76200</xdr:rowOff>
        </xdr:to>
        <xdr:sp macro="" textlink="">
          <xdr:nvSpPr>
            <xdr:cNvPr id="12443" name="Control 155" hidden="1">
              <a:extLst>
                <a:ext uri="{63B3BB69-23CF-44E3-9099-C40C66FF867C}">
                  <a14:compatExt spid="_x0000_s12443"/>
                </a:ext>
                <a:ext uri="{FF2B5EF4-FFF2-40B4-BE49-F238E27FC236}">
                  <a16:creationId xmlns:a16="http://schemas.microsoft.com/office/drawing/2014/main" id="{00000000-0008-0000-0600-00009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288</xdr:row>
          <xdr:rowOff>0</xdr:rowOff>
        </xdr:from>
        <xdr:to>
          <xdr:col>1</xdr:col>
          <xdr:colOff>257175</xdr:colOff>
          <xdr:row>289</xdr:row>
          <xdr:rowOff>76200</xdr:rowOff>
        </xdr:to>
        <xdr:sp macro="" textlink="">
          <xdr:nvSpPr>
            <xdr:cNvPr id="12444" name="Control 156" hidden="1">
              <a:extLst>
                <a:ext uri="{63B3BB69-23CF-44E3-9099-C40C66FF867C}">
                  <a14:compatExt spid="_x0000_s12444"/>
                </a:ext>
                <a:ext uri="{FF2B5EF4-FFF2-40B4-BE49-F238E27FC236}">
                  <a16:creationId xmlns:a16="http://schemas.microsoft.com/office/drawing/2014/main" id="{00000000-0008-0000-0600-00009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289</xdr:row>
          <xdr:rowOff>0</xdr:rowOff>
        </xdr:from>
        <xdr:to>
          <xdr:col>1</xdr:col>
          <xdr:colOff>257175</xdr:colOff>
          <xdr:row>290</xdr:row>
          <xdr:rowOff>76200</xdr:rowOff>
        </xdr:to>
        <xdr:sp macro="" textlink="">
          <xdr:nvSpPr>
            <xdr:cNvPr id="12445" name="Control 157" hidden="1">
              <a:extLst>
                <a:ext uri="{63B3BB69-23CF-44E3-9099-C40C66FF867C}">
                  <a14:compatExt spid="_x0000_s12445"/>
                </a:ext>
                <a:ext uri="{FF2B5EF4-FFF2-40B4-BE49-F238E27FC236}">
                  <a16:creationId xmlns:a16="http://schemas.microsoft.com/office/drawing/2014/main" id="{00000000-0008-0000-0600-00009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290</xdr:row>
          <xdr:rowOff>0</xdr:rowOff>
        </xdr:from>
        <xdr:to>
          <xdr:col>1</xdr:col>
          <xdr:colOff>257175</xdr:colOff>
          <xdr:row>291</xdr:row>
          <xdr:rowOff>76200</xdr:rowOff>
        </xdr:to>
        <xdr:sp macro="" textlink="">
          <xdr:nvSpPr>
            <xdr:cNvPr id="12446" name="Control 158" hidden="1">
              <a:extLst>
                <a:ext uri="{63B3BB69-23CF-44E3-9099-C40C66FF867C}">
                  <a14:compatExt spid="_x0000_s12446"/>
                </a:ext>
                <a:ext uri="{FF2B5EF4-FFF2-40B4-BE49-F238E27FC236}">
                  <a16:creationId xmlns:a16="http://schemas.microsoft.com/office/drawing/2014/main" id="{00000000-0008-0000-0600-00009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161</xdr:row>
          <xdr:rowOff>0</xdr:rowOff>
        </xdr:from>
        <xdr:to>
          <xdr:col>1</xdr:col>
          <xdr:colOff>257175</xdr:colOff>
          <xdr:row>162</xdr:row>
          <xdr:rowOff>76200</xdr:rowOff>
        </xdr:to>
        <xdr:sp macro="" textlink="">
          <xdr:nvSpPr>
            <xdr:cNvPr id="12447" name="Control 159" hidden="1">
              <a:extLst>
                <a:ext uri="{63B3BB69-23CF-44E3-9099-C40C66FF867C}">
                  <a14:compatExt spid="_x0000_s12447"/>
                </a:ext>
                <a:ext uri="{FF2B5EF4-FFF2-40B4-BE49-F238E27FC236}">
                  <a16:creationId xmlns:a16="http://schemas.microsoft.com/office/drawing/2014/main" id="{00000000-0008-0000-0600-00009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162</xdr:row>
          <xdr:rowOff>0</xdr:rowOff>
        </xdr:from>
        <xdr:to>
          <xdr:col>1</xdr:col>
          <xdr:colOff>257175</xdr:colOff>
          <xdr:row>163</xdr:row>
          <xdr:rowOff>76200</xdr:rowOff>
        </xdr:to>
        <xdr:sp macro="" textlink="">
          <xdr:nvSpPr>
            <xdr:cNvPr id="12448" name="Control 160" hidden="1">
              <a:extLst>
                <a:ext uri="{63B3BB69-23CF-44E3-9099-C40C66FF867C}">
                  <a14:compatExt spid="_x0000_s12448"/>
                </a:ext>
                <a:ext uri="{FF2B5EF4-FFF2-40B4-BE49-F238E27FC236}">
                  <a16:creationId xmlns:a16="http://schemas.microsoft.com/office/drawing/2014/main" id="{00000000-0008-0000-0600-0000A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163</xdr:row>
          <xdr:rowOff>0</xdr:rowOff>
        </xdr:from>
        <xdr:to>
          <xdr:col>1</xdr:col>
          <xdr:colOff>257175</xdr:colOff>
          <xdr:row>164</xdr:row>
          <xdr:rowOff>76200</xdr:rowOff>
        </xdr:to>
        <xdr:sp macro="" textlink="">
          <xdr:nvSpPr>
            <xdr:cNvPr id="12449" name="Control 161" hidden="1">
              <a:extLst>
                <a:ext uri="{63B3BB69-23CF-44E3-9099-C40C66FF867C}">
                  <a14:compatExt spid="_x0000_s12449"/>
                </a:ext>
                <a:ext uri="{FF2B5EF4-FFF2-40B4-BE49-F238E27FC236}">
                  <a16:creationId xmlns:a16="http://schemas.microsoft.com/office/drawing/2014/main" id="{00000000-0008-0000-0600-0000A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164</xdr:row>
          <xdr:rowOff>0</xdr:rowOff>
        </xdr:from>
        <xdr:to>
          <xdr:col>1</xdr:col>
          <xdr:colOff>257175</xdr:colOff>
          <xdr:row>165</xdr:row>
          <xdr:rowOff>76200</xdr:rowOff>
        </xdr:to>
        <xdr:sp macro="" textlink="">
          <xdr:nvSpPr>
            <xdr:cNvPr id="12450" name="Control 162" hidden="1">
              <a:extLst>
                <a:ext uri="{63B3BB69-23CF-44E3-9099-C40C66FF867C}">
                  <a14:compatExt spid="_x0000_s12450"/>
                </a:ext>
                <a:ext uri="{FF2B5EF4-FFF2-40B4-BE49-F238E27FC236}">
                  <a16:creationId xmlns:a16="http://schemas.microsoft.com/office/drawing/2014/main" id="{00000000-0008-0000-0600-0000A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165</xdr:row>
          <xdr:rowOff>0</xdr:rowOff>
        </xdr:from>
        <xdr:to>
          <xdr:col>1</xdr:col>
          <xdr:colOff>257175</xdr:colOff>
          <xdr:row>166</xdr:row>
          <xdr:rowOff>76200</xdr:rowOff>
        </xdr:to>
        <xdr:sp macro="" textlink="">
          <xdr:nvSpPr>
            <xdr:cNvPr id="12451" name="Control 163" hidden="1">
              <a:extLst>
                <a:ext uri="{63B3BB69-23CF-44E3-9099-C40C66FF867C}">
                  <a14:compatExt spid="_x0000_s12451"/>
                </a:ext>
                <a:ext uri="{FF2B5EF4-FFF2-40B4-BE49-F238E27FC236}">
                  <a16:creationId xmlns:a16="http://schemas.microsoft.com/office/drawing/2014/main" id="{00000000-0008-0000-0600-0000A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301</xdr:row>
          <xdr:rowOff>0</xdr:rowOff>
        </xdr:from>
        <xdr:to>
          <xdr:col>1</xdr:col>
          <xdr:colOff>257175</xdr:colOff>
          <xdr:row>302</xdr:row>
          <xdr:rowOff>76200</xdr:rowOff>
        </xdr:to>
        <xdr:sp macro="" textlink="">
          <xdr:nvSpPr>
            <xdr:cNvPr id="12452" name="Control 164" hidden="1">
              <a:extLst>
                <a:ext uri="{63B3BB69-23CF-44E3-9099-C40C66FF867C}">
                  <a14:compatExt spid="_x0000_s12452"/>
                </a:ext>
                <a:ext uri="{FF2B5EF4-FFF2-40B4-BE49-F238E27FC236}">
                  <a16:creationId xmlns:a16="http://schemas.microsoft.com/office/drawing/2014/main" id="{00000000-0008-0000-0600-0000A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302</xdr:row>
          <xdr:rowOff>0</xdr:rowOff>
        </xdr:from>
        <xdr:to>
          <xdr:col>1</xdr:col>
          <xdr:colOff>257175</xdr:colOff>
          <xdr:row>303</xdr:row>
          <xdr:rowOff>76200</xdr:rowOff>
        </xdr:to>
        <xdr:sp macro="" textlink="">
          <xdr:nvSpPr>
            <xdr:cNvPr id="12453" name="Control 165" hidden="1">
              <a:extLst>
                <a:ext uri="{63B3BB69-23CF-44E3-9099-C40C66FF867C}">
                  <a14:compatExt spid="_x0000_s12453"/>
                </a:ext>
                <a:ext uri="{FF2B5EF4-FFF2-40B4-BE49-F238E27FC236}">
                  <a16:creationId xmlns:a16="http://schemas.microsoft.com/office/drawing/2014/main" id="{00000000-0008-0000-0600-0000A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303</xdr:row>
          <xdr:rowOff>0</xdr:rowOff>
        </xdr:from>
        <xdr:to>
          <xdr:col>1</xdr:col>
          <xdr:colOff>257175</xdr:colOff>
          <xdr:row>304</xdr:row>
          <xdr:rowOff>76200</xdr:rowOff>
        </xdr:to>
        <xdr:sp macro="" textlink="">
          <xdr:nvSpPr>
            <xdr:cNvPr id="12454" name="Control 166" hidden="1">
              <a:extLst>
                <a:ext uri="{63B3BB69-23CF-44E3-9099-C40C66FF867C}">
                  <a14:compatExt spid="_x0000_s12454"/>
                </a:ext>
                <a:ext uri="{FF2B5EF4-FFF2-40B4-BE49-F238E27FC236}">
                  <a16:creationId xmlns:a16="http://schemas.microsoft.com/office/drawing/2014/main" id="{00000000-0008-0000-0600-0000A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304</xdr:row>
          <xdr:rowOff>0</xdr:rowOff>
        </xdr:from>
        <xdr:to>
          <xdr:col>1</xdr:col>
          <xdr:colOff>257175</xdr:colOff>
          <xdr:row>305</xdr:row>
          <xdr:rowOff>76200</xdr:rowOff>
        </xdr:to>
        <xdr:sp macro="" textlink="">
          <xdr:nvSpPr>
            <xdr:cNvPr id="12455" name="Control 167" hidden="1">
              <a:extLst>
                <a:ext uri="{63B3BB69-23CF-44E3-9099-C40C66FF867C}">
                  <a14:compatExt spid="_x0000_s12455"/>
                </a:ext>
                <a:ext uri="{FF2B5EF4-FFF2-40B4-BE49-F238E27FC236}">
                  <a16:creationId xmlns:a16="http://schemas.microsoft.com/office/drawing/2014/main" id="{00000000-0008-0000-0600-0000A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305</xdr:row>
          <xdr:rowOff>0</xdr:rowOff>
        </xdr:from>
        <xdr:to>
          <xdr:col>1</xdr:col>
          <xdr:colOff>257175</xdr:colOff>
          <xdr:row>306</xdr:row>
          <xdr:rowOff>76200</xdr:rowOff>
        </xdr:to>
        <xdr:sp macro="" textlink="">
          <xdr:nvSpPr>
            <xdr:cNvPr id="12456" name="Control 168" hidden="1">
              <a:extLst>
                <a:ext uri="{63B3BB69-23CF-44E3-9099-C40C66FF867C}">
                  <a14:compatExt spid="_x0000_s12456"/>
                </a:ext>
                <a:ext uri="{FF2B5EF4-FFF2-40B4-BE49-F238E27FC236}">
                  <a16:creationId xmlns:a16="http://schemas.microsoft.com/office/drawing/2014/main" id="{00000000-0008-0000-0600-0000A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306</xdr:row>
          <xdr:rowOff>0</xdr:rowOff>
        </xdr:from>
        <xdr:to>
          <xdr:col>1</xdr:col>
          <xdr:colOff>257175</xdr:colOff>
          <xdr:row>307</xdr:row>
          <xdr:rowOff>76200</xdr:rowOff>
        </xdr:to>
        <xdr:sp macro="" textlink="">
          <xdr:nvSpPr>
            <xdr:cNvPr id="12457" name="Control 169" hidden="1">
              <a:extLst>
                <a:ext uri="{63B3BB69-23CF-44E3-9099-C40C66FF867C}">
                  <a14:compatExt spid="_x0000_s12457"/>
                </a:ext>
                <a:ext uri="{FF2B5EF4-FFF2-40B4-BE49-F238E27FC236}">
                  <a16:creationId xmlns:a16="http://schemas.microsoft.com/office/drawing/2014/main" id="{00000000-0008-0000-0600-0000A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307</xdr:row>
          <xdr:rowOff>0</xdr:rowOff>
        </xdr:from>
        <xdr:to>
          <xdr:col>1</xdr:col>
          <xdr:colOff>257175</xdr:colOff>
          <xdr:row>308</xdr:row>
          <xdr:rowOff>76200</xdr:rowOff>
        </xdr:to>
        <xdr:sp macro="" textlink="">
          <xdr:nvSpPr>
            <xdr:cNvPr id="12458" name="Control 170" hidden="1">
              <a:extLst>
                <a:ext uri="{63B3BB69-23CF-44E3-9099-C40C66FF867C}">
                  <a14:compatExt spid="_x0000_s12458"/>
                </a:ext>
                <a:ext uri="{FF2B5EF4-FFF2-40B4-BE49-F238E27FC236}">
                  <a16:creationId xmlns:a16="http://schemas.microsoft.com/office/drawing/2014/main" id="{00000000-0008-0000-0600-0000A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308</xdr:row>
          <xdr:rowOff>0</xdr:rowOff>
        </xdr:from>
        <xdr:to>
          <xdr:col>1</xdr:col>
          <xdr:colOff>257175</xdr:colOff>
          <xdr:row>309</xdr:row>
          <xdr:rowOff>76200</xdr:rowOff>
        </xdr:to>
        <xdr:sp macro="" textlink="">
          <xdr:nvSpPr>
            <xdr:cNvPr id="12459" name="Control 171" hidden="1">
              <a:extLst>
                <a:ext uri="{63B3BB69-23CF-44E3-9099-C40C66FF867C}">
                  <a14:compatExt spid="_x0000_s12459"/>
                </a:ext>
                <a:ext uri="{FF2B5EF4-FFF2-40B4-BE49-F238E27FC236}">
                  <a16:creationId xmlns:a16="http://schemas.microsoft.com/office/drawing/2014/main" id="{00000000-0008-0000-0600-0000A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309</xdr:row>
          <xdr:rowOff>0</xdr:rowOff>
        </xdr:from>
        <xdr:to>
          <xdr:col>1</xdr:col>
          <xdr:colOff>257175</xdr:colOff>
          <xdr:row>310</xdr:row>
          <xdr:rowOff>76200</xdr:rowOff>
        </xdr:to>
        <xdr:sp macro="" textlink="">
          <xdr:nvSpPr>
            <xdr:cNvPr id="12460" name="Control 172" hidden="1">
              <a:extLst>
                <a:ext uri="{63B3BB69-23CF-44E3-9099-C40C66FF867C}">
                  <a14:compatExt spid="_x0000_s12460"/>
                </a:ext>
                <a:ext uri="{FF2B5EF4-FFF2-40B4-BE49-F238E27FC236}">
                  <a16:creationId xmlns:a16="http://schemas.microsoft.com/office/drawing/2014/main" id="{00000000-0008-0000-0600-0000A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310</xdr:row>
          <xdr:rowOff>0</xdr:rowOff>
        </xdr:from>
        <xdr:to>
          <xdr:col>1</xdr:col>
          <xdr:colOff>257175</xdr:colOff>
          <xdr:row>311</xdr:row>
          <xdr:rowOff>76200</xdr:rowOff>
        </xdr:to>
        <xdr:sp macro="" textlink="">
          <xdr:nvSpPr>
            <xdr:cNvPr id="12461" name="Control 173" hidden="1">
              <a:extLst>
                <a:ext uri="{63B3BB69-23CF-44E3-9099-C40C66FF867C}">
                  <a14:compatExt spid="_x0000_s12461"/>
                </a:ext>
                <a:ext uri="{FF2B5EF4-FFF2-40B4-BE49-F238E27FC236}">
                  <a16:creationId xmlns:a16="http://schemas.microsoft.com/office/drawing/2014/main" id="{00000000-0008-0000-0600-0000A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311</xdr:row>
          <xdr:rowOff>0</xdr:rowOff>
        </xdr:from>
        <xdr:to>
          <xdr:col>1</xdr:col>
          <xdr:colOff>257175</xdr:colOff>
          <xdr:row>312</xdr:row>
          <xdr:rowOff>76200</xdr:rowOff>
        </xdr:to>
        <xdr:sp macro="" textlink="">
          <xdr:nvSpPr>
            <xdr:cNvPr id="12462" name="Control 174" hidden="1">
              <a:extLst>
                <a:ext uri="{63B3BB69-23CF-44E3-9099-C40C66FF867C}">
                  <a14:compatExt spid="_x0000_s12462"/>
                </a:ext>
                <a:ext uri="{FF2B5EF4-FFF2-40B4-BE49-F238E27FC236}">
                  <a16:creationId xmlns:a16="http://schemas.microsoft.com/office/drawing/2014/main" id="{00000000-0008-0000-0600-0000A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312</xdr:row>
          <xdr:rowOff>0</xdr:rowOff>
        </xdr:from>
        <xdr:to>
          <xdr:col>1</xdr:col>
          <xdr:colOff>257175</xdr:colOff>
          <xdr:row>313</xdr:row>
          <xdr:rowOff>76200</xdr:rowOff>
        </xdr:to>
        <xdr:sp macro="" textlink="">
          <xdr:nvSpPr>
            <xdr:cNvPr id="12463" name="Control 175" hidden="1">
              <a:extLst>
                <a:ext uri="{63B3BB69-23CF-44E3-9099-C40C66FF867C}">
                  <a14:compatExt spid="_x0000_s12463"/>
                </a:ext>
                <a:ext uri="{FF2B5EF4-FFF2-40B4-BE49-F238E27FC236}">
                  <a16:creationId xmlns:a16="http://schemas.microsoft.com/office/drawing/2014/main" id="{00000000-0008-0000-0600-0000A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313</xdr:row>
          <xdr:rowOff>0</xdr:rowOff>
        </xdr:from>
        <xdr:to>
          <xdr:col>1</xdr:col>
          <xdr:colOff>257175</xdr:colOff>
          <xdr:row>314</xdr:row>
          <xdr:rowOff>76200</xdr:rowOff>
        </xdr:to>
        <xdr:sp macro="" textlink="">
          <xdr:nvSpPr>
            <xdr:cNvPr id="12464" name="Control 176" hidden="1">
              <a:extLst>
                <a:ext uri="{63B3BB69-23CF-44E3-9099-C40C66FF867C}">
                  <a14:compatExt spid="_x0000_s12464"/>
                </a:ext>
                <a:ext uri="{FF2B5EF4-FFF2-40B4-BE49-F238E27FC236}">
                  <a16:creationId xmlns:a16="http://schemas.microsoft.com/office/drawing/2014/main" id="{00000000-0008-0000-0600-0000B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314</xdr:row>
          <xdr:rowOff>0</xdr:rowOff>
        </xdr:from>
        <xdr:to>
          <xdr:col>1</xdr:col>
          <xdr:colOff>257175</xdr:colOff>
          <xdr:row>315</xdr:row>
          <xdr:rowOff>76200</xdr:rowOff>
        </xdr:to>
        <xdr:sp macro="" textlink="">
          <xdr:nvSpPr>
            <xdr:cNvPr id="12465" name="Control 177" hidden="1">
              <a:extLst>
                <a:ext uri="{63B3BB69-23CF-44E3-9099-C40C66FF867C}">
                  <a14:compatExt spid="_x0000_s12465"/>
                </a:ext>
                <a:ext uri="{FF2B5EF4-FFF2-40B4-BE49-F238E27FC236}">
                  <a16:creationId xmlns:a16="http://schemas.microsoft.com/office/drawing/2014/main" id="{00000000-0008-0000-0600-0000B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315</xdr:row>
          <xdr:rowOff>0</xdr:rowOff>
        </xdr:from>
        <xdr:to>
          <xdr:col>1</xdr:col>
          <xdr:colOff>257175</xdr:colOff>
          <xdr:row>316</xdr:row>
          <xdr:rowOff>76200</xdr:rowOff>
        </xdr:to>
        <xdr:sp macro="" textlink="">
          <xdr:nvSpPr>
            <xdr:cNvPr id="12466" name="Control 178" hidden="1">
              <a:extLst>
                <a:ext uri="{63B3BB69-23CF-44E3-9099-C40C66FF867C}">
                  <a14:compatExt spid="_x0000_s12466"/>
                </a:ext>
                <a:ext uri="{FF2B5EF4-FFF2-40B4-BE49-F238E27FC236}">
                  <a16:creationId xmlns:a16="http://schemas.microsoft.com/office/drawing/2014/main" id="{00000000-0008-0000-0600-0000B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316</xdr:row>
          <xdr:rowOff>0</xdr:rowOff>
        </xdr:from>
        <xdr:to>
          <xdr:col>1</xdr:col>
          <xdr:colOff>257175</xdr:colOff>
          <xdr:row>317</xdr:row>
          <xdr:rowOff>76200</xdr:rowOff>
        </xdr:to>
        <xdr:sp macro="" textlink="">
          <xdr:nvSpPr>
            <xdr:cNvPr id="12467" name="Control 179" hidden="1">
              <a:extLst>
                <a:ext uri="{63B3BB69-23CF-44E3-9099-C40C66FF867C}">
                  <a14:compatExt spid="_x0000_s12467"/>
                </a:ext>
                <a:ext uri="{FF2B5EF4-FFF2-40B4-BE49-F238E27FC236}">
                  <a16:creationId xmlns:a16="http://schemas.microsoft.com/office/drawing/2014/main" id="{00000000-0008-0000-0600-0000B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317</xdr:row>
          <xdr:rowOff>0</xdr:rowOff>
        </xdr:from>
        <xdr:to>
          <xdr:col>1</xdr:col>
          <xdr:colOff>257175</xdr:colOff>
          <xdr:row>318</xdr:row>
          <xdr:rowOff>76200</xdr:rowOff>
        </xdr:to>
        <xdr:sp macro="" textlink="">
          <xdr:nvSpPr>
            <xdr:cNvPr id="12468" name="Control 180" hidden="1">
              <a:extLst>
                <a:ext uri="{63B3BB69-23CF-44E3-9099-C40C66FF867C}">
                  <a14:compatExt spid="_x0000_s12468"/>
                </a:ext>
                <a:ext uri="{FF2B5EF4-FFF2-40B4-BE49-F238E27FC236}">
                  <a16:creationId xmlns:a16="http://schemas.microsoft.com/office/drawing/2014/main" id="{00000000-0008-0000-0600-0000B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318</xdr:row>
          <xdr:rowOff>0</xdr:rowOff>
        </xdr:from>
        <xdr:to>
          <xdr:col>1</xdr:col>
          <xdr:colOff>257175</xdr:colOff>
          <xdr:row>319</xdr:row>
          <xdr:rowOff>76200</xdr:rowOff>
        </xdr:to>
        <xdr:sp macro="" textlink="">
          <xdr:nvSpPr>
            <xdr:cNvPr id="12469" name="Control 181" hidden="1">
              <a:extLst>
                <a:ext uri="{63B3BB69-23CF-44E3-9099-C40C66FF867C}">
                  <a14:compatExt spid="_x0000_s12469"/>
                </a:ext>
                <a:ext uri="{FF2B5EF4-FFF2-40B4-BE49-F238E27FC236}">
                  <a16:creationId xmlns:a16="http://schemas.microsoft.com/office/drawing/2014/main" id="{00000000-0008-0000-0600-0000B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319</xdr:row>
          <xdr:rowOff>0</xdr:rowOff>
        </xdr:from>
        <xdr:to>
          <xdr:col>1</xdr:col>
          <xdr:colOff>257175</xdr:colOff>
          <xdr:row>320</xdr:row>
          <xdr:rowOff>76200</xdr:rowOff>
        </xdr:to>
        <xdr:sp macro="" textlink="">
          <xdr:nvSpPr>
            <xdr:cNvPr id="12470" name="Control 182" hidden="1">
              <a:extLst>
                <a:ext uri="{63B3BB69-23CF-44E3-9099-C40C66FF867C}">
                  <a14:compatExt spid="_x0000_s12470"/>
                </a:ext>
                <a:ext uri="{FF2B5EF4-FFF2-40B4-BE49-F238E27FC236}">
                  <a16:creationId xmlns:a16="http://schemas.microsoft.com/office/drawing/2014/main" id="{00000000-0008-0000-0600-0000B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320</xdr:row>
          <xdr:rowOff>0</xdr:rowOff>
        </xdr:from>
        <xdr:to>
          <xdr:col>1</xdr:col>
          <xdr:colOff>257175</xdr:colOff>
          <xdr:row>321</xdr:row>
          <xdr:rowOff>76200</xdr:rowOff>
        </xdr:to>
        <xdr:sp macro="" textlink="">
          <xdr:nvSpPr>
            <xdr:cNvPr id="12471" name="Control 183" hidden="1">
              <a:extLst>
                <a:ext uri="{63B3BB69-23CF-44E3-9099-C40C66FF867C}">
                  <a14:compatExt spid="_x0000_s12471"/>
                </a:ext>
                <a:ext uri="{FF2B5EF4-FFF2-40B4-BE49-F238E27FC236}">
                  <a16:creationId xmlns:a16="http://schemas.microsoft.com/office/drawing/2014/main" id="{00000000-0008-0000-0600-0000B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321</xdr:row>
          <xdr:rowOff>0</xdr:rowOff>
        </xdr:from>
        <xdr:to>
          <xdr:col>1</xdr:col>
          <xdr:colOff>257175</xdr:colOff>
          <xdr:row>322</xdr:row>
          <xdr:rowOff>76200</xdr:rowOff>
        </xdr:to>
        <xdr:sp macro="" textlink="">
          <xdr:nvSpPr>
            <xdr:cNvPr id="12472" name="Control 184" hidden="1">
              <a:extLst>
                <a:ext uri="{63B3BB69-23CF-44E3-9099-C40C66FF867C}">
                  <a14:compatExt spid="_x0000_s12472"/>
                </a:ext>
                <a:ext uri="{FF2B5EF4-FFF2-40B4-BE49-F238E27FC236}">
                  <a16:creationId xmlns:a16="http://schemas.microsoft.com/office/drawing/2014/main" id="{00000000-0008-0000-0600-0000B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322</xdr:row>
          <xdr:rowOff>0</xdr:rowOff>
        </xdr:from>
        <xdr:to>
          <xdr:col>1</xdr:col>
          <xdr:colOff>257175</xdr:colOff>
          <xdr:row>323</xdr:row>
          <xdr:rowOff>76200</xdr:rowOff>
        </xdr:to>
        <xdr:sp macro="" textlink="">
          <xdr:nvSpPr>
            <xdr:cNvPr id="12473" name="Control 185" hidden="1">
              <a:extLst>
                <a:ext uri="{63B3BB69-23CF-44E3-9099-C40C66FF867C}">
                  <a14:compatExt spid="_x0000_s12473"/>
                </a:ext>
                <a:ext uri="{FF2B5EF4-FFF2-40B4-BE49-F238E27FC236}">
                  <a16:creationId xmlns:a16="http://schemas.microsoft.com/office/drawing/2014/main" id="{00000000-0008-0000-0600-0000B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323</xdr:row>
          <xdr:rowOff>0</xdr:rowOff>
        </xdr:from>
        <xdr:to>
          <xdr:col>1</xdr:col>
          <xdr:colOff>257175</xdr:colOff>
          <xdr:row>324</xdr:row>
          <xdr:rowOff>76200</xdr:rowOff>
        </xdr:to>
        <xdr:sp macro="" textlink="">
          <xdr:nvSpPr>
            <xdr:cNvPr id="12474" name="Control 186" hidden="1">
              <a:extLst>
                <a:ext uri="{63B3BB69-23CF-44E3-9099-C40C66FF867C}">
                  <a14:compatExt spid="_x0000_s12474"/>
                </a:ext>
                <a:ext uri="{FF2B5EF4-FFF2-40B4-BE49-F238E27FC236}">
                  <a16:creationId xmlns:a16="http://schemas.microsoft.com/office/drawing/2014/main" id="{00000000-0008-0000-0600-0000B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324</xdr:row>
          <xdr:rowOff>0</xdr:rowOff>
        </xdr:from>
        <xdr:to>
          <xdr:col>1</xdr:col>
          <xdr:colOff>257175</xdr:colOff>
          <xdr:row>325</xdr:row>
          <xdr:rowOff>76200</xdr:rowOff>
        </xdr:to>
        <xdr:sp macro="" textlink="">
          <xdr:nvSpPr>
            <xdr:cNvPr id="12475" name="Control 187" hidden="1">
              <a:extLst>
                <a:ext uri="{63B3BB69-23CF-44E3-9099-C40C66FF867C}">
                  <a14:compatExt spid="_x0000_s12475"/>
                </a:ext>
                <a:ext uri="{FF2B5EF4-FFF2-40B4-BE49-F238E27FC236}">
                  <a16:creationId xmlns:a16="http://schemas.microsoft.com/office/drawing/2014/main" id="{00000000-0008-0000-0600-0000BB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325</xdr:row>
          <xdr:rowOff>0</xdr:rowOff>
        </xdr:from>
        <xdr:to>
          <xdr:col>1</xdr:col>
          <xdr:colOff>257175</xdr:colOff>
          <xdr:row>326</xdr:row>
          <xdr:rowOff>76200</xdr:rowOff>
        </xdr:to>
        <xdr:sp macro="" textlink="">
          <xdr:nvSpPr>
            <xdr:cNvPr id="12476" name="Control 188" hidden="1">
              <a:extLst>
                <a:ext uri="{63B3BB69-23CF-44E3-9099-C40C66FF867C}">
                  <a14:compatExt spid="_x0000_s12476"/>
                </a:ext>
                <a:ext uri="{FF2B5EF4-FFF2-40B4-BE49-F238E27FC236}">
                  <a16:creationId xmlns:a16="http://schemas.microsoft.com/office/drawing/2014/main" id="{00000000-0008-0000-0600-0000BC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326</xdr:row>
          <xdr:rowOff>0</xdr:rowOff>
        </xdr:from>
        <xdr:to>
          <xdr:col>1</xdr:col>
          <xdr:colOff>257175</xdr:colOff>
          <xdr:row>327</xdr:row>
          <xdr:rowOff>76200</xdr:rowOff>
        </xdr:to>
        <xdr:sp macro="" textlink="">
          <xdr:nvSpPr>
            <xdr:cNvPr id="12477" name="Control 189" hidden="1">
              <a:extLst>
                <a:ext uri="{63B3BB69-23CF-44E3-9099-C40C66FF867C}">
                  <a14:compatExt spid="_x0000_s12477"/>
                </a:ext>
                <a:ext uri="{FF2B5EF4-FFF2-40B4-BE49-F238E27FC236}">
                  <a16:creationId xmlns:a16="http://schemas.microsoft.com/office/drawing/2014/main" id="{00000000-0008-0000-0600-0000BD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327</xdr:row>
          <xdr:rowOff>0</xdr:rowOff>
        </xdr:from>
        <xdr:to>
          <xdr:col>1</xdr:col>
          <xdr:colOff>257175</xdr:colOff>
          <xdr:row>328</xdr:row>
          <xdr:rowOff>76200</xdr:rowOff>
        </xdr:to>
        <xdr:sp macro="" textlink="">
          <xdr:nvSpPr>
            <xdr:cNvPr id="12478" name="Control 190" hidden="1">
              <a:extLst>
                <a:ext uri="{63B3BB69-23CF-44E3-9099-C40C66FF867C}">
                  <a14:compatExt spid="_x0000_s12478"/>
                </a:ext>
                <a:ext uri="{FF2B5EF4-FFF2-40B4-BE49-F238E27FC236}">
                  <a16:creationId xmlns:a16="http://schemas.microsoft.com/office/drawing/2014/main" id="{00000000-0008-0000-0600-0000BE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328</xdr:row>
          <xdr:rowOff>0</xdr:rowOff>
        </xdr:from>
        <xdr:to>
          <xdr:col>1</xdr:col>
          <xdr:colOff>257175</xdr:colOff>
          <xdr:row>329</xdr:row>
          <xdr:rowOff>76200</xdr:rowOff>
        </xdr:to>
        <xdr:sp macro="" textlink="">
          <xdr:nvSpPr>
            <xdr:cNvPr id="12479" name="Control 191" hidden="1">
              <a:extLst>
                <a:ext uri="{63B3BB69-23CF-44E3-9099-C40C66FF867C}">
                  <a14:compatExt spid="_x0000_s12479"/>
                </a:ext>
                <a:ext uri="{FF2B5EF4-FFF2-40B4-BE49-F238E27FC236}">
                  <a16:creationId xmlns:a16="http://schemas.microsoft.com/office/drawing/2014/main" id="{00000000-0008-0000-0600-0000BF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329</xdr:row>
          <xdr:rowOff>0</xdr:rowOff>
        </xdr:from>
        <xdr:to>
          <xdr:col>1</xdr:col>
          <xdr:colOff>257175</xdr:colOff>
          <xdr:row>330</xdr:row>
          <xdr:rowOff>76200</xdr:rowOff>
        </xdr:to>
        <xdr:sp macro="" textlink="">
          <xdr:nvSpPr>
            <xdr:cNvPr id="12480" name="Control 192" hidden="1">
              <a:extLst>
                <a:ext uri="{63B3BB69-23CF-44E3-9099-C40C66FF867C}">
                  <a14:compatExt spid="_x0000_s12480"/>
                </a:ext>
                <a:ext uri="{FF2B5EF4-FFF2-40B4-BE49-F238E27FC236}">
                  <a16:creationId xmlns:a16="http://schemas.microsoft.com/office/drawing/2014/main" id="{00000000-0008-0000-0600-0000C0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330</xdr:row>
          <xdr:rowOff>0</xdr:rowOff>
        </xdr:from>
        <xdr:to>
          <xdr:col>1</xdr:col>
          <xdr:colOff>257175</xdr:colOff>
          <xdr:row>331</xdr:row>
          <xdr:rowOff>76200</xdr:rowOff>
        </xdr:to>
        <xdr:sp macro="" textlink="">
          <xdr:nvSpPr>
            <xdr:cNvPr id="12481" name="Control 193" hidden="1">
              <a:extLst>
                <a:ext uri="{63B3BB69-23CF-44E3-9099-C40C66FF867C}">
                  <a14:compatExt spid="_x0000_s12481"/>
                </a:ext>
                <a:ext uri="{FF2B5EF4-FFF2-40B4-BE49-F238E27FC236}">
                  <a16:creationId xmlns:a16="http://schemas.microsoft.com/office/drawing/2014/main" id="{00000000-0008-0000-0600-0000C1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331</xdr:row>
          <xdr:rowOff>0</xdr:rowOff>
        </xdr:from>
        <xdr:to>
          <xdr:col>1</xdr:col>
          <xdr:colOff>257175</xdr:colOff>
          <xdr:row>332</xdr:row>
          <xdr:rowOff>76200</xdr:rowOff>
        </xdr:to>
        <xdr:sp macro="" textlink="">
          <xdr:nvSpPr>
            <xdr:cNvPr id="12482" name="Control 194" hidden="1">
              <a:extLst>
                <a:ext uri="{63B3BB69-23CF-44E3-9099-C40C66FF867C}">
                  <a14:compatExt spid="_x0000_s12482"/>
                </a:ext>
                <a:ext uri="{FF2B5EF4-FFF2-40B4-BE49-F238E27FC236}">
                  <a16:creationId xmlns:a16="http://schemas.microsoft.com/office/drawing/2014/main" id="{00000000-0008-0000-0600-0000C2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332</xdr:row>
          <xdr:rowOff>0</xdr:rowOff>
        </xdr:from>
        <xdr:to>
          <xdr:col>1</xdr:col>
          <xdr:colOff>257175</xdr:colOff>
          <xdr:row>333</xdr:row>
          <xdr:rowOff>76200</xdr:rowOff>
        </xdr:to>
        <xdr:sp macro="" textlink="">
          <xdr:nvSpPr>
            <xdr:cNvPr id="12483" name="Control 195" hidden="1">
              <a:extLst>
                <a:ext uri="{63B3BB69-23CF-44E3-9099-C40C66FF867C}">
                  <a14:compatExt spid="_x0000_s12483"/>
                </a:ext>
                <a:ext uri="{FF2B5EF4-FFF2-40B4-BE49-F238E27FC236}">
                  <a16:creationId xmlns:a16="http://schemas.microsoft.com/office/drawing/2014/main" id="{00000000-0008-0000-0600-0000C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333</xdr:row>
          <xdr:rowOff>0</xdr:rowOff>
        </xdr:from>
        <xdr:to>
          <xdr:col>1</xdr:col>
          <xdr:colOff>257175</xdr:colOff>
          <xdr:row>334</xdr:row>
          <xdr:rowOff>76200</xdr:rowOff>
        </xdr:to>
        <xdr:sp macro="" textlink="">
          <xdr:nvSpPr>
            <xdr:cNvPr id="12484" name="Control 196" hidden="1">
              <a:extLst>
                <a:ext uri="{63B3BB69-23CF-44E3-9099-C40C66FF867C}">
                  <a14:compatExt spid="_x0000_s12484"/>
                </a:ext>
                <a:ext uri="{FF2B5EF4-FFF2-40B4-BE49-F238E27FC236}">
                  <a16:creationId xmlns:a16="http://schemas.microsoft.com/office/drawing/2014/main" id="{00000000-0008-0000-0600-0000C4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334</xdr:row>
          <xdr:rowOff>0</xdr:rowOff>
        </xdr:from>
        <xdr:to>
          <xdr:col>1</xdr:col>
          <xdr:colOff>257175</xdr:colOff>
          <xdr:row>335</xdr:row>
          <xdr:rowOff>76200</xdr:rowOff>
        </xdr:to>
        <xdr:sp macro="" textlink="">
          <xdr:nvSpPr>
            <xdr:cNvPr id="12485" name="Control 197" hidden="1">
              <a:extLst>
                <a:ext uri="{63B3BB69-23CF-44E3-9099-C40C66FF867C}">
                  <a14:compatExt spid="_x0000_s12485"/>
                </a:ext>
                <a:ext uri="{FF2B5EF4-FFF2-40B4-BE49-F238E27FC236}">
                  <a16:creationId xmlns:a16="http://schemas.microsoft.com/office/drawing/2014/main" id="{00000000-0008-0000-0600-0000C5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335</xdr:row>
          <xdr:rowOff>0</xdr:rowOff>
        </xdr:from>
        <xdr:to>
          <xdr:col>1</xdr:col>
          <xdr:colOff>257175</xdr:colOff>
          <xdr:row>336</xdr:row>
          <xdr:rowOff>76200</xdr:rowOff>
        </xdr:to>
        <xdr:sp macro="" textlink="">
          <xdr:nvSpPr>
            <xdr:cNvPr id="12486" name="Control 198" hidden="1">
              <a:extLst>
                <a:ext uri="{63B3BB69-23CF-44E3-9099-C40C66FF867C}">
                  <a14:compatExt spid="_x0000_s12486"/>
                </a:ext>
                <a:ext uri="{FF2B5EF4-FFF2-40B4-BE49-F238E27FC236}">
                  <a16:creationId xmlns:a16="http://schemas.microsoft.com/office/drawing/2014/main" id="{00000000-0008-0000-0600-0000C6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336</xdr:row>
          <xdr:rowOff>0</xdr:rowOff>
        </xdr:from>
        <xdr:to>
          <xdr:col>1</xdr:col>
          <xdr:colOff>257175</xdr:colOff>
          <xdr:row>337</xdr:row>
          <xdr:rowOff>76200</xdr:rowOff>
        </xdr:to>
        <xdr:sp macro="" textlink="">
          <xdr:nvSpPr>
            <xdr:cNvPr id="12487" name="Control 199" hidden="1">
              <a:extLst>
                <a:ext uri="{63B3BB69-23CF-44E3-9099-C40C66FF867C}">
                  <a14:compatExt spid="_x0000_s12487"/>
                </a:ext>
                <a:ext uri="{FF2B5EF4-FFF2-40B4-BE49-F238E27FC236}">
                  <a16:creationId xmlns:a16="http://schemas.microsoft.com/office/drawing/2014/main" id="{00000000-0008-0000-0600-0000C7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337</xdr:row>
          <xdr:rowOff>0</xdr:rowOff>
        </xdr:from>
        <xdr:to>
          <xdr:col>1</xdr:col>
          <xdr:colOff>257175</xdr:colOff>
          <xdr:row>338</xdr:row>
          <xdr:rowOff>76200</xdr:rowOff>
        </xdr:to>
        <xdr:sp macro="" textlink="">
          <xdr:nvSpPr>
            <xdr:cNvPr id="12488" name="Control 200" hidden="1">
              <a:extLst>
                <a:ext uri="{63B3BB69-23CF-44E3-9099-C40C66FF867C}">
                  <a14:compatExt spid="_x0000_s12488"/>
                </a:ext>
                <a:ext uri="{FF2B5EF4-FFF2-40B4-BE49-F238E27FC236}">
                  <a16:creationId xmlns:a16="http://schemas.microsoft.com/office/drawing/2014/main" id="{00000000-0008-0000-0600-0000C8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338</xdr:row>
          <xdr:rowOff>0</xdr:rowOff>
        </xdr:from>
        <xdr:to>
          <xdr:col>1</xdr:col>
          <xdr:colOff>257175</xdr:colOff>
          <xdr:row>339</xdr:row>
          <xdr:rowOff>76200</xdr:rowOff>
        </xdr:to>
        <xdr:sp macro="" textlink="">
          <xdr:nvSpPr>
            <xdr:cNvPr id="12489" name="Control 201" hidden="1">
              <a:extLst>
                <a:ext uri="{63B3BB69-23CF-44E3-9099-C40C66FF867C}">
                  <a14:compatExt spid="_x0000_s12489"/>
                </a:ext>
                <a:ext uri="{FF2B5EF4-FFF2-40B4-BE49-F238E27FC236}">
                  <a16:creationId xmlns:a16="http://schemas.microsoft.com/office/drawing/2014/main" id="{00000000-0008-0000-0600-0000C9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17" Type="http://schemas.openxmlformats.org/officeDocument/2006/relationships/hyperlink" Target="https://leetcode.com/problems/minimum-window-substring/" TargetMode="External"/><Relationship Id="rId299" Type="http://schemas.openxmlformats.org/officeDocument/2006/relationships/hyperlink" Target="https://leetcode.com/problems/find-minimum-in-rotated-sorted-array/" TargetMode="External"/><Relationship Id="rId21" Type="http://schemas.openxmlformats.org/officeDocument/2006/relationships/hyperlink" Target="https://leetcode.com/problems/backspace-string-compare/" TargetMode="External"/><Relationship Id="rId63" Type="http://schemas.openxmlformats.org/officeDocument/2006/relationships/hyperlink" Target="https://leetcode.com/problems/ipo/" TargetMode="External"/><Relationship Id="rId159" Type="http://schemas.openxmlformats.org/officeDocument/2006/relationships/hyperlink" Target="https://leetcode.com/problems/kth-largest-element-in-a-stream/" TargetMode="External"/><Relationship Id="rId324" Type="http://schemas.openxmlformats.org/officeDocument/2006/relationships/hyperlink" Target="https://leetcode.com/problems/find-all-duplicates-in-an-array/" TargetMode="External"/><Relationship Id="rId366" Type="http://schemas.openxmlformats.org/officeDocument/2006/relationships/control" Target="../activeX/activeX32.xml"/><Relationship Id="rId170" Type="http://schemas.openxmlformats.org/officeDocument/2006/relationships/hyperlink" Target="https://leetcode.com/problems/find-k-closest-elements/" TargetMode="External"/><Relationship Id="rId226" Type="http://schemas.openxmlformats.org/officeDocument/2006/relationships/hyperlink" Target="https://leetcode.com/problems/implement-queue-using-stacks/" TargetMode="External"/><Relationship Id="rId433" Type="http://schemas.openxmlformats.org/officeDocument/2006/relationships/control" Target="../activeX/activeX99.xml"/><Relationship Id="rId268" Type="http://schemas.openxmlformats.org/officeDocument/2006/relationships/hyperlink" Target="https://leetcode.com/problems/maximum-frequency-stack/" TargetMode="External"/><Relationship Id="rId475" Type="http://schemas.openxmlformats.org/officeDocument/2006/relationships/control" Target="../activeX/activeX141.xml"/><Relationship Id="rId32" Type="http://schemas.openxmlformats.org/officeDocument/2006/relationships/hyperlink" Target="https://leetcode.com/problems/interval-list-intersections/" TargetMode="External"/><Relationship Id="rId74" Type="http://schemas.openxmlformats.org/officeDocument/2006/relationships/hyperlink" Target="https://leetcode.com/problems/binary-search/" TargetMode="External"/><Relationship Id="rId128" Type="http://schemas.openxmlformats.org/officeDocument/2006/relationships/hyperlink" Target="https://leetcode.com/problems/reverse-words-in-a-string/" TargetMode="External"/><Relationship Id="rId335" Type="http://schemas.openxmlformats.org/officeDocument/2006/relationships/image" Target="../media/image1.emf"/><Relationship Id="rId377" Type="http://schemas.openxmlformats.org/officeDocument/2006/relationships/control" Target="../activeX/activeX43.xml"/><Relationship Id="rId500" Type="http://schemas.openxmlformats.org/officeDocument/2006/relationships/control" Target="../activeX/activeX166.xml"/><Relationship Id="rId5" Type="http://schemas.openxmlformats.org/officeDocument/2006/relationships/hyperlink" Target="https://leetcode.com/problems/longest-substring-without-repeating-characters/" TargetMode="External"/><Relationship Id="rId181" Type="http://schemas.openxmlformats.org/officeDocument/2006/relationships/hyperlink" Target="https://leetcode.com/problems/two-city-scheduling/" TargetMode="External"/><Relationship Id="rId237" Type="http://schemas.openxmlformats.org/officeDocument/2006/relationships/hyperlink" Target="https://leetcode.com/problems/binary-tree-maximum-path-sum/" TargetMode="External"/><Relationship Id="rId402" Type="http://schemas.openxmlformats.org/officeDocument/2006/relationships/control" Target="../activeX/activeX68.xml"/><Relationship Id="rId279" Type="http://schemas.openxmlformats.org/officeDocument/2006/relationships/hyperlink" Target="https://leetcode.com/problems/minimize-malware-spread/" TargetMode="External"/><Relationship Id="rId444" Type="http://schemas.openxmlformats.org/officeDocument/2006/relationships/control" Target="../activeX/activeX110.xml"/><Relationship Id="rId486" Type="http://schemas.openxmlformats.org/officeDocument/2006/relationships/control" Target="../activeX/activeX152.xml"/><Relationship Id="rId43" Type="http://schemas.openxmlformats.org/officeDocument/2006/relationships/hyperlink" Target="https://leetcode.com/problems/reverse-linked-list/" TargetMode="External"/><Relationship Id="rId139" Type="http://schemas.openxmlformats.org/officeDocument/2006/relationships/hyperlink" Target="https://leetcode.com/problems/employee-free-time/" TargetMode="External"/><Relationship Id="rId290" Type="http://schemas.openxmlformats.org/officeDocument/2006/relationships/hyperlink" Target="https://leetcode.com/problems/single-number/" TargetMode="External"/><Relationship Id="rId304" Type="http://schemas.openxmlformats.org/officeDocument/2006/relationships/hyperlink" Target="https://leetcode.com/problems/sort-list/" TargetMode="External"/><Relationship Id="rId346" Type="http://schemas.openxmlformats.org/officeDocument/2006/relationships/control" Target="../activeX/activeX12.xml"/><Relationship Id="rId388" Type="http://schemas.openxmlformats.org/officeDocument/2006/relationships/control" Target="../activeX/activeX54.xml"/><Relationship Id="rId511" Type="http://schemas.openxmlformats.org/officeDocument/2006/relationships/control" Target="../activeX/activeX177.xml"/><Relationship Id="rId85" Type="http://schemas.openxmlformats.org/officeDocument/2006/relationships/hyperlink" Target="https://leetcode.com/problems/flipping-an-image/" TargetMode="External"/><Relationship Id="rId150" Type="http://schemas.openxmlformats.org/officeDocument/2006/relationships/hyperlink" Target="https://leetcode.com/problems/sliding-window-median/" TargetMode="External"/><Relationship Id="rId192" Type="http://schemas.openxmlformats.org/officeDocument/2006/relationships/hyperlink" Target="https://leetcode.com/problems/n-th-tribonacci-number/" TargetMode="External"/><Relationship Id="rId206" Type="http://schemas.openxmlformats.org/officeDocument/2006/relationships/hyperlink" Target="https://leetcode.com/problems/missing-number/" TargetMode="External"/><Relationship Id="rId413" Type="http://schemas.openxmlformats.org/officeDocument/2006/relationships/control" Target="../activeX/activeX79.xml"/><Relationship Id="rId248" Type="http://schemas.openxmlformats.org/officeDocument/2006/relationships/hyperlink" Target="https://leetcode.com/problems/vertical-order-traversal-of-a-binary-tree/" TargetMode="External"/><Relationship Id="rId455" Type="http://schemas.openxmlformats.org/officeDocument/2006/relationships/control" Target="../activeX/activeX121.xml"/><Relationship Id="rId497" Type="http://schemas.openxmlformats.org/officeDocument/2006/relationships/control" Target="../activeX/activeX163.xml"/><Relationship Id="rId12" Type="http://schemas.openxmlformats.org/officeDocument/2006/relationships/hyperlink" Target="https://leetcode.com/problems/two-sum/" TargetMode="External"/><Relationship Id="rId108" Type="http://schemas.openxmlformats.org/officeDocument/2006/relationships/hyperlink" Target="https://leetcode.com/problems/partition-equal-subset-sum/" TargetMode="External"/><Relationship Id="rId315" Type="http://schemas.openxmlformats.org/officeDocument/2006/relationships/hyperlink" Target="https://leetcode.com/problems/longest-palindromic-substring/" TargetMode="External"/><Relationship Id="rId357" Type="http://schemas.openxmlformats.org/officeDocument/2006/relationships/control" Target="../activeX/activeX23.xml"/><Relationship Id="rId522" Type="http://schemas.openxmlformats.org/officeDocument/2006/relationships/control" Target="../activeX/activeX188.xml"/><Relationship Id="rId54" Type="http://schemas.openxmlformats.org/officeDocument/2006/relationships/hyperlink" Target="https://leetcode.com/problems/path-sum/" TargetMode="External"/><Relationship Id="rId96" Type="http://schemas.openxmlformats.org/officeDocument/2006/relationships/hyperlink" Target="https://leetcode.com/problems/task-scheduler/" TargetMode="External"/><Relationship Id="rId161" Type="http://schemas.openxmlformats.org/officeDocument/2006/relationships/hyperlink" Target="https://leetcode.com/problems/k-closest-points-to-origin/" TargetMode="External"/><Relationship Id="rId217" Type="http://schemas.openxmlformats.org/officeDocument/2006/relationships/hyperlink" Target="https://leetcode.com/problems/set-matrix-zeroes/" TargetMode="External"/><Relationship Id="rId399" Type="http://schemas.openxmlformats.org/officeDocument/2006/relationships/control" Target="../activeX/activeX65.xml"/><Relationship Id="rId259" Type="http://schemas.openxmlformats.org/officeDocument/2006/relationships/hyperlink" Target="https://leetcode.com/problems/fraction-to-recurring-decimal/" TargetMode="External"/><Relationship Id="rId424" Type="http://schemas.openxmlformats.org/officeDocument/2006/relationships/control" Target="../activeX/activeX90.xml"/><Relationship Id="rId466" Type="http://schemas.openxmlformats.org/officeDocument/2006/relationships/control" Target="../activeX/activeX132.xml"/><Relationship Id="rId23" Type="http://schemas.openxmlformats.org/officeDocument/2006/relationships/hyperlink" Target="https://leetcode.com/problems/linked-list-cycle/" TargetMode="External"/><Relationship Id="rId119" Type="http://schemas.openxmlformats.org/officeDocument/2006/relationships/hyperlink" Target="https://leetcode.com/problems/minimum-window-substring/" TargetMode="External"/><Relationship Id="rId270" Type="http://schemas.openxmlformats.org/officeDocument/2006/relationships/hyperlink" Target="https://leetcode.com/problems/find-all-anagrams-in-a-string/" TargetMode="External"/><Relationship Id="rId326" Type="http://schemas.openxmlformats.org/officeDocument/2006/relationships/hyperlink" Target="https://leetcode.com/problems/design-in-memory-file-system/" TargetMode="External"/><Relationship Id="rId65" Type="http://schemas.openxmlformats.org/officeDocument/2006/relationships/hyperlink" Target="https://leetcode.com/problems/subsets/" TargetMode="External"/><Relationship Id="rId130" Type="http://schemas.openxmlformats.org/officeDocument/2006/relationships/hyperlink" Target="https://leetcode.com/problems/happy-number/" TargetMode="External"/><Relationship Id="rId368" Type="http://schemas.openxmlformats.org/officeDocument/2006/relationships/control" Target="../activeX/activeX34.xml"/><Relationship Id="rId172" Type="http://schemas.openxmlformats.org/officeDocument/2006/relationships/hyperlink" Target="https://leetcode.com/problems/search-in-rotated-sorted-array-ii/" TargetMode="External"/><Relationship Id="rId228" Type="http://schemas.openxmlformats.org/officeDocument/2006/relationships/hyperlink" Target="https://leetcode.com/problems/network-delay-time/" TargetMode="External"/><Relationship Id="rId435" Type="http://schemas.openxmlformats.org/officeDocument/2006/relationships/control" Target="../activeX/activeX101.xml"/><Relationship Id="rId477" Type="http://schemas.openxmlformats.org/officeDocument/2006/relationships/control" Target="../activeX/activeX143.xml"/><Relationship Id="rId281" Type="http://schemas.openxmlformats.org/officeDocument/2006/relationships/hyperlink" Target="https://leetcode.com/problems/snapshot-array/" TargetMode="External"/><Relationship Id="rId337" Type="http://schemas.openxmlformats.org/officeDocument/2006/relationships/control" Target="../activeX/activeX3.xml"/><Relationship Id="rId502" Type="http://schemas.openxmlformats.org/officeDocument/2006/relationships/control" Target="../activeX/activeX168.xml"/><Relationship Id="rId34" Type="http://schemas.openxmlformats.org/officeDocument/2006/relationships/hyperlink" Target="https://leetcode.com/problems/employee-free-time/" TargetMode="External"/><Relationship Id="rId76" Type="http://schemas.openxmlformats.org/officeDocument/2006/relationships/hyperlink" Target="https://leetcode.com/problems/find-first-and-last-position-of-element-in-sorted-array/" TargetMode="External"/><Relationship Id="rId141" Type="http://schemas.openxmlformats.org/officeDocument/2006/relationships/hyperlink" Target="https://leetcode.com/problems/meeting-rooms-ii/" TargetMode="External"/><Relationship Id="rId379" Type="http://schemas.openxmlformats.org/officeDocument/2006/relationships/control" Target="../activeX/activeX45.xml"/><Relationship Id="rId7" Type="http://schemas.openxmlformats.org/officeDocument/2006/relationships/hyperlink" Target="https://leetcode.com/problems/max-consecutive-ones-iii/" TargetMode="External"/><Relationship Id="rId183" Type="http://schemas.openxmlformats.org/officeDocument/2006/relationships/hyperlink" Target="https://leetcode.com/problems/n-queens/" TargetMode="External"/><Relationship Id="rId239" Type="http://schemas.openxmlformats.org/officeDocument/2006/relationships/hyperlink" Target="https://leetcode.com/problems/construct-binary-tree-from-preorder-and-inorder-traversal" TargetMode="External"/><Relationship Id="rId390" Type="http://schemas.openxmlformats.org/officeDocument/2006/relationships/control" Target="../activeX/activeX56.xml"/><Relationship Id="rId404" Type="http://schemas.openxmlformats.org/officeDocument/2006/relationships/control" Target="../activeX/activeX70.xml"/><Relationship Id="rId446" Type="http://schemas.openxmlformats.org/officeDocument/2006/relationships/control" Target="../activeX/activeX112.xml"/><Relationship Id="rId250" Type="http://schemas.openxmlformats.org/officeDocument/2006/relationships/hyperlink" Target="https://leetcode.com/problems/word-ladder" TargetMode="External"/><Relationship Id="rId292" Type="http://schemas.openxmlformats.org/officeDocument/2006/relationships/hyperlink" Target="https://leetcode.com/problems/reverse-bits/" TargetMode="External"/><Relationship Id="rId306" Type="http://schemas.openxmlformats.org/officeDocument/2006/relationships/hyperlink" Target="https://leetcode.com/problems/container-with-most-water/" TargetMode="External"/><Relationship Id="rId488" Type="http://schemas.openxmlformats.org/officeDocument/2006/relationships/control" Target="../activeX/activeX154.xml"/><Relationship Id="rId45" Type="http://schemas.openxmlformats.org/officeDocument/2006/relationships/hyperlink" Target="https://leetcode.com/problems/reverse-nodes-in-k-group/" TargetMode="External"/><Relationship Id="rId87" Type="http://schemas.openxmlformats.org/officeDocument/2006/relationships/hyperlink" Target="https://leetcode.com/problems/k-closest-points-to-origin/" TargetMode="External"/><Relationship Id="rId110" Type="http://schemas.openxmlformats.org/officeDocument/2006/relationships/hyperlink" Target="https://leetcode.com/problems/ones-and-zeroes/" TargetMode="External"/><Relationship Id="rId348" Type="http://schemas.openxmlformats.org/officeDocument/2006/relationships/control" Target="../activeX/activeX14.xml"/><Relationship Id="rId513" Type="http://schemas.openxmlformats.org/officeDocument/2006/relationships/control" Target="../activeX/activeX179.xml"/><Relationship Id="rId152" Type="http://schemas.openxmlformats.org/officeDocument/2006/relationships/hyperlink" Target="https://leetcode.com/problems/task-scheduler/" TargetMode="External"/><Relationship Id="rId194" Type="http://schemas.openxmlformats.org/officeDocument/2006/relationships/hyperlink" Target="https://leetcode.com/problems/counting-bits/" TargetMode="External"/><Relationship Id="rId208" Type="http://schemas.openxmlformats.org/officeDocument/2006/relationships/hyperlink" Target="https://leetcode.com/problems/find-the-duplicate-number/" TargetMode="External"/><Relationship Id="rId415" Type="http://schemas.openxmlformats.org/officeDocument/2006/relationships/control" Target="../activeX/activeX81.xml"/><Relationship Id="rId457" Type="http://schemas.openxmlformats.org/officeDocument/2006/relationships/control" Target="../activeX/activeX123.xml"/><Relationship Id="rId261" Type="http://schemas.openxmlformats.org/officeDocument/2006/relationships/hyperlink" Target="https://leetcode.com/problems/next-greater-element-i/" TargetMode="External"/><Relationship Id="rId499" Type="http://schemas.openxmlformats.org/officeDocument/2006/relationships/control" Target="../activeX/activeX165.xml"/><Relationship Id="rId14" Type="http://schemas.openxmlformats.org/officeDocument/2006/relationships/hyperlink" Target="https://leetcode.com/problems/squares-of-a-sorted-array/" TargetMode="External"/><Relationship Id="rId56" Type="http://schemas.openxmlformats.org/officeDocument/2006/relationships/hyperlink" Target="https://leetcode.com/problems/sum-root-to-leaf-numbers/" TargetMode="External"/><Relationship Id="rId317" Type="http://schemas.openxmlformats.org/officeDocument/2006/relationships/hyperlink" Target="https://leetcode.com/problems/number-of-provinces/" TargetMode="External"/><Relationship Id="rId359" Type="http://schemas.openxmlformats.org/officeDocument/2006/relationships/control" Target="../activeX/activeX25.xml"/><Relationship Id="rId524" Type="http://schemas.openxmlformats.org/officeDocument/2006/relationships/control" Target="../activeX/activeX190.xml"/><Relationship Id="rId98" Type="http://schemas.openxmlformats.org/officeDocument/2006/relationships/hyperlink" Target="https://www.geeksforgeeks.org/maximum-distinct-elements-removing-k-elements/" TargetMode="External"/><Relationship Id="rId121" Type="http://schemas.openxmlformats.org/officeDocument/2006/relationships/hyperlink" Target="https://leetcode.com/problems/longest-substring-without-repeating-characters/" TargetMode="External"/><Relationship Id="rId163" Type="http://schemas.openxmlformats.org/officeDocument/2006/relationships/hyperlink" Target="https://leetcode.com/problems/kth-largest-element-in-an-array/" TargetMode="External"/><Relationship Id="rId219" Type="http://schemas.openxmlformats.org/officeDocument/2006/relationships/hyperlink" Target="https://leetcode.com/problems/spiral-matrix/" TargetMode="External"/><Relationship Id="rId370" Type="http://schemas.openxmlformats.org/officeDocument/2006/relationships/control" Target="../activeX/activeX36.xml"/><Relationship Id="rId426" Type="http://schemas.openxmlformats.org/officeDocument/2006/relationships/control" Target="../activeX/activeX92.xml"/><Relationship Id="rId230" Type="http://schemas.openxmlformats.org/officeDocument/2006/relationships/hyperlink" Target="https://leetcode.com/problems/clone-graph" TargetMode="External"/><Relationship Id="rId251" Type="http://schemas.openxmlformats.org/officeDocument/2006/relationships/hyperlink" Target="https://leetcode.com/problems/populating-next-right-pointers-in-each-node/" TargetMode="External"/><Relationship Id="rId468" Type="http://schemas.openxmlformats.org/officeDocument/2006/relationships/control" Target="../activeX/activeX134.xml"/><Relationship Id="rId489" Type="http://schemas.openxmlformats.org/officeDocument/2006/relationships/control" Target="../activeX/activeX155.xml"/><Relationship Id="rId25" Type="http://schemas.openxmlformats.org/officeDocument/2006/relationships/hyperlink" Target="https://leetcode.com/problems/happy-number/" TargetMode="External"/><Relationship Id="rId46" Type="http://schemas.openxmlformats.org/officeDocument/2006/relationships/hyperlink" Target="https://leetcode.com/problems/rotate-list/" TargetMode="External"/><Relationship Id="rId67" Type="http://schemas.openxmlformats.org/officeDocument/2006/relationships/hyperlink" Target="https://leetcode.com/problems/permutations/" TargetMode="External"/><Relationship Id="rId272" Type="http://schemas.openxmlformats.org/officeDocument/2006/relationships/hyperlink" Target="https://leetcode.com/problems/redundant-connection/" TargetMode="External"/><Relationship Id="rId293" Type="http://schemas.openxmlformats.org/officeDocument/2006/relationships/hyperlink" Target="https://leetcode.com/problems/shortest-bridge/" TargetMode="External"/><Relationship Id="rId307" Type="http://schemas.openxmlformats.org/officeDocument/2006/relationships/hyperlink" Target="https://leetcode.com/problems/evaluate-reverse-polish-notation/" TargetMode="External"/><Relationship Id="rId328" Type="http://schemas.openxmlformats.org/officeDocument/2006/relationships/hyperlink" Target="https://leetcode.com/problems/asteroid-collision/" TargetMode="External"/><Relationship Id="rId349" Type="http://schemas.openxmlformats.org/officeDocument/2006/relationships/control" Target="../activeX/activeX15.xml"/><Relationship Id="rId514" Type="http://schemas.openxmlformats.org/officeDocument/2006/relationships/control" Target="../activeX/activeX180.xml"/><Relationship Id="rId88" Type="http://schemas.openxmlformats.org/officeDocument/2006/relationships/hyperlink" Target="https://leetcode.com/problems/minimum-cost-to-connect-sticks/" TargetMode="External"/><Relationship Id="rId111" Type="http://schemas.openxmlformats.org/officeDocument/2006/relationships/hyperlink" Target="https://leetcode.com/problems/course-schedule/" TargetMode="External"/><Relationship Id="rId132" Type="http://schemas.openxmlformats.org/officeDocument/2006/relationships/hyperlink" Target="https://leetcode.com/problems/circular-array-loop/" TargetMode="External"/><Relationship Id="rId153" Type="http://schemas.openxmlformats.org/officeDocument/2006/relationships/hyperlink" Target="https://leetcode.com/problems/merge-sorted-array/" TargetMode="External"/><Relationship Id="rId174" Type="http://schemas.openxmlformats.org/officeDocument/2006/relationships/hyperlink" Target="https://leetcode.com/problems/permutations/" TargetMode="External"/><Relationship Id="rId195" Type="http://schemas.openxmlformats.org/officeDocument/2006/relationships/hyperlink" Target="https://leetcode.com/problems/01-matrix/" TargetMode="External"/><Relationship Id="rId209" Type="http://schemas.openxmlformats.org/officeDocument/2006/relationships/hyperlink" Target="https://leetcode.com/problems/set-mismatch/" TargetMode="External"/><Relationship Id="rId360" Type="http://schemas.openxmlformats.org/officeDocument/2006/relationships/control" Target="../activeX/activeX26.xml"/><Relationship Id="rId381" Type="http://schemas.openxmlformats.org/officeDocument/2006/relationships/control" Target="../activeX/activeX47.xml"/><Relationship Id="rId416" Type="http://schemas.openxmlformats.org/officeDocument/2006/relationships/control" Target="../activeX/activeX82.xml"/><Relationship Id="rId220" Type="http://schemas.openxmlformats.org/officeDocument/2006/relationships/hyperlink" Target="https://leetcode.com/problems/where-will-the-ball-fall/" TargetMode="External"/><Relationship Id="rId241" Type="http://schemas.openxmlformats.org/officeDocument/2006/relationships/hyperlink" Target="https://leetcode.com/problems/lowest-common-ancestor-of-a-binary-tree" TargetMode="External"/><Relationship Id="rId437" Type="http://schemas.openxmlformats.org/officeDocument/2006/relationships/control" Target="../activeX/activeX103.xml"/><Relationship Id="rId458" Type="http://schemas.openxmlformats.org/officeDocument/2006/relationships/control" Target="../activeX/activeX124.xml"/><Relationship Id="rId479" Type="http://schemas.openxmlformats.org/officeDocument/2006/relationships/control" Target="../activeX/activeX145.xml"/><Relationship Id="rId15" Type="http://schemas.openxmlformats.org/officeDocument/2006/relationships/hyperlink" Target="https://leetcode.com/problems/3sum/" TargetMode="External"/><Relationship Id="rId36" Type="http://schemas.openxmlformats.org/officeDocument/2006/relationships/hyperlink" Target="https://leetcode.com/problems/missing-number/" TargetMode="External"/><Relationship Id="rId57" Type="http://schemas.openxmlformats.org/officeDocument/2006/relationships/hyperlink" Target="https://leetcode.com/problems/check-if-a-string-is-a-valid-sequence-from-root-to-leaves-path-in-a-binary-tree/description/" TargetMode="External"/><Relationship Id="rId262" Type="http://schemas.openxmlformats.org/officeDocument/2006/relationships/hyperlink" Target="https://leetcode.com/problems/isomorphic-strings/" TargetMode="External"/><Relationship Id="rId283" Type="http://schemas.openxmlformats.org/officeDocument/2006/relationships/hyperlink" Target="https://leetcode.com/problems/lru-cache/" TargetMode="External"/><Relationship Id="rId318" Type="http://schemas.openxmlformats.org/officeDocument/2006/relationships/hyperlink" Target="https://leetcode.com/problems/top-k-frequent-words/" TargetMode="External"/><Relationship Id="rId339" Type="http://schemas.openxmlformats.org/officeDocument/2006/relationships/control" Target="../activeX/activeX5.xml"/><Relationship Id="rId490" Type="http://schemas.openxmlformats.org/officeDocument/2006/relationships/control" Target="../activeX/activeX156.xml"/><Relationship Id="rId504" Type="http://schemas.openxmlformats.org/officeDocument/2006/relationships/control" Target="../activeX/activeX170.xml"/><Relationship Id="rId525" Type="http://schemas.openxmlformats.org/officeDocument/2006/relationships/control" Target="../activeX/activeX191.xml"/><Relationship Id="rId78" Type="http://schemas.openxmlformats.org/officeDocument/2006/relationships/hyperlink" Target="https://leetcode.com/problems/find-k-closest-elements/" TargetMode="External"/><Relationship Id="rId99" Type="http://schemas.openxmlformats.org/officeDocument/2006/relationships/hyperlink" Target="https://leetcode.com/problems/merge-k-sorted-lists/" TargetMode="External"/><Relationship Id="rId101" Type="http://schemas.openxmlformats.org/officeDocument/2006/relationships/hyperlink" Target="https://leetcode.com/problems/smallest-range-covering-elements-from-k-lists/" TargetMode="External"/><Relationship Id="rId122" Type="http://schemas.openxmlformats.org/officeDocument/2006/relationships/hyperlink" Target="https://leetcode.com/problems/minimum-size-subarray-sum/" TargetMode="External"/><Relationship Id="rId143" Type="http://schemas.openxmlformats.org/officeDocument/2006/relationships/hyperlink" Target="https://leetcode.com/problems/reverse-nodes-in-k-group/" TargetMode="External"/><Relationship Id="rId164" Type="http://schemas.openxmlformats.org/officeDocument/2006/relationships/hyperlink" Target="https://leetcode.com/problems/kth-smallest-element-in-a-bst/" TargetMode="External"/><Relationship Id="rId185" Type="http://schemas.openxmlformats.org/officeDocument/2006/relationships/hyperlink" Target="https://leetcode.com/problems/house-robber-iii/" TargetMode="External"/><Relationship Id="rId350" Type="http://schemas.openxmlformats.org/officeDocument/2006/relationships/control" Target="../activeX/activeX16.xml"/><Relationship Id="rId371" Type="http://schemas.openxmlformats.org/officeDocument/2006/relationships/control" Target="../activeX/activeX37.xml"/><Relationship Id="rId406" Type="http://schemas.openxmlformats.org/officeDocument/2006/relationships/control" Target="../activeX/activeX72.xml"/><Relationship Id="rId9" Type="http://schemas.openxmlformats.org/officeDocument/2006/relationships/hyperlink" Target="https://leetcode.com/problems/find-all-anagrams-in-a-string/" TargetMode="External"/><Relationship Id="rId210" Type="http://schemas.openxmlformats.org/officeDocument/2006/relationships/hyperlink" Target="https://leetcode.com/problems/kth-missing-positive-number/" TargetMode="External"/><Relationship Id="rId392" Type="http://schemas.openxmlformats.org/officeDocument/2006/relationships/control" Target="../activeX/activeX58.xml"/><Relationship Id="rId427" Type="http://schemas.openxmlformats.org/officeDocument/2006/relationships/control" Target="../activeX/activeX93.xml"/><Relationship Id="rId448" Type="http://schemas.openxmlformats.org/officeDocument/2006/relationships/control" Target="../activeX/activeX114.xml"/><Relationship Id="rId469" Type="http://schemas.openxmlformats.org/officeDocument/2006/relationships/control" Target="../activeX/activeX135.xml"/><Relationship Id="rId26" Type="http://schemas.openxmlformats.org/officeDocument/2006/relationships/hyperlink" Target="https://leetcode.com/problems/middle-of-the-linked-list/" TargetMode="External"/><Relationship Id="rId231" Type="http://schemas.openxmlformats.org/officeDocument/2006/relationships/hyperlink" Target="https://leetcode.com/problems/graph-valid-tree/" TargetMode="External"/><Relationship Id="rId252" Type="http://schemas.openxmlformats.org/officeDocument/2006/relationships/hyperlink" Target="https://leetcode.com/problems/implement-trie-prefix-tree/" TargetMode="External"/><Relationship Id="rId273" Type="http://schemas.openxmlformats.org/officeDocument/2006/relationships/hyperlink" Target="https://leetcode.com/problems/number-of-islands/" TargetMode="External"/><Relationship Id="rId294" Type="http://schemas.openxmlformats.org/officeDocument/2006/relationships/hyperlink" Target="https://leetcode.com/problems/number-of-connected-components-in-an-undirected-graph/" TargetMode="External"/><Relationship Id="rId308" Type="http://schemas.openxmlformats.org/officeDocument/2006/relationships/hyperlink" Target="https://leetcode.com/problems/4sum/" TargetMode="External"/><Relationship Id="rId329" Type="http://schemas.openxmlformats.org/officeDocument/2006/relationships/hyperlink" Target="https://leetcode.com/problems/rotting-oranges/" TargetMode="External"/><Relationship Id="rId480" Type="http://schemas.openxmlformats.org/officeDocument/2006/relationships/control" Target="../activeX/activeX146.xml"/><Relationship Id="rId515" Type="http://schemas.openxmlformats.org/officeDocument/2006/relationships/control" Target="../activeX/activeX181.xml"/><Relationship Id="rId47" Type="http://schemas.openxmlformats.org/officeDocument/2006/relationships/hyperlink" Target="https://leetcode.com/problems/binary-tree-level-order-traversal/" TargetMode="External"/><Relationship Id="rId68" Type="http://schemas.openxmlformats.org/officeDocument/2006/relationships/hyperlink" Target="https://leetcode.com/problems/letter-case-permutation/" TargetMode="External"/><Relationship Id="rId89" Type="http://schemas.openxmlformats.org/officeDocument/2006/relationships/hyperlink" Target="https://leetcode.com/problems/top-k-frequent-elements/" TargetMode="External"/><Relationship Id="rId112" Type="http://schemas.openxmlformats.org/officeDocument/2006/relationships/hyperlink" Target="https://leetcode.com/problems/course-schedule-ii/" TargetMode="External"/><Relationship Id="rId133" Type="http://schemas.openxmlformats.org/officeDocument/2006/relationships/hyperlink" Target="https://leetcode.com/problems/find-the-duplicate-number/" TargetMode="External"/><Relationship Id="rId154" Type="http://schemas.openxmlformats.org/officeDocument/2006/relationships/hyperlink" Target="https://leetcode.com/problems/kth-smallest-element-in-a-sorted-matrix/" TargetMode="External"/><Relationship Id="rId175" Type="http://schemas.openxmlformats.org/officeDocument/2006/relationships/hyperlink" Target="https://leetcode.com/problems/letter-combinations-of-a-phone-number/" TargetMode="External"/><Relationship Id="rId340" Type="http://schemas.openxmlformats.org/officeDocument/2006/relationships/control" Target="../activeX/activeX6.xml"/><Relationship Id="rId361" Type="http://schemas.openxmlformats.org/officeDocument/2006/relationships/control" Target="../activeX/activeX27.xml"/><Relationship Id="rId196" Type="http://schemas.openxmlformats.org/officeDocument/2006/relationships/hyperlink" Target="https://leetcode.com/problems/house-robber-ii/" TargetMode="External"/><Relationship Id="rId200" Type="http://schemas.openxmlformats.org/officeDocument/2006/relationships/hyperlink" Target="https://leetcode.com/problems/combination-sum/" TargetMode="External"/><Relationship Id="rId382" Type="http://schemas.openxmlformats.org/officeDocument/2006/relationships/control" Target="../activeX/activeX48.xml"/><Relationship Id="rId417" Type="http://schemas.openxmlformats.org/officeDocument/2006/relationships/control" Target="../activeX/activeX83.xml"/><Relationship Id="rId438" Type="http://schemas.openxmlformats.org/officeDocument/2006/relationships/control" Target="../activeX/activeX104.xml"/><Relationship Id="rId459" Type="http://schemas.openxmlformats.org/officeDocument/2006/relationships/control" Target="../activeX/activeX125.xml"/><Relationship Id="rId16" Type="http://schemas.openxmlformats.org/officeDocument/2006/relationships/hyperlink" Target="https://leetcode.com/problems/3sum-closest/" TargetMode="External"/><Relationship Id="rId221" Type="http://schemas.openxmlformats.org/officeDocument/2006/relationships/hyperlink" Target="https://leetcode.com/problems/basic-calculator/" TargetMode="External"/><Relationship Id="rId242" Type="http://schemas.openxmlformats.org/officeDocument/2006/relationships/hyperlink" Target="https://leetcode.com/problems/validate-binary-search-tree/description/" TargetMode="External"/><Relationship Id="rId263" Type="http://schemas.openxmlformats.org/officeDocument/2006/relationships/hyperlink" Target="https://leetcode.com/problems/longest-palindrome/" TargetMode="External"/><Relationship Id="rId284" Type="http://schemas.openxmlformats.org/officeDocument/2006/relationships/hyperlink" Target="https://leetcode.com/problems/insert-delete-getrandom-o1/" TargetMode="External"/><Relationship Id="rId319" Type="http://schemas.openxmlformats.org/officeDocument/2006/relationships/hyperlink" Target="https://leetcode.com/problems/linked-list-cycle-ii/" TargetMode="External"/><Relationship Id="rId470" Type="http://schemas.openxmlformats.org/officeDocument/2006/relationships/control" Target="../activeX/activeX136.xml"/><Relationship Id="rId491" Type="http://schemas.openxmlformats.org/officeDocument/2006/relationships/control" Target="../activeX/activeX157.xml"/><Relationship Id="rId505" Type="http://schemas.openxmlformats.org/officeDocument/2006/relationships/control" Target="../activeX/activeX171.xml"/><Relationship Id="rId526" Type="http://schemas.openxmlformats.org/officeDocument/2006/relationships/control" Target="../activeX/activeX192.xml"/><Relationship Id="rId37" Type="http://schemas.openxmlformats.org/officeDocument/2006/relationships/hyperlink" Target="https://leetcode.com/problems/find-all-numbers-disappeared-in-an-array/" TargetMode="External"/><Relationship Id="rId58" Type="http://schemas.openxmlformats.org/officeDocument/2006/relationships/hyperlink" Target="https://leetcode.com/problems/path-sum-iii/" TargetMode="External"/><Relationship Id="rId79" Type="http://schemas.openxmlformats.org/officeDocument/2006/relationships/hyperlink" Target="https://leetcode.com/problems/peak-index-in-a-mountain-array/" TargetMode="External"/><Relationship Id="rId102" Type="http://schemas.openxmlformats.org/officeDocument/2006/relationships/hyperlink" Target="https://leetcode.com/problems/find-k-pairs-with-smallest-sums/" TargetMode="External"/><Relationship Id="rId123" Type="http://schemas.openxmlformats.org/officeDocument/2006/relationships/hyperlink" Target="https://leetcode.com/problems/best-time-to-buy-and-sell-stock/" TargetMode="External"/><Relationship Id="rId144" Type="http://schemas.openxmlformats.org/officeDocument/2006/relationships/hyperlink" Target="https://leetcode.com/problems/reverse-linked-list-ii/" TargetMode="External"/><Relationship Id="rId330" Type="http://schemas.openxmlformats.org/officeDocument/2006/relationships/hyperlink" Target="https://leetcode.com/problems/add-binary/" TargetMode="External"/><Relationship Id="rId90" Type="http://schemas.openxmlformats.org/officeDocument/2006/relationships/hyperlink" Target="https://leetcode.com/problems/sort-characters-by-frequency/" TargetMode="External"/><Relationship Id="rId165" Type="http://schemas.openxmlformats.org/officeDocument/2006/relationships/hyperlink" Target="https://leetcode.com/problems/top-k-frequent-words/" TargetMode="External"/><Relationship Id="rId186" Type="http://schemas.openxmlformats.org/officeDocument/2006/relationships/hyperlink" Target="https://leetcode.com/problems/restore-ip-addresses/" TargetMode="External"/><Relationship Id="rId351" Type="http://schemas.openxmlformats.org/officeDocument/2006/relationships/control" Target="../activeX/activeX17.xml"/><Relationship Id="rId372" Type="http://schemas.openxmlformats.org/officeDocument/2006/relationships/control" Target="../activeX/activeX38.xml"/><Relationship Id="rId393" Type="http://schemas.openxmlformats.org/officeDocument/2006/relationships/control" Target="../activeX/activeX59.xml"/><Relationship Id="rId407" Type="http://schemas.openxmlformats.org/officeDocument/2006/relationships/control" Target="../activeX/activeX73.xml"/><Relationship Id="rId428" Type="http://schemas.openxmlformats.org/officeDocument/2006/relationships/control" Target="../activeX/activeX94.xml"/><Relationship Id="rId449" Type="http://schemas.openxmlformats.org/officeDocument/2006/relationships/control" Target="../activeX/activeX115.xml"/><Relationship Id="rId211" Type="http://schemas.openxmlformats.org/officeDocument/2006/relationships/hyperlink" Target="https://github.com/navidre/new_grokking_to_leetcode/blob/main" TargetMode="External"/><Relationship Id="rId232" Type="http://schemas.openxmlformats.org/officeDocument/2006/relationships/hyperlink" Target="https://leetcode.com/problems/bus-routes/" TargetMode="External"/><Relationship Id="rId253" Type="http://schemas.openxmlformats.org/officeDocument/2006/relationships/hyperlink" Target="https://leetcode.com/problems/search-suggestions-system/" TargetMode="External"/><Relationship Id="rId274" Type="http://schemas.openxmlformats.org/officeDocument/2006/relationships/hyperlink" Target="https://leetcode.com/problems/most-stones-removed-with-same-row-or-column" TargetMode="External"/><Relationship Id="rId295" Type="http://schemas.openxmlformats.org/officeDocument/2006/relationships/hyperlink" Target="https://leetcode.com/problems/pacific-atlantic-water-flow/" TargetMode="External"/><Relationship Id="rId309" Type="http://schemas.openxmlformats.org/officeDocument/2006/relationships/hyperlink" Target="https://leetcode.com/problems/loud-and-rich/" TargetMode="External"/><Relationship Id="rId460" Type="http://schemas.openxmlformats.org/officeDocument/2006/relationships/control" Target="../activeX/activeX126.xml"/><Relationship Id="rId481" Type="http://schemas.openxmlformats.org/officeDocument/2006/relationships/control" Target="../activeX/activeX147.xml"/><Relationship Id="rId516" Type="http://schemas.openxmlformats.org/officeDocument/2006/relationships/control" Target="../activeX/activeX182.xml"/><Relationship Id="rId27" Type="http://schemas.openxmlformats.org/officeDocument/2006/relationships/hyperlink" Target="https://leetcode.com/problems/palindrome-linked-list/" TargetMode="External"/><Relationship Id="rId48" Type="http://schemas.openxmlformats.org/officeDocument/2006/relationships/hyperlink" Target="https://leetcode.com/problems/binary-tree-level-order-traversal-ii/" TargetMode="External"/><Relationship Id="rId69" Type="http://schemas.openxmlformats.org/officeDocument/2006/relationships/hyperlink" Target="https://leetcode.com/problems/generate-parentheses/" TargetMode="External"/><Relationship Id="rId113" Type="http://schemas.openxmlformats.org/officeDocument/2006/relationships/hyperlink" Target="https://leetcode.com/problems/alien-dictionary/" TargetMode="External"/><Relationship Id="rId134" Type="http://schemas.openxmlformats.org/officeDocument/2006/relationships/hyperlink" Target="https://leetcode.com/problems/middle-of-the-linked-list/" TargetMode="External"/><Relationship Id="rId320" Type="http://schemas.openxmlformats.org/officeDocument/2006/relationships/hyperlink" Target="https://leetcode.com/problems/minimum-number-of-flips-to-make-the-binary-string-alternating/" TargetMode="External"/><Relationship Id="rId80" Type="http://schemas.openxmlformats.org/officeDocument/2006/relationships/hyperlink" Target="https://leetcode.com/problems/find-in-mountain-array/" TargetMode="External"/><Relationship Id="rId155" Type="http://schemas.openxmlformats.org/officeDocument/2006/relationships/hyperlink" Target="https://leetcode.com/problems/find-k-pairs-with-smallest-sums/" TargetMode="External"/><Relationship Id="rId176" Type="http://schemas.openxmlformats.org/officeDocument/2006/relationships/hyperlink" Target="https://leetcode.com/problems/generate-parentheses/" TargetMode="External"/><Relationship Id="rId197" Type="http://schemas.openxmlformats.org/officeDocument/2006/relationships/hyperlink" Target="https://leetcode.com/problems/word-break/" TargetMode="External"/><Relationship Id="rId341" Type="http://schemas.openxmlformats.org/officeDocument/2006/relationships/control" Target="../activeX/activeX7.xml"/><Relationship Id="rId362" Type="http://schemas.openxmlformats.org/officeDocument/2006/relationships/control" Target="../activeX/activeX28.xml"/><Relationship Id="rId383" Type="http://schemas.openxmlformats.org/officeDocument/2006/relationships/control" Target="../activeX/activeX49.xml"/><Relationship Id="rId418" Type="http://schemas.openxmlformats.org/officeDocument/2006/relationships/control" Target="../activeX/activeX84.xml"/><Relationship Id="rId439" Type="http://schemas.openxmlformats.org/officeDocument/2006/relationships/control" Target="../activeX/activeX105.xml"/><Relationship Id="rId201" Type="http://schemas.openxmlformats.org/officeDocument/2006/relationships/hyperlink" Target="https://leetcode.com/problems/palindromic-substrings/" TargetMode="External"/><Relationship Id="rId222" Type="http://schemas.openxmlformats.org/officeDocument/2006/relationships/hyperlink" Target="https://leetcode.com/problems/remove-all-adjacent-duplicates-in-string/" TargetMode="External"/><Relationship Id="rId243" Type="http://schemas.openxmlformats.org/officeDocument/2006/relationships/hyperlink" Target="https://leetcode.com/problems/maximum-depth-of-binary-tree/" TargetMode="External"/><Relationship Id="rId264" Type="http://schemas.openxmlformats.org/officeDocument/2006/relationships/hyperlink" Target="https://leetcode.com/problems/palindrome-permutation/" TargetMode="External"/><Relationship Id="rId285" Type="http://schemas.openxmlformats.org/officeDocument/2006/relationships/hyperlink" Target="https://leetcode.com/problems/min-stack/" TargetMode="External"/><Relationship Id="rId450" Type="http://schemas.openxmlformats.org/officeDocument/2006/relationships/control" Target="../activeX/activeX116.xml"/><Relationship Id="rId471" Type="http://schemas.openxmlformats.org/officeDocument/2006/relationships/control" Target="../activeX/activeX137.xml"/><Relationship Id="rId506" Type="http://schemas.openxmlformats.org/officeDocument/2006/relationships/control" Target="../activeX/activeX172.xml"/><Relationship Id="rId17" Type="http://schemas.openxmlformats.org/officeDocument/2006/relationships/hyperlink" Target="https://leetcode.com/problems/3sum-smaller/" TargetMode="External"/><Relationship Id="rId38" Type="http://schemas.openxmlformats.org/officeDocument/2006/relationships/hyperlink" Target="https://leetcode.com/problems/find-all-duplicates-in-an-array/" TargetMode="External"/><Relationship Id="rId59" Type="http://schemas.openxmlformats.org/officeDocument/2006/relationships/hyperlink" Target="https://leetcode.com/problems/diameter-of-binary-tree/" TargetMode="External"/><Relationship Id="rId103" Type="http://schemas.openxmlformats.org/officeDocument/2006/relationships/hyperlink" Target="https://www.educative.io/courses/grokking-dynamic-programming-patterns-for-coding-interviews/RM1BDv71V60" TargetMode="External"/><Relationship Id="rId124" Type="http://schemas.openxmlformats.org/officeDocument/2006/relationships/hyperlink" Target="https://leetcode.com/problems/valid-palindrome/" TargetMode="External"/><Relationship Id="rId310" Type="http://schemas.openxmlformats.org/officeDocument/2006/relationships/hyperlink" Target="https://leetcode.com/problems/product-of-array-except-self/" TargetMode="External"/><Relationship Id="rId492" Type="http://schemas.openxmlformats.org/officeDocument/2006/relationships/control" Target="../activeX/activeX158.xml"/><Relationship Id="rId527" Type="http://schemas.openxmlformats.org/officeDocument/2006/relationships/control" Target="../activeX/activeX193.xml"/><Relationship Id="rId70" Type="http://schemas.openxmlformats.org/officeDocument/2006/relationships/hyperlink" Target="https://leetcode.com/problems/generalized-abbreviation/" TargetMode="External"/><Relationship Id="rId91" Type="http://schemas.openxmlformats.org/officeDocument/2006/relationships/hyperlink" Target="https://leetcode.com/problems/kth-largest-element-in-a-stream/" TargetMode="External"/><Relationship Id="rId145" Type="http://schemas.openxmlformats.org/officeDocument/2006/relationships/hyperlink" Target="https://leetcode.com/problems/reorder-list/" TargetMode="External"/><Relationship Id="rId166" Type="http://schemas.openxmlformats.org/officeDocument/2006/relationships/hyperlink" Target="https://leetcode.com/problems/binary-search/" TargetMode="External"/><Relationship Id="rId187" Type="http://schemas.openxmlformats.org/officeDocument/2006/relationships/hyperlink" Target="https://leetcode.com/problems/flood-fill/" TargetMode="External"/><Relationship Id="rId331" Type="http://schemas.openxmlformats.org/officeDocument/2006/relationships/hyperlink" Target="https://leetcode.com/problems/multiply-strings" TargetMode="External"/><Relationship Id="rId352" Type="http://schemas.openxmlformats.org/officeDocument/2006/relationships/control" Target="../activeX/activeX18.xml"/><Relationship Id="rId373" Type="http://schemas.openxmlformats.org/officeDocument/2006/relationships/control" Target="../activeX/activeX39.xml"/><Relationship Id="rId394" Type="http://schemas.openxmlformats.org/officeDocument/2006/relationships/control" Target="../activeX/activeX60.xml"/><Relationship Id="rId408" Type="http://schemas.openxmlformats.org/officeDocument/2006/relationships/control" Target="../activeX/activeX74.xml"/><Relationship Id="rId429" Type="http://schemas.openxmlformats.org/officeDocument/2006/relationships/control" Target="../activeX/activeX95.xml"/><Relationship Id="rId1" Type="http://schemas.openxmlformats.org/officeDocument/2006/relationships/hyperlink" Target="https://leetcode.com/problems/maximum-subarray/" TargetMode="External"/><Relationship Id="rId212" Type="http://schemas.openxmlformats.org/officeDocument/2006/relationships/hyperlink" Target="https://leetcode.com/problems/alien-dictionary/" TargetMode="External"/><Relationship Id="rId233" Type="http://schemas.openxmlformats.org/officeDocument/2006/relationships/hyperlink" Target="https://leetcode.com/problems/flatten-binary-tree-to-linked-list/" TargetMode="External"/><Relationship Id="rId254" Type="http://schemas.openxmlformats.org/officeDocument/2006/relationships/hyperlink" Target="https://leetcode.com/problems/replace-words/" TargetMode="External"/><Relationship Id="rId440" Type="http://schemas.openxmlformats.org/officeDocument/2006/relationships/control" Target="../activeX/activeX106.xml"/><Relationship Id="rId28" Type="http://schemas.openxmlformats.org/officeDocument/2006/relationships/hyperlink" Target="https://leetcode.com/problems/reorder-list/" TargetMode="External"/><Relationship Id="rId49" Type="http://schemas.openxmlformats.org/officeDocument/2006/relationships/hyperlink" Target="https://leetcode.com/problems/binary-tree-zigzag-level-order-traversal/" TargetMode="External"/><Relationship Id="rId114" Type="http://schemas.openxmlformats.org/officeDocument/2006/relationships/hyperlink" Target="https://leetcode.com/problems/sequence-reconstruction/description/" TargetMode="External"/><Relationship Id="rId275" Type="http://schemas.openxmlformats.org/officeDocument/2006/relationships/hyperlink" Target="https://leetcode.com/problems/longest-consecutive-sequence" TargetMode="External"/><Relationship Id="rId296" Type="http://schemas.openxmlformats.org/officeDocument/2006/relationships/hyperlink" Target="https://leetcode.com/problems/contains-duplicate/" TargetMode="External"/><Relationship Id="rId300" Type="http://schemas.openxmlformats.org/officeDocument/2006/relationships/hyperlink" Target="https://leetcode.com/problems/non-overlapping-intervals/" TargetMode="External"/><Relationship Id="rId461" Type="http://schemas.openxmlformats.org/officeDocument/2006/relationships/control" Target="../activeX/activeX127.xml"/><Relationship Id="rId482" Type="http://schemas.openxmlformats.org/officeDocument/2006/relationships/control" Target="../activeX/activeX148.xml"/><Relationship Id="rId517" Type="http://schemas.openxmlformats.org/officeDocument/2006/relationships/control" Target="../activeX/activeX183.xml"/><Relationship Id="rId60" Type="http://schemas.openxmlformats.org/officeDocument/2006/relationships/hyperlink" Target="https://leetcode.com/problems/binary-tree-maximum-path-sum/" TargetMode="External"/><Relationship Id="rId81" Type="http://schemas.openxmlformats.org/officeDocument/2006/relationships/hyperlink" Target="https://leetcode.com/problems/search-in-rotated-sorted-array/" TargetMode="External"/><Relationship Id="rId135" Type="http://schemas.openxmlformats.org/officeDocument/2006/relationships/hyperlink" Target="https://leetcode.com/problems/palindrome-linked-list/" TargetMode="External"/><Relationship Id="rId156" Type="http://schemas.openxmlformats.org/officeDocument/2006/relationships/hyperlink" Target="https://leetcode.com/problems/merge-k-sorted-lists/" TargetMode="External"/><Relationship Id="rId177" Type="http://schemas.openxmlformats.org/officeDocument/2006/relationships/hyperlink" Target="https://leetcode.com/problems/subarray-sum-equals-k/" TargetMode="External"/><Relationship Id="rId198" Type="http://schemas.openxmlformats.org/officeDocument/2006/relationships/hyperlink" Target="https://leetcode.com/problems/word-break-ii/" TargetMode="External"/><Relationship Id="rId321" Type="http://schemas.openxmlformats.org/officeDocument/2006/relationships/hyperlink" Target="https://leetcode.com/problems/lemonade-change/" TargetMode="External"/><Relationship Id="rId342" Type="http://schemas.openxmlformats.org/officeDocument/2006/relationships/control" Target="../activeX/activeX8.xml"/><Relationship Id="rId363" Type="http://schemas.openxmlformats.org/officeDocument/2006/relationships/control" Target="../activeX/activeX29.xml"/><Relationship Id="rId384" Type="http://schemas.openxmlformats.org/officeDocument/2006/relationships/control" Target="../activeX/activeX50.xml"/><Relationship Id="rId419" Type="http://schemas.openxmlformats.org/officeDocument/2006/relationships/control" Target="../activeX/activeX85.xml"/><Relationship Id="rId202" Type="http://schemas.openxmlformats.org/officeDocument/2006/relationships/hyperlink" Target="https://leetcode.com/problems/longest-common-subsequence/" TargetMode="External"/><Relationship Id="rId223" Type="http://schemas.openxmlformats.org/officeDocument/2006/relationships/hyperlink" Target="https://leetcode.com/problems/minimum-remove-to-make-valid-parentheses/" TargetMode="External"/><Relationship Id="rId244" Type="http://schemas.openxmlformats.org/officeDocument/2006/relationships/hyperlink" Target="https://leetcode.com/problems/kth-smallest-element-in-a-bst" TargetMode="External"/><Relationship Id="rId430" Type="http://schemas.openxmlformats.org/officeDocument/2006/relationships/control" Target="../activeX/activeX96.xml"/><Relationship Id="rId18" Type="http://schemas.openxmlformats.org/officeDocument/2006/relationships/hyperlink" Target="https://leetcode.com/problems/subarray-product-less-than-k/" TargetMode="External"/><Relationship Id="rId39" Type="http://schemas.openxmlformats.org/officeDocument/2006/relationships/hyperlink" Target="https://leetcode.com/problems/find-the-duplicate-number/" TargetMode="External"/><Relationship Id="rId265" Type="http://schemas.openxmlformats.org/officeDocument/2006/relationships/hyperlink" Target="https://leetcode.com/problems/valid-anagram" TargetMode="External"/><Relationship Id="rId286" Type="http://schemas.openxmlformats.org/officeDocument/2006/relationships/hyperlink" Target="https://leetcode.com/problems/lfu-cache/" TargetMode="External"/><Relationship Id="rId451" Type="http://schemas.openxmlformats.org/officeDocument/2006/relationships/control" Target="../activeX/activeX117.xml"/><Relationship Id="rId472" Type="http://schemas.openxmlformats.org/officeDocument/2006/relationships/control" Target="../activeX/activeX138.xml"/><Relationship Id="rId493" Type="http://schemas.openxmlformats.org/officeDocument/2006/relationships/control" Target="../activeX/activeX159.xml"/><Relationship Id="rId507" Type="http://schemas.openxmlformats.org/officeDocument/2006/relationships/control" Target="../activeX/activeX173.xml"/><Relationship Id="rId528" Type="http://schemas.openxmlformats.org/officeDocument/2006/relationships/control" Target="../activeX/activeX194.xml"/><Relationship Id="rId50" Type="http://schemas.openxmlformats.org/officeDocument/2006/relationships/hyperlink" Target="https://leetcode.com/problems/minimum-depth-of-binary-tree/" TargetMode="External"/><Relationship Id="rId104" Type="http://schemas.openxmlformats.org/officeDocument/2006/relationships/hyperlink" Target="https://www.educative.io/courses/grokking-dynamic-programming-patterns-for-coding-interviews/3j64vRY6JnR" TargetMode="External"/><Relationship Id="rId125" Type="http://schemas.openxmlformats.org/officeDocument/2006/relationships/hyperlink" Target="https://leetcode.com/problems/3sum-closest/" TargetMode="External"/><Relationship Id="rId146" Type="http://schemas.openxmlformats.org/officeDocument/2006/relationships/hyperlink" Target="https://leetcode.com/problems/swapping-nodes-in-a-linked-list/" TargetMode="External"/><Relationship Id="rId167" Type="http://schemas.openxmlformats.org/officeDocument/2006/relationships/hyperlink" Target="https://leetcode.com/problems/search-in-rotated-sorted-array/" TargetMode="External"/><Relationship Id="rId188" Type="http://schemas.openxmlformats.org/officeDocument/2006/relationships/hyperlink" Target="https://leetcode.com/problems/sudoku-solver/" TargetMode="External"/><Relationship Id="rId311" Type="http://schemas.openxmlformats.org/officeDocument/2006/relationships/hyperlink" Target="https://leetcode.com/problems/longest-increasing-subsequence/" TargetMode="External"/><Relationship Id="rId332" Type="http://schemas.openxmlformats.org/officeDocument/2006/relationships/drawing" Target="../drawings/drawing4.xml"/><Relationship Id="rId353" Type="http://schemas.openxmlformats.org/officeDocument/2006/relationships/control" Target="../activeX/activeX19.xml"/><Relationship Id="rId374" Type="http://schemas.openxmlformats.org/officeDocument/2006/relationships/control" Target="../activeX/activeX40.xml"/><Relationship Id="rId395" Type="http://schemas.openxmlformats.org/officeDocument/2006/relationships/control" Target="../activeX/activeX61.xml"/><Relationship Id="rId409" Type="http://schemas.openxmlformats.org/officeDocument/2006/relationships/control" Target="../activeX/activeX75.xml"/><Relationship Id="rId71" Type="http://schemas.openxmlformats.org/officeDocument/2006/relationships/hyperlink" Target="https://leetcode.com/problems/different-ways-to-add-parentheses/" TargetMode="External"/><Relationship Id="rId92" Type="http://schemas.openxmlformats.org/officeDocument/2006/relationships/hyperlink" Target="https://leetcode.com/problems/find-k-closest-elements/" TargetMode="External"/><Relationship Id="rId213" Type="http://schemas.openxmlformats.org/officeDocument/2006/relationships/hyperlink" Target="https://leetcode.com/problems/verifying-an-alien-dictionary/" TargetMode="External"/><Relationship Id="rId234" Type="http://schemas.openxmlformats.org/officeDocument/2006/relationships/hyperlink" Target="https://leetcode.com/problems/diameter-of-binary-tree/" TargetMode="External"/><Relationship Id="rId420" Type="http://schemas.openxmlformats.org/officeDocument/2006/relationships/control" Target="../activeX/activeX86.xml"/><Relationship Id="rId2" Type="http://schemas.openxmlformats.org/officeDocument/2006/relationships/hyperlink" Target="https://leetcode.com/problems/minimum-size-subarray-sum/" TargetMode="External"/><Relationship Id="rId29" Type="http://schemas.openxmlformats.org/officeDocument/2006/relationships/hyperlink" Target="https://leetcode.com/problems/circular-array-loop/" TargetMode="External"/><Relationship Id="rId255" Type="http://schemas.openxmlformats.org/officeDocument/2006/relationships/hyperlink" Target="https://leetcode.com/problems/design-add-and-search-words-data-structure/" TargetMode="External"/><Relationship Id="rId276" Type="http://schemas.openxmlformats.org/officeDocument/2006/relationships/hyperlink" Target="https://leetcode.com/problems/last-day-where-you-can-still-cross/" TargetMode="External"/><Relationship Id="rId297" Type="http://schemas.openxmlformats.org/officeDocument/2006/relationships/hyperlink" Target="https://leetcode.com/problems/maximum-subarray/" TargetMode="External"/><Relationship Id="rId441" Type="http://schemas.openxmlformats.org/officeDocument/2006/relationships/control" Target="../activeX/activeX107.xml"/><Relationship Id="rId462" Type="http://schemas.openxmlformats.org/officeDocument/2006/relationships/control" Target="../activeX/activeX128.xml"/><Relationship Id="rId483" Type="http://schemas.openxmlformats.org/officeDocument/2006/relationships/control" Target="../activeX/activeX149.xml"/><Relationship Id="rId518" Type="http://schemas.openxmlformats.org/officeDocument/2006/relationships/control" Target="../activeX/activeX184.xml"/><Relationship Id="rId40" Type="http://schemas.openxmlformats.org/officeDocument/2006/relationships/hyperlink" Target="https://leetcode.com/problems/missing-number/" TargetMode="External"/><Relationship Id="rId115" Type="http://schemas.openxmlformats.org/officeDocument/2006/relationships/hyperlink" Target="https://leetcode.com/problems/minimum-height-trees/" TargetMode="External"/><Relationship Id="rId136" Type="http://schemas.openxmlformats.org/officeDocument/2006/relationships/hyperlink" Target="https://leetcode.com/problems/merge-intervals/" TargetMode="External"/><Relationship Id="rId157" Type="http://schemas.openxmlformats.org/officeDocument/2006/relationships/hyperlink" Target="https://leetcode.com/problems/kth-smallest-element-in-a-sorted-matrix/" TargetMode="External"/><Relationship Id="rId178" Type="http://schemas.openxmlformats.org/officeDocument/2006/relationships/hyperlink" Target="https://leetcode.com/problems/jump-game/" TargetMode="External"/><Relationship Id="rId301" Type="http://schemas.openxmlformats.org/officeDocument/2006/relationships/hyperlink" Target="https://leetcode.com/problems/meeting-rooms/" TargetMode="External"/><Relationship Id="rId322" Type="http://schemas.openxmlformats.org/officeDocument/2006/relationships/hyperlink" Target="https://leetcode.com/problems/house-robber/" TargetMode="External"/><Relationship Id="rId343" Type="http://schemas.openxmlformats.org/officeDocument/2006/relationships/control" Target="../activeX/activeX9.xml"/><Relationship Id="rId364" Type="http://schemas.openxmlformats.org/officeDocument/2006/relationships/control" Target="../activeX/activeX30.xml"/><Relationship Id="rId61" Type="http://schemas.openxmlformats.org/officeDocument/2006/relationships/hyperlink" Target="https://leetcode.com/problems/find-median-from-data-stream/" TargetMode="External"/><Relationship Id="rId82" Type="http://schemas.openxmlformats.org/officeDocument/2006/relationships/hyperlink" Target="https://leetcode.com/problems/single-number/" TargetMode="External"/><Relationship Id="rId199" Type="http://schemas.openxmlformats.org/officeDocument/2006/relationships/hyperlink" Target="https://leetcode.com/problems/maximum-product-subarray/" TargetMode="External"/><Relationship Id="rId203" Type="http://schemas.openxmlformats.org/officeDocument/2006/relationships/hyperlink" Target="https://leetcode.com/problems/decode-ways/" TargetMode="External"/><Relationship Id="rId385" Type="http://schemas.openxmlformats.org/officeDocument/2006/relationships/control" Target="../activeX/activeX51.xml"/><Relationship Id="rId19" Type="http://schemas.openxmlformats.org/officeDocument/2006/relationships/hyperlink" Target="https://leetcode.com/problems/sort-colors/" TargetMode="External"/><Relationship Id="rId224" Type="http://schemas.openxmlformats.org/officeDocument/2006/relationships/hyperlink" Target="https://leetcode.com/problems/exclusive-time-of-functions/" TargetMode="External"/><Relationship Id="rId245" Type="http://schemas.openxmlformats.org/officeDocument/2006/relationships/hyperlink" Target="https://leetcode.com/problems/binary-tree-level-order-traversal/" TargetMode="External"/><Relationship Id="rId266" Type="http://schemas.openxmlformats.org/officeDocument/2006/relationships/hyperlink" Target="https://leetcode.com/problems/design-tic-tac-toe/" TargetMode="External"/><Relationship Id="rId287" Type="http://schemas.openxmlformats.org/officeDocument/2006/relationships/hyperlink" Target="https://leetcode.com/problems/find-the-difference/" TargetMode="External"/><Relationship Id="rId410" Type="http://schemas.openxmlformats.org/officeDocument/2006/relationships/control" Target="../activeX/activeX76.xml"/><Relationship Id="rId431" Type="http://schemas.openxmlformats.org/officeDocument/2006/relationships/control" Target="../activeX/activeX97.xml"/><Relationship Id="rId452" Type="http://schemas.openxmlformats.org/officeDocument/2006/relationships/control" Target="../activeX/activeX118.xml"/><Relationship Id="rId473" Type="http://schemas.openxmlformats.org/officeDocument/2006/relationships/control" Target="../activeX/activeX139.xml"/><Relationship Id="rId494" Type="http://schemas.openxmlformats.org/officeDocument/2006/relationships/control" Target="../activeX/activeX160.xml"/><Relationship Id="rId508" Type="http://schemas.openxmlformats.org/officeDocument/2006/relationships/control" Target="../activeX/activeX174.xml"/><Relationship Id="rId529" Type="http://schemas.openxmlformats.org/officeDocument/2006/relationships/control" Target="../activeX/activeX195.xml"/><Relationship Id="rId30" Type="http://schemas.openxmlformats.org/officeDocument/2006/relationships/hyperlink" Target="https://leetcode.com/problems/merge-intervals/" TargetMode="External"/><Relationship Id="rId105" Type="http://schemas.openxmlformats.org/officeDocument/2006/relationships/hyperlink" Target="https://leetcode.com/problems/last-stone-weight-ii/" TargetMode="External"/><Relationship Id="rId126" Type="http://schemas.openxmlformats.org/officeDocument/2006/relationships/hyperlink" Target="https://leetcode.com/problems/remove-nth-node-from-end-of-list/" TargetMode="External"/><Relationship Id="rId147" Type="http://schemas.openxmlformats.org/officeDocument/2006/relationships/hyperlink" Target="https://leetcode.com/problems/reverse-nodes-in-even-length-groups/" TargetMode="External"/><Relationship Id="rId168" Type="http://schemas.openxmlformats.org/officeDocument/2006/relationships/hyperlink" Target="https://leetcode.com/problems/first-bad-version/" TargetMode="External"/><Relationship Id="rId312" Type="http://schemas.openxmlformats.org/officeDocument/2006/relationships/hyperlink" Target="https://leetcode.com/problems/sum-of-two-integers/" TargetMode="External"/><Relationship Id="rId333" Type="http://schemas.openxmlformats.org/officeDocument/2006/relationships/vmlDrawing" Target="../drawings/vmlDrawing2.vml"/><Relationship Id="rId354" Type="http://schemas.openxmlformats.org/officeDocument/2006/relationships/control" Target="../activeX/activeX20.xml"/><Relationship Id="rId51" Type="http://schemas.openxmlformats.org/officeDocument/2006/relationships/hyperlink" Target="https://leetcode.com/problems/inorder-successor-in-bst/" TargetMode="External"/><Relationship Id="rId72" Type="http://schemas.openxmlformats.org/officeDocument/2006/relationships/hyperlink" Target="https://leetcode.com/problems/unique-binary-search-trees-ii/" TargetMode="External"/><Relationship Id="rId93" Type="http://schemas.openxmlformats.org/officeDocument/2006/relationships/hyperlink" Target="https://www.geeksforgeeks.org/sum-elements-k1th-k2th-smallest-elements/" TargetMode="External"/><Relationship Id="rId189" Type="http://schemas.openxmlformats.org/officeDocument/2006/relationships/hyperlink" Target="https://leetcode.com/problems/matchsticks-to-square/" TargetMode="External"/><Relationship Id="rId375" Type="http://schemas.openxmlformats.org/officeDocument/2006/relationships/control" Target="../activeX/activeX41.xml"/><Relationship Id="rId396" Type="http://schemas.openxmlformats.org/officeDocument/2006/relationships/control" Target="../activeX/activeX62.xml"/><Relationship Id="rId3" Type="http://schemas.openxmlformats.org/officeDocument/2006/relationships/hyperlink" Target="https://leetcode.com/problems/longest-substring-with-at-most-k-distinct-characters/" TargetMode="External"/><Relationship Id="rId214" Type="http://schemas.openxmlformats.org/officeDocument/2006/relationships/hyperlink" Target="https://leetcode.com/problems/course-schedule-ii/" TargetMode="External"/><Relationship Id="rId235" Type="http://schemas.openxmlformats.org/officeDocument/2006/relationships/hyperlink" Target="https://leetcode.com/problems/serialize-and-deserialize-binary-tree/" TargetMode="External"/><Relationship Id="rId256" Type="http://schemas.openxmlformats.org/officeDocument/2006/relationships/hyperlink" Target="https://leetcode.com/problems/word-search-ii/" TargetMode="External"/><Relationship Id="rId277" Type="http://schemas.openxmlformats.org/officeDocument/2006/relationships/hyperlink" Target="https://leetcode.com/problems/regions-cut-by-slashes/" TargetMode="External"/><Relationship Id="rId298" Type="http://schemas.openxmlformats.org/officeDocument/2006/relationships/hyperlink" Target="https://leetcode.com/problems/two-sum/" TargetMode="External"/><Relationship Id="rId400" Type="http://schemas.openxmlformats.org/officeDocument/2006/relationships/control" Target="../activeX/activeX66.xml"/><Relationship Id="rId421" Type="http://schemas.openxmlformats.org/officeDocument/2006/relationships/control" Target="../activeX/activeX87.xml"/><Relationship Id="rId442" Type="http://schemas.openxmlformats.org/officeDocument/2006/relationships/control" Target="../activeX/activeX108.xml"/><Relationship Id="rId463" Type="http://schemas.openxmlformats.org/officeDocument/2006/relationships/control" Target="../activeX/activeX129.xml"/><Relationship Id="rId484" Type="http://schemas.openxmlformats.org/officeDocument/2006/relationships/control" Target="../activeX/activeX150.xml"/><Relationship Id="rId519" Type="http://schemas.openxmlformats.org/officeDocument/2006/relationships/control" Target="../activeX/activeX185.xml"/><Relationship Id="rId116" Type="http://schemas.openxmlformats.org/officeDocument/2006/relationships/hyperlink" Target="https://leetcode.com/problems/sliding-window-maximum/" TargetMode="External"/><Relationship Id="rId137" Type="http://schemas.openxmlformats.org/officeDocument/2006/relationships/hyperlink" Target="https://leetcode.com/problems/insert-interval/" TargetMode="External"/><Relationship Id="rId158" Type="http://schemas.openxmlformats.org/officeDocument/2006/relationships/hyperlink" Target="https://leetcode.com/problems/median-of-two-sorted-arrays/" TargetMode="External"/><Relationship Id="rId302" Type="http://schemas.openxmlformats.org/officeDocument/2006/relationships/hyperlink" Target="https://leetcode.com/problems/largest-rectangle-in-histogram/" TargetMode="External"/><Relationship Id="rId323" Type="http://schemas.openxmlformats.org/officeDocument/2006/relationships/hyperlink" Target="https://leetcode.com/problems/find-all-numbers-disappeared-in-an-array/" TargetMode="External"/><Relationship Id="rId344" Type="http://schemas.openxmlformats.org/officeDocument/2006/relationships/control" Target="../activeX/activeX10.xml"/><Relationship Id="rId20" Type="http://schemas.openxmlformats.org/officeDocument/2006/relationships/hyperlink" Target="https://leetcode.com/problems/4sum/" TargetMode="External"/><Relationship Id="rId41" Type="http://schemas.openxmlformats.org/officeDocument/2006/relationships/hyperlink" Target="https://leetcode.com/problems/first-missing-positive/" TargetMode="External"/><Relationship Id="rId62" Type="http://schemas.openxmlformats.org/officeDocument/2006/relationships/hyperlink" Target="https://leetcode.com/problems/sliding-window-median/" TargetMode="External"/><Relationship Id="rId83" Type="http://schemas.openxmlformats.org/officeDocument/2006/relationships/hyperlink" Target="https://leetcode.com/problems/single-number-iii/" TargetMode="External"/><Relationship Id="rId179" Type="http://schemas.openxmlformats.org/officeDocument/2006/relationships/hyperlink" Target="https://leetcode.com/problems/boats-to-save-people/" TargetMode="External"/><Relationship Id="rId365" Type="http://schemas.openxmlformats.org/officeDocument/2006/relationships/control" Target="../activeX/activeX31.xml"/><Relationship Id="rId386" Type="http://schemas.openxmlformats.org/officeDocument/2006/relationships/control" Target="../activeX/activeX52.xml"/><Relationship Id="rId190" Type="http://schemas.openxmlformats.org/officeDocument/2006/relationships/hyperlink" Target="https://github.com/navidre/new_grokking_to_leetcode/blob/main" TargetMode="External"/><Relationship Id="rId204" Type="http://schemas.openxmlformats.org/officeDocument/2006/relationships/hyperlink" Target="https://leetcode.com/problems/minimum-number-of-refueling-stops/" TargetMode="External"/><Relationship Id="rId225" Type="http://schemas.openxmlformats.org/officeDocument/2006/relationships/hyperlink" Target="https://leetcode.com/problems/flatten-nested-list-iterator/" TargetMode="External"/><Relationship Id="rId246" Type="http://schemas.openxmlformats.org/officeDocument/2006/relationships/hyperlink" Target="https://leetcode.com/problems/binary-tree-zigzag-level-order-traversal/" TargetMode="External"/><Relationship Id="rId267" Type="http://schemas.openxmlformats.org/officeDocument/2006/relationships/hyperlink" Target="https://leetcode.com/problems/group-anagrams/" TargetMode="External"/><Relationship Id="rId288" Type="http://schemas.openxmlformats.org/officeDocument/2006/relationships/hyperlink" Target="https://leetcode.com/problems/complement-of-base-10-integer/" TargetMode="External"/><Relationship Id="rId411" Type="http://schemas.openxmlformats.org/officeDocument/2006/relationships/control" Target="../activeX/activeX77.xml"/><Relationship Id="rId432" Type="http://schemas.openxmlformats.org/officeDocument/2006/relationships/control" Target="../activeX/activeX98.xml"/><Relationship Id="rId453" Type="http://schemas.openxmlformats.org/officeDocument/2006/relationships/control" Target="../activeX/activeX119.xml"/><Relationship Id="rId474" Type="http://schemas.openxmlformats.org/officeDocument/2006/relationships/control" Target="../activeX/activeX140.xml"/><Relationship Id="rId509" Type="http://schemas.openxmlformats.org/officeDocument/2006/relationships/control" Target="../activeX/activeX175.xml"/><Relationship Id="rId106" Type="http://schemas.openxmlformats.org/officeDocument/2006/relationships/hyperlink" Target="https://leetcode.com/problems/combination-sum-ii/" TargetMode="External"/><Relationship Id="rId127" Type="http://schemas.openxmlformats.org/officeDocument/2006/relationships/hyperlink" Target="https://leetcode.com/problems/sort-colors/" TargetMode="External"/><Relationship Id="rId313" Type="http://schemas.openxmlformats.org/officeDocument/2006/relationships/hyperlink" Target="https://leetcode.com/problems/majority-element/" TargetMode="External"/><Relationship Id="rId495" Type="http://schemas.openxmlformats.org/officeDocument/2006/relationships/control" Target="../activeX/activeX161.xml"/><Relationship Id="rId10" Type="http://schemas.openxmlformats.org/officeDocument/2006/relationships/hyperlink" Target="https://leetcode.com/problems/minimum-window-substring/" TargetMode="External"/><Relationship Id="rId31" Type="http://schemas.openxmlformats.org/officeDocument/2006/relationships/hyperlink" Target="https://leetcode.com/problems/insert-interval/" TargetMode="External"/><Relationship Id="rId52" Type="http://schemas.openxmlformats.org/officeDocument/2006/relationships/hyperlink" Target="https://leetcode.com/problems/populating-next-right-pointers-in-each-node/" TargetMode="External"/><Relationship Id="rId73" Type="http://schemas.openxmlformats.org/officeDocument/2006/relationships/hyperlink" Target="https://leetcode.com/problems/unique-binary-search-trees/" TargetMode="External"/><Relationship Id="rId94" Type="http://schemas.openxmlformats.org/officeDocument/2006/relationships/hyperlink" Target="https://leetcode.com/problems/reorganize-string/" TargetMode="External"/><Relationship Id="rId148" Type="http://schemas.openxmlformats.org/officeDocument/2006/relationships/hyperlink" Target="https://leetcode.com/problems/swap-nodes-in-pairs/" TargetMode="External"/><Relationship Id="rId169" Type="http://schemas.openxmlformats.org/officeDocument/2006/relationships/hyperlink" Target="https://leetcode.com/problems/random-pick-with-weight/" TargetMode="External"/><Relationship Id="rId334" Type="http://schemas.openxmlformats.org/officeDocument/2006/relationships/control" Target="../activeX/activeX1.xml"/><Relationship Id="rId355" Type="http://schemas.openxmlformats.org/officeDocument/2006/relationships/control" Target="../activeX/activeX21.xml"/><Relationship Id="rId376" Type="http://schemas.openxmlformats.org/officeDocument/2006/relationships/control" Target="../activeX/activeX42.xml"/><Relationship Id="rId397" Type="http://schemas.openxmlformats.org/officeDocument/2006/relationships/control" Target="../activeX/activeX63.xml"/><Relationship Id="rId520" Type="http://schemas.openxmlformats.org/officeDocument/2006/relationships/control" Target="../activeX/activeX186.xml"/><Relationship Id="rId4" Type="http://schemas.openxmlformats.org/officeDocument/2006/relationships/hyperlink" Target="https://leetcode.com/problems/fruit-into-baskets/" TargetMode="External"/><Relationship Id="rId180" Type="http://schemas.openxmlformats.org/officeDocument/2006/relationships/hyperlink" Target="https://leetcode.com/problems/gas-station/" TargetMode="External"/><Relationship Id="rId215" Type="http://schemas.openxmlformats.org/officeDocument/2006/relationships/hyperlink" Target="https://leetcode.com/problems/course-schedule/" TargetMode="External"/><Relationship Id="rId236" Type="http://schemas.openxmlformats.org/officeDocument/2006/relationships/hyperlink" Target="https://leetcode.com/problems/invert-binary-tree/" TargetMode="External"/><Relationship Id="rId257" Type="http://schemas.openxmlformats.org/officeDocument/2006/relationships/hyperlink" Target="https://leetcode.com/problems/lexicographical-numbers/" TargetMode="External"/><Relationship Id="rId278" Type="http://schemas.openxmlformats.org/officeDocument/2006/relationships/hyperlink" Target="https://leetcode.com/problems/accounts-merge" TargetMode="External"/><Relationship Id="rId401" Type="http://schemas.openxmlformats.org/officeDocument/2006/relationships/control" Target="../activeX/activeX67.xml"/><Relationship Id="rId422" Type="http://schemas.openxmlformats.org/officeDocument/2006/relationships/control" Target="../activeX/activeX88.xml"/><Relationship Id="rId443" Type="http://schemas.openxmlformats.org/officeDocument/2006/relationships/control" Target="../activeX/activeX109.xml"/><Relationship Id="rId464" Type="http://schemas.openxmlformats.org/officeDocument/2006/relationships/control" Target="../activeX/activeX130.xml"/><Relationship Id="rId303" Type="http://schemas.openxmlformats.org/officeDocument/2006/relationships/hyperlink" Target="https://leetcode.com/problems/subtree-of-another-tree/" TargetMode="External"/><Relationship Id="rId485" Type="http://schemas.openxmlformats.org/officeDocument/2006/relationships/control" Target="../activeX/activeX151.xml"/><Relationship Id="rId42" Type="http://schemas.openxmlformats.org/officeDocument/2006/relationships/hyperlink" Target="https://leetcode.com/problems/kth-missing-positive-number/" TargetMode="External"/><Relationship Id="rId84" Type="http://schemas.openxmlformats.org/officeDocument/2006/relationships/hyperlink" Target="https://leetcode.com/problems/complement-of-base-10-integer/" TargetMode="External"/><Relationship Id="rId138" Type="http://schemas.openxmlformats.org/officeDocument/2006/relationships/hyperlink" Target="https://leetcode.com/problems/interval-list-intersections/" TargetMode="External"/><Relationship Id="rId345" Type="http://schemas.openxmlformats.org/officeDocument/2006/relationships/control" Target="../activeX/activeX11.xml"/><Relationship Id="rId387" Type="http://schemas.openxmlformats.org/officeDocument/2006/relationships/control" Target="../activeX/activeX53.xml"/><Relationship Id="rId510" Type="http://schemas.openxmlformats.org/officeDocument/2006/relationships/control" Target="../activeX/activeX176.xml"/><Relationship Id="rId191" Type="http://schemas.openxmlformats.org/officeDocument/2006/relationships/hyperlink" Target="https://leetcode.com/problems/coin-change/" TargetMode="External"/><Relationship Id="rId205" Type="http://schemas.openxmlformats.org/officeDocument/2006/relationships/hyperlink" Target="https://leetcode.com/problems/climbing-stairs/" TargetMode="External"/><Relationship Id="rId247" Type="http://schemas.openxmlformats.org/officeDocument/2006/relationships/hyperlink" Target="https://leetcode.com/problems/populating-next-right-pointers-in-each-node/" TargetMode="External"/><Relationship Id="rId412" Type="http://schemas.openxmlformats.org/officeDocument/2006/relationships/control" Target="../activeX/activeX78.xml"/><Relationship Id="rId107" Type="http://schemas.openxmlformats.org/officeDocument/2006/relationships/hyperlink" Target="https://www.educative.io/courses/grokking-dynamic-programming-patterns-for-coding-interviews/3jEPRo5PDvx" TargetMode="External"/><Relationship Id="rId289" Type="http://schemas.openxmlformats.org/officeDocument/2006/relationships/hyperlink" Target="https://leetcode.com/problems/flipping-an-image/" TargetMode="External"/><Relationship Id="rId454" Type="http://schemas.openxmlformats.org/officeDocument/2006/relationships/control" Target="../activeX/activeX120.xml"/><Relationship Id="rId496" Type="http://schemas.openxmlformats.org/officeDocument/2006/relationships/control" Target="../activeX/activeX162.xml"/><Relationship Id="rId11" Type="http://schemas.openxmlformats.org/officeDocument/2006/relationships/hyperlink" Target="https://leetcode.com/problems/substring-with-concatenation-of-all-words/" TargetMode="External"/><Relationship Id="rId53" Type="http://schemas.openxmlformats.org/officeDocument/2006/relationships/hyperlink" Target="https://leetcode.com/problems/binary-tree-right-side-view/" TargetMode="External"/><Relationship Id="rId149" Type="http://schemas.openxmlformats.org/officeDocument/2006/relationships/hyperlink" Target="https://leetcode.com/problems/ipo/" TargetMode="External"/><Relationship Id="rId314" Type="http://schemas.openxmlformats.org/officeDocument/2006/relationships/hyperlink" Target="https://leetcode.com/problems/unique-paths/" TargetMode="External"/><Relationship Id="rId356" Type="http://schemas.openxmlformats.org/officeDocument/2006/relationships/control" Target="../activeX/activeX22.xml"/><Relationship Id="rId398" Type="http://schemas.openxmlformats.org/officeDocument/2006/relationships/control" Target="../activeX/activeX64.xml"/><Relationship Id="rId521" Type="http://schemas.openxmlformats.org/officeDocument/2006/relationships/control" Target="../activeX/activeX187.xml"/><Relationship Id="rId95" Type="http://schemas.openxmlformats.org/officeDocument/2006/relationships/hyperlink" Target="https://leetcode.com/problems/rearrange-string-k-distance-apart/" TargetMode="External"/><Relationship Id="rId160" Type="http://schemas.openxmlformats.org/officeDocument/2006/relationships/hyperlink" Target="https://leetcode.com/problems/reorganize-string/" TargetMode="External"/><Relationship Id="rId216" Type="http://schemas.openxmlformats.org/officeDocument/2006/relationships/hyperlink" Target="https://leetcode.com/problems/find-all-possible-recipes-from-given-supplies/" TargetMode="External"/><Relationship Id="rId423" Type="http://schemas.openxmlformats.org/officeDocument/2006/relationships/control" Target="../activeX/activeX89.xml"/><Relationship Id="rId258" Type="http://schemas.openxmlformats.org/officeDocument/2006/relationships/hyperlink" Target="https://leetcode.com/problems/design-hashmap/" TargetMode="External"/><Relationship Id="rId465" Type="http://schemas.openxmlformats.org/officeDocument/2006/relationships/control" Target="../activeX/activeX131.xml"/><Relationship Id="rId22" Type="http://schemas.openxmlformats.org/officeDocument/2006/relationships/hyperlink" Target="https://leetcode.com/problems/shortest-unsorted-continuous-subarray/" TargetMode="External"/><Relationship Id="rId64" Type="http://schemas.openxmlformats.org/officeDocument/2006/relationships/hyperlink" Target="https://leetcode.com/problems/find-right-interval/" TargetMode="External"/><Relationship Id="rId118" Type="http://schemas.openxmlformats.org/officeDocument/2006/relationships/hyperlink" Target="https://leetcode.com/problems/repeated-dna-sequences/" TargetMode="External"/><Relationship Id="rId325" Type="http://schemas.openxmlformats.org/officeDocument/2006/relationships/hyperlink" Target="https://leetcode.com/problems/same-tree/" TargetMode="External"/><Relationship Id="rId367" Type="http://schemas.openxmlformats.org/officeDocument/2006/relationships/control" Target="../activeX/activeX33.xml"/><Relationship Id="rId171" Type="http://schemas.openxmlformats.org/officeDocument/2006/relationships/hyperlink" Target="https://leetcode.com/problems/single-element-in-a-sorted-array/" TargetMode="External"/><Relationship Id="rId227" Type="http://schemas.openxmlformats.org/officeDocument/2006/relationships/hyperlink" Target="https://leetcode.com/problems/valid-parentheses/" TargetMode="External"/><Relationship Id="rId269" Type="http://schemas.openxmlformats.org/officeDocument/2006/relationships/hyperlink" Target="https://leetcode.com/problems/first-unique-character-in-a-string/" TargetMode="External"/><Relationship Id="rId434" Type="http://schemas.openxmlformats.org/officeDocument/2006/relationships/control" Target="../activeX/activeX100.xml"/><Relationship Id="rId476" Type="http://schemas.openxmlformats.org/officeDocument/2006/relationships/control" Target="../activeX/activeX142.xml"/><Relationship Id="rId33" Type="http://schemas.openxmlformats.org/officeDocument/2006/relationships/hyperlink" Target="https://leetcode.com/problems/meeting-rooms-ii/" TargetMode="External"/><Relationship Id="rId129" Type="http://schemas.openxmlformats.org/officeDocument/2006/relationships/hyperlink" Target="https://leetcode.com/problems/valid-palindrome-ii/" TargetMode="External"/><Relationship Id="rId280" Type="http://schemas.openxmlformats.org/officeDocument/2006/relationships/hyperlink" Target="https://leetcode.com/problems/evaluate-division/" TargetMode="External"/><Relationship Id="rId336" Type="http://schemas.openxmlformats.org/officeDocument/2006/relationships/control" Target="../activeX/activeX2.xml"/><Relationship Id="rId501" Type="http://schemas.openxmlformats.org/officeDocument/2006/relationships/control" Target="../activeX/activeX167.xml"/><Relationship Id="rId75" Type="http://schemas.openxmlformats.org/officeDocument/2006/relationships/hyperlink" Target="https://leetcode.com/problems/find-smallest-letter-greater-than-target/" TargetMode="External"/><Relationship Id="rId140" Type="http://schemas.openxmlformats.org/officeDocument/2006/relationships/hyperlink" Target="https://leetcode.com/problems/task-scheduler/" TargetMode="External"/><Relationship Id="rId182" Type="http://schemas.openxmlformats.org/officeDocument/2006/relationships/hyperlink" Target="https://leetcode.com/problems/jump-game-ii/" TargetMode="External"/><Relationship Id="rId378" Type="http://schemas.openxmlformats.org/officeDocument/2006/relationships/control" Target="../activeX/activeX44.xml"/><Relationship Id="rId403" Type="http://schemas.openxmlformats.org/officeDocument/2006/relationships/control" Target="../activeX/activeX69.xml"/><Relationship Id="rId6" Type="http://schemas.openxmlformats.org/officeDocument/2006/relationships/hyperlink" Target="https://leetcode.com/problems/longest-repeating-character-replacement/" TargetMode="External"/><Relationship Id="rId238" Type="http://schemas.openxmlformats.org/officeDocument/2006/relationships/hyperlink" Target="https://leetcode.com/problems/convert-sorted-array-to-binary-search-tree" TargetMode="External"/><Relationship Id="rId445" Type="http://schemas.openxmlformats.org/officeDocument/2006/relationships/control" Target="../activeX/activeX111.xml"/><Relationship Id="rId487" Type="http://schemas.openxmlformats.org/officeDocument/2006/relationships/control" Target="../activeX/activeX153.xml"/><Relationship Id="rId291" Type="http://schemas.openxmlformats.org/officeDocument/2006/relationships/hyperlink" Target="https://leetcode.com/problems/single-number-iii/" TargetMode="External"/><Relationship Id="rId305" Type="http://schemas.openxmlformats.org/officeDocument/2006/relationships/hyperlink" Target="https://leetcode.com/problems/number-of-1-bits/" TargetMode="External"/><Relationship Id="rId347" Type="http://schemas.openxmlformats.org/officeDocument/2006/relationships/control" Target="../activeX/activeX13.xml"/><Relationship Id="rId512" Type="http://schemas.openxmlformats.org/officeDocument/2006/relationships/control" Target="../activeX/activeX178.xml"/><Relationship Id="rId44" Type="http://schemas.openxmlformats.org/officeDocument/2006/relationships/hyperlink" Target="https://leetcode.com/problems/reverse-linked-list-ii/" TargetMode="External"/><Relationship Id="rId86" Type="http://schemas.openxmlformats.org/officeDocument/2006/relationships/hyperlink" Target="https://leetcode.com/problems/kth-largest-element-in-an-array" TargetMode="External"/><Relationship Id="rId151" Type="http://schemas.openxmlformats.org/officeDocument/2006/relationships/hyperlink" Target="https://leetcode.com/problems/find-median-from-data-stream/" TargetMode="External"/><Relationship Id="rId389" Type="http://schemas.openxmlformats.org/officeDocument/2006/relationships/control" Target="../activeX/activeX55.xml"/><Relationship Id="rId193" Type="http://schemas.openxmlformats.org/officeDocument/2006/relationships/hyperlink" Target="https://leetcode.com/problems/partition-equal-subset-sum/" TargetMode="External"/><Relationship Id="rId207" Type="http://schemas.openxmlformats.org/officeDocument/2006/relationships/hyperlink" Target="https://leetcode.com/problems/first-missing-positive/" TargetMode="External"/><Relationship Id="rId249" Type="http://schemas.openxmlformats.org/officeDocument/2006/relationships/hyperlink" Target="https://leetcode.com/problems/symmetric-tree" TargetMode="External"/><Relationship Id="rId414" Type="http://schemas.openxmlformats.org/officeDocument/2006/relationships/control" Target="../activeX/activeX80.xml"/><Relationship Id="rId456" Type="http://schemas.openxmlformats.org/officeDocument/2006/relationships/control" Target="../activeX/activeX122.xml"/><Relationship Id="rId498" Type="http://schemas.openxmlformats.org/officeDocument/2006/relationships/control" Target="../activeX/activeX164.xml"/><Relationship Id="rId13" Type="http://schemas.openxmlformats.org/officeDocument/2006/relationships/hyperlink" Target="https://leetcode.com/problems/remove-duplicates-from-sorted-array/" TargetMode="External"/><Relationship Id="rId109" Type="http://schemas.openxmlformats.org/officeDocument/2006/relationships/hyperlink" Target="https://leetcode.com/problems/target-sum/" TargetMode="External"/><Relationship Id="rId260" Type="http://schemas.openxmlformats.org/officeDocument/2006/relationships/hyperlink" Target="https://leetcode.com/problems/logger-rate-limiter/" TargetMode="External"/><Relationship Id="rId316" Type="http://schemas.openxmlformats.org/officeDocument/2006/relationships/hyperlink" Target="https://leetcode.com/problems/permutations-ii/" TargetMode="External"/><Relationship Id="rId523" Type="http://schemas.openxmlformats.org/officeDocument/2006/relationships/control" Target="../activeX/activeX189.xml"/><Relationship Id="rId55" Type="http://schemas.openxmlformats.org/officeDocument/2006/relationships/hyperlink" Target="https://leetcode.com/problems/path-sum-ii/" TargetMode="External"/><Relationship Id="rId97" Type="http://schemas.openxmlformats.org/officeDocument/2006/relationships/hyperlink" Target="https://leetcode.com/problems/maximum-frequency-stack/" TargetMode="External"/><Relationship Id="rId120" Type="http://schemas.openxmlformats.org/officeDocument/2006/relationships/hyperlink" Target="https://leetcode.com/problems/longest-repeating-character-replacement/" TargetMode="External"/><Relationship Id="rId358" Type="http://schemas.openxmlformats.org/officeDocument/2006/relationships/control" Target="../activeX/activeX24.xml"/><Relationship Id="rId162" Type="http://schemas.openxmlformats.org/officeDocument/2006/relationships/hyperlink" Target="https://leetcode.com/problems/top-k-frequent-elements/" TargetMode="External"/><Relationship Id="rId218" Type="http://schemas.openxmlformats.org/officeDocument/2006/relationships/hyperlink" Target="https://leetcode.com/problems/rotate-image/" TargetMode="External"/><Relationship Id="rId425" Type="http://schemas.openxmlformats.org/officeDocument/2006/relationships/control" Target="../activeX/activeX91.xml"/><Relationship Id="rId467" Type="http://schemas.openxmlformats.org/officeDocument/2006/relationships/control" Target="../activeX/activeX133.xml"/><Relationship Id="rId271" Type="http://schemas.openxmlformats.org/officeDocument/2006/relationships/hyperlink" Target="https://leetcode.com/problems/ransom-note/" TargetMode="External"/><Relationship Id="rId24" Type="http://schemas.openxmlformats.org/officeDocument/2006/relationships/hyperlink" Target="https://leetcode.com/problems/linked-list-cycle-ii/" TargetMode="External"/><Relationship Id="rId66" Type="http://schemas.openxmlformats.org/officeDocument/2006/relationships/hyperlink" Target="https://leetcode.com/problems/subsets-ii/" TargetMode="External"/><Relationship Id="rId131" Type="http://schemas.openxmlformats.org/officeDocument/2006/relationships/hyperlink" Target="https://leetcode.com/problems/linked-list-cycle/" TargetMode="External"/><Relationship Id="rId327" Type="http://schemas.openxmlformats.org/officeDocument/2006/relationships/hyperlink" Target="https://leetcode.com/problems/design-file-system/" TargetMode="External"/><Relationship Id="rId369" Type="http://schemas.openxmlformats.org/officeDocument/2006/relationships/control" Target="../activeX/activeX35.xml"/><Relationship Id="rId173" Type="http://schemas.openxmlformats.org/officeDocument/2006/relationships/hyperlink" Target="https://leetcode.com/problems/subsets/" TargetMode="External"/><Relationship Id="rId229" Type="http://schemas.openxmlformats.org/officeDocument/2006/relationships/hyperlink" Target="https://leetcode.com/problems/paths-in-maze-that-lead-to-same-room/" TargetMode="External"/><Relationship Id="rId380" Type="http://schemas.openxmlformats.org/officeDocument/2006/relationships/control" Target="../activeX/activeX46.xml"/><Relationship Id="rId436" Type="http://schemas.openxmlformats.org/officeDocument/2006/relationships/control" Target="../activeX/activeX102.xml"/><Relationship Id="rId240" Type="http://schemas.openxmlformats.org/officeDocument/2006/relationships/hyperlink" Target="https://leetcode.com/problems/binary-tree-right-side-view/" TargetMode="External"/><Relationship Id="rId478" Type="http://schemas.openxmlformats.org/officeDocument/2006/relationships/control" Target="../activeX/activeX144.xml"/><Relationship Id="rId35" Type="http://schemas.openxmlformats.org/officeDocument/2006/relationships/hyperlink" Target="https://leetcode.com/problems/missing-number/discuss/859510/C%2B%2B-O(N)-O(1)-using-Cyclic-Sort" TargetMode="External"/><Relationship Id="rId77" Type="http://schemas.openxmlformats.org/officeDocument/2006/relationships/hyperlink" Target="https://leetcode.com/problems/search-in-a-sorted-array-of-unknown-size/" TargetMode="External"/><Relationship Id="rId100" Type="http://schemas.openxmlformats.org/officeDocument/2006/relationships/hyperlink" Target="https://leetcode.com/problems/kth-smallest-element-in-a-sorted-matrix/" TargetMode="External"/><Relationship Id="rId282" Type="http://schemas.openxmlformats.org/officeDocument/2006/relationships/hyperlink" Target="https://leetcode.com/problems/time-based-key-value-store/" TargetMode="External"/><Relationship Id="rId338" Type="http://schemas.openxmlformats.org/officeDocument/2006/relationships/control" Target="../activeX/activeX4.xml"/><Relationship Id="rId503" Type="http://schemas.openxmlformats.org/officeDocument/2006/relationships/control" Target="../activeX/activeX169.xml"/><Relationship Id="rId8" Type="http://schemas.openxmlformats.org/officeDocument/2006/relationships/hyperlink" Target="https://leetcode.com/problems/permutation-in-string/" TargetMode="External"/><Relationship Id="rId142" Type="http://schemas.openxmlformats.org/officeDocument/2006/relationships/hyperlink" Target="https://leetcode.com/problems/reverse-linked-list/" TargetMode="External"/><Relationship Id="rId184" Type="http://schemas.openxmlformats.org/officeDocument/2006/relationships/hyperlink" Target="https://leetcode.com/problems/word-search/" TargetMode="External"/><Relationship Id="rId391" Type="http://schemas.openxmlformats.org/officeDocument/2006/relationships/control" Target="../activeX/activeX57.xml"/><Relationship Id="rId405" Type="http://schemas.openxmlformats.org/officeDocument/2006/relationships/control" Target="../activeX/activeX71.xml"/><Relationship Id="rId447" Type="http://schemas.openxmlformats.org/officeDocument/2006/relationships/control" Target="../activeX/activeX113.xml"/></Relationships>
</file>

<file path=xl/worksheets/_rels/sheet8.xml.rels><?xml version="1.0" encoding="UTF-8" standalone="yes"?>
<Relationships xmlns="http://schemas.openxmlformats.org/package/2006/relationships"><Relationship Id="rId2" Type="http://schemas.openxmlformats.org/officeDocument/2006/relationships/hyperlink" Target="https://www.designgurus.io/course/grokking-the-coding-interview" TargetMode="External"/><Relationship Id="rId1" Type="http://schemas.openxmlformats.org/officeDocument/2006/relationships/hyperlink" Target="https://seanprashad.com/leetcode-patter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83"/>
  <sheetViews>
    <sheetView workbookViewId="0">
      <pane ySplit="1" topLeftCell="A155" activePane="bottomLeft" state="frozen"/>
      <selection activeCell="B1" sqref="B1"/>
      <selection pane="bottomLeft" activeCell="E97" sqref="A97:E100"/>
    </sheetView>
  </sheetViews>
  <sheetFormatPr defaultColWidth="8.85546875" defaultRowHeight="15" x14ac:dyDescent="0.25"/>
  <cols>
    <col min="2" max="2" width="53" bestFit="1" customWidth="1"/>
    <col min="3" max="4" width="11.42578125" bestFit="1" customWidth="1"/>
    <col min="5" max="5" width="54.42578125" bestFit="1" customWidth="1"/>
    <col min="7" max="7" width="10.42578125" customWidth="1"/>
    <col min="8" max="8" width="22.7109375" bestFit="1" customWidth="1"/>
    <col min="9" max="9" width="15.28515625" bestFit="1" customWidth="1"/>
    <col min="10" max="10" width="16.42578125" bestFit="1" customWidth="1"/>
    <col min="11" max="12" width="15.28515625" bestFit="1" customWidth="1"/>
    <col min="13" max="13" width="20.28515625" bestFit="1" customWidth="1"/>
  </cols>
  <sheetData>
    <row r="1" spans="1:13" s="4" customFormat="1" x14ac:dyDescent="0.25">
      <c r="C1" s="4" t="s">
        <v>0</v>
      </c>
      <c r="D1" s="4" t="s">
        <v>1</v>
      </c>
      <c r="E1" s="4" t="s">
        <v>2</v>
      </c>
      <c r="F1" s="4" t="s">
        <v>3</v>
      </c>
      <c r="G1" s="4" t="s">
        <v>4</v>
      </c>
      <c r="H1" s="4" t="s">
        <v>5</v>
      </c>
      <c r="I1" s="5" t="s">
        <v>6</v>
      </c>
      <c r="J1" s="4" t="s">
        <v>7</v>
      </c>
      <c r="K1" s="4" t="s">
        <v>6</v>
      </c>
      <c r="L1" s="4" t="s">
        <v>6</v>
      </c>
      <c r="M1" s="4" t="s">
        <v>8</v>
      </c>
    </row>
    <row r="2" spans="1:13" x14ac:dyDescent="0.25">
      <c r="A2">
        <f>IF(ISNUMBER(MATCH(D2,Tracker!C:C,0)), 1, 0)</f>
        <v>0</v>
      </c>
      <c r="B2" t="s">
        <v>178</v>
      </c>
      <c r="D2">
        <v>15</v>
      </c>
      <c r="E2" t="s">
        <v>183</v>
      </c>
      <c r="F2" s="3" t="s">
        <v>14</v>
      </c>
      <c r="I2" s="1"/>
    </row>
    <row r="3" spans="1:13" x14ac:dyDescent="0.25">
      <c r="A3">
        <f>IF(ISNUMBER(MATCH(D3,Tracker!C:C,0)), 1, 0)</f>
        <v>0</v>
      </c>
      <c r="B3" t="s">
        <v>178</v>
      </c>
      <c r="D3">
        <v>16</v>
      </c>
      <c r="E3" t="s">
        <v>184</v>
      </c>
      <c r="F3" s="3" t="s">
        <v>14</v>
      </c>
      <c r="I3" s="1"/>
    </row>
    <row r="4" spans="1:13" x14ac:dyDescent="0.25">
      <c r="A4">
        <f>IF(ISNUMBER(MATCH(D4,Tracker!C:C,0)), 1, 0)</f>
        <v>0</v>
      </c>
      <c r="B4" t="s">
        <v>110</v>
      </c>
      <c r="D4">
        <v>2</v>
      </c>
      <c r="E4" t="s">
        <v>117</v>
      </c>
      <c r="F4" s="3" t="s">
        <v>14</v>
      </c>
      <c r="I4" s="1"/>
    </row>
    <row r="5" spans="1:13" x14ac:dyDescent="0.25">
      <c r="A5">
        <f>IF(ISNUMBER(MATCH(D5,Tracker!C:C,0)), 1, 0)</f>
        <v>0</v>
      </c>
      <c r="B5" t="s">
        <v>121</v>
      </c>
      <c r="D5">
        <v>269</v>
      </c>
      <c r="E5" t="s">
        <v>124</v>
      </c>
      <c r="F5" s="3" t="s">
        <v>45</v>
      </c>
      <c r="I5" s="1"/>
    </row>
    <row r="6" spans="1:13" x14ac:dyDescent="0.25">
      <c r="A6">
        <f>IF(ISNUMBER(MATCH(D6,Tracker!C:C,0)), 1, 0)</f>
        <v>0</v>
      </c>
      <c r="B6" t="s">
        <v>29</v>
      </c>
      <c r="D6">
        <v>863</v>
      </c>
      <c r="E6" t="s">
        <v>28</v>
      </c>
      <c r="F6" s="3" t="s">
        <v>14</v>
      </c>
      <c r="I6" s="1">
        <f>DATE(YEAR(C6),MONTH(C6),DAY(C6) + IF(H6 = "Y", 14, 7))</f>
        <v>7</v>
      </c>
    </row>
    <row r="7" spans="1:13" x14ac:dyDescent="0.25">
      <c r="A7">
        <f>IF(ISNUMBER(MATCH(D7,Tracker!C:C,0)), 1, 0)</f>
        <v>0</v>
      </c>
      <c r="B7" t="s">
        <v>29</v>
      </c>
      <c r="C7" s="1">
        <v>44340</v>
      </c>
      <c r="D7">
        <v>637</v>
      </c>
      <c r="E7" t="s">
        <v>9</v>
      </c>
      <c r="F7" t="s">
        <v>10</v>
      </c>
      <c r="H7" t="s">
        <v>11</v>
      </c>
      <c r="I7" s="1">
        <f>DATE(YEAR(C7),MONTH(C7),DAY(C7) + IF(H7 = "Y", 14, 7))</f>
        <v>44354</v>
      </c>
      <c r="J7" s="1">
        <f>DATE(YEAR(I7),MONTH(I7),DAY(I7)+7)</f>
        <v>44361</v>
      </c>
      <c r="K7" s="1">
        <f>DATE(YEAR(J7),MONTH(J7),DAY(J7)+14)</f>
        <v>44375</v>
      </c>
      <c r="L7" s="1">
        <f>DATE(YEAR(K7),MONTH(K7),DAY(K7)+28)</f>
        <v>44403</v>
      </c>
    </row>
    <row r="8" spans="1:13" x14ac:dyDescent="0.25">
      <c r="A8">
        <f>IF(ISNUMBER(MATCH(D8,Tracker!C:C,0)), 1, 0)</f>
        <v>0</v>
      </c>
      <c r="B8" t="s">
        <v>178</v>
      </c>
      <c r="D8">
        <v>844</v>
      </c>
      <c r="E8" t="s">
        <v>182</v>
      </c>
      <c r="F8" s="3" t="s">
        <v>10</v>
      </c>
      <c r="I8" s="1"/>
    </row>
    <row r="9" spans="1:13" x14ac:dyDescent="0.25">
      <c r="A9">
        <f>IF(ISNUMBER(MATCH(D9,Tracker!C:C,0)), 1, 0)</f>
        <v>0</v>
      </c>
      <c r="B9" t="s">
        <v>109</v>
      </c>
      <c r="D9">
        <v>121</v>
      </c>
      <c r="E9" t="s">
        <v>89</v>
      </c>
      <c r="F9" s="3" t="s">
        <v>10</v>
      </c>
      <c r="I9" s="1"/>
    </row>
    <row r="10" spans="1:13" x14ac:dyDescent="0.25">
      <c r="A10">
        <f>IF(ISNUMBER(MATCH(D10,Tracker!C:C,0)), 1, 0)</f>
        <v>0</v>
      </c>
      <c r="B10" t="s">
        <v>109</v>
      </c>
      <c r="D10">
        <v>309</v>
      </c>
      <c r="E10" t="s">
        <v>107</v>
      </c>
      <c r="F10" s="3" t="s">
        <v>14</v>
      </c>
      <c r="I10" s="1"/>
    </row>
    <row r="11" spans="1:13" x14ac:dyDescent="0.25">
      <c r="A11">
        <f>IF(ISNUMBER(MATCH(D11,Tracker!C:C,0)), 1, 0)</f>
        <v>0</v>
      </c>
      <c r="B11" t="s">
        <v>47</v>
      </c>
      <c r="C11" s="1">
        <v>44340</v>
      </c>
      <c r="D11">
        <v>704</v>
      </c>
      <c r="E11" t="s">
        <v>47</v>
      </c>
      <c r="F11" s="3" t="s">
        <v>10</v>
      </c>
      <c r="H11" t="s">
        <v>11</v>
      </c>
      <c r="I11" s="1">
        <f>DATE(YEAR(C11),MONTH(C11),DAY(C11) + IF(H11 = "Y", 14, 7))</f>
        <v>44354</v>
      </c>
      <c r="J11" s="1">
        <f>DATE(YEAR(I11),MONTH(I11),DAY(I11)+7)</f>
        <v>44361</v>
      </c>
      <c r="K11" s="1">
        <f>DATE(YEAR(J11),MONTH(J11),DAY(J11)+14)</f>
        <v>44375</v>
      </c>
      <c r="L11" s="1">
        <f>DATE(YEAR(K11),MONTH(K11),DAY(K11)+28)</f>
        <v>44403</v>
      </c>
    </row>
    <row r="12" spans="1:13" x14ac:dyDescent="0.25">
      <c r="A12">
        <f>IF(ISNUMBER(MATCH(D12,Tracker!C:C,0)), 1, 0)</f>
        <v>0</v>
      </c>
      <c r="B12" t="s">
        <v>29</v>
      </c>
      <c r="D12">
        <v>102</v>
      </c>
      <c r="E12" t="s">
        <v>23</v>
      </c>
      <c r="F12" s="3" t="s">
        <v>14</v>
      </c>
      <c r="I12" s="1">
        <f>DATE(YEAR(C12),MONTH(C12),DAY(C12) + IF(H12 = "Y", 14, 7))</f>
        <v>7</v>
      </c>
    </row>
    <row r="13" spans="1:13" x14ac:dyDescent="0.25">
      <c r="A13">
        <f>IF(ISNUMBER(MATCH(D13,Tracker!C:C,0)), 1, 0)</f>
        <v>0</v>
      </c>
      <c r="B13" t="s">
        <v>29</v>
      </c>
      <c r="D13">
        <v>107</v>
      </c>
      <c r="E13" t="s">
        <v>22</v>
      </c>
      <c r="F13" s="3" t="s">
        <v>14</v>
      </c>
      <c r="I13" s="1">
        <f>DATE(YEAR(C13),MONTH(C13),DAY(C13) + IF(H13 = "Y", 14, 7))</f>
        <v>7</v>
      </c>
    </row>
    <row r="14" spans="1:13" x14ac:dyDescent="0.25">
      <c r="A14">
        <f>IF(ISNUMBER(MATCH(D14,Tracker!C:C,0)), 1, 0)</f>
        <v>0</v>
      </c>
      <c r="B14" t="s">
        <v>66</v>
      </c>
      <c r="C14" s="7"/>
      <c r="D14" s="7">
        <v>124</v>
      </c>
      <c r="E14" s="7" t="s">
        <v>82</v>
      </c>
      <c r="F14" s="7" t="s">
        <v>45</v>
      </c>
      <c r="G14" s="7"/>
      <c r="H14" s="7"/>
      <c r="I14" s="6"/>
      <c r="J14" s="7"/>
      <c r="K14" s="7"/>
      <c r="L14" s="7"/>
      <c r="M14" s="7"/>
    </row>
    <row r="15" spans="1:13" x14ac:dyDescent="0.25">
      <c r="A15">
        <f>IF(ISNUMBER(MATCH(D15,Tracker!C:C,0)), 1, 0)</f>
        <v>0</v>
      </c>
      <c r="B15" t="s">
        <v>29</v>
      </c>
      <c r="D15">
        <v>199</v>
      </c>
      <c r="E15" t="s">
        <v>27</v>
      </c>
      <c r="F15" s="3" t="s">
        <v>14</v>
      </c>
      <c r="I15" s="1">
        <f>DATE(YEAR(C15),MONTH(C15),DAY(C15) + IF(H15 = "Y", 14, 7))</f>
        <v>7</v>
      </c>
    </row>
    <row r="16" spans="1:13" x14ac:dyDescent="0.25">
      <c r="A16">
        <f>IF(ISNUMBER(MATCH(D16,Tracker!C:C,0)), 1, 0)</f>
        <v>0</v>
      </c>
      <c r="B16" t="s">
        <v>29</v>
      </c>
      <c r="D16">
        <v>103</v>
      </c>
      <c r="E16" t="s">
        <v>24</v>
      </c>
      <c r="F16" s="3" t="s">
        <v>14</v>
      </c>
      <c r="I16" s="1">
        <f>DATE(YEAR(C16),MONTH(C16),DAY(C16) + IF(H16 = "Y", 14, 7))</f>
        <v>7</v>
      </c>
    </row>
    <row r="17" spans="1:13" x14ac:dyDescent="0.25">
      <c r="A17">
        <f>IF(ISNUMBER(MATCH(D17,Tracker!C:C,0)), 1, 0)</f>
        <v>0</v>
      </c>
      <c r="B17" t="s">
        <v>109</v>
      </c>
      <c r="C17" s="1">
        <v>44340</v>
      </c>
      <c r="D17">
        <v>70</v>
      </c>
      <c r="E17" t="s">
        <v>88</v>
      </c>
      <c r="F17" s="3" t="s">
        <v>10</v>
      </c>
      <c r="H17" t="s">
        <v>11</v>
      </c>
      <c r="I17" s="1">
        <f>DATE(YEAR(C17),MONTH(C17),DAY(C17) + IF(H17 = "Y", 14, 7))</f>
        <v>44354</v>
      </c>
      <c r="J17" s="1">
        <f>DATE(YEAR(I17),MONTH(I17),DAY(I17)+7)</f>
        <v>44361</v>
      </c>
      <c r="K17" s="1">
        <f>DATE(YEAR(J17),MONTH(J17),DAY(J17)+14)</f>
        <v>44375</v>
      </c>
      <c r="L17" s="1">
        <f>DATE(YEAR(K17),MONTH(K17),DAY(K17)+28)</f>
        <v>44403</v>
      </c>
    </row>
    <row r="18" spans="1:13" x14ac:dyDescent="0.25">
      <c r="A18">
        <f>IF(ISNUMBER(MATCH(D18,Tracker!C:C,0)), 1, 0)</f>
        <v>0</v>
      </c>
      <c r="B18" t="s">
        <v>29</v>
      </c>
      <c r="D18">
        <v>133</v>
      </c>
      <c r="E18" t="s">
        <v>13</v>
      </c>
      <c r="F18" t="s">
        <v>14</v>
      </c>
      <c r="I18" s="1">
        <f>DATE(YEAR(C18),MONTH(C18),DAY(C18) + IF(H18 = "Y", 14, 7))</f>
        <v>7</v>
      </c>
    </row>
    <row r="19" spans="1:13" x14ac:dyDescent="0.25">
      <c r="A19">
        <f>IF(ISNUMBER(MATCH(D19,Tracker!C:C,0)), 1, 0)</f>
        <v>0</v>
      </c>
      <c r="B19" t="s">
        <v>109</v>
      </c>
      <c r="D19">
        <v>322</v>
      </c>
      <c r="E19" t="s">
        <v>94</v>
      </c>
      <c r="F19" s="3" t="s">
        <v>14</v>
      </c>
      <c r="I19" s="1"/>
    </row>
    <row r="20" spans="1:13" x14ac:dyDescent="0.25">
      <c r="A20">
        <f>IF(ISNUMBER(MATCH(D20,Tracker!C:C,0)), 1, 0)</f>
        <v>0</v>
      </c>
      <c r="B20" t="s">
        <v>30</v>
      </c>
      <c r="D20">
        <v>39</v>
      </c>
      <c r="E20" t="s">
        <v>37</v>
      </c>
      <c r="F20" t="s">
        <v>14</v>
      </c>
      <c r="I20" s="1"/>
    </row>
    <row r="21" spans="1:13" x14ac:dyDescent="0.25">
      <c r="A21">
        <f>IF(ISNUMBER(MATCH(D21,Tracker!C:C,0)), 1, 0)</f>
        <v>0</v>
      </c>
      <c r="B21" t="s">
        <v>30</v>
      </c>
      <c r="D21">
        <v>40</v>
      </c>
      <c r="E21" t="s">
        <v>38</v>
      </c>
      <c r="F21" t="s">
        <v>14</v>
      </c>
      <c r="I21" s="1"/>
    </row>
    <row r="22" spans="1:13" x14ac:dyDescent="0.25">
      <c r="A22">
        <f>IF(ISNUMBER(MATCH(D22,Tracker!C:C,0)), 1, 0)</f>
        <v>0</v>
      </c>
      <c r="B22" t="s">
        <v>30</v>
      </c>
      <c r="D22">
        <v>216</v>
      </c>
      <c r="E22" t="s">
        <v>39</v>
      </c>
      <c r="F22" t="s">
        <v>14</v>
      </c>
      <c r="I22" s="1"/>
    </row>
    <row r="23" spans="1:13" x14ac:dyDescent="0.25">
      <c r="A23">
        <f>IF(ISNUMBER(MATCH(D23,Tracker!C:C,0)), 1, 0)</f>
        <v>0</v>
      </c>
      <c r="B23" t="s">
        <v>109</v>
      </c>
      <c r="D23">
        <v>377</v>
      </c>
      <c r="E23" t="s">
        <v>99</v>
      </c>
      <c r="F23" s="3" t="s">
        <v>14</v>
      </c>
      <c r="I23" s="1"/>
    </row>
    <row r="24" spans="1:13" x14ac:dyDescent="0.25">
      <c r="A24">
        <f>IF(ISNUMBER(MATCH(D24,Tracker!C:C,0)), 1, 0)</f>
        <v>0</v>
      </c>
      <c r="B24" t="s">
        <v>30</v>
      </c>
      <c r="D24">
        <v>77</v>
      </c>
      <c r="E24" t="s">
        <v>36</v>
      </c>
      <c r="F24" t="s">
        <v>14</v>
      </c>
      <c r="I24" s="1"/>
    </row>
    <row r="25" spans="1:13" x14ac:dyDescent="0.25">
      <c r="A25">
        <f>IF(ISNUMBER(MATCH(D25,Tracker!C:C,0)), 1, 0)</f>
        <v>0</v>
      </c>
      <c r="B25" t="s">
        <v>169</v>
      </c>
      <c r="D25">
        <v>472</v>
      </c>
      <c r="E25" t="s">
        <v>173</v>
      </c>
      <c r="F25" s="3" t="s">
        <v>45</v>
      </c>
      <c r="I25" s="1"/>
    </row>
    <row r="26" spans="1:13" x14ac:dyDescent="0.25">
      <c r="A26">
        <f>IF(ISNUMBER(MATCH(D26,Tracker!C:C,0)), 1, 0)</f>
        <v>0</v>
      </c>
      <c r="B26" t="s">
        <v>66</v>
      </c>
      <c r="C26" s="7"/>
      <c r="D26" s="7">
        <v>105</v>
      </c>
      <c r="E26" s="7" t="s">
        <v>80</v>
      </c>
      <c r="F26" s="7" t="s">
        <v>14</v>
      </c>
      <c r="G26" s="7"/>
      <c r="H26" s="7"/>
      <c r="I26" s="6"/>
      <c r="J26" s="7"/>
      <c r="K26" s="7"/>
      <c r="L26" s="7"/>
      <c r="M26" s="7"/>
    </row>
    <row r="27" spans="1:13" x14ac:dyDescent="0.25">
      <c r="A27">
        <f>IF(ISNUMBER(MATCH(D27,Tracker!C:C,0)), 1, 0)</f>
        <v>0</v>
      </c>
      <c r="B27" t="s">
        <v>178</v>
      </c>
      <c r="D27">
        <v>11</v>
      </c>
      <c r="E27" t="s">
        <v>187</v>
      </c>
      <c r="F27" s="3" t="s">
        <v>14</v>
      </c>
      <c r="I27" s="1"/>
    </row>
    <row r="28" spans="1:13" x14ac:dyDescent="0.25">
      <c r="A28">
        <f>IF(ISNUMBER(MATCH(D28,Tracker!C:C,0)), 1, 0)</f>
        <v>0</v>
      </c>
      <c r="B28" t="s">
        <v>189</v>
      </c>
      <c r="C28" s="1">
        <v>44340</v>
      </c>
      <c r="D28">
        <v>217</v>
      </c>
      <c r="E28" t="s">
        <v>190</v>
      </c>
      <c r="F28" t="s">
        <v>10</v>
      </c>
      <c r="H28" t="s">
        <v>11</v>
      </c>
      <c r="I28" s="1">
        <f>DATE(YEAR(C28),MONTH(C28),DAY(C28) + IF(H28 = "Y", 14, 7))</f>
        <v>44354</v>
      </c>
      <c r="J28" s="1">
        <f>DATE(YEAR(I28),MONTH(I28),DAY(I28)+7)</f>
        <v>44361</v>
      </c>
      <c r="K28" s="1">
        <f>DATE(YEAR(J28),MONTH(J28),DAY(J28)+14)</f>
        <v>44375</v>
      </c>
      <c r="L28" s="1">
        <f>DATE(YEAR(K28),MONTH(K28),DAY(K28)+28)</f>
        <v>44403</v>
      </c>
    </row>
    <row r="29" spans="1:13" x14ac:dyDescent="0.25">
      <c r="A29">
        <f>IF(ISNUMBER(MATCH(D29,Tracker!C:C,0)), 1, 0)</f>
        <v>0</v>
      </c>
      <c r="B29" t="s">
        <v>47</v>
      </c>
      <c r="D29">
        <v>327</v>
      </c>
      <c r="E29" t="s">
        <v>59</v>
      </c>
      <c r="F29" s="3" t="s">
        <v>45</v>
      </c>
      <c r="I29" s="1"/>
    </row>
    <row r="30" spans="1:13" x14ac:dyDescent="0.25">
      <c r="A30">
        <f>IF(ISNUMBER(MATCH(D30,Tracker!C:C,0)), 1, 0)</f>
        <v>0</v>
      </c>
      <c r="B30" t="s">
        <v>156</v>
      </c>
      <c r="D30">
        <v>828</v>
      </c>
      <c r="E30" t="s">
        <v>164</v>
      </c>
      <c r="F30" s="3" t="s">
        <v>45</v>
      </c>
      <c r="I30" s="1"/>
    </row>
    <row r="31" spans="1:13" x14ac:dyDescent="0.25">
      <c r="A31">
        <f>IF(ISNUMBER(MATCH(D31,Tracker!C:C,0)), 1, 0)</f>
        <v>0</v>
      </c>
      <c r="B31" t="s">
        <v>109</v>
      </c>
      <c r="D31">
        <v>338</v>
      </c>
      <c r="E31" t="s">
        <v>108</v>
      </c>
      <c r="F31" s="3" t="s">
        <v>14</v>
      </c>
      <c r="I31" s="1"/>
    </row>
    <row r="32" spans="1:13" x14ac:dyDescent="0.25">
      <c r="A32">
        <f>IF(ISNUMBER(MATCH(D32,Tracker!C:C,0)), 1, 0)</f>
        <v>0</v>
      </c>
      <c r="B32" t="s">
        <v>29</v>
      </c>
      <c r="D32">
        <v>207</v>
      </c>
      <c r="E32" s="3" t="s">
        <v>20</v>
      </c>
      <c r="F32" t="s">
        <v>14</v>
      </c>
      <c r="I32" s="1">
        <f>DATE(YEAR(C32),MONTH(C32),DAY(C32) + IF(H32 = "Y", 14, 7))</f>
        <v>7</v>
      </c>
    </row>
    <row r="33" spans="1:13" x14ac:dyDescent="0.25">
      <c r="A33">
        <f>IF(ISNUMBER(MATCH(D33,Tracker!C:C,0)), 1, 0)</f>
        <v>0</v>
      </c>
      <c r="B33" t="s">
        <v>29</v>
      </c>
      <c r="D33">
        <v>210</v>
      </c>
      <c r="E33" t="s">
        <v>122</v>
      </c>
      <c r="F33" t="s">
        <v>14</v>
      </c>
      <c r="I33" s="1">
        <f>DATE(YEAR(C33),MONTH(C33),DAY(C33) + IF(H33 = "Y", 14, 7))</f>
        <v>7</v>
      </c>
    </row>
    <row r="34" spans="1:13" x14ac:dyDescent="0.25">
      <c r="A34">
        <f>IF(ISNUMBER(MATCH(D34,Tracker!C:C,0)), 1, 0)</f>
        <v>0</v>
      </c>
      <c r="B34" t="s">
        <v>125</v>
      </c>
      <c r="D34">
        <v>630</v>
      </c>
      <c r="E34" t="s">
        <v>131</v>
      </c>
      <c r="F34" s="3" t="s">
        <v>45</v>
      </c>
      <c r="I34" s="1"/>
    </row>
    <row r="35" spans="1:13" x14ac:dyDescent="0.25">
      <c r="A35">
        <f>IF(ISNUMBER(MATCH(D35,Tracker!C:C,0)), 1, 0)</f>
        <v>0</v>
      </c>
      <c r="B35" t="s">
        <v>109</v>
      </c>
      <c r="D35">
        <v>91</v>
      </c>
      <c r="E35" t="s">
        <v>100</v>
      </c>
      <c r="F35" s="3" t="s">
        <v>14</v>
      </c>
      <c r="I35" s="1"/>
    </row>
    <row r="36" spans="1:13" x14ac:dyDescent="0.25">
      <c r="A36">
        <f>IF(ISNUMBER(MATCH(D36,Tracker!C:C,0)), 1, 0)</f>
        <v>0</v>
      </c>
      <c r="B36" t="s">
        <v>169</v>
      </c>
      <c r="D36">
        <v>642</v>
      </c>
      <c r="E36" s="10" t="s">
        <v>177</v>
      </c>
      <c r="F36" s="3" t="s">
        <v>45</v>
      </c>
      <c r="I36" s="1"/>
    </row>
    <row r="37" spans="1:13" x14ac:dyDescent="0.25">
      <c r="A37">
        <f>IF(ISNUMBER(MATCH(D37,Tracker!C:C,0)), 1, 0)</f>
        <v>0</v>
      </c>
      <c r="B37" t="s">
        <v>66</v>
      </c>
      <c r="C37" s="7"/>
      <c r="D37" s="7">
        <v>543</v>
      </c>
      <c r="E37" s="7" t="s">
        <v>68</v>
      </c>
      <c r="F37" s="7" t="s">
        <v>10</v>
      </c>
      <c r="G37" s="7"/>
      <c r="H37" s="7"/>
      <c r="I37" s="6"/>
      <c r="J37" s="7"/>
      <c r="K37" s="7"/>
      <c r="L37" s="7"/>
      <c r="M37" s="7"/>
    </row>
    <row r="38" spans="1:13" x14ac:dyDescent="0.25">
      <c r="A38">
        <f>IF(ISNUMBER(MATCH(D38,Tracker!C:C,0)), 1, 0)</f>
        <v>0</v>
      </c>
      <c r="B38" t="s">
        <v>125</v>
      </c>
      <c r="D38">
        <v>759</v>
      </c>
      <c r="E38" t="s">
        <v>129</v>
      </c>
      <c r="F38" s="3" t="s">
        <v>45</v>
      </c>
      <c r="I38" s="1"/>
    </row>
    <row r="39" spans="1:13" x14ac:dyDescent="0.25">
      <c r="A39">
        <f>IF(ISNUMBER(MATCH(D39,Tracker!C:C,0)), 1, 0)</f>
        <v>0</v>
      </c>
      <c r="B39" t="s">
        <v>189</v>
      </c>
      <c r="D39">
        <v>442</v>
      </c>
      <c r="E39" t="s">
        <v>192</v>
      </c>
      <c r="F39" t="s">
        <v>14</v>
      </c>
      <c r="I39" s="1"/>
    </row>
    <row r="40" spans="1:13" x14ac:dyDescent="0.25">
      <c r="A40">
        <f>IF(ISNUMBER(MATCH(D40,Tracker!C:C,0)), 1, 0)</f>
        <v>0</v>
      </c>
      <c r="B40" t="s">
        <v>189</v>
      </c>
      <c r="D40">
        <v>448</v>
      </c>
      <c r="E40" t="s">
        <v>191</v>
      </c>
      <c r="F40" t="s">
        <v>14</v>
      </c>
      <c r="I40" s="1"/>
    </row>
    <row r="41" spans="1:13" x14ac:dyDescent="0.25">
      <c r="A41">
        <f>IF(ISNUMBER(MATCH(D41,Tracker!C:C,0)), 1, 0)</f>
        <v>0</v>
      </c>
      <c r="B41" t="s">
        <v>47</v>
      </c>
      <c r="D41">
        <v>658</v>
      </c>
      <c r="E41" t="s">
        <v>58</v>
      </c>
      <c r="F41" s="3" t="s">
        <v>14</v>
      </c>
      <c r="I41" s="1"/>
    </row>
    <row r="42" spans="1:13" x14ac:dyDescent="0.25">
      <c r="A42">
        <f>IF(ISNUMBER(MATCH(D42,Tracker!C:C,0)), 1, 0)</f>
        <v>0</v>
      </c>
      <c r="B42" t="s">
        <v>132</v>
      </c>
      <c r="D42">
        <v>373</v>
      </c>
      <c r="E42" t="s">
        <v>133</v>
      </c>
      <c r="F42" s="3" t="s">
        <v>14</v>
      </c>
      <c r="I42" s="1"/>
    </row>
    <row r="43" spans="1:13" x14ac:dyDescent="0.25">
      <c r="A43">
        <f>IF(ISNUMBER(MATCH(D43,Tracker!C:C,0)), 1, 0)</f>
        <v>0</v>
      </c>
      <c r="B43" t="s">
        <v>132</v>
      </c>
      <c r="D43">
        <v>295</v>
      </c>
      <c r="E43" t="s">
        <v>141</v>
      </c>
      <c r="F43" s="3" t="s">
        <v>45</v>
      </c>
      <c r="I43" s="1"/>
    </row>
    <row r="44" spans="1:13" x14ac:dyDescent="0.25">
      <c r="A44">
        <f>IF(ISNUMBER(MATCH(D44,Tracker!C:C,0)), 1, 0)</f>
        <v>0</v>
      </c>
      <c r="B44" t="s">
        <v>47</v>
      </c>
      <c r="D44">
        <v>153</v>
      </c>
      <c r="E44" s="3" t="s">
        <v>52</v>
      </c>
      <c r="F44" s="3" t="s">
        <v>14</v>
      </c>
      <c r="I44" s="1"/>
    </row>
    <row r="45" spans="1:13" x14ac:dyDescent="0.25">
      <c r="A45">
        <f>IF(ISNUMBER(MATCH(D45,Tracker!C:C,0)), 1, 0)</f>
        <v>0</v>
      </c>
      <c r="B45" t="s">
        <v>47</v>
      </c>
      <c r="D45">
        <v>162</v>
      </c>
      <c r="E45" s="3" t="s">
        <v>53</v>
      </c>
      <c r="F45" s="3" t="s">
        <v>14</v>
      </c>
      <c r="I45" s="1"/>
    </row>
    <row r="46" spans="1:13" x14ac:dyDescent="0.25">
      <c r="A46">
        <f>IF(ISNUMBER(MATCH(D46,Tracker!C:C,0)), 1, 0)</f>
        <v>0</v>
      </c>
      <c r="B46" t="s">
        <v>47</v>
      </c>
      <c r="D46">
        <v>744</v>
      </c>
      <c r="E46" t="s">
        <v>48</v>
      </c>
      <c r="F46" s="3" t="s">
        <v>10</v>
      </c>
      <c r="I46" s="1"/>
    </row>
    <row r="47" spans="1:13" x14ac:dyDescent="0.25">
      <c r="A47">
        <f>IF(ISNUMBER(MATCH(D47,Tracker!C:C,0)), 1, 0)</f>
        <v>0</v>
      </c>
      <c r="B47" t="s">
        <v>47</v>
      </c>
      <c r="D47">
        <v>287</v>
      </c>
      <c r="E47" s="3" t="s">
        <v>50</v>
      </c>
      <c r="F47" s="3" t="s">
        <v>14</v>
      </c>
      <c r="I47" s="1"/>
    </row>
    <row r="48" spans="1:13" x14ac:dyDescent="0.25">
      <c r="A48">
        <f>IF(ISNUMBER(MATCH(D48,Tracker!C:C,0)), 1, 0)</f>
        <v>0</v>
      </c>
      <c r="B48" t="s">
        <v>189</v>
      </c>
      <c r="D48">
        <v>41</v>
      </c>
      <c r="E48" t="s">
        <v>196</v>
      </c>
      <c r="F48" t="s">
        <v>45</v>
      </c>
      <c r="I48" s="1"/>
    </row>
    <row r="49" spans="1:13" x14ac:dyDescent="0.25">
      <c r="A49">
        <f>IF(ISNUMBER(MATCH(D49,Tracker!C:C,0)), 1, 0)</f>
        <v>0</v>
      </c>
      <c r="B49" t="s">
        <v>156</v>
      </c>
      <c r="D49">
        <v>904</v>
      </c>
      <c r="E49" t="s">
        <v>158</v>
      </c>
      <c r="F49" s="3" t="s">
        <v>14</v>
      </c>
      <c r="I49" s="1"/>
    </row>
    <row r="50" spans="1:13" x14ac:dyDescent="0.25">
      <c r="A50">
        <f>IF(ISNUMBER(MATCH(D50,Tracker!C:C,0)), 1, 0)</f>
        <v>0</v>
      </c>
      <c r="B50" t="s">
        <v>30</v>
      </c>
      <c r="D50">
        <v>320</v>
      </c>
      <c r="E50" t="s">
        <v>43</v>
      </c>
      <c r="F50" t="s">
        <v>14</v>
      </c>
      <c r="I50" s="1"/>
    </row>
    <row r="51" spans="1:13" x14ac:dyDescent="0.25">
      <c r="A51">
        <f>IF(ISNUMBER(MATCH(D51,Tracker!C:C,0)), 1, 0)</f>
        <v>0</v>
      </c>
      <c r="B51" t="s">
        <v>30</v>
      </c>
      <c r="D51">
        <v>22</v>
      </c>
      <c r="E51" t="s">
        <v>40</v>
      </c>
      <c r="F51" t="s">
        <v>14</v>
      </c>
      <c r="I51" s="1"/>
    </row>
    <row r="52" spans="1:13" x14ac:dyDescent="0.25">
      <c r="A52">
        <f>IF(ISNUMBER(MATCH(D52,Tracker!C:C,0)), 1, 0)</f>
        <v>0</v>
      </c>
      <c r="B52" t="s">
        <v>29</v>
      </c>
      <c r="D52">
        <v>261</v>
      </c>
      <c r="E52" t="s">
        <v>18</v>
      </c>
      <c r="F52" t="s">
        <v>14</v>
      </c>
      <c r="I52" s="1">
        <f>DATE(YEAR(C52),MONTH(C52),DAY(C52) + IF(H52 = "Y", 14, 7))</f>
        <v>7</v>
      </c>
    </row>
    <row r="53" spans="1:13" x14ac:dyDescent="0.25">
      <c r="A53">
        <f>IF(ISNUMBER(MATCH(D53,Tracker!C:C,0)), 1, 0)</f>
        <v>0</v>
      </c>
      <c r="B53" t="s">
        <v>109</v>
      </c>
      <c r="D53">
        <v>198</v>
      </c>
      <c r="E53" t="s">
        <v>92</v>
      </c>
      <c r="F53" s="3" t="s">
        <v>14</v>
      </c>
      <c r="I53" s="1"/>
    </row>
    <row r="54" spans="1:13" x14ac:dyDescent="0.25">
      <c r="A54">
        <f>IF(ISNUMBER(MATCH(D54,Tracker!C:C,0)), 1, 0)</f>
        <v>0</v>
      </c>
      <c r="B54" t="s">
        <v>109</v>
      </c>
      <c r="D54">
        <v>213</v>
      </c>
      <c r="E54" t="s">
        <v>93</v>
      </c>
      <c r="F54" s="3" t="s">
        <v>14</v>
      </c>
      <c r="I54" s="1"/>
    </row>
    <row r="55" spans="1:13" x14ac:dyDescent="0.25">
      <c r="A55">
        <f>IF(ISNUMBER(MATCH(D55,Tracker!C:C,0)), 1, 0)</f>
        <v>0</v>
      </c>
      <c r="B55" t="s">
        <v>85</v>
      </c>
      <c r="C55" s="1">
        <v>44340</v>
      </c>
      <c r="D55">
        <v>208</v>
      </c>
      <c r="E55" t="s">
        <v>86</v>
      </c>
      <c r="F55" s="3" t="s">
        <v>14</v>
      </c>
      <c r="H55" t="s">
        <v>11</v>
      </c>
      <c r="I55" s="1">
        <f>DATE(YEAR(C55),MONTH(C55),DAY(C55) + IF(H55 = "Y", 14, 7))</f>
        <v>44354</v>
      </c>
      <c r="J55" s="1">
        <f>DATE(YEAR(I55),MONTH(I55),DAY(I55)+7)</f>
        <v>44361</v>
      </c>
      <c r="K55" s="1">
        <f>DATE(YEAR(J55),MONTH(J55),DAY(J55)+14)</f>
        <v>44375</v>
      </c>
      <c r="L55" s="1">
        <f>DATE(YEAR(K55),MONTH(K55),DAY(K55)+28)</f>
        <v>44403</v>
      </c>
    </row>
    <row r="56" spans="1:13" x14ac:dyDescent="0.25">
      <c r="A56">
        <f>IF(ISNUMBER(MATCH(D56,Tracker!C:C,0)), 1, 0)</f>
        <v>0</v>
      </c>
      <c r="B56" t="s">
        <v>169</v>
      </c>
      <c r="D56">
        <v>1065</v>
      </c>
      <c r="E56" t="s">
        <v>171</v>
      </c>
      <c r="F56" s="3" t="s">
        <v>10</v>
      </c>
      <c r="I56" s="1"/>
    </row>
    <row r="57" spans="1:13" x14ac:dyDescent="0.25">
      <c r="A57">
        <f>IF(ISNUMBER(MATCH(D57,Tracker!C:C,0)), 1, 0)</f>
        <v>0</v>
      </c>
      <c r="B57" t="s">
        <v>150</v>
      </c>
      <c r="D57">
        <v>57</v>
      </c>
      <c r="E57" t="s">
        <v>155</v>
      </c>
      <c r="I57" s="1"/>
    </row>
    <row r="58" spans="1:13" x14ac:dyDescent="0.25">
      <c r="A58">
        <f>IF(ISNUMBER(MATCH(D58,Tracker!C:C,0)), 1, 0)</f>
        <v>0</v>
      </c>
      <c r="B58" t="s">
        <v>150</v>
      </c>
      <c r="D58">
        <v>986</v>
      </c>
      <c r="E58" t="s">
        <v>153</v>
      </c>
      <c r="F58" s="3" t="s">
        <v>14</v>
      </c>
      <c r="I58" s="1"/>
    </row>
    <row r="59" spans="1:13" x14ac:dyDescent="0.25">
      <c r="A59">
        <f>IF(ISNUMBER(MATCH(D59,Tracker!C:C,0)), 1, 0)</f>
        <v>0</v>
      </c>
      <c r="B59" t="s">
        <v>66</v>
      </c>
      <c r="C59" s="7"/>
      <c r="D59" s="7">
        <v>226</v>
      </c>
      <c r="E59" s="7" t="s">
        <v>72</v>
      </c>
      <c r="F59" s="7" t="s">
        <v>10</v>
      </c>
      <c r="G59" s="7"/>
      <c r="H59" s="7"/>
      <c r="I59" s="6"/>
      <c r="J59" s="7"/>
      <c r="K59" s="7"/>
      <c r="L59" s="7"/>
      <c r="M59" s="7"/>
    </row>
    <row r="60" spans="1:13" x14ac:dyDescent="0.25">
      <c r="A60">
        <f>IF(ISNUMBER(MATCH(D60,Tracker!C:C,0)), 1, 0)</f>
        <v>0</v>
      </c>
      <c r="B60" t="s">
        <v>109</v>
      </c>
      <c r="D60">
        <v>55</v>
      </c>
      <c r="E60" t="s">
        <v>102</v>
      </c>
      <c r="F60" s="3" t="s">
        <v>14</v>
      </c>
      <c r="I60" s="1"/>
    </row>
    <row r="61" spans="1:13" x14ac:dyDescent="0.25">
      <c r="A61">
        <f>IF(ISNUMBER(MATCH(D61,Tracker!C:C,0)), 1, 0)</f>
        <v>0</v>
      </c>
      <c r="B61" t="s">
        <v>132</v>
      </c>
      <c r="D61">
        <v>973</v>
      </c>
      <c r="E61" t="s">
        <v>135</v>
      </c>
      <c r="F61" s="3" t="s">
        <v>14</v>
      </c>
      <c r="I61" s="1"/>
    </row>
    <row r="62" spans="1:13" x14ac:dyDescent="0.25">
      <c r="A62">
        <f>IF(ISNUMBER(MATCH(D62,Tracker!C:C,0)), 1, 0)</f>
        <v>0</v>
      </c>
      <c r="B62" t="s">
        <v>132</v>
      </c>
      <c r="D62">
        <v>215</v>
      </c>
      <c r="E62" t="s">
        <v>138</v>
      </c>
      <c r="F62" s="3" t="s">
        <v>14</v>
      </c>
      <c r="I62" s="1"/>
    </row>
    <row r="63" spans="1:13" x14ac:dyDescent="0.25">
      <c r="A63">
        <f>IF(ISNUMBER(MATCH(D63,Tracker!C:C,0)), 1, 0)</f>
        <v>0</v>
      </c>
      <c r="B63" t="s">
        <v>66</v>
      </c>
      <c r="C63" s="7"/>
      <c r="D63" s="7">
        <v>230</v>
      </c>
      <c r="E63" s="8" t="s">
        <v>74</v>
      </c>
      <c r="F63" s="7" t="s">
        <v>14</v>
      </c>
      <c r="G63" s="7"/>
      <c r="H63" s="7"/>
      <c r="I63" s="6"/>
      <c r="J63" s="7"/>
      <c r="K63" s="7"/>
      <c r="L63" s="7"/>
      <c r="M63" s="7"/>
    </row>
    <row r="64" spans="1:13" x14ac:dyDescent="0.25">
      <c r="A64">
        <f>IF(ISNUMBER(MATCH(D64,Tracker!C:C,0)), 1, 0)</f>
        <v>0</v>
      </c>
      <c r="B64" t="s">
        <v>47</v>
      </c>
      <c r="D64">
        <v>378</v>
      </c>
      <c r="E64" t="s">
        <v>51</v>
      </c>
      <c r="F64" s="3" t="s">
        <v>14</v>
      </c>
      <c r="I64" s="1"/>
    </row>
    <row r="65" spans="1:13" x14ac:dyDescent="0.25">
      <c r="A65">
        <f>IF(ISNUMBER(MATCH(D65,Tracker!C:C,0)), 1, 0)</f>
        <v>0</v>
      </c>
      <c r="B65" t="s">
        <v>30</v>
      </c>
      <c r="D65">
        <v>784</v>
      </c>
      <c r="E65" t="s">
        <v>32</v>
      </c>
      <c r="F65" t="s">
        <v>14</v>
      </c>
      <c r="I65" s="1"/>
    </row>
    <row r="66" spans="1:13" x14ac:dyDescent="0.25">
      <c r="A66">
        <f>IF(ISNUMBER(MATCH(D66,Tracker!C:C,0)), 1, 0)</f>
        <v>0</v>
      </c>
      <c r="B66" t="s">
        <v>30</v>
      </c>
      <c r="D66">
        <v>17</v>
      </c>
      <c r="E66" t="s">
        <v>42</v>
      </c>
      <c r="F66" t="s">
        <v>14</v>
      </c>
      <c r="I66" s="1"/>
    </row>
    <row r="67" spans="1:13" x14ac:dyDescent="0.25">
      <c r="A67">
        <f>IF(ISNUMBER(MATCH(D67,Tracker!C:C,0)), 1, 0)</f>
        <v>0</v>
      </c>
      <c r="B67" t="s">
        <v>110</v>
      </c>
      <c r="C67" s="1">
        <v>44340</v>
      </c>
      <c r="D67">
        <v>141</v>
      </c>
      <c r="E67" t="s">
        <v>111</v>
      </c>
      <c r="F67" s="3" t="s">
        <v>10</v>
      </c>
      <c r="H67" t="s">
        <v>11</v>
      </c>
      <c r="I67" s="1">
        <f>DATE(YEAR(C67),MONTH(C67),DAY(C67) + IF(H67 = "Y", 14, 7))</f>
        <v>44354</v>
      </c>
      <c r="J67" s="1">
        <f>DATE(YEAR(I67),MONTH(I67),DAY(I67)+7)</f>
        <v>44361</v>
      </c>
      <c r="K67" s="1">
        <f>DATE(YEAR(J67),MONTH(J67),DAY(J67)+14)</f>
        <v>44375</v>
      </c>
      <c r="L67" s="1">
        <f>DATE(YEAR(K67),MONTH(K67),DAY(K67)+28)</f>
        <v>44403</v>
      </c>
    </row>
    <row r="68" spans="1:13" x14ac:dyDescent="0.25">
      <c r="A68">
        <f>IF(ISNUMBER(MATCH(D68,Tracker!C:C,0)), 1, 0)</f>
        <v>0</v>
      </c>
      <c r="B68" t="s">
        <v>110</v>
      </c>
      <c r="D68">
        <v>142</v>
      </c>
      <c r="E68" t="s">
        <v>116</v>
      </c>
      <c r="F68" s="3" t="s">
        <v>14</v>
      </c>
      <c r="I68" s="1"/>
    </row>
    <row r="69" spans="1:13" x14ac:dyDescent="0.25">
      <c r="A69">
        <f>IF(ISNUMBER(MATCH(D69,Tracker!C:C,0)), 1, 0)</f>
        <v>0</v>
      </c>
      <c r="B69" t="s">
        <v>189</v>
      </c>
      <c r="D69">
        <v>128</v>
      </c>
      <c r="E69" t="s">
        <v>197</v>
      </c>
      <c r="F69" t="s">
        <v>45</v>
      </c>
      <c r="I69" s="1"/>
    </row>
    <row r="70" spans="1:13" x14ac:dyDescent="0.25">
      <c r="A70">
        <f>IF(ISNUMBER(MATCH(D70,Tracker!C:C,0)), 1, 0)</f>
        <v>0</v>
      </c>
      <c r="B70" t="s">
        <v>109</v>
      </c>
      <c r="D70">
        <v>300</v>
      </c>
      <c r="E70" t="s">
        <v>96</v>
      </c>
      <c r="F70" s="3" t="s">
        <v>14</v>
      </c>
      <c r="I70" s="1"/>
    </row>
    <row r="71" spans="1:13" x14ac:dyDescent="0.25">
      <c r="A71">
        <f>IF(ISNUMBER(MATCH(D71,Tracker!C:C,0)), 1, 0)</f>
        <v>0</v>
      </c>
      <c r="B71" t="s">
        <v>109</v>
      </c>
      <c r="D71">
        <v>5</v>
      </c>
      <c r="E71" t="s">
        <v>97</v>
      </c>
      <c r="F71" s="3" t="s">
        <v>14</v>
      </c>
      <c r="I71" s="1"/>
    </row>
    <row r="72" spans="1:13" x14ac:dyDescent="0.25">
      <c r="A72">
        <f>IF(ISNUMBER(MATCH(D72,Tracker!C:C,0)), 1, 0)</f>
        <v>0</v>
      </c>
      <c r="B72" t="s">
        <v>156</v>
      </c>
      <c r="D72">
        <v>424</v>
      </c>
      <c r="E72" t="s">
        <v>160</v>
      </c>
      <c r="F72" s="3" t="s">
        <v>14</v>
      </c>
      <c r="I72" s="1"/>
    </row>
    <row r="73" spans="1:13" x14ac:dyDescent="0.25">
      <c r="A73">
        <f>IF(ISNUMBER(MATCH(D73,Tracker!C:C,0)), 1, 0)</f>
        <v>0</v>
      </c>
      <c r="B73" t="s">
        <v>156</v>
      </c>
      <c r="D73">
        <v>3</v>
      </c>
      <c r="E73" t="s">
        <v>161</v>
      </c>
      <c r="F73" s="3" t="s">
        <v>14</v>
      </c>
      <c r="I73" s="1"/>
    </row>
    <row r="74" spans="1:13" x14ac:dyDescent="0.25">
      <c r="A74">
        <f>IF(ISNUMBER(MATCH(D74,Tracker!C:C,0)), 1, 0)</f>
        <v>0</v>
      </c>
      <c r="B74" t="s">
        <v>169</v>
      </c>
      <c r="C74" s="1">
        <v>44340</v>
      </c>
      <c r="D74">
        <v>720</v>
      </c>
      <c r="E74" t="s">
        <v>170</v>
      </c>
      <c r="F74" s="3" t="s">
        <v>10</v>
      </c>
      <c r="H74" t="s">
        <v>11</v>
      </c>
      <c r="I74" s="1">
        <f>DATE(YEAR(C74),MONTH(C74),DAY(C74) + IF(H74 = "Y", 14, 7))</f>
        <v>44354</v>
      </c>
      <c r="J74" s="1">
        <f>DATE(YEAR(I74),MONTH(I74),DAY(I74)+7)</f>
        <v>44361</v>
      </c>
      <c r="K74" s="1">
        <f>DATE(YEAR(J74),MONTH(J74),DAY(J74)+14)</f>
        <v>44375</v>
      </c>
      <c r="L74" s="1">
        <f>DATE(YEAR(K74),MONTH(K74),DAY(K74)+28)</f>
        <v>44403</v>
      </c>
    </row>
    <row r="75" spans="1:13" x14ac:dyDescent="0.25">
      <c r="A75">
        <f>IF(ISNUMBER(MATCH(D75,Tracker!C:C,0)), 1, 0)</f>
        <v>0</v>
      </c>
      <c r="B75" t="s">
        <v>66</v>
      </c>
      <c r="C75" s="7"/>
      <c r="D75" s="7">
        <v>235</v>
      </c>
      <c r="E75" s="7" t="s">
        <v>70</v>
      </c>
      <c r="F75" s="7" t="s">
        <v>10</v>
      </c>
      <c r="G75" s="7"/>
      <c r="H75" s="7"/>
      <c r="I75" s="6"/>
      <c r="J75" s="7"/>
      <c r="K75" s="7"/>
      <c r="L75" s="7"/>
      <c r="M75" s="7"/>
    </row>
    <row r="76" spans="1:13" x14ac:dyDescent="0.25">
      <c r="A76">
        <f>IF(ISNUMBER(MATCH(D76,Tracker!C:C,0)), 1, 0)</f>
        <v>0</v>
      </c>
      <c r="B76" t="s">
        <v>66</v>
      </c>
      <c r="C76" s="7"/>
      <c r="D76" s="7">
        <v>236</v>
      </c>
      <c r="E76" s="9" t="s">
        <v>77</v>
      </c>
      <c r="F76" s="7" t="s">
        <v>14</v>
      </c>
      <c r="G76" s="7"/>
      <c r="H76" s="7"/>
      <c r="I76" s="6"/>
      <c r="J76" s="7"/>
      <c r="K76" s="7"/>
      <c r="L76" s="7"/>
      <c r="M76" s="7"/>
    </row>
    <row r="77" spans="1:13" x14ac:dyDescent="0.25">
      <c r="A77">
        <f>IF(ISNUMBER(MATCH(D77,Tracker!C:C,0)), 1, 0)</f>
        <v>0</v>
      </c>
      <c r="B77" t="s">
        <v>167</v>
      </c>
      <c r="C77" s="1">
        <v>44340</v>
      </c>
      <c r="D77">
        <v>169</v>
      </c>
      <c r="E77" t="s">
        <v>168</v>
      </c>
      <c r="F77" s="3" t="s">
        <v>10</v>
      </c>
      <c r="H77" t="s">
        <v>11</v>
      </c>
      <c r="I77" s="1">
        <f>DATE(YEAR(C77),MONTH(C77),DAY(C77) + IF(H77 = "Y", 14, 7))</f>
        <v>44354</v>
      </c>
      <c r="J77" s="1">
        <f>DATE(YEAR(I77),MONTH(I77),DAY(I77)+7)</f>
        <v>44361</v>
      </c>
      <c r="K77" s="1">
        <f>DATE(YEAR(J77),MONTH(J77),DAY(J77)+14)</f>
        <v>44375</v>
      </c>
      <c r="L77" s="1">
        <f>DATE(YEAR(K77),MONTH(K77),DAY(K77)+28)</f>
        <v>44403</v>
      </c>
    </row>
    <row r="78" spans="1:13" x14ac:dyDescent="0.25">
      <c r="A78">
        <f>IF(ISNUMBER(MATCH(D78,Tracker!C:C,0)), 1, 0)</f>
        <v>0</v>
      </c>
      <c r="B78" t="s">
        <v>66</v>
      </c>
      <c r="C78" s="7"/>
      <c r="D78" s="7">
        <v>654</v>
      </c>
      <c r="E78" s="9" t="s">
        <v>78</v>
      </c>
      <c r="F78" s="7" t="s">
        <v>14</v>
      </c>
      <c r="G78" s="7"/>
      <c r="H78" s="7"/>
      <c r="I78" s="6"/>
      <c r="J78" s="7"/>
      <c r="K78" s="7"/>
      <c r="L78" s="7"/>
      <c r="M78" s="7"/>
    </row>
    <row r="79" spans="1:13" x14ac:dyDescent="0.25">
      <c r="A79">
        <f>IF(ISNUMBER(MATCH(D79,Tracker!C:C,0)), 1, 0)</f>
        <v>0</v>
      </c>
      <c r="B79" t="s">
        <v>66</v>
      </c>
      <c r="C79" s="7"/>
      <c r="D79" s="7">
        <v>104</v>
      </c>
      <c r="E79" s="7" t="s">
        <v>69</v>
      </c>
      <c r="F79" s="7" t="s">
        <v>10</v>
      </c>
      <c r="G79" s="7"/>
      <c r="H79" s="7"/>
      <c r="I79" s="6"/>
      <c r="J79" s="7"/>
      <c r="K79" s="7"/>
      <c r="L79" s="7"/>
      <c r="M79" s="7"/>
    </row>
    <row r="80" spans="1:13" x14ac:dyDescent="0.25">
      <c r="A80">
        <f>IF(ISNUMBER(MATCH(D80,Tracker!C:C,0)), 1, 0)</f>
        <v>0</v>
      </c>
      <c r="B80" t="s">
        <v>64</v>
      </c>
      <c r="C80" s="1">
        <v>44340</v>
      </c>
      <c r="D80">
        <v>895</v>
      </c>
      <c r="E80" t="s">
        <v>65</v>
      </c>
      <c r="F80" s="3" t="s">
        <v>45</v>
      </c>
      <c r="H80" t="s">
        <v>11</v>
      </c>
      <c r="I80" s="1">
        <f>DATE(YEAR(C80),MONTH(C80),DAY(C80) + IF(H80 = "Y", 14, 7))</f>
        <v>44354</v>
      </c>
      <c r="J80" s="1">
        <f>DATE(YEAR(I80),MONTH(I80),DAY(I80)+7)</f>
        <v>44361</v>
      </c>
      <c r="K80" s="1">
        <f>DATE(YEAR(J80),MONTH(J80),DAY(J80)+14)</f>
        <v>44375</v>
      </c>
      <c r="L80" s="1">
        <f>DATE(YEAR(K80),MONTH(K80),DAY(K80)+28)</f>
        <v>44403</v>
      </c>
    </row>
    <row r="81" spans="1:13" x14ac:dyDescent="0.25">
      <c r="A81">
        <f>IF(ISNUMBER(MATCH(D81,Tracker!C:C,0)), 1, 0)</f>
        <v>0</v>
      </c>
      <c r="B81" t="s">
        <v>109</v>
      </c>
      <c r="D81">
        <v>152</v>
      </c>
      <c r="E81" t="s">
        <v>95</v>
      </c>
      <c r="F81" s="3" t="s">
        <v>14</v>
      </c>
      <c r="I81" s="1"/>
    </row>
    <row r="82" spans="1:13" x14ac:dyDescent="0.25">
      <c r="A82">
        <f>IF(ISNUMBER(MATCH(D82,Tracker!C:C,0)), 1, 0)</f>
        <v>0</v>
      </c>
      <c r="B82" t="s">
        <v>109</v>
      </c>
      <c r="D82">
        <v>53</v>
      </c>
      <c r="E82" t="s">
        <v>90</v>
      </c>
      <c r="F82" s="3" t="s">
        <v>10</v>
      </c>
      <c r="I82" s="1"/>
    </row>
    <row r="83" spans="1:13" x14ac:dyDescent="0.25">
      <c r="A83">
        <f>IF(ISNUMBER(MATCH(D83,Tracker!C:C,0)), 1, 0)</f>
        <v>0</v>
      </c>
      <c r="B83" t="s">
        <v>66</v>
      </c>
      <c r="C83" s="7"/>
      <c r="D83" s="7">
        <v>662</v>
      </c>
      <c r="E83" s="7" t="s">
        <v>79</v>
      </c>
      <c r="F83" s="7" t="s">
        <v>14</v>
      </c>
      <c r="G83" s="7"/>
      <c r="H83" s="7"/>
      <c r="I83" s="6"/>
      <c r="J83" s="7"/>
      <c r="K83" s="7"/>
      <c r="L83" s="7"/>
      <c r="M83" s="7"/>
    </row>
    <row r="84" spans="1:13" x14ac:dyDescent="0.25">
      <c r="A84">
        <f>IF(ISNUMBER(MATCH(D84,Tracker!C:C,0)), 1, 0)</f>
        <v>0</v>
      </c>
      <c r="B84" t="s">
        <v>169</v>
      </c>
      <c r="D84">
        <v>421</v>
      </c>
      <c r="E84" t="s">
        <v>172</v>
      </c>
      <c r="F84" s="3" t="s">
        <v>14</v>
      </c>
      <c r="I84" s="1"/>
    </row>
    <row r="85" spans="1:13" x14ac:dyDescent="0.25">
      <c r="A85">
        <f>IF(ISNUMBER(MATCH(D85,Tracker!C:C,0)), 1, 0)</f>
        <v>0</v>
      </c>
      <c r="B85" t="s">
        <v>47</v>
      </c>
      <c r="D85">
        <v>4</v>
      </c>
      <c r="E85" t="s">
        <v>60</v>
      </c>
      <c r="F85" s="3" t="s">
        <v>45</v>
      </c>
      <c r="I85" s="1"/>
    </row>
    <row r="86" spans="1:13" x14ac:dyDescent="0.25">
      <c r="A86">
        <f>IF(ISNUMBER(MATCH(D86,Tracker!C:C,0)), 1, 0)</f>
        <v>0</v>
      </c>
      <c r="B86" t="s">
        <v>150</v>
      </c>
      <c r="C86" s="1">
        <v>44340</v>
      </c>
      <c r="D86">
        <v>252</v>
      </c>
      <c r="E86" t="s">
        <v>151</v>
      </c>
      <c r="F86" s="3" t="s">
        <v>10</v>
      </c>
      <c r="H86" t="s">
        <v>11</v>
      </c>
      <c r="I86" s="1">
        <f>DATE(YEAR(C86),MONTH(C86),DAY(C86) + IF(H86 = "Y", 14, 7))</f>
        <v>44354</v>
      </c>
      <c r="J86" s="1">
        <f>DATE(YEAR(I86),MONTH(I86),DAY(I86)+7)</f>
        <v>44361</v>
      </c>
      <c r="K86" s="1">
        <f>DATE(YEAR(J86),MONTH(J86),DAY(J86)+14)</f>
        <v>44375</v>
      </c>
      <c r="L86" s="1">
        <f>DATE(YEAR(K86),MONTH(K86),DAY(K86)+28)</f>
        <v>44403</v>
      </c>
    </row>
    <row r="87" spans="1:13" x14ac:dyDescent="0.25">
      <c r="A87">
        <f>IF(ISNUMBER(MATCH(D87,Tracker!C:C,0)), 1, 0)</f>
        <v>0</v>
      </c>
      <c r="B87" t="s">
        <v>132</v>
      </c>
      <c r="D87">
        <v>253</v>
      </c>
      <c r="E87" t="s">
        <v>134</v>
      </c>
      <c r="F87" s="3" t="s">
        <v>14</v>
      </c>
      <c r="I87" s="1"/>
    </row>
    <row r="88" spans="1:13" x14ac:dyDescent="0.25">
      <c r="A88">
        <f>IF(ISNUMBER(MATCH(D88,Tracker!C:C,0)), 1, 0)</f>
        <v>0</v>
      </c>
      <c r="B88" t="s">
        <v>150</v>
      </c>
      <c r="D88">
        <v>56</v>
      </c>
      <c r="E88" t="s">
        <v>152</v>
      </c>
      <c r="F88" s="3" t="s">
        <v>14</v>
      </c>
      <c r="I88" s="1"/>
    </row>
    <row r="89" spans="1:13" x14ac:dyDescent="0.25">
      <c r="A89">
        <f>IF(ISNUMBER(MATCH(D89,Tracker!C:C,0)), 1, 0)</f>
        <v>0</v>
      </c>
      <c r="B89" t="s">
        <v>132</v>
      </c>
      <c r="D89">
        <v>23</v>
      </c>
      <c r="E89" t="s">
        <v>139</v>
      </c>
      <c r="F89" s="3" t="s">
        <v>45</v>
      </c>
      <c r="I89" s="1"/>
    </row>
    <row r="90" spans="1:13" x14ac:dyDescent="0.25">
      <c r="A90">
        <f>IF(ISNUMBER(MATCH(D90,Tracker!C:C,0)), 1, 0)</f>
        <v>0</v>
      </c>
      <c r="B90" t="s">
        <v>66</v>
      </c>
      <c r="C90" s="7"/>
      <c r="D90" s="7">
        <v>617</v>
      </c>
      <c r="E90" s="7" t="s">
        <v>295</v>
      </c>
      <c r="F90" s="7" t="s">
        <v>10</v>
      </c>
      <c r="G90" s="7"/>
      <c r="H90" s="7"/>
      <c r="I90" s="6"/>
      <c r="J90" s="7"/>
      <c r="K90" s="7"/>
      <c r="L90" s="7"/>
      <c r="M90" s="7"/>
    </row>
    <row r="91" spans="1:13" x14ac:dyDescent="0.25">
      <c r="A91">
        <f>IF(ISNUMBER(MATCH(D91,Tracker!C:C,0)), 1, 0)</f>
        <v>0</v>
      </c>
      <c r="B91" t="s">
        <v>178</v>
      </c>
      <c r="C91" s="1">
        <v>44340</v>
      </c>
      <c r="D91">
        <v>21</v>
      </c>
      <c r="E91" t="s">
        <v>179</v>
      </c>
      <c r="F91" s="3" t="s">
        <v>10</v>
      </c>
      <c r="H91" t="s">
        <v>11</v>
      </c>
      <c r="I91" s="1">
        <f>DATE(YEAR(C91),MONTH(C91),DAY(C91) + IF(H91 = "Y", 14, 7))</f>
        <v>44354</v>
      </c>
      <c r="J91" s="1">
        <f>DATE(YEAR(I91),MONTH(I91),DAY(I91)+7)</f>
        <v>44361</v>
      </c>
      <c r="K91" s="1">
        <f>DATE(YEAR(J91),MONTH(J91),DAY(J91)+14)</f>
        <v>44375</v>
      </c>
      <c r="L91" s="1">
        <f>DATE(YEAR(K91),MONTH(K91),DAY(K91)+28)</f>
        <v>44403</v>
      </c>
    </row>
    <row r="92" spans="1:13" x14ac:dyDescent="0.25">
      <c r="A92">
        <f>IF(ISNUMBER(MATCH(D92,Tracker!C:C,0)), 1, 0)</f>
        <v>0</v>
      </c>
      <c r="B92" t="s">
        <v>110</v>
      </c>
      <c r="D92">
        <v>876</v>
      </c>
      <c r="E92" t="s">
        <v>112</v>
      </c>
      <c r="F92" s="3" t="s">
        <v>10</v>
      </c>
      <c r="I92" s="1"/>
    </row>
    <row r="93" spans="1:13" x14ac:dyDescent="0.25">
      <c r="A93">
        <f>IF(ISNUMBER(MATCH(D93,Tracker!C:C,0)), 1, 0)</f>
        <v>0</v>
      </c>
      <c r="B93" t="s">
        <v>29</v>
      </c>
      <c r="C93" s="2">
        <v>45218</v>
      </c>
      <c r="D93">
        <v>111</v>
      </c>
      <c r="E93" t="s">
        <v>12</v>
      </c>
      <c r="F93" t="s">
        <v>10</v>
      </c>
      <c r="H93" s="2" t="s">
        <v>11</v>
      </c>
      <c r="I93" s="2">
        <f>DATE(YEAR(C93),MONTH(C93),DAY(C93) + IF(H93 = "Y", 14, 7))</f>
        <v>45232</v>
      </c>
    </row>
    <row r="94" spans="1:13" x14ac:dyDescent="0.25">
      <c r="A94">
        <f>IF(ISNUMBER(MATCH(D94,Tracker!C:C,0)), 1, 0)</f>
        <v>0</v>
      </c>
      <c r="B94" t="s">
        <v>29</v>
      </c>
      <c r="D94">
        <v>310</v>
      </c>
      <c r="E94" s="3" t="s">
        <v>21</v>
      </c>
      <c r="F94" s="3" t="s">
        <v>14</v>
      </c>
      <c r="I94" s="1">
        <f>DATE(YEAR(C94),MONTH(C94),DAY(C94) + IF(H94 = "Y", 14, 7))</f>
        <v>7</v>
      </c>
    </row>
    <row r="95" spans="1:13" x14ac:dyDescent="0.25">
      <c r="A95">
        <f>IF(ISNUMBER(MATCH(D95,Tracker!C:C,0)), 1, 0)</f>
        <v>0</v>
      </c>
      <c r="B95" t="s">
        <v>125</v>
      </c>
      <c r="D95">
        <v>452</v>
      </c>
      <c r="E95" t="s">
        <v>127</v>
      </c>
      <c r="F95" s="3" t="s">
        <v>14</v>
      </c>
      <c r="I95" s="1"/>
    </row>
    <row r="96" spans="1:13" x14ac:dyDescent="0.25">
      <c r="A96">
        <f>IF(ISNUMBER(MATCH(D96,Tracker!C:C,0)), 1, 0)</f>
        <v>0</v>
      </c>
      <c r="B96" t="s">
        <v>156</v>
      </c>
      <c r="D96">
        <v>995</v>
      </c>
      <c r="E96" t="s">
        <v>163</v>
      </c>
      <c r="F96" s="3" t="s">
        <v>45</v>
      </c>
      <c r="I96" s="1"/>
    </row>
    <row r="97" spans="1:12" x14ac:dyDescent="0.25">
      <c r="A97">
        <f>IF(ISNUMBER(MATCH(D97,Tracker!C:C,0)), 1, 0)</f>
        <v>0</v>
      </c>
      <c r="B97" t="s">
        <v>156</v>
      </c>
      <c r="C97" s="1">
        <v>44340</v>
      </c>
      <c r="D97">
        <v>209</v>
      </c>
      <c r="E97" t="s">
        <v>157</v>
      </c>
      <c r="F97" s="3" t="s">
        <v>14</v>
      </c>
      <c r="H97" t="s">
        <v>11</v>
      </c>
      <c r="I97" s="1">
        <f>DATE(YEAR(C97),MONTH(C97),DAY(C97) + IF(H97 = "Y", 14, 7))</f>
        <v>44354</v>
      </c>
      <c r="J97" s="1">
        <f>DATE(YEAR(I97),MONTH(I97),DAY(I97)+7)</f>
        <v>44361</v>
      </c>
      <c r="K97" s="1">
        <f>DATE(YEAR(J97),MONTH(J97),DAY(J97)+14)</f>
        <v>44375</v>
      </c>
      <c r="L97" s="1">
        <f>DATE(YEAR(K97),MONTH(K97),DAY(K97)+28)</f>
        <v>44403</v>
      </c>
    </row>
    <row r="98" spans="1:12" x14ac:dyDescent="0.25">
      <c r="A98">
        <f>IF(ISNUMBER(MATCH(D98,Tracker!C:C,0)), 1, 0)</f>
        <v>0</v>
      </c>
      <c r="B98" t="s">
        <v>156</v>
      </c>
      <c r="D98">
        <v>76</v>
      </c>
      <c r="E98" t="s">
        <v>165</v>
      </c>
      <c r="F98" s="3" t="s">
        <v>45</v>
      </c>
      <c r="I98" s="1"/>
    </row>
    <row r="99" spans="1:12" x14ac:dyDescent="0.25">
      <c r="A99">
        <f>IF(ISNUMBER(MATCH(D99,Tracker!C:C,0)), 1, 0)</f>
        <v>0</v>
      </c>
      <c r="B99" t="s">
        <v>61</v>
      </c>
      <c r="C99" s="1">
        <v>44340</v>
      </c>
      <c r="D99">
        <v>268</v>
      </c>
      <c r="E99" t="s">
        <v>62</v>
      </c>
      <c r="F99" t="s">
        <v>10</v>
      </c>
      <c r="H99" t="s">
        <v>11</v>
      </c>
      <c r="I99" s="1">
        <f>DATE(YEAR(C99),MONTH(C99),DAY(C99) + IF(H99 = "Y", 14, 7))</f>
        <v>44354</v>
      </c>
      <c r="J99" s="1">
        <f>DATE(YEAR(I99),MONTH(I99),DAY(I99)+7)</f>
        <v>44361</v>
      </c>
      <c r="K99" s="1">
        <f>DATE(YEAR(J99),MONTH(J99),DAY(J99)+14)</f>
        <v>44375</v>
      </c>
      <c r="L99" s="1">
        <f>DATE(YEAR(K99),MONTH(K99),DAY(K99)+28)</f>
        <v>44403</v>
      </c>
    </row>
    <row r="100" spans="1:12" x14ac:dyDescent="0.25">
      <c r="A100">
        <f>IF(ISNUMBER(MATCH(D100,Tracker!C:C,0)), 1, 0)</f>
        <v>0</v>
      </c>
      <c r="B100" t="s">
        <v>150</v>
      </c>
      <c r="D100">
        <v>435</v>
      </c>
      <c r="E100" t="s">
        <v>154</v>
      </c>
      <c r="F100" s="3" t="s">
        <v>14</v>
      </c>
      <c r="I100" s="1"/>
    </row>
    <row r="101" spans="1:12" x14ac:dyDescent="0.25">
      <c r="A101">
        <f>IF(ISNUMBER(MATCH(D101,Tracker!C:C,0)), 1, 0)</f>
        <v>0</v>
      </c>
      <c r="B101" t="s">
        <v>30</v>
      </c>
      <c r="D101">
        <v>51</v>
      </c>
      <c r="E101" t="s">
        <v>46</v>
      </c>
      <c r="F101" t="s">
        <v>45</v>
      </c>
      <c r="I101" s="1"/>
    </row>
    <row r="102" spans="1:12" x14ac:dyDescent="0.25">
      <c r="A102">
        <f>IF(ISNUMBER(MATCH(D102,Tracker!C:C,0)), 1, 0)</f>
        <v>0</v>
      </c>
      <c r="B102" t="s">
        <v>29</v>
      </c>
      <c r="D102">
        <v>323</v>
      </c>
      <c r="E102" s="3" t="s">
        <v>19</v>
      </c>
      <c r="F102" t="s">
        <v>14</v>
      </c>
      <c r="I102" s="1">
        <f>DATE(YEAR(C102),MONTH(C102),DAY(C102) + IF(H102 = "Y", 14, 7))</f>
        <v>7</v>
      </c>
    </row>
    <row r="103" spans="1:12" x14ac:dyDescent="0.25">
      <c r="A103">
        <f>IF(ISNUMBER(MATCH(D103,Tracker!C:C,0)), 1, 0)</f>
        <v>0</v>
      </c>
      <c r="B103" t="s">
        <v>29</v>
      </c>
      <c r="D103">
        <v>200</v>
      </c>
      <c r="E103" t="s">
        <v>17</v>
      </c>
      <c r="F103" t="s">
        <v>14</v>
      </c>
      <c r="I103" s="1">
        <f>DATE(YEAR(C103),MONTH(C103),DAY(C103) + IF(H103 = "Y", 14, 7))</f>
        <v>7</v>
      </c>
    </row>
    <row r="104" spans="1:12" x14ac:dyDescent="0.25">
      <c r="A104">
        <f>IF(ISNUMBER(MATCH(D104,Tracker!C:C,0)), 1, 0)</f>
        <v>0</v>
      </c>
      <c r="B104" t="s">
        <v>109</v>
      </c>
      <c r="D104">
        <v>673</v>
      </c>
      <c r="E104" t="s">
        <v>104</v>
      </c>
      <c r="F104" s="3" t="s">
        <v>14</v>
      </c>
      <c r="I104" s="1"/>
    </row>
    <row r="105" spans="1:12" x14ac:dyDescent="0.25">
      <c r="A105">
        <f>IF(ISNUMBER(MATCH(D105,Tracker!C:C,0)), 1, 0)</f>
        <v>0</v>
      </c>
      <c r="B105" t="s">
        <v>143</v>
      </c>
      <c r="D105">
        <v>328</v>
      </c>
      <c r="E105" t="s">
        <v>148</v>
      </c>
      <c r="F105" s="3" t="s">
        <v>14</v>
      </c>
      <c r="I105" s="1"/>
    </row>
    <row r="106" spans="1:12" x14ac:dyDescent="0.25">
      <c r="A106">
        <f>IF(ISNUMBER(MATCH(D106,Tracker!C:C,0)), 1, 0)</f>
        <v>0</v>
      </c>
      <c r="B106" t="s">
        <v>29</v>
      </c>
      <c r="D106">
        <v>417</v>
      </c>
      <c r="E106" t="s">
        <v>15</v>
      </c>
      <c r="F106" t="s">
        <v>14</v>
      </c>
      <c r="I106" s="1">
        <f>DATE(YEAR(C106),MONTH(C106),DAY(C106) + IF(H106 = "Y", 14, 7))</f>
        <v>7</v>
      </c>
    </row>
    <row r="107" spans="1:12" x14ac:dyDescent="0.25">
      <c r="A107">
        <f>IF(ISNUMBER(MATCH(D107,Tracker!C:C,0)), 1, 0)</f>
        <v>0</v>
      </c>
      <c r="B107" t="s">
        <v>110</v>
      </c>
      <c r="D107">
        <v>234</v>
      </c>
      <c r="E107" t="s">
        <v>113</v>
      </c>
      <c r="F107" s="3" t="s">
        <v>10</v>
      </c>
      <c r="I107" s="1"/>
    </row>
    <row r="108" spans="1:12" x14ac:dyDescent="0.25">
      <c r="A108">
        <f>IF(ISNUMBER(MATCH(D108,Tracker!C:C,0)), 1, 0)</f>
        <v>0</v>
      </c>
      <c r="B108" t="s">
        <v>169</v>
      </c>
      <c r="D108">
        <v>336</v>
      </c>
      <c r="E108" t="s">
        <v>175</v>
      </c>
      <c r="F108" s="3" t="s">
        <v>45</v>
      </c>
      <c r="I108" s="1"/>
    </row>
    <row r="109" spans="1:12" x14ac:dyDescent="0.25">
      <c r="A109">
        <f>IF(ISNUMBER(MATCH(D109,Tracker!C:C,0)), 1, 0)</f>
        <v>0</v>
      </c>
      <c r="B109" t="s">
        <v>30</v>
      </c>
      <c r="D109">
        <v>131</v>
      </c>
      <c r="E109" t="s">
        <v>41</v>
      </c>
      <c r="F109" t="s">
        <v>14</v>
      </c>
      <c r="I109" s="1"/>
    </row>
    <row r="110" spans="1:12" x14ac:dyDescent="0.25">
      <c r="A110">
        <f>IF(ISNUMBER(MATCH(D110,Tracker!C:C,0)), 1, 0)</f>
        <v>0</v>
      </c>
      <c r="B110" t="s">
        <v>109</v>
      </c>
      <c r="D110">
        <v>647</v>
      </c>
      <c r="E110" t="s">
        <v>103</v>
      </c>
      <c r="F110" s="3" t="s">
        <v>14</v>
      </c>
      <c r="I110" s="1"/>
    </row>
    <row r="111" spans="1:12" x14ac:dyDescent="0.25">
      <c r="A111">
        <f>IF(ISNUMBER(MATCH(D111,Tracker!C:C,0)), 1, 0)</f>
        <v>0</v>
      </c>
      <c r="B111" t="s">
        <v>109</v>
      </c>
      <c r="D111">
        <v>416</v>
      </c>
      <c r="E111" t="s">
        <v>105</v>
      </c>
      <c r="F111" s="3" t="s">
        <v>14</v>
      </c>
      <c r="I111" s="1"/>
    </row>
    <row r="112" spans="1:12" x14ac:dyDescent="0.25">
      <c r="A112">
        <f>IF(ISNUMBER(MATCH(D112,Tracker!C:C,0)), 1, 0)</f>
        <v>0</v>
      </c>
      <c r="B112" t="s">
        <v>109</v>
      </c>
      <c r="D112">
        <v>698</v>
      </c>
      <c r="E112" t="s">
        <v>106</v>
      </c>
      <c r="F112" s="3" t="s">
        <v>14</v>
      </c>
      <c r="I112" s="1"/>
    </row>
    <row r="113" spans="1:13" x14ac:dyDescent="0.25">
      <c r="A113">
        <f>IF(ISNUMBER(MATCH(D113,Tracker!C:C,0)), 1, 0)</f>
        <v>0</v>
      </c>
      <c r="B113" t="s">
        <v>66</v>
      </c>
      <c r="C113" s="7"/>
      <c r="D113" s="7">
        <v>112</v>
      </c>
      <c r="E113" s="7" t="s">
        <v>294</v>
      </c>
      <c r="F113" s="7" t="s">
        <v>10</v>
      </c>
      <c r="G113" s="7"/>
      <c r="H113" s="7"/>
      <c r="I113" s="6"/>
      <c r="J113" s="7"/>
      <c r="K113" s="7"/>
      <c r="L113" s="7"/>
      <c r="M113" s="7"/>
    </row>
    <row r="114" spans="1:13" x14ac:dyDescent="0.25">
      <c r="A114">
        <f>IF(ISNUMBER(MATCH(D114,Tracker!C:C,0)), 1, 0)</f>
        <v>0</v>
      </c>
      <c r="B114" t="s">
        <v>66</v>
      </c>
      <c r="C114" s="7"/>
      <c r="D114" s="7">
        <v>113</v>
      </c>
      <c r="E114" s="7" t="s">
        <v>75</v>
      </c>
      <c r="F114" s="7" t="s">
        <v>14</v>
      </c>
      <c r="G114" s="7"/>
      <c r="H114" s="7"/>
      <c r="I114" s="6"/>
      <c r="J114" s="7"/>
      <c r="K114" s="7"/>
      <c r="L114" s="7"/>
      <c r="M114" s="7"/>
    </row>
    <row r="115" spans="1:13" x14ac:dyDescent="0.25">
      <c r="A115">
        <f>IF(ISNUMBER(MATCH(D115,Tracker!C:C,0)), 1, 0)</f>
        <v>0</v>
      </c>
      <c r="B115" t="s">
        <v>66</v>
      </c>
      <c r="C115" s="7"/>
      <c r="D115" s="7">
        <v>437</v>
      </c>
      <c r="E115" s="7" t="s">
        <v>76</v>
      </c>
      <c r="F115" s="7" t="s">
        <v>14</v>
      </c>
      <c r="G115" s="7"/>
      <c r="H115" s="7"/>
      <c r="I115" s="6"/>
      <c r="J115" s="7"/>
      <c r="K115" s="7"/>
      <c r="L115" s="7"/>
      <c r="M115" s="7"/>
    </row>
    <row r="116" spans="1:13" x14ac:dyDescent="0.25">
      <c r="A116">
        <f>IF(ISNUMBER(MATCH(D116,Tracker!C:C,0)), 1, 0)</f>
        <v>0</v>
      </c>
      <c r="B116" t="s">
        <v>47</v>
      </c>
      <c r="D116">
        <v>852</v>
      </c>
      <c r="E116" s="3" t="s">
        <v>49</v>
      </c>
      <c r="F116" s="3" t="s">
        <v>10</v>
      </c>
      <c r="I116" s="1"/>
    </row>
    <row r="117" spans="1:13" x14ac:dyDescent="0.25">
      <c r="A117">
        <f>IF(ISNUMBER(MATCH(D117,Tracker!C:C,0)), 1, 0)</f>
        <v>0</v>
      </c>
      <c r="B117" t="s">
        <v>156</v>
      </c>
      <c r="D117">
        <v>567</v>
      </c>
      <c r="E117" t="s">
        <v>159</v>
      </c>
      <c r="F117" s="3" t="s">
        <v>14</v>
      </c>
      <c r="I117" s="1"/>
    </row>
    <row r="118" spans="1:13" x14ac:dyDescent="0.25">
      <c r="A118">
        <f>IF(ISNUMBER(MATCH(D118,Tracker!C:C,0)), 1, 0)</f>
        <v>0</v>
      </c>
      <c r="B118" t="s">
        <v>30</v>
      </c>
      <c r="D118">
        <v>46</v>
      </c>
      <c r="E118" t="s">
        <v>35</v>
      </c>
      <c r="F118" t="s">
        <v>14</v>
      </c>
      <c r="I118" s="1"/>
    </row>
    <row r="119" spans="1:13" x14ac:dyDescent="0.25">
      <c r="A119">
        <f>IF(ISNUMBER(MATCH(D119,Tracker!C:C,0)), 1, 0)</f>
        <v>0</v>
      </c>
      <c r="B119" t="s">
        <v>30</v>
      </c>
      <c r="D119">
        <v>47</v>
      </c>
      <c r="E119" t="s">
        <v>301</v>
      </c>
      <c r="F119" t="s">
        <v>14</v>
      </c>
      <c r="I119" s="1"/>
    </row>
    <row r="120" spans="1:13" x14ac:dyDescent="0.25">
      <c r="A120">
        <f>IF(ISNUMBER(MATCH(D120,Tracker!C:C,0)), 1, 0)</f>
        <v>0</v>
      </c>
      <c r="B120" t="s">
        <v>29</v>
      </c>
      <c r="D120">
        <v>116</v>
      </c>
      <c r="E120" t="s">
        <v>25</v>
      </c>
      <c r="F120" s="3" t="s">
        <v>14</v>
      </c>
      <c r="I120" s="1">
        <f>DATE(YEAR(C120),MONTH(C120),DAY(C120) + IF(H120 = "Y", 14, 7))</f>
        <v>7</v>
      </c>
    </row>
    <row r="121" spans="1:13" x14ac:dyDescent="0.25">
      <c r="A121">
        <f>IF(ISNUMBER(MATCH(D121,Tracker!C:C,0)), 1, 0)</f>
        <v>0</v>
      </c>
      <c r="B121" t="s">
        <v>29</v>
      </c>
      <c r="D121">
        <v>117</v>
      </c>
      <c r="E121" t="s">
        <v>26</v>
      </c>
      <c r="F121" s="3" t="s">
        <v>14</v>
      </c>
      <c r="I121" s="1">
        <f>DATE(YEAR(C121),MONTH(C121),DAY(C121) + IF(H121 = "Y", 14, 7))</f>
        <v>7</v>
      </c>
    </row>
    <row r="122" spans="1:13" x14ac:dyDescent="0.25">
      <c r="A122">
        <f>IF(ISNUMBER(MATCH(D122,Tracker!C:C,0)), 1, 0)</f>
        <v>0</v>
      </c>
      <c r="B122" t="s">
        <v>169</v>
      </c>
      <c r="D122">
        <v>745</v>
      </c>
      <c r="E122" t="s">
        <v>174</v>
      </c>
      <c r="F122" s="3" t="s">
        <v>45</v>
      </c>
      <c r="I122" s="1"/>
    </row>
    <row r="123" spans="1:13" x14ac:dyDescent="0.25">
      <c r="A123">
        <f>IF(ISNUMBER(MATCH(D123,Tracker!C:C,0)), 1, 0)</f>
        <v>0</v>
      </c>
      <c r="B123" t="s">
        <v>29</v>
      </c>
      <c r="D123">
        <v>238</v>
      </c>
      <c r="E123" t="s">
        <v>16</v>
      </c>
      <c r="F123" t="s">
        <v>14</v>
      </c>
      <c r="I123" s="1">
        <f>DATE(YEAR(C123),MONTH(C123),DAY(C123) + IF(H123 = "Y", 14, 7))</f>
        <v>7</v>
      </c>
    </row>
    <row r="124" spans="1:13" x14ac:dyDescent="0.25">
      <c r="A124">
        <f>IF(ISNUMBER(MATCH(D124,Tracker!C:C,0)), 1, 0)</f>
        <v>0</v>
      </c>
      <c r="B124" t="s">
        <v>109</v>
      </c>
      <c r="D124">
        <v>303</v>
      </c>
      <c r="E124" t="s">
        <v>91</v>
      </c>
      <c r="F124" s="3" t="s">
        <v>10</v>
      </c>
      <c r="I124" s="1"/>
    </row>
    <row r="125" spans="1:13" x14ac:dyDescent="0.25">
      <c r="A125">
        <f>IF(ISNUMBER(MATCH(D125,Tracker!C:C,0)), 1, 0)</f>
        <v>0</v>
      </c>
      <c r="B125" t="s">
        <v>125</v>
      </c>
      <c r="D125">
        <v>358</v>
      </c>
      <c r="E125" t="s">
        <v>130</v>
      </c>
      <c r="F125" s="3" t="s">
        <v>45</v>
      </c>
      <c r="I125" s="1"/>
    </row>
    <row r="126" spans="1:13" x14ac:dyDescent="0.25">
      <c r="A126">
        <f>IF(ISNUMBER(MATCH(D126,Tracker!C:C,0)), 1, 0)</f>
        <v>0</v>
      </c>
      <c r="B126" t="s">
        <v>110</v>
      </c>
      <c r="D126">
        <v>83</v>
      </c>
      <c r="E126" t="s">
        <v>115</v>
      </c>
      <c r="F126" s="3" t="s">
        <v>10</v>
      </c>
      <c r="I126" s="1"/>
    </row>
    <row r="127" spans="1:13" x14ac:dyDescent="0.25">
      <c r="A127">
        <f>IF(ISNUMBER(MATCH(D127,Tracker!C:C,0)), 1, 0)</f>
        <v>0</v>
      </c>
      <c r="B127" t="s">
        <v>110</v>
      </c>
      <c r="D127">
        <v>203</v>
      </c>
      <c r="E127" t="s">
        <v>114</v>
      </c>
      <c r="F127" s="3" t="s">
        <v>10</v>
      </c>
      <c r="I127" s="1"/>
    </row>
    <row r="128" spans="1:13" x14ac:dyDescent="0.25">
      <c r="A128">
        <f>IF(ISNUMBER(MATCH(D128,Tracker!C:C,0)), 1, 0)</f>
        <v>0</v>
      </c>
      <c r="B128" t="s">
        <v>110</v>
      </c>
      <c r="D128">
        <v>19</v>
      </c>
      <c r="E128" t="s">
        <v>118</v>
      </c>
      <c r="F128" s="3" t="s">
        <v>14</v>
      </c>
      <c r="I128" s="1"/>
    </row>
    <row r="129" spans="1:13" x14ac:dyDescent="0.25">
      <c r="A129">
        <f>IF(ISNUMBER(MATCH(D129,Tracker!C:C,0)), 1, 0)</f>
        <v>0</v>
      </c>
      <c r="B129" t="s">
        <v>110</v>
      </c>
      <c r="D129">
        <v>143</v>
      </c>
      <c r="E129" t="s">
        <v>120</v>
      </c>
      <c r="F129" s="3" t="s">
        <v>14</v>
      </c>
      <c r="I129" s="1"/>
    </row>
    <row r="130" spans="1:13" x14ac:dyDescent="0.25">
      <c r="A130">
        <f>IF(ISNUMBER(MATCH(D130,Tracker!C:C,0)), 1, 0)</f>
        <v>0</v>
      </c>
      <c r="B130" t="s">
        <v>125</v>
      </c>
      <c r="D130">
        <v>767</v>
      </c>
      <c r="E130" t="s">
        <v>128</v>
      </c>
      <c r="F130" s="3" t="s">
        <v>14</v>
      </c>
      <c r="I130" s="1"/>
    </row>
    <row r="131" spans="1:13" x14ac:dyDescent="0.25">
      <c r="A131">
        <f>IF(ISNUMBER(MATCH(D131,Tracker!C:C,0)), 1, 0)</f>
        <v>0</v>
      </c>
      <c r="B131" t="s">
        <v>143</v>
      </c>
      <c r="C131" s="1">
        <v>44340</v>
      </c>
      <c r="D131">
        <v>206</v>
      </c>
      <c r="E131" t="s">
        <v>144</v>
      </c>
      <c r="F131" s="3" t="s">
        <v>10</v>
      </c>
      <c r="H131" t="s">
        <v>11</v>
      </c>
      <c r="I131" s="1">
        <f>DATE(YEAR(C131),MONTH(C131),DAY(C131) + IF(H131 = "Y", 14, 7))</f>
        <v>44354</v>
      </c>
      <c r="J131" s="1">
        <f>DATE(YEAR(I131),MONTH(I131),DAY(I131)+7)</f>
        <v>44361</v>
      </c>
      <c r="K131" s="1">
        <f>DATE(YEAR(J131),MONTH(J131),DAY(J131)+14)</f>
        <v>44375</v>
      </c>
      <c r="L131" s="1">
        <f>DATE(YEAR(K131),MONTH(K131),DAY(K131)+28)</f>
        <v>44403</v>
      </c>
    </row>
    <row r="132" spans="1:13" x14ac:dyDescent="0.25">
      <c r="A132">
        <f>IF(ISNUMBER(MATCH(D132,Tracker!C:C,0)), 1, 0)</f>
        <v>0</v>
      </c>
      <c r="B132" t="s">
        <v>143</v>
      </c>
      <c r="D132">
        <v>92</v>
      </c>
      <c r="E132" t="s">
        <v>145</v>
      </c>
      <c r="F132" s="3" t="s">
        <v>14</v>
      </c>
      <c r="I132" s="1"/>
    </row>
    <row r="133" spans="1:13" x14ac:dyDescent="0.25">
      <c r="A133">
        <f>IF(ISNUMBER(MATCH(D133,Tracker!C:C,0)), 1, 0)</f>
        <v>0</v>
      </c>
      <c r="B133" t="s">
        <v>143</v>
      </c>
      <c r="D133">
        <v>25</v>
      </c>
      <c r="E133" t="s">
        <v>149</v>
      </c>
      <c r="F133" s="3" t="s">
        <v>45</v>
      </c>
      <c r="I133" s="1"/>
    </row>
    <row r="134" spans="1:13" x14ac:dyDescent="0.25">
      <c r="A134">
        <f>IF(ISNUMBER(MATCH(D134,Tracker!C:C,0)), 1, 0)</f>
        <v>0</v>
      </c>
      <c r="B134" t="s">
        <v>189</v>
      </c>
      <c r="D134">
        <v>48</v>
      </c>
      <c r="E134" t="s">
        <v>195</v>
      </c>
      <c r="F134" t="s">
        <v>14</v>
      </c>
      <c r="I134" s="1"/>
    </row>
    <row r="135" spans="1:13" x14ac:dyDescent="0.25">
      <c r="A135">
        <f>IF(ISNUMBER(MATCH(D135,Tracker!C:C,0)), 1, 0)</f>
        <v>0</v>
      </c>
      <c r="B135" t="s">
        <v>143</v>
      </c>
      <c r="D135">
        <v>61</v>
      </c>
      <c r="E135" t="s">
        <v>146</v>
      </c>
      <c r="F135" s="3" t="s">
        <v>14</v>
      </c>
      <c r="I135" s="1"/>
    </row>
    <row r="136" spans="1:13" x14ac:dyDescent="0.25">
      <c r="A136">
        <f>IF(ISNUMBER(MATCH(D136,Tracker!C:C,0)), 1, 0)</f>
        <v>0</v>
      </c>
      <c r="B136" t="s">
        <v>66</v>
      </c>
      <c r="C136" s="7"/>
      <c r="D136" s="7">
        <v>100</v>
      </c>
      <c r="E136" s="7" t="s">
        <v>67</v>
      </c>
      <c r="F136" s="7" t="s">
        <v>10</v>
      </c>
      <c r="G136" s="7"/>
      <c r="H136" s="7"/>
      <c r="I136" s="6"/>
      <c r="J136" s="7"/>
      <c r="K136" s="7"/>
      <c r="L136" s="7"/>
      <c r="M136" s="7"/>
    </row>
    <row r="137" spans="1:13" x14ac:dyDescent="0.25">
      <c r="A137">
        <f>IF(ISNUMBER(MATCH(D137,Tracker!C:C,0)), 1, 0)</f>
        <v>0</v>
      </c>
      <c r="B137" t="s">
        <v>47</v>
      </c>
      <c r="D137">
        <v>74</v>
      </c>
      <c r="E137" t="s">
        <v>56</v>
      </c>
      <c r="F137" s="3" t="s">
        <v>14</v>
      </c>
      <c r="I137" s="1"/>
    </row>
    <row r="138" spans="1:13" x14ac:dyDescent="0.25">
      <c r="A138">
        <f>IF(ISNUMBER(MATCH(D138,Tracker!C:C,0)), 1, 0)</f>
        <v>0</v>
      </c>
      <c r="B138" t="s">
        <v>47</v>
      </c>
      <c r="D138">
        <v>240</v>
      </c>
      <c r="E138" s="3" t="s">
        <v>57</v>
      </c>
      <c r="F138" s="3" t="s">
        <v>14</v>
      </c>
      <c r="I138" s="1"/>
    </row>
    <row r="139" spans="1:13" x14ac:dyDescent="0.25">
      <c r="A139">
        <f>IF(ISNUMBER(MATCH(D139,Tracker!C:C,0)), 1, 0)</f>
        <v>0</v>
      </c>
      <c r="B139" t="s">
        <v>47</v>
      </c>
      <c r="D139">
        <v>33</v>
      </c>
      <c r="E139" t="s">
        <v>54</v>
      </c>
      <c r="F139" s="3" t="s">
        <v>14</v>
      </c>
      <c r="I139" s="1"/>
    </row>
    <row r="140" spans="1:13" x14ac:dyDescent="0.25">
      <c r="A140">
        <f>IF(ISNUMBER(MATCH(D140,Tracker!C:C,0)), 1, 0)</f>
        <v>0</v>
      </c>
      <c r="B140" t="s">
        <v>47</v>
      </c>
      <c r="D140">
        <v>81</v>
      </c>
      <c r="E140" s="3" t="s">
        <v>55</v>
      </c>
      <c r="F140" s="3" t="s">
        <v>14</v>
      </c>
      <c r="I140" s="1"/>
    </row>
    <row r="141" spans="1:13" x14ac:dyDescent="0.25">
      <c r="A141">
        <f>IF(ISNUMBER(MATCH(D141,Tracker!C:C,0)), 1, 0)</f>
        <v>0</v>
      </c>
      <c r="B141" t="s">
        <v>121</v>
      </c>
      <c r="D141">
        <v>444</v>
      </c>
      <c r="E141" s="3" t="s">
        <v>123</v>
      </c>
      <c r="F141" s="3" t="s">
        <v>14</v>
      </c>
      <c r="I141" s="1"/>
    </row>
    <row r="142" spans="1:13" x14ac:dyDescent="0.25">
      <c r="A142">
        <f>IF(ISNUMBER(MATCH(D142,Tracker!C:C,0)), 1, 0)</f>
        <v>0</v>
      </c>
      <c r="B142" t="s">
        <v>85</v>
      </c>
      <c r="D142">
        <v>297</v>
      </c>
      <c r="E142" t="s">
        <v>87</v>
      </c>
      <c r="F142" s="3" t="s">
        <v>45</v>
      </c>
      <c r="I142" s="1"/>
    </row>
    <row r="143" spans="1:13" x14ac:dyDescent="0.25">
      <c r="A143">
        <f>IF(ISNUMBER(MATCH(D143,Tracker!C:C,0)), 1, 0)</f>
        <v>0</v>
      </c>
      <c r="B143" t="s">
        <v>189</v>
      </c>
      <c r="D143">
        <v>73</v>
      </c>
      <c r="E143" t="s">
        <v>193</v>
      </c>
      <c r="F143" t="s">
        <v>14</v>
      </c>
      <c r="I143" s="1"/>
    </row>
    <row r="144" spans="1:13" x14ac:dyDescent="0.25">
      <c r="A144">
        <f>IF(ISNUMBER(MATCH(D144,Tracker!C:C,0)), 1, 0)</f>
        <v>0</v>
      </c>
      <c r="B144" t="s">
        <v>61</v>
      </c>
      <c r="D144">
        <v>136</v>
      </c>
      <c r="E144" t="s">
        <v>63</v>
      </c>
      <c r="F144" t="s">
        <v>10</v>
      </c>
      <c r="I144" s="1"/>
    </row>
    <row r="145" spans="1:13" x14ac:dyDescent="0.25">
      <c r="A145">
        <f>IF(ISNUMBER(MATCH(D145,Tracker!C:C,0)), 1, 0)</f>
        <v>0</v>
      </c>
      <c r="B145" t="s">
        <v>156</v>
      </c>
      <c r="D145">
        <v>239</v>
      </c>
      <c r="E145" t="s">
        <v>162</v>
      </c>
      <c r="F145" s="3" t="s">
        <v>45</v>
      </c>
      <c r="I145" s="1"/>
    </row>
    <row r="146" spans="1:13" x14ac:dyDescent="0.25">
      <c r="A146">
        <f>IF(ISNUMBER(MATCH(D146,Tracker!C:C,0)), 1, 0)</f>
        <v>0</v>
      </c>
      <c r="B146" t="s">
        <v>132</v>
      </c>
      <c r="D146">
        <v>480</v>
      </c>
      <c r="E146" s="3" t="s">
        <v>142</v>
      </c>
      <c r="F146" s="3" t="s">
        <v>45</v>
      </c>
      <c r="I146" s="1"/>
    </row>
    <row r="147" spans="1:13" x14ac:dyDescent="0.25">
      <c r="A147">
        <f>IF(ISNUMBER(MATCH(D147,Tracker!C:C,0)), 1, 0)</f>
        <v>0</v>
      </c>
      <c r="B147" t="s">
        <v>132</v>
      </c>
      <c r="D147">
        <v>632</v>
      </c>
      <c r="E147" t="s">
        <v>140</v>
      </c>
      <c r="F147" s="3" t="s">
        <v>45</v>
      </c>
      <c r="I147" s="1"/>
    </row>
    <row r="148" spans="1:13" x14ac:dyDescent="0.25">
      <c r="A148">
        <f>IF(ISNUMBER(MATCH(D148,Tracker!C:C,0)), 1, 0)</f>
        <v>0</v>
      </c>
      <c r="B148" t="s">
        <v>132</v>
      </c>
      <c r="D148">
        <v>451</v>
      </c>
      <c r="E148" t="s">
        <v>137</v>
      </c>
      <c r="F148" s="3" t="s">
        <v>14</v>
      </c>
      <c r="I148" s="1"/>
    </row>
    <row r="149" spans="1:13" x14ac:dyDescent="0.25">
      <c r="A149">
        <f>IF(ISNUMBER(MATCH(D149,Tracker!C:C,0)), 1, 0)</f>
        <v>0</v>
      </c>
      <c r="B149" t="s">
        <v>178</v>
      </c>
      <c r="D149">
        <v>75</v>
      </c>
      <c r="E149" t="s">
        <v>186</v>
      </c>
      <c r="F149" s="3" t="s">
        <v>14</v>
      </c>
      <c r="I149" s="1"/>
    </row>
    <row r="150" spans="1:13" x14ac:dyDescent="0.25">
      <c r="A150">
        <f>IF(ISNUMBER(MATCH(D150,Tracker!C:C,0)), 1, 0)</f>
        <v>0</v>
      </c>
      <c r="B150" t="s">
        <v>66</v>
      </c>
      <c r="C150" s="7"/>
      <c r="D150" s="7">
        <v>1203</v>
      </c>
      <c r="E150" s="7" t="s">
        <v>84</v>
      </c>
      <c r="F150" s="7" t="s">
        <v>45</v>
      </c>
      <c r="G150" s="7"/>
      <c r="H150" s="7"/>
      <c r="I150" s="6"/>
      <c r="J150" s="7"/>
      <c r="K150" s="7"/>
      <c r="L150" s="7"/>
      <c r="M150" s="7"/>
    </row>
    <row r="151" spans="1:13" x14ac:dyDescent="0.25">
      <c r="A151">
        <f>IF(ISNUMBER(MATCH(D151,Tracker!C:C,0)), 1, 0)</f>
        <v>0</v>
      </c>
      <c r="B151" t="s">
        <v>110</v>
      </c>
      <c r="D151">
        <v>148</v>
      </c>
      <c r="E151" t="s">
        <v>119</v>
      </c>
      <c r="F151" s="3" t="s">
        <v>14</v>
      </c>
      <c r="I151" s="1"/>
    </row>
    <row r="152" spans="1:13" x14ac:dyDescent="0.25">
      <c r="A152">
        <f>IF(ISNUMBER(MATCH(D152,Tracker!C:C,0)), 1, 0)</f>
        <v>0</v>
      </c>
      <c r="B152" t="s">
        <v>189</v>
      </c>
      <c r="D152">
        <v>54</v>
      </c>
      <c r="E152" t="s">
        <v>194</v>
      </c>
      <c r="F152" t="s">
        <v>14</v>
      </c>
      <c r="I152" s="1"/>
    </row>
    <row r="153" spans="1:13" x14ac:dyDescent="0.25">
      <c r="A153">
        <f>IF(ISNUMBER(MATCH(D153,Tracker!C:C,0)), 1, 0)</f>
        <v>0</v>
      </c>
      <c r="B153" t="s">
        <v>178</v>
      </c>
      <c r="D153">
        <v>977</v>
      </c>
      <c r="E153" t="s">
        <v>181</v>
      </c>
      <c r="F153" s="3" t="s">
        <v>10</v>
      </c>
      <c r="I153" s="1"/>
    </row>
    <row r="154" spans="1:13" x14ac:dyDescent="0.25">
      <c r="A154">
        <f>IF(ISNUMBER(MATCH(D154,Tracker!C:C,0)), 1, 0)</f>
        <v>0</v>
      </c>
      <c r="B154" t="s">
        <v>178</v>
      </c>
      <c r="D154">
        <v>713</v>
      </c>
      <c r="E154" t="s">
        <v>185</v>
      </c>
      <c r="F154" s="3" t="s">
        <v>14</v>
      </c>
      <c r="I154" s="1"/>
    </row>
    <row r="155" spans="1:13" x14ac:dyDescent="0.25">
      <c r="A155">
        <f>IF(ISNUMBER(MATCH(D155,Tracker!C:C,0)), 1, 0)</f>
        <v>0</v>
      </c>
      <c r="B155" t="s">
        <v>30</v>
      </c>
      <c r="D155">
        <v>78</v>
      </c>
      <c r="E155" t="s">
        <v>33</v>
      </c>
      <c r="F155" t="s">
        <v>14</v>
      </c>
      <c r="I155" s="1"/>
    </row>
    <row r="156" spans="1:13" x14ac:dyDescent="0.25">
      <c r="A156">
        <f>IF(ISNUMBER(MATCH(D156,Tracker!C:C,0)), 1, 0)</f>
        <v>0</v>
      </c>
      <c r="B156" t="s">
        <v>30</v>
      </c>
      <c r="D156">
        <v>90</v>
      </c>
      <c r="E156" t="s">
        <v>34</v>
      </c>
      <c r="F156" t="s">
        <v>14</v>
      </c>
      <c r="I156" s="1"/>
    </row>
    <row r="157" spans="1:13" x14ac:dyDescent="0.25">
      <c r="A157">
        <f>IF(ISNUMBER(MATCH(D157,Tracker!C:C,0)), 1, 0)</f>
        <v>0</v>
      </c>
      <c r="B157" t="s">
        <v>156</v>
      </c>
      <c r="D157">
        <v>30</v>
      </c>
      <c r="E157" t="s">
        <v>166</v>
      </c>
      <c r="F157" s="3" t="s">
        <v>45</v>
      </c>
      <c r="I157" s="1"/>
    </row>
    <row r="158" spans="1:13" x14ac:dyDescent="0.25">
      <c r="A158">
        <f>IF(ISNUMBER(MATCH(D158,Tracker!C:C,0)), 1, 0)</f>
        <v>0</v>
      </c>
      <c r="B158" t="s">
        <v>66</v>
      </c>
      <c r="C158" s="7"/>
      <c r="D158" s="7">
        <v>572</v>
      </c>
      <c r="E158" s="7" t="s">
        <v>71</v>
      </c>
      <c r="F158" s="7" t="s">
        <v>10</v>
      </c>
      <c r="G158" s="7"/>
      <c r="H158" s="7"/>
      <c r="I158" s="6"/>
      <c r="J158" s="7"/>
      <c r="K158" s="7"/>
      <c r="L158" s="7"/>
      <c r="M158" s="7"/>
    </row>
    <row r="159" spans="1:13" x14ac:dyDescent="0.25">
      <c r="A159">
        <f>IF(ISNUMBER(MATCH(D159,Tracker!C:C,0)), 1, 0)</f>
        <v>0</v>
      </c>
      <c r="B159" t="s">
        <v>30</v>
      </c>
      <c r="D159">
        <v>37</v>
      </c>
      <c r="E159" t="s">
        <v>44</v>
      </c>
      <c r="F159" t="s">
        <v>45</v>
      </c>
      <c r="I159" s="1"/>
    </row>
    <row r="160" spans="1:13" x14ac:dyDescent="0.25">
      <c r="A160">
        <f>IF(ISNUMBER(MATCH(D160,Tracker!C:C,0)), 1, 0)</f>
        <v>0</v>
      </c>
      <c r="B160" t="s">
        <v>143</v>
      </c>
      <c r="D160">
        <v>24</v>
      </c>
      <c r="E160" t="s">
        <v>147</v>
      </c>
      <c r="F160" s="3" t="s">
        <v>14</v>
      </c>
      <c r="I160" s="1"/>
    </row>
    <row r="161" spans="1:13" x14ac:dyDescent="0.25">
      <c r="A161">
        <f>IF(ISNUMBER(MATCH(D161,Tracker!C:C,0)), 1, 0)</f>
        <v>0</v>
      </c>
      <c r="B161" t="s">
        <v>66</v>
      </c>
      <c r="C161" s="7"/>
      <c r="D161" s="7">
        <v>494</v>
      </c>
      <c r="E161" s="8" t="s">
        <v>73</v>
      </c>
      <c r="F161" s="7" t="s">
        <v>14</v>
      </c>
      <c r="G161" s="7"/>
      <c r="H161" s="7"/>
      <c r="I161" s="6"/>
      <c r="J161" s="7"/>
      <c r="K161" s="7"/>
      <c r="L161" s="7"/>
      <c r="M161" s="7"/>
    </row>
    <row r="162" spans="1:13" x14ac:dyDescent="0.25">
      <c r="A162">
        <f>IF(ISNUMBER(MATCH(D162,Tracker!C:C,0)), 1, 0)</f>
        <v>0</v>
      </c>
      <c r="B162" t="s">
        <v>125</v>
      </c>
      <c r="D162">
        <v>621</v>
      </c>
      <c r="E162" t="s">
        <v>126</v>
      </c>
      <c r="F162" s="3" t="s">
        <v>14</v>
      </c>
      <c r="I162" s="1"/>
    </row>
    <row r="163" spans="1:13" x14ac:dyDescent="0.25">
      <c r="A163">
        <f>IF(ISNUMBER(MATCH(D163,Tracker!C:C,0)), 1, 0)</f>
        <v>0</v>
      </c>
      <c r="B163" t="s">
        <v>132</v>
      </c>
      <c r="D163">
        <v>347</v>
      </c>
      <c r="E163" t="s">
        <v>136</v>
      </c>
      <c r="F163" s="3" t="s">
        <v>14</v>
      </c>
      <c r="I163" s="1"/>
    </row>
    <row r="164" spans="1:13" x14ac:dyDescent="0.25">
      <c r="A164">
        <f>IF(ISNUMBER(MATCH(D164,Tracker!C:C,0)), 1, 0)</f>
        <v>0</v>
      </c>
      <c r="B164" t="s">
        <v>178</v>
      </c>
      <c r="D164">
        <v>42</v>
      </c>
      <c r="E164" t="s">
        <v>188</v>
      </c>
      <c r="F164" s="3" t="s">
        <v>45</v>
      </c>
      <c r="I164" s="1"/>
    </row>
    <row r="165" spans="1:13" x14ac:dyDescent="0.25">
      <c r="A165">
        <f>IF(ISNUMBER(MATCH(D165,Tracker!C:C,0)), 1, 0)</f>
        <v>0</v>
      </c>
      <c r="B165" t="s">
        <v>178</v>
      </c>
      <c r="D165">
        <v>1</v>
      </c>
      <c r="E165" t="s">
        <v>180</v>
      </c>
      <c r="F165" s="3" t="s">
        <v>10</v>
      </c>
      <c r="I165" s="1"/>
    </row>
    <row r="166" spans="1:13" x14ac:dyDescent="0.25">
      <c r="A166">
        <f>IF(ISNUMBER(MATCH(D166,Tracker!C:C,0)), 1, 0)</f>
        <v>0</v>
      </c>
      <c r="B166" t="s">
        <v>109</v>
      </c>
      <c r="D166">
        <v>62</v>
      </c>
      <c r="E166" t="s">
        <v>101</v>
      </c>
      <c r="F166" s="3" t="s">
        <v>14</v>
      </c>
      <c r="I166" s="1"/>
    </row>
    <row r="167" spans="1:13" x14ac:dyDescent="0.25">
      <c r="A167">
        <f>IF(ISNUMBER(MATCH(D167,Tracker!C:C,0)), 1, 0)</f>
        <v>0</v>
      </c>
      <c r="B167" t="s">
        <v>66</v>
      </c>
      <c r="C167" s="7"/>
      <c r="D167" s="7">
        <v>98</v>
      </c>
      <c r="E167" s="7" t="s">
        <v>81</v>
      </c>
      <c r="F167" s="7" t="s">
        <v>14</v>
      </c>
      <c r="G167" s="7"/>
      <c r="H167" s="7"/>
      <c r="I167" s="6"/>
      <c r="J167" s="7"/>
      <c r="K167" s="7"/>
      <c r="L167" s="7"/>
      <c r="M167" s="7"/>
    </row>
    <row r="168" spans="1:13" x14ac:dyDescent="0.25">
      <c r="A168">
        <f>IF(ISNUMBER(MATCH(D168,Tracker!C:C,0)), 1, 0)</f>
        <v>0</v>
      </c>
      <c r="B168" t="s">
        <v>109</v>
      </c>
      <c r="D168">
        <v>139</v>
      </c>
      <c r="E168" t="s">
        <v>98</v>
      </c>
      <c r="F168" s="3" t="s">
        <v>14</v>
      </c>
      <c r="I168" s="1"/>
    </row>
    <row r="169" spans="1:13" x14ac:dyDescent="0.25">
      <c r="A169">
        <f>IF(ISNUMBER(MATCH(D169,Tracker!C:C,0)), 1, 0)</f>
        <v>0</v>
      </c>
      <c r="B169" t="s">
        <v>30</v>
      </c>
      <c r="C169" s="1">
        <v>44340</v>
      </c>
      <c r="D169">
        <v>79</v>
      </c>
      <c r="E169" s="3" t="s">
        <v>31</v>
      </c>
      <c r="F169" s="3" t="s">
        <v>14</v>
      </c>
      <c r="H169" t="s">
        <v>11</v>
      </c>
      <c r="I169" s="1">
        <f>DATE(YEAR(C169),MONTH(C169),DAY(C169) + IF(H169 = "Y", 14, 7))</f>
        <v>44354</v>
      </c>
      <c r="J169" s="1">
        <f>DATE(YEAR(I169),MONTH(I169),DAY(I169)+7)</f>
        <v>44361</v>
      </c>
      <c r="K169" s="1">
        <f>DATE(YEAR(J169),MONTH(J169),DAY(J169)+14)</f>
        <v>44375</v>
      </c>
      <c r="L169" s="1">
        <f>DATE(YEAR(K169),MONTH(K169),DAY(K169)+28)</f>
        <v>44403</v>
      </c>
    </row>
    <row r="170" spans="1:13" x14ac:dyDescent="0.25">
      <c r="A170">
        <f>IF(ISNUMBER(MATCH(D170,Tracker!C:C,0)), 1, 0)</f>
        <v>0</v>
      </c>
      <c r="B170" t="s">
        <v>66</v>
      </c>
      <c r="C170" s="7"/>
      <c r="D170" s="7">
        <v>212</v>
      </c>
      <c r="E170" s="7" t="s">
        <v>83</v>
      </c>
      <c r="F170" s="7" t="s">
        <v>45</v>
      </c>
      <c r="G170" s="7"/>
      <c r="H170" s="7"/>
      <c r="I170" s="6"/>
      <c r="J170" s="7"/>
      <c r="K170" s="7"/>
      <c r="L170" s="7"/>
      <c r="M170" s="7"/>
    </row>
    <row r="171" spans="1:13" x14ac:dyDescent="0.25">
      <c r="A171">
        <f>IF(ISNUMBER(MATCH(D171,Tracker!C:C,0)), 1, 0)</f>
        <v>0</v>
      </c>
      <c r="B171" t="s">
        <v>169</v>
      </c>
      <c r="D171">
        <v>425</v>
      </c>
      <c r="E171" t="s">
        <v>176</v>
      </c>
      <c r="F171" s="3" t="s">
        <v>45</v>
      </c>
      <c r="I171" s="1"/>
    </row>
    <row r="172" spans="1:13" x14ac:dyDescent="0.25">
      <c r="A172">
        <f>IF(ISNUMBER(MATCH(D172,Tracker!C:C,0)), 1, 0)</f>
        <v>0</v>
      </c>
      <c r="B172" t="str">
        <f>_xlfn.XLOOKUP(E172,'All Questions'!B:B,'All Questions'!F:F)</f>
        <v>Array, Matrix, Simulation</v>
      </c>
      <c r="D172">
        <v>2022</v>
      </c>
      <c r="E172" t="s">
        <v>296</v>
      </c>
      <c r="F172" s="3" t="s">
        <v>10</v>
      </c>
    </row>
    <row r="173" spans="1:13" x14ac:dyDescent="0.25">
      <c r="A173">
        <f>IF(ISNUMBER(MATCH(D173,Tracker!C:C,0)), 1, 0)</f>
        <v>0</v>
      </c>
      <c r="B173" t="str">
        <f>_xlfn.XLOOKUP(E173,'All Questions'!B:B,'All Questions'!F:F)</f>
        <v>Array, Two Pointers</v>
      </c>
      <c r="D173">
        <v>283</v>
      </c>
      <c r="E173" t="s">
        <v>297</v>
      </c>
      <c r="F173" t="str">
        <f>_xlfn.XLOOKUP(E173,'All Questions'!B:B,'All Questions'!D:D)</f>
        <v>Easy</v>
      </c>
    </row>
    <row r="174" spans="1:13" x14ac:dyDescent="0.25">
      <c r="A174">
        <f>IF(ISNUMBER(MATCH(D174,Tracker!C:C,0)), 1, 0)</f>
        <v>0</v>
      </c>
      <c r="B174" t="str">
        <f>_xlfn.XLOOKUP(E174,'All Questions'!B:B,'All Questions'!F:F)</f>
        <v>Two Pointers, String, Dynamic Programming</v>
      </c>
      <c r="D174">
        <v>392</v>
      </c>
      <c r="E174" t="s">
        <v>298</v>
      </c>
      <c r="F174" t="str">
        <f>_xlfn.XLOOKUP(E174,'All Questions'!B:B,'All Questions'!D:D)</f>
        <v>Easy</v>
      </c>
    </row>
    <row r="175" spans="1:13" x14ac:dyDescent="0.25">
      <c r="A175">
        <f>IF(ISNUMBER(MATCH(D175,Tracker!C:C,0)), 1, 0)</f>
        <v>0</v>
      </c>
      <c r="B175" t="str">
        <f>_xlfn.XLOOKUP(E175,'All Questions'!B:B,'All Questions'!F:F)</f>
        <v>String, Backtracking, Tree, Depth-First Search, Binary Tree</v>
      </c>
      <c r="D175">
        <v>257</v>
      </c>
      <c r="E175" t="s">
        <v>299</v>
      </c>
      <c r="F175" t="str">
        <f>_xlfn.XLOOKUP(E175,'All Questions'!B:B,'All Questions'!D:D)</f>
        <v>Easy</v>
      </c>
    </row>
    <row r="176" spans="1:13" x14ac:dyDescent="0.25">
      <c r="A176">
        <f>IF(ISNUMBER(MATCH(D176,Tracker!C:C,0)), 1, 0)</f>
        <v>0</v>
      </c>
      <c r="B176" t="str">
        <f>_xlfn.XLOOKUP(E176,'All Questions'!B:B,'All Questions'!F:F)</f>
        <v>Array, Sliding Window</v>
      </c>
      <c r="D176">
        <v>643</v>
      </c>
      <c r="E176" t="s">
        <v>300</v>
      </c>
      <c r="F176" t="str">
        <f>_xlfn.XLOOKUP(E176,'All Questions'!B:B,'All Questions'!D:D)</f>
        <v>Easy</v>
      </c>
    </row>
    <row r="177" spans="1:6" x14ac:dyDescent="0.25">
      <c r="A177">
        <f>IF(ISNUMBER(MATCH(D177,Tracker!C:C,0)), 1, 0)</f>
        <v>0</v>
      </c>
      <c r="B177" t="str">
        <f>_xlfn.XLOOKUP(E177,'All Questions'!B:B,'All Questions'!F:F)</f>
        <v>Array, Two Pointers, Sorting</v>
      </c>
      <c r="D177">
        <v>75</v>
      </c>
      <c r="E177" t="s">
        <v>308</v>
      </c>
      <c r="F177" t="str">
        <f>_xlfn.XLOOKUP(E177,'All Questions'!B:B,'All Questions'!D:D)</f>
        <v>Medium</v>
      </c>
    </row>
    <row r="178" spans="1:6" x14ac:dyDescent="0.25">
      <c r="A178">
        <f>IF(ISNUMBER(MATCH(D178,Tracker!C:C,0)), 1, 0)</f>
        <v>0</v>
      </c>
      <c r="B178" t="str">
        <f>_xlfn.XLOOKUP(E178,'All Questions'!B:B,'All Questions'!F:F)</f>
        <v>Array, Backtracking</v>
      </c>
      <c r="D178">
        <v>254</v>
      </c>
      <c r="E178" t="s">
        <v>212</v>
      </c>
      <c r="F178" t="str">
        <f>_xlfn.XLOOKUP(E178,'All Questions'!B:B,'All Questions'!D:D)</f>
        <v>Medium</v>
      </c>
    </row>
    <row r="179" spans="1:6" x14ac:dyDescent="0.25">
      <c r="A179">
        <f>IF(ISNUMBER(MATCH(D179,Tracker!C:C,0)), 1, 0)</f>
        <v>0</v>
      </c>
      <c r="B179" t="str">
        <f>_xlfn.XLOOKUP(E179,'All Questions'!B:B,'All Questions'!F:F)</f>
        <v>Hash Table, String, Backtracking</v>
      </c>
      <c r="D179">
        <v>1593</v>
      </c>
      <c r="E179" t="s">
        <v>309</v>
      </c>
      <c r="F179" t="str">
        <f>_xlfn.XLOOKUP(E179,'All Questions'!B:B,'All Questions'!D:D)</f>
        <v>Medium</v>
      </c>
    </row>
    <row r="180" spans="1:6" x14ac:dyDescent="0.25">
      <c r="A180">
        <f>IF(ISNUMBER(MATCH(D180,Tracker!C:C,0)), 1, 0)</f>
        <v>0</v>
      </c>
      <c r="B180" t="str">
        <f>_xlfn.XLOOKUP(E180,'All Questions'!B:B,'All Questions'!F:F)</f>
        <v>String, Sliding Window</v>
      </c>
      <c r="D180">
        <v>1456</v>
      </c>
      <c r="E180" t="s">
        <v>310</v>
      </c>
      <c r="F180" t="str">
        <f>_xlfn.XLOOKUP(E180,'All Questions'!B:B,'All Questions'!D:D)</f>
        <v>Medium</v>
      </c>
    </row>
    <row r="181" spans="1:6" x14ac:dyDescent="0.25">
      <c r="A181">
        <f>IF(ISNUMBER(MATCH(D181,Tracker!C:C,0)), 1, 0)</f>
        <v>0</v>
      </c>
      <c r="B181" t="str">
        <f>_xlfn.XLOOKUP(E181,'All Questions'!B:B,'All Questions'!F:F)</f>
        <v>Array, Binary Search, Sliding Window, Prefix Sum</v>
      </c>
      <c r="D181">
        <v>1004</v>
      </c>
      <c r="E181" t="s">
        <v>311</v>
      </c>
      <c r="F181" t="str">
        <f>_xlfn.XLOOKUP(E181,'All Questions'!B:B,'All Questions'!D:D)</f>
        <v>Medium</v>
      </c>
    </row>
    <row r="182" spans="1:6" x14ac:dyDescent="0.25">
      <c r="A182">
        <f>IF(ISNUMBER(MATCH(D182,Tracker!C:C,0)), 1, 0)</f>
        <v>0</v>
      </c>
      <c r="B182" t="str">
        <f>_xlfn.XLOOKUP(E182,'All Questions'!B:B,'All Questions'!F:F)</f>
        <v>Math, Dynamic Programming, Sliding Window</v>
      </c>
      <c r="D182">
        <v>1493</v>
      </c>
      <c r="E182" t="s">
        <v>312</v>
      </c>
      <c r="F182" t="str">
        <f>_xlfn.XLOOKUP(E182,'All Questions'!B:B,'All Questions'!D:D)</f>
        <v>Medium</v>
      </c>
    </row>
    <row r="183" spans="1:6" x14ac:dyDescent="0.25">
      <c r="A183">
        <f>IF(ISNUMBER(MATCH(D183,Tracker!C:C,0)), 1, 0)</f>
        <v>0</v>
      </c>
      <c r="B183" t="str">
        <f>_xlfn.XLOOKUP(E183,'All Questions'!B:B,'All Questions'!F:F)</f>
        <v>Array, Hash Table, Sliding Window, Heap (Priority Queue)</v>
      </c>
      <c r="D183">
        <v>480</v>
      </c>
      <c r="E183" t="s">
        <v>314</v>
      </c>
      <c r="F183" t="str">
        <f>_xlfn.XLOOKUP(E183,'All Questions'!B:B,'All Questions'!D:D)</f>
        <v>Hard</v>
      </c>
    </row>
  </sheetData>
  <autoFilter ref="B1:M171" xr:uid="{00000000-0001-0000-0000-000000000000}">
    <sortState xmlns:xlrd2="http://schemas.microsoft.com/office/spreadsheetml/2017/richdata2" ref="B2:M171">
      <sortCondition ref="E1:E215"/>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54664-4BFD-437E-A464-C6B136E8EEF8}">
  <sheetPr codeName="Sheet2" filterMode="1"/>
  <dimension ref="A1:T462"/>
  <sheetViews>
    <sheetView showGridLines="0" tabSelected="1" topLeftCell="D1" zoomScale="90" zoomScaleNormal="90" workbookViewId="0">
      <pane ySplit="1" topLeftCell="A297" activePane="bottomLeft" state="frozen"/>
      <selection pane="bottomLeft" activeCell="M297" sqref="M297"/>
    </sheetView>
  </sheetViews>
  <sheetFormatPr defaultColWidth="9.140625" defaultRowHeight="15" x14ac:dyDescent="0.25"/>
  <cols>
    <col min="1" max="1" width="14.42578125" style="16" bestFit="1" customWidth="1"/>
    <col min="2" max="2" width="20.42578125" style="16" hidden="1" customWidth="1"/>
    <col min="3" max="3" width="102.42578125" style="16" hidden="1" customWidth="1"/>
    <col min="4" max="4" width="54.42578125" style="16" bestFit="1" customWidth="1"/>
    <col min="5" max="5" width="11.42578125" style="16" bestFit="1" customWidth="1"/>
    <col min="6" max="7" width="23.42578125" style="16" bestFit="1" customWidth="1"/>
    <col min="8" max="8" width="18.7109375" style="23" bestFit="1" customWidth="1"/>
    <col min="9" max="9" width="19.7109375" style="16" bestFit="1" customWidth="1"/>
    <col min="10" max="10" width="13.85546875" style="16" customWidth="1"/>
    <col min="11" max="11" width="19.7109375" style="16" bestFit="1" customWidth="1"/>
    <col min="12" max="13" width="17.140625" style="16" customWidth="1"/>
    <col min="14" max="14" width="21.7109375" style="16" customWidth="1"/>
    <col min="15" max="15" width="28.140625" style="16" customWidth="1"/>
    <col min="16" max="16" width="15.85546875" style="16" customWidth="1"/>
    <col min="17" max="17" width="50.7109375" style="16" bestFit="1" customWidth="1"/>
    <col min="18" max="18" width="50.7109375" style="16" customWidth="1"/>
    <col min="19" max="19" width="40.28515625" style="16" customWidth="1"/>
    <col min="20" max="16384" width="9.140625" style="16"/>
  </cols>
  <sheetData>
    <row r="1" spans="1:20" s="15" customFormat="1" x14ac:dyDescent="0.25">
      <c r="A1" s="17" t="s">
        <v>7843</v>
      </c>
      <c r="B1" s="17" t="s">
        <v>7850</v>
      </c>
      <c r="C1" s="17" t="s">
        <v>322</v>
      </c>
      <c r="D1" s="17" t="s">
        <v>7844</v>
      </c>
      <c r="E1" s="17" t="s">
        <v>3</v>
      </c>
      <c r="F1" s="17" t="s">
        <v>7993</v>
      </c>
      <c r="G1" s="17" t="s">
        <v>7992</v>
      </c>
      <c r="H1" s="17" t="s">
        <v>7983</v>
      </c>
      <c r="I1" s="17" t="s">
        <v>7848</v>
      </c>
      <c r="J1" s="17" t="s">
        <v>7847</v>
      </c>
      <c r="K1" s="17" t="s">
        <v>8000</v>
      </c>
      <c r="L1" s="17" t="s">
        <v>7845</v>
      </c>
      <c r="M1" s="17" t="s">
        <v>8413</v>
      </c>
      <c r="N1" s="17" t="s">
        <v>7846</v>
      </c>
      <c r="O1" s="17" t="s">
        <v>7975</v>
      </c>
      <c r="P1" s="17" t="s">
        <v>7978</v>
      </c>
      <c r="Q1" s="17" t="s">
        <v>7976</v>
      </c>
      <c r="R1" s="17" t="s">
        <v>7850</v>
      </c>
      <c r="S1" s="17" t="s">
        <v>7849</v>
      </c>
      <c r="T1" s="17" t="s">
        <v>8035</v>
      </c>
    </row>
    <row r="2" spans="1:20" hidden="1" x14ac:dyDescent="0.25">
      <c r="A2" s="18">
        <v>212</v>
      </c>
      <c r="B2" s="18" t="s">
        <v>7830</v>
      </c>
      <c r="C2" s="18" t="s">
        <v>972</v>
      </c>
      <c r="D2" s="18" t="s">
        <v>83</v>
      </c>
      <c r="E2" s="18">
        <v>3</v>
      </c>
      <c r="F2" s="18"/>
      <c r="G2" s="20">
        <v>45327</v>
      </c>
      <c r="H2" s="21">
        <v>1</v>
      </c>
      <c r="I2" s="18">
        <v>45</v>
      </c>
      <c r="J2" s="19" t="s">
        <v>7977</v>
      </c>
      <c r="K2" s="19" t="s">
        <v>7977</v>
      </c>
      <c r="L2" s="19" t="s">
        <v>11</v>
      </c>
      <c r="M2" s="18"/>
      <c r="N2" s="19"/>
      <c r="O2" s="19"/>
      <c r="P2" s="19"/>
      <c r="Q2" s="18"/>
      <c r="R2" s="18"/>
      <c r="S2" s="18"/>
      <c r="T2" s="18"/>
    </row>
    <row r="3" spans="1:20" hidden="1" x14ac:dyDescent="0.25">
      <c r="A3" s="18">
        <v>79</v>
      </c>
      <c r="B3" s="18" t="s">
        <v>30</v>
      </c>
      <c r="C3" s="18" t="s">
        <v>439</v>
      </c>
      <c r="D3" s="18" t="s">
        <v>31</v>
      </c>
      <c r="E3" s="18">
        <v>2</v>
      </c>
      <c r="F3" s="18"/>
      <c r="G3" s="20">
        <v>45296</v>
      </c>
      <c r="H3" s="21">
        <v>1</v>
      </c>
      <c r="I3" s="18">
        <v>32</v>
      </c>
      <c r="J3" s="19" t="s">
        <v>11</v>
      </c>
      <c r="K3" s="19" t="s">
        <v>7977</v>
      </c>
      <c r="L3" s="19" t="s">
        <v>7977</v>
      </c>
      <c r="M3" s="18"/>
      <c r="N3" s="19"/>
      <c r="O3" s="19"/>
      <c r="P3" s="19"/>
      <c r="Q3" s="18"/>
      <c r="R3" s="18"/>
      <c r="S3" s="19"/>
      <c r="T3" s="18"/>
    </row>
    <row r="4" spans="1:20" hidden="1" x14ac:dyDescent="0.25">
      <c r="A4" s="18">
        <v>127</v>
      </c>
      <c r="B4" s="18" t="s">
        <v>7833</v>
      </c>
      <c r="C4" s="18" t="s">
        <v>710</v>
      </c>
      <c r="D4" s="18" t="s">
        <v>707</v>
      </c>
      <c r="E4" s="18">
        <v>3</v>
      </c>
      <c r="F4" s="18"/>
      <c r="G4" s="18"/>
      <c r="H4" s="21"/>
      <c r="I4" s="18"/>
      <c r="J4" s="19"/>
      <c r="K4" s="19"/>
      <c r="L4" s="19"/>
      <c r="M4" s="18"/>
      <c r="N4" s="19"/>
      <c r="O4" s="19"/>
      <c r="P4" s="19"/>
      <c r="Q4" s="18"/>
      <c r="R4" s="18"/>
      <c r="S4" s="18"/>
      <c r="T4" s="18"/>
    </row>
    <row r="5" spans="1:20" hidden="1" x14ac:dyDescent="0.25">
      <c r="A5" s="18">
        <v>140</v>
      </c>
      <c r="B5" s="18" t="s">
        <v>109</v>
      </c>
      <c r="C5" s="18" t="s">
        <v>752</v>
      </c>
      <c r="D5" s="18" t="s">
        <v>749</v>
      </c>
      <c r="E5" s="18">
        <v>3</v>
      </c>
      <c r="F5" s="18"/>
      <c r="G5" s="18"/>
      <c r="H5" s="21"/>
      <c r="I5" s="18"/>
      <c r="J5" s="19"/>
      <c r="K5" s="19"/>
      <c r="L5" s="19"/>
      <c r="M5" s="18"/>
      <c r="N5" s="19"/>
      <c r="O5" s="19"/>
      <c r="P5" s="19"/>
      <c r="Q5" s="18"/>
      <c r="R5" s="18"/>
      <c r="S5" s="18"/>
      <c r="T5" s="18"/>
    </row>
    <row r="6" spans="1:20" hidden="1" x14ac:dyDescent="0.25">
      <c r="A6" s="18">
        <v>139</v>
      </c>
      <c r="B6" s="18" t="s">
        <v>109</v>
      </c>
      <c r="C6" s="18" t="s">
        <v>748</v>
      </c>
      <c r="D6" s="18" t="s">
        <v>98</v>
      </c>
      <c r="E6" s="18">
        <v>2</v>
      </c>
      <c r="F6" s="18"/>
      <c r="G6" s="20">
        <v>45279</v>
      </c>
      <c r="H6" s="21">
        <v>1</v>
      </c>
      <c r="I6" s="18">
        <v>14</v>
      </c>
      <c r="J6" s="19" t="s">
        <v>11</v>
      </c>
      <c r="K6" s="19" t="s">
        <v>11</v>
      </c>
      <c r="L6" s="19" t="s">
        <v>7977</v>
      </c>
      <c r="M6" s="18"/>
      <c r="N6" s="19"/>
      <c r="O6" s="19"/>
      <c r="P6" s="19"/>
      <c r="Q6" s="18"/>
      <c r="R6" s="18"/>
      <c r="S6" s="19"/>
      <c r="T6" s="18"/>
    </row>
    <row r="7" spans="1:20" hidden="1" x14ac:dyDescent="0.25">
      <c r="A7" s="18">
        <v>44</v>
      </c>
      <c r="B7" s="18" t="s">
        <v>109</v>
      </c>
      <c r="C7" s="18" t="s">
        <v>460</v>
      </c>
      <c r="D7" s="18" t="s">
        <v>457</v>
      </c>
      <c r="E7" s="18">
        <v>3</v>
      </c>
      <c r="F7" s="18"/>
      <c r="G7" s="20">
        <v>45306</v>
      </c>
      <c r="H7" s="21">
        <v>1</v>
      </c>
      <c r="I7" s="18">
        <v>26</v>
      </c>
      <c r="J7" s="19" t="s">
        <v>11</v>
      </c>
      <c r="K7" s="19" t="s">
        <v>7977</v>
      </c>
      <c r="L7" s="19" t="s">
        <v>7977</v>
      </c>
      <c r="M7" s="18"/>
      <c r="N7" s="19"/>
      <c r="O7" s="19"/>
      <c r="P7" s="19"/>
      <c r="Q7" s="18"/>
      <c r="R7" s="18"/>
      <c r="S7" s="18"/>
      <c r="T7" s="18"/>
    </row>
    <row r="8" spans="1:20" hidden="1" x14ac:dyDescent="0.25">
      <c r="A8" s="18">
        <v>324</v>
      </c>
      <c r="B8" s="18" t="s">
        <v>317</v>
      </c>
      <c r="C8" s="18" t="s">
        <v>1320</v>
      </c>
      <c r="D8" s="18" t="s">
        <v>1317</v>
      </c>
      <c r="E8" s="18">
        <v>2</v>
      </c>
      <c r="F8" s="18"/>
      <c r="G8" s="20">
        <v>45490</v>
      </c>
      <c r="H8" s="21">
        <v>1</v>
      </c>
      <c r="I8" s="18">
        <v>81</v>
      </c>
      <c r="J8" s="19" t="s">
        <v>7977</v>
      </c>
      <c r="K8" s="19" t="s">
        <v>7977</v>
      </c>
      <c r="L8" s="19" t="s">
        <v>11</v>
      </c>
      <c r="M8" s="18"/>
      <c r="N8" s="19"/>
      <c r="O8" s="19"/>
      <c r="P8" s="19"/>
      <c r="Q8" s="18"/>
      <c r="R8" s="18"/>
      <c r="S8" s="18"/>
      <c r="T8" s="18"/>
    </row>
    <row r="9" spans="1:20" hidden="1" x14ac:dyDescent="0.25">
      <c r="A9" s="18">
        <v>280</v>
      </c>
      <c r="B9" s="18"/>
      <c r="C9" s="18"/>
      <c r="D9" s="18" t="s">
        <v>224</v>
      </c>
      <c r="E9" s="18">
        <v>2</v>
      </c>
      <c r="F9" s="18"/>
      <c r="G9" s="20">
        <v>45488</v>
      </c>
      <c r="H9" s="21">
        <v>1</v>
      </c>
      <c r="I9" s="18">
        <v>11</v>
      </c>
      <c r="J9" s="19" t="s">
        <v>11</v>
      </c>
      <c r="K9" s="19" t="s">
        <v>11</v>
      </c>
      <c r="L9" s="19" t="s">
        <v>7977</v>
      </c>
      <c r="M9" s="18"/>
      <c r="N9" s="19"/>
      <c r="O9" s="19"/>
      <c r="P9" s="19"/>
      <c r="Q9" s="18"/>
      <c r="R9" s="18"/>
      <c r="S9" s="18"/>
      <c r="T9" s="18"/>
    </row>
    <row r="10" spans="1:20" hidden="1" x14ac:dyDescent="0.25">
      <c r="A10" s="18">
        <v>1706</v>
      </c>
      <c r="B10" s="18"/>
      <c r="C10" s="18" t="s">
        <v>6800</v>
      </c>
      <c r="D10" s="18" t="s">
        <v>5804</v>
      </c>
      <c r="E10" s="18">
        <v>2</v>
      </c>
      <c r="F10" s="18"/>
      <c r="G10" s="20">
        <v>45476</v>
      </c>
      <c r="H10" s="21">
        <v>1</v>
      </c>
      <c r="I10" s="18">
        <v>13</v>
      </c>
      <c r="J10" s="19" t="s">
        <v>11</v>
      </c>
      <c r="K10" s="19" t="s">
        <v>11</v>
      </c>
      <c r="L10" s="19" t="s">
        <v>7977</v>
      </c>
      <c r="M10" s="18"/>
      <c r="N10" s="19"/>
      <c r="O10" s="19"/>
      <c r="P10" s="19"/>
      <c r="Q10" s="18"/>
      <c r="R10" s="18"/>
      <c r="S10" s="18"/>
      <c r="T10" s="18"/>
    </row>
    <row r="11" spans="1:20" hidden="1" x14ac:dyDescent="0.25">
      <c r="A11" s="18">
        <v>286</v>
      </c>
      <c r="B11" s="18" t="s">
        <v>7833</v>
      </c>
      <c r="C11" s="18" t="s">
        <v>1199</v>
      </c>
      <c r="D11" s="18" t="s">
        <v>227</v>
      </c>
      <c r="E11" s="18">
        <v>2</v>
      </c>
      <c r="F11" s="18"/>
      <c r="G11" s="18"/>
      <c r="H11" s="21"/>
      <c r="I11" s="18"/>
      <c r="J11" s="19"/>
      <c r="K11" s="19"/>
      <c r="L11" s="19"/>
      <c r="M11" s="18"/>
      <c r="N11" s="19"/>
      <c r="O11" s="19"/>
      <c r="P11" s="19"/>
      <c r="Q11" s="18"/>
      <c r="R11" s="18"/>
      <c r="S11" s="19"/>
      <c r="T11" s="18"/>
    </row>
    <row r="12" spans="1:20" hidden="1" x14ac:dyDescent="0.25">
      <c r="A12" s="18">
        <v>987</v>
      </c>
      <c r="B12" s="18"/>
      <c r="C12" s="18" t="s">
        <v>6800</v>
      </c>
      <c r="D12" s="18" t="s">
        <v>3461</v>
      </c>
      <c r="E12" s="18">
        <v>3</v>
      </c>
      <c r="F12" s="18"/>
      <c r="G12" s="18"/>
      <c r="H12" s="21"/>
      <c r="I12" s="18"/>
      <c r="J12" s="19"/>
      <c r="K12" s="19"/>
      <c r="L12" s="19"/>
      <c r="M12" s="18"/>
      <c r="N12" s="19"/>
      <c r="O12" s="19"/>
      <c r="P12" s="19"/>
      <c r="Q12" s="18"/>
      <c r="R12" s="18"/>
      <c r="S12" s="18"/>
      <c r="T12" s="18"/>
    </row>
    <row r="13" spans="1:20" hidden="1" x14ac:dyDescent="0.25">
      <c r="A13" s="18">
        <v>953</v>
      </c>
      <c r="B13" s="18"/>
      <c r="C13" s="18" t="s">
        <v>6800</v>
      </c>
      <c r="D13" s="18" t="s">
        <v>3354</v>
      </c>
      <c r="E13" s="18">
        <v>1</v>
      </c>
      <c r="F13" s="18"/>
      <c r="G13" s="20">
        <v>45322</v>
      </c>
      <c r="H13" s="21">
        <v>1</v>
      </c>
      <c r="I13" s="18">
        <v>11</v>
      </c>
      <c r="J13" s="19" t="s">
        <v>11</v>
      </c>
      <c r="K13" s="19" t="s">
        <v>11</v>
      </c>
      <c r="L13" s="19" t="s">
        <v>7977</v>
      </c>
      <c r="M13" s="18"/>
      <c r="N13" s="19"/>
      <c r="O13" s="19"/>
      <c r="P13" s="19"/>
      <c r="Q13" s="18"/>
      <c r="R13" s="18"/>
      <c r="S13" s="18"/>
      <c r="T13" s="18"/>
    </row>
    <row r="14" spans="1:20" hidden="1" x14ac:dyDescent="0.25">
      <c r="A14" s="18">
        <v>98</v>
      </c>
      <c r="B14" s="18" t="s">
        <v>7830</v>
      </c>
      <c r="C14" s="18" t="s">
        <v>622</v>
      </c>
      <c r="D14" s="18" t="s">
        <v>81</v>
      </c>
      <c r="E14" s="18">
        <v>2</v>
      </c>
      <c r="F14" s="18"/>
      <c r="G14" s="20">
        <v>45258</v>
      </c>
      <c r="H14" s="21">
        <v>1</v>
      </c>
      <c r="I14" s="18">
        <v>13</v>
      </c>
      <c r="J14" s="19" t="s">
        <v>11</v>
      </c>
      <c r="K14" s="19" t="s">
        <v>7977</v>
      </c>
      <c r="L14" s="19" t="s">
        <v>7977</v>
      </c>
      <c r="M14" s="18"/>
      <c r="N14" s="19"/>
      <c r="O14" s="19"/>
      <c r="P14" s="19"/>
      <c r="Q14" s="18"/>
      <c r="R14" s="18"/>
      <c r="S14" s="19"/>
      <c r="T14" s="18"/>
    </row>
    <row r="15" spans="1:20" hidden="1" x14ac:dyDescent="0.25">
      <c r="A15" s="18">
        <v>36</v>
      </c>
      <c r="B15" s="18" t="s">
        <v>317</v>
      </c>
      <c r="C15" s="18" t="s">
        <v>436</v>
      </c>
      <c r="D15" s="18" t="s">
        <v>433</v>
      </c>
      <c r="E15" s="18">
        <v>2</v>
      </c>
      <c r="F15" s="18"/>
      <c r="G15" s="20">
        <v>45224</v>
      </c>
      <c r="H15" s="21">
        <v>1</v>
      </c>
      <c r="I15" s="18">
        <v>20</v>
      </c>
      <c r="J15" s="19" t="s">
        <v>11</v>
      </c>
      <c r="K15" s="19" t="s">
        <v>11</v>
      </c>
      <c r="L15" s="19" t="s">
        <v>7977</v>
      </c>
      <c r="M15" s="18"/>
      <c r="N15" s="19" t="s">
        <v>11</v>
      </c>
      <c r="O15" s="19"/>
      <c r="P15" s="19"/>
      <c r="Q15" s="18"/>
      <c r="R15" s="18"/>
      <c r="S15" s="19"/>
      <c r="T15" s="18"/>
    </row>
    <row r="16" spans="1:20" hidden="1" x14ac:dyDescent="0.25">
      <c r="A16" s="18">
        <v>367</v>
      </c>
      <c r="B16" s="18"/>
      <c r="C16" s="18" t="s">
        <v>6800</v>
      </c>
      <c r="D16" s="18" t="s">
        <v>1457</v>
      </c>
      <c r="E16" s="18">
        <v>1</v>
      </c>
      <c r="F16" s="18"/>
      <c r="G16" s="20">
        <v>45238</v>
      </c>
      <c r="H16" s="21">
        <v>1</v>
      </c>
      <c r="I16" s="18">
        <v>6</v>
      </c>
      <c r="J16" s="19" t="s">
        <v>11</v>
      </c>
      <c r="K16" s="19" t="s">
        <v>11</v>
      </c>
      <c r="L16" s="19" t="s">
        <v>7977</v>
      </c>
      <c r="M16" s="18"/>
      <c r="N16" s="19"/>
      <c r="O16" s="19"/>
      <c r="P16" s="19"/>
      <c r="Q16" s="18"/>
      <c r="R16" s="18"/>
      <c r="S16" s="18"/>
      <c r="T16" s="18"/>
    </row>
    <row r="17" spans="1:20" hidden="1" x14ac:dyDescent="0.25">
      <c r="A17" s="18">
        <v>678</v>
      </c>
      <c r="B17" s="18" t="s">
        <v>125</v>
      </c>
      <c r="C17" s="18" t="s">
        <v>2446</v>
      </c>
      <c r="D17" s="18" t="s">
        <v>2443</v>
      </c>
      <c r="E17" s="18">
        <v>2</v>
      </c>
      <c r="F17" s="18"/>
      <c r="G17" s="20">
        <v>45485</v>
      </c>
      <c r="H17" s="21">
        <v>1</v>
      </c>
      <c r="I17" s="18">
        <v>23</v>
      </c>
      <c r="J17" s="19" t="s">
        <v>11</v>
      </c>
      <c r="K17" s="19" t="s">
        <v>11</v>
      </c>
      <c r="L17" s="19" t="s">
        <v>7977</v>
      </c>
      <c r="M17" s="18"/>
      <c r="N17" s="19"/>
      <c r="O17" s="19"/>
      <c r="P17" s="19"/>
      <c r="Q17" s="18"/>
      <c r="R17" s="18"/>
      <c r="S17" s="18"/>
      <c r="T17" s="18"/>
    </row>
    <row r="18" spans="1:20" hidden="1" x14ac:dyDescent="0.25">
      <c r="A18" s="18">
        <v>20</v>
      </c>
      <c r="B18" s="18" t="s">
        <v>156</v>
      </c>
      <c r="C18" s="18" t="s">
        <v>387</v>
      </c>
      <c r="D18" s="18" t="s">
        <v>384</v>
      </c>
      <c r="E18" s="18">
        <v>1</v>
      </c>
      <c r="F18" s="18"/>
      <c r="G18" s="20">
        <v>45229</v>
      </c>
      <c r="H18" s="21">
        <v>1</v>
      </c>
      <c r="I18" s="18">
        <v>14</v>
      </c>
      <c r="J18" s="19" t="s">
        <v>11</v>
      </c>
      <c r="K18" s="19" t="s">
        <v>11</v>
      </c>
      <c r="L18" s="19" t="s">
        <v>7977</v>
      </c>
      <c r="M18" s="18"/>
      <c r="N18" s="19"/>
      <c r="O18" s="19"/>
      <c r="P18" s="19"/>
      <c r="Q18" s="18"/>
      <c r="R18" s="18"/>
      <c r="S18" s="19"/>
      <c r="T18" s="18"/>
    </row>
    <row r="19" spans="1:20" hidden="1" x14ac:dyDescent="0.25">
      <c r="A19" s="18">
        <v>680</v>
      </c>
      <c r="B19" s="18"/>
      <c r="C19" s="18" t="s">
        <v>6800</v>
      </c>
      <c r="D19" s="18" t="s">
        <v>2451</v>
      </c>
      <c r="E19" s="18">
        <v>1</v>
      </c>
      <c r="F19" s="18"/>
      <c r="G19" s="20">
        <v>45324</v>
      </c>
      <c r="H19" s="21">
        <v>1</v>
      </c>
      <c r="I19" s="18">
        <v>16</v>
      </c>
      <c r="J19" s="19" t="s">
        <v>11</v>
      </c>
      <c r="K19" s="19" t="s">
        <v>11</v>
      </c>
      <c r="L19" s="19"/>
      <c r="M19" s="18"/>
      <c r="N19" s="19"/>
      <c r="O19" s="19"/>
      <c r="P19" s="19"/>
      <c r="Q19" s="18"/>
      <c r="R19" s="18"/>
      <c r="S19" s="18"/>
      <c r="T19" s="18"/>
    </row>
    <row r="20" spans="1:20" hidden="1" x14ac:dyDescent="0.25">
      <c r="A20" s="18">
        <v>125</v>
      </c>
      <c r="B20" s="18" t="s">
        <v>317</v>
      </c>
      <c r="C20" s="18" t="s">
        <v>702</v>
      </c>
      <c r="D20" s="18" t="s">
        <v>699</v>
      </c>
      <c r="E20" s="18">
        <v>1</v>
      </c>
      <c r="F20" s="18"/>
      <c r="G20" s="20">
        <v>45289</v>
      </c>
      <c r="H20" s="21">
        <v>1</v>
      </c>
      <c r="I20" s="18">
        <v>9</v>
      </c>
      <c r="J20" s="19" t="s">
        <v>11</v>
      </c>
      <c r="K20" s="19" t="s">
        <v>11</v>
      </c>
      <c r="L20" s="19" t="s">
        <v>7977</v>
      </c>
      <c r="M20" s="18"/>
      <c r="N20" s="19"/>
      <c r="O20" s="18"/>
      <c r="P20" s="19"/>
      <c r="Q20" s="18"/>
      <c r="R20" s="18"/>
      <c r="S20" s="19"/>
      <c r="T20" s="18"/>
    </row>
    <row r="21" spans="1:20" hidden="1" x14ac:dyDescent="0.25">
      <c r="A21" s="18">
        <v>242</v>
      </c>
      <c r="B21" s="18" t="s">
        <v>317</v>
      </c>
      <c r="C21" s="18" t="s">
        <v>1069</v>
      </c>
      <c r="D21" s="18" t="s">
        <v>1066</v>
      </c>
      <c r="E21" s="18">
        <v>1</v>
      </c>
      <c r="F21" s="18"/>
      <c r="G21" s="20">
        <v>45294</v>
      </c>
      <c r="H21" s="21">
        <v>1</v>
      </c>
      <c r="I21" s="18">
        <v>9</v>
      </c>
      <c r="J21" s="19" t="s">
        <v>11</v>
      </c>
      <c r="K21" s="19" t="s">
        <v>11</v>
      </c>
      <c r="L21" s="19" t="s">
        <v>7977</v>
      </c>
      <c r="M21" s="18"/>
      <c r="N21" s="19"/>
      <c r="O21" s="18"/>
      <c r="P21" s="19"/>
      <c r="Q21" s="18"/>
      <c r="R21" s="18"/>
      <c r="S21" s="19"/>
      <c r="T21" s="18"/>
    </row>
    <row r="22" spans="1:20" hidden="1" x14ac:dyDescent="0.25">
      <c r="A22" s="18">
        <v>63</v>
      </c>
      <c r="B22" s="18"/>
      <c r="C22" s="18" t="s">
        <v>6800</v>
      </c>
      <c r="D22" s="18" t="s">
        <v>512</v>
      </c>
      <c r="E22" s="18">
        <v>2</v>
      </c>
      <c r="F22" s="18"/>
      <c r="G22" s="20">
        <v>45282</v>
      </c>
      <c r="H22" s="21">
        <v>1</v>
      </c>
      <c r="I22" s="18">
        <v>9</v>
      </c>
      <c r="J22" s="19" t="s">
        <v>11</v>
      </c>
      <c r="K22" s="19" t="s">
        <v>11</v>
      </c>
      <c r="L22" s="19" t="s">
        <v>7977</v>
      </c>
      <c r="M22" s="18"/>
      <c r="N22" s="19"/>
      <c r="O22" s="19"/>
      <c r="P22" s="19"/>
      <c r="Q22" s="18"/>
      <c r="R22" s="18"/>
      <c r="S22" s="18"/>
      <c r="T22" s="18"/>
    </row>
    <row r="23" spans="1:20" hidden="1" x14ac:dyDescent="0.25">
      <c r="A23" s="18">
        <v>62</v>
      </c>
      <c r="B23" s="18" t="s">
        <v>109</v>
      </c>
      <c r="C23" s="18" t="s">
        <v>511</v>
      </c>
      <c r="D23" s="18" t="s">
        <v>101</v>
      </c>
      <c r="E23" s="18">
        <v>2</v>
      </c>
      <c r="F23" s="18"/>
      <c r="G23" s="20">
        <v>45282</v>
      </c>
      <c r="H23" s="21">
        <v>1</v>
      </c>
      <c r="I23" s="18">
        <v>20</v>
      </c>
      <c r="J23" s="19" t="s">
        <v>11</v>
      </c>
      <c r="K23" s="19" t="s">
        <v>11</v>
      </c>
      <c r="L23" s="19" t="s">
        <v>7977</v>
      </c>
      <c r="M23" s="18"/>
      <c r="N23" s="19"/>
      <c r="O23" s="19"/>
      <c r="P23" s="19"/>
      <c r="Q23" s="18"/>
      <c r="R23" s="18"/>
      <c r="S23" s="19"/>
      <c r="T23" s="18"/>
    </row>
    <row r="24" spans="1:20" hidden="1" x14ac:dyDescent="0.25">
      <c r="A24" s="18">
        <v>95</v>
      </c>
      <c r="B24" s="18"/>
      <c r="C24" s="18" t="s">
        <v>6800</v>
      </c>
      <c r="D24" s="18" t="s">
        <v>609</v>
      </c>
      <c r="E24" s="18">
        <v>2</v>
      </c>
      <c r="F24" s="18"/>
      <c r="G24" s="20">
        <v>45251</v>
      </c>
      <c r="H24" s="21">
        <v>1</v>
      </c>
      <c r="I24" s="18">
        <v>42</v>
      </c>
      <c r="J24" s="19" t="s">
        <v>11</v>
      </c>
      <c r="K24" s="19" t="s">
        <v>11</v>
      </c>
      <c r="L24" s="19" t="s">
        <v>7977</v>
      </c>
      <c r="M24" s="18"/>
      <c r="N24" s="19"/>
      <c r="O24" s="19"/>
      <c r="P24" s="19"/>
      <c r="Q24" s="18"/>
      <c r="R24" s="18"/>
      <c r="S24" s="18"/>
      <c r="T24" s="18"/>
    </row>
    <row r="25" spans="1:20" hidden="1" x14ac:dyDescent="0.25">
      <c r="A25" s="18">
        <v>96</v>
      </c>
      <c r="B25" s="18"/>
      <c r="C25" s="18" t="s">
        <v>6800</v>
      </c>
      <c r="D25" s="18" t="s">
        <v>613</v>
      </c>
      <c r="E25" s="18">
        <v>2</v>
      </c>
      <c r="F25" s="18"/>
      <c r="G25" s="20">
        <v>45476</v>
      </c>
      <c r="H25" s="21">
        <v>1</v>
      </c>
      <c r="I25" s="18">
        <v>13</v>
      </c>
      <c r="J25" s="19" t="s">
        <v>11</v>
      </c>
      <c r="K25" s="19" t="s">
        <v>11</v>
      </c>
      <c r="L25" s="19" t="s">
        <v>7977</v>
      </c>
      <c r="M25" s="18"/>
      <c r="N25" s="19"/>
      <c r="O25" s="19"/>
      <c r="P25" s="19"/>
      <c r="Q25" s="18"/>
      <c r="R25" s="18"/>
      <c r="S25" s="18"/>
      <c r="T25" s="18"/>
    </row>
    <row r="26" spans="1:20" ht="45" hidden="1" x14ac:dyDescent="0.25">
      <c r="A26" s="18">
        <v>167</v>
      </c>
      <c r="B26" s="18" t="s">
        <v>293</v>
      </c>
      <c r="C26" s="18" t="s">
        <v>832</v>
      </c>
      <c r="D26" s="18" t="s">
        <v>829</v>
      </c>
      <c r="E26" s="18">
        <v>2</v>
      </c>
      <c r="F26" s="20">
        <v>45222</v>
      </c>
      <c r="G26" s="20">
        <v>45239</v>
      </c>
      <c r="H26" s="21">
        <v>2</v>
      </c>
      <c r="I26" s="18">
        <v>23</v>
      </c>
      <c r="J26" s="19" t="s">
        <v>11</v>
      </c>
      <c r="K26" s="19" t="s">
        <v>11</v>
      </c>
      <c r="L26" s="19" t="s">
        <v>11</v>
      </c>
      <c r="M26" s="18"/>
      <c r="N26" s="19" t="s">
        <v>7977</v>
      </c>
      <c r="O26" s="19" t="s">
        <v>7977</v>
      </c>
      <c r="P26" s="19" t="s">
        <v>11</v>
      </c>
      <c r="Q26" s="18" t="s">
        <v>7986</v>
      </c>
      <c r="R26" s="18"/>
      <c r="S26" s="19" t="s">
        <v>8016</v>
      </c>
      <c r="T26" s="18"/>
    </row>
    <row r="27" spans="1:20" ht="30" hidden="1" x14ac:dyDescent="0.25">
      <c r="A27" s="18">
        <v>1</v>
      </c>
      <c r="B27" s="18" t="s">
        <v>317</v>
      </c>
      <c r="C27" s="18" t="s">
        <v>328</v>
      </c>
      <c r="D27" s="18" t="s">
        <v>180</v>
      </c>
      <c r="E27" s="18">
        <v>1</v>
      </c>
      <c r="F27" s="18"/>
      <c r="G27" s="24">
        <v>45224</v>
      </c>
      <c r="H27" s="22">
        <v>1</v>
      </c>
      <c r="I27" s="19">
        <v>11</v>
      </c>
      <c r="J27" s="19" t="s">
        <v>11</v>
      </c>
      <c r="K27" s="19" t="s">
        <v>7977</v>
      </c>
      <c r="L27" s="19" t="s">
        <v>11</v>
      </c>
      <c r="M27" s="18"/>
      <c r="N27" s="19" t="s">
        <v>11</v>
      </c>
      <c r="O27" s="18" t="s">
        <v>7999</v>
      </c>
      <c r="P27" s="19"/>
      <c r="Q27" s="18"/>
      <c r="R27" s="18"/>
      <c r="S27" s="19" t="s">
        <v>7998</v>
      </c>
      <c r="T27" s="18"/>
    </row>
    <row r="28" spans="1:20" hidden="1" x14ac:dyDescent="0.25">
      <c r="A28" s="18">
        <v>1029</v>
      </c>
      <c r="B28" s="18"/>
      <c r="C28" s="18" t="s">
        <v>6800</v>
      </c>
      <c r="D28" s="18" t="s">
        <v>3597</v>
      </c>
      <c r="E28" s="18">
        <v>2</v>
      </c>
      <c r="F28" s="18"/>
      <c r="G28" s="20">
        <v>45343</v>
      </c>
      <c r="H28" s="21">
        <v>1</v>
      </c>
      <c r="I28" s="18">
        <v>23</v>
      </c>
      <c r="J28" s="19" t="s">
        <v>11</v>
      </c>
      <c r="K28" s="19" t="s">
        <v>7977</v>
      </c>
      <c r="L28" s="19" t="s">
        <v>11</v>
      </c>
      <c r="M28" s="18"/>
      <c r="N28" s="19" t="s">
        <v>7977</v>
      </c>
      <c r="O28" s="19"/>
      <c r="P28" s="19"/>
      <c r="Q28" s="18"/>
      <c r="R28" s="18"/>
      <c r="S28" s="18" t="s">
        <v>8389</v>
      </c>
      <c r="T28" s="18"/>
    </row>
    <row r="29" spans="1:20" hidden="1" x14ac:dyDescent="0.25">
      <c r="A29" s="18">
        <v>42</v>
      </c>
      <c r="B29" s="18" t="s">
        <v>293</v>
      </c>
      <c r="C29" s="18" t="s">
        <v>452</v>
      </c>
      <c r="D29" s="18" t="s">
        <v>188</v>
      </c>
      <c r="E29" s="18">
        <v>3</v>
      </c>
      <c r="F29" s="18"/>
      <c r="G29" s="20">
        <v>45303</v>
      </c>
      <c r="H29" s="21">
        <v>1</v>
      </c>
      <c r="I29" s="18">
        <v>65</v>
      </c>
      <c r="J29" s="19" t="s">
        <v>7977</v>
      </c>
      <c r="K29" s="19" t="s">
        <v>7977</v>
      </c>
      <c r="L29" s="19" t="s">
        <v>11</v>
      </c>
      <c r="M29" s="18"/>
      <c r="N29" s="19"/>
      <c r="O29" s="19"/>
      <c r="P29" s="19"/>
      <c r="Q29" s="18"/>
      <c r="R29" s="18"/>
      <c r="S29" s="18"/>
      <c r="T29" s="18"/>
    </row>
    <row r="30" spans="1:20" hidden="1" x14ac:dyDescent="0.25">
      <c r="A30" s="18">
        <v>692</v>
      </c>
      <c r="B30" s="18" t="s">
        <v>7974</v>
      </c>
      <c r="C30" s="18" t="s">
        <v>2496</v>
      </c>
      <c r="D30" s="18" t="s">
        <v>2493</v>
      </c>
      <c r="E30" s="18">
        <v>2</v>
      </c>
      <c r="F30" s="18"/>
      <c r="G30" s="20">
        <v>45362</v>
      </c>
      <c r="H30" s="21">
        <v>1</v>
      </c>
      <c r="I30" s="18">
        <v>41</v>
      </c>
      <c r="J30" s="19" t="s">
        <v>11</v>
      </c>
      <c r="K30" s="19" t="s">
        <v>7977</v>
      </c>
      <c r="L30" s="19" t="s">
        <v>11</v>
      </c>
      <c r="M30" s="18"/>
      <c r="N30" s="19"/>
      <c r="O30" s="19"/>
      <c r="P30" s="19"/>
      <c r="Q30" s="18"/>
      <c r="R30" s="18"/>
      <c r="S30" s="18"/>
      <c r="T30" s="18"/>
    </row>
    <row r="31" spans="1:20" hidden="1" x14ac:dyDescent="0.25">
      <c r="A31" s="18">
        <v>347</v>
      </c>
      <c r="B31" s="18" t="s">
        <v>317</v>
      </c>
      <c r="C31" s="18" t="s">
        <v>1392</v>
      </c>
      <c r="D31" s="18" t="s">
        <v>136</v>
      </c>
      <c r="E31" s="18">
        <v>2</v>
      </c>
      <c r="F31" s="20">
        <v>45226</v>
      </c>
      <c r="G31" s="20">
        <v>45232</v>
      </c>
      <c r="H31" s="21">
        <v>2</v>
      </c>
      <c r="I31" s="18">
        <v>8</v>
      </c>
      <c r="J31" s="19" t="s">
        <v>11</v>
      </c>
      <c r="K31" s="19" t="s">
        <v>11</v>
      </c>
      <c r="L31" s="19" t="s">
        <v>7977</v>
      </c>
      <c r="M31" s="18"/>
      <c r="N31" s="19" t="s">
        <v>11</v>
      </c>
      <c r="O31" s="19" t="s">
        <v>11</v>
      </c>
      <c r="P31" s="19" t="s">
        <v>11</v>
      </c>
      <c r="Q31" s="18"/>
      <c r="R31" s="18"/>
      <c r="S31" s="18" t="s">
        <v>8009</v>
      </c>
      <c r="T31" s="18"/>
    </row>
    <row r="32" spans="1:20" hidden="1" x14ac:dyDescent="0.25">
      <c r="A32" s="18">
        <v>981</v>
      </c>
      <c r="B32" s="18" t="s">
        <v>47</v>
      </c>
      <c r="C32" s="18" t="s">
        <v>3444</v>
      </c>
      <c r="D32" s="18" t="s">
        <v>3441</v>
      </c>
      <c r="E32" s="18">
        <v>2</v>
      </c>
      <c r="F32" s="18"/>
      <c r="G32" s="20">
        <v>45483</v>
      </c>
      <c r="H32" s="21">
        <v>1</v>
      </c>
      <c r="I32" s="18">
        <v>65</v>
      </c>
      <c r="J32" s="19" t="s">
        <v>7977</v>
      </c>
      <c r="K32" s="19" t="s">
        <v>7977</v>
      </c>
      <c r="L32" s="19" t="s">
        <v>11</v>
      </c>
      <c r="M32" s="18"/>
      <c r="N32" s="19"/>
      <c r="O32" s="19"/>
      <c r="P32" s="19"/>
      <c r="Q32" s="18"/>
      <c r="R32" s="18"/>
      <c r="S32" s="18"/>
      <c r="T32" s="18"/>
    </row>
    <row r="33" spans="1:20" hidden="1" x14ac:dyDescent="0.25">
      <c r="A33" s="18">
        <v>218</v>
      </c>
      <c r="B33" s="18" t="s">
        <v>7832</v>
      </c>
      <c r="C33" s="18" t="s">
        <v>990</v>
      </c>
      <c r="D33" s="18" t="s">
        <v>987</v>
      </c>
      <c r="E33" s="18">
        <v>3</v>
      </c>
      <c r="F33" s="18"/>
      <c r="G33" s="20">
        <v>45313</v>
      </c>
      <c r="H33" s="21">
        <v>1</v>
      </c>
      <c r="I33" s="18">
        <v>55</v>
      </c>
      <c r="J33" s="19" t="s">
        <v>7977</v>
      </c>
      <c r="K33" s="19" t="s">
        <v>7977</v>
      </c>
      <c r="L33" s="19" t="s">
        <v>11</v>
      </c>
      <c r="M33" s="18"/>
      <c r="N33" s="19"/>
      <c r="O33" s="19"/>
      <c r="P33" s="19"/>
      <c r="Q33" s="18"/>
      <c r="R33" s="18"/>
      <c r="S33" s="18"/>
      <c r="T33" s="18"/>
    </row>
    <row r="34" spans="1:20" hidden="1" x14ac:dyDescent="0.25">
      <c r="A34" s="18">
        <v>1337</v>
      </c>
      <c r="B34" s="18"/>
      <c r="C34" s="18" t="s">
        <v>6800</v>
      </c>
      <c r="D34" s="18" t="s">
        <v>4597</v>
      </c>
      <c r="E34" s="18">
        <v>1</v>
      </c>
      <c r="F34" s="18"/>
      <c r="G34" s="20">
        <v>45232</v>
      </c>
      <c r="H34" s="21">
        <v>1</v>
      </c>
      <c r="I34" s="18">
        <v>45</v>
      </c>
      <c r="J34" s="19" t="s">
        <v>7990</v>
      </c>
      <c r="K34" s="19" t="s">
        <v>7977</v>
      </c>
      <c r="L34" s="19" t="s">
        <v>11</v>
      </c>
      <c r="M34" s="18"/>
      <c r="N34" s="19"/>
      <c r="O34" s="19"/>
      <c r="P34" s="19"/>
      <c r="Q34" s="18"/>
      <c r="R34" s="18"/>
      <c r="S34" s="18"/>
      <c r="T34" s="18"/>
    </row>
    <row r="35" spans="1:20" hidden="1" x14ac:dyDescent="0.25">
      <c r="A35" s="18">
        <v>1101</v>
      </c>
      <c r="B35" s="18"/>
      <c r="C35" s="18" t="s">
        <v>6800</v>
      </c>
      <c r="D35" s="18" t="s">
        <v>3827</v>
      </c>
      <c r="E35" s="18">
        <v>2</v>
      </c>
      <c r="F35" s="18"/>
      <c r="G35" s="20">
        <v>45271</v>
      </c>
      <c r="H35" s="21">
        <v>1</v>
      </c>
      <c r="I35" s="18">
        <v>16</v>
      </c>
      <c r="J35" s="19" t="s">
        <v>11</v>
      </c>
      <c r="K35" s="19" t="s">
        <v>11</v>
      </c>
      <c r="L35" s="19" t="s">
        <v>7977</v>
      </c>
      <c r="M35" s="18"/>
      <c r="N35" s="19"/>
      <c r="O35" s="19"/>
      <c r="P35" s="19"/>
      <c r="Q35" s="18"/>
      <c r="R35" s="18"/>
      <c r="S35" s="18"/>
      <c r="T35" s="18"/>
    </row>
    <row r="36" spans="1:20" hidden="1" x14ac:dyDescent="0.25">
      <c r="A36" s="18">
        <v>621</v>
      </c>
      <c r="B36" s="18" t="s">
        <v>7832</v>
      </c>
      <c r="C36" s="18" t="s">
        <v>2271</v>
      </c>
      <c r="D36" s="18" t="s">
        <v>126</v>
      </c>
      <c r="E36" s="18">
        <v>2</v>
      </c>
      <c r="F36" s="18"/>
      <c r="G36" s="20">
        <v>45310</v>
      </c>
      <c r="H36" s="21">
        <v>1</v>
      </c>
      <c r="I36" s="18">
        <v>44</v>
      </c>
      <c r="J36" s="19" t="s">
        <v>11</v>
      </c>
      <c r="K36" s="19" t="s">
        <v>11</v>
      </c>
      <c r="L36" s="19" t="s">
        <v>7977</v>
      </c>
      <c r="M36" s="18"/>
      <c r="N36" s="19"/>
      <c r="O36" s="19"/>
      <c r="P36" s="19"/>
      <c r="Q36" s="18"/>
      <c r="R36" s="18"/>
      <c r="S36" s="18"/>
      <c r="T36" s="18"/>
    </row>
    <row r="37" spans="1:20" hidden="1" x14ac:dyDescent="0.25">
      <c r="A37" s="18">
        <v>494</v>
      </c>
      <c r="B37" s="18" t="s">
        <v>109</v>
      </c>
      <c r="C37" s="18" t="s">
        <v>1873</v>
      </c>
      <c r="D37" s="18" t="s">
        <v>73</v>
      </c>
      <c r="E37" s="18">
        <v>2</v>
      </c>
      <c r="F37" s="18"/>
      <c r="G37" s="20">
        <v>45231</v>
      </c>
      <c r="H37" s="21">
        <v>1</v>
      </c>
      <c r="I37" s="18">
        <v>20</v>
      </c>
      <c r="J37" s="19" t="s">
        <v>7977</v>
      </c>
      <c r="K37" s="19" t="s">
        <v>7977</v>
      </c>
      <c r="L37" s="19" t="s">
        <v>11</v>
      </c>
      <c r="M37" s="18"/>
      <c r="N37" s="19"/>
      <c r="O37" s="19"/>
      <c r="P37" s="19"/>
      <c r="Q37" s="18"/>
      <c r="R37" s="18"/>
      <c r="S37" s="18"/>
      <c r="T37" s="18"/>
    </row>
    <row r="38" spans="1:20" hidden="1" x14ac:dyDescent="0.25">
      <c r="A38" s="18">
        <v>101</v>
      </c>
      <c r="B38" s="18" t="s">
        <v>7830</v>
      </c>
      <c r="C38" s="18" t="s">
        <v>628</v>
      </c>
      <c r="D38" s="18" t="s">
        <v>629</v>
      </c>
      <c r="E38" s="18">
        <v>1</v>
      </c>
      <c r="F38" s="18"/>
      <c r="G38" s="20">
        <v>45244</v>
      </c>
      <c r="H38" s="21">
        <v>1</v>
      </c>
      <c r="I38" s="18">
        <v>13</v>
      </c>
      <c r="J38" s="19" t="s">
        <v>11</v>
      </c>
      <c r="K38" s="19" t="s">
        <v>11</v>
      </c>
      <c r="L38" s="19" t="s">
        <v>7977</v>
      </c>
      <c r="M38" s="18"/>
      <c r="N38" s="19"/>
      <c r="O38" s="19"/>
      <c r="P38" s="19"/>
      <c r="Q38" s="18"/>
      <c r="R38" s="18"/>
      <c r="S38" s="19"/>
      <c r="T38" s="18"/>
    </row>
    <row r="39" spans="1:20" hidden="1" x14ac:dyDescent="0.25">
      <c r="A39" s="18">
        <v>778</v>
      </c>
      <c r="B39" s="18" t="s">
        <v>7834</v>
      </c>
      <c r="C39" s="18" t="s">
        <v>2771</v>
      </c>
      <c r="D39" s="18" t="s">
        <v>2768</v>
      </c>
      <c r="E39" s="18">
        <v>3</v>
      </c>
      <c r="F39" s="18"/>
      <c r="G39" s="18"/>
      <c r="H39" s="21"/>
      <c r="I39" s="18"/>
      <c r="J39" s="19"/>
      <c r="K39" s="19"/>
      <c r="L39" s="19"/>
      <c r="M39" s="18"/>
      <c r="N39" s="19"/>
      <c r="O39" s="18"/>
      <c r="P39" s="19"/>
      <c r="Q39" s="18"/>
      <c r="R39" s="18"/>
      <c r="S39" s="18"/>
      <c r="T39" s="18"/>
    </row>
    <row r="40" spans="1:20" hidden="1" x14ac:dyDescent="0.25">
      <c r="A40" s="18">
        <v>1721</v>
      </c>
      <c r="B40" s="18"/>
      <c r="C40" s="18" t="s">
        <v>6800</v>
      </c>
      <c r="D40" s="18" t="s">
        <v>5852</v>
      </c>
      <c r="E40" s="18">
        <v>2</v>
      </c>
      <c r="F40" s="18"/>
      <c r="G40" s="20">
        <v>45320</v>
      </c>
      <c r="H40" s="21">
        <v>1</v>
      </c>
      <c r="I40" s="18">
        <v>13</v>
      </c>
      <c r="J40" s="19" t="s">
        <v>11</v>
      </c>
      <c r="K40" s="19" t="s">
        <v>11</v>
      </c>
      <c r="L40" s="19" t="s">
        <v>7977</v>
      </c>
      <c r="M40" s="18"/>
      <c r="N40" s="19"/>
      <c r="O40" s="19"/>
      <c r="P40" s="19"/>
      <c r="Q40" s="18"/>
      <c r="R40" s="18"/>
      <c r="S40" s="18"/>
      <c r="T40" s="18"/>
    </row>
    <row r="41" spans="1:20" hidden="1" x14ac:dyDescent="0.25">
      <c r="A41" s="18">
        <v>24</v>
      </c>
      <c r="B41" s="18" t="s">
        <v>573</v>
      </c>
      <c r="C41" s="18" t="s">
        <v>390</v>
      </c>
      <c r="D41" s="18" t="s">
        <v>147</v>
      </c>
      <c r="E41" s="18">
        <v>2</v>
      </c>
      <c r="F41" s="18"/>
      <c r="G41" s="20">
        <v>45250</v>
      </c>
      <c r="H41" s="21">
        <v>1</v>
      </c>
      <c r="I41" s="18">
        <v>9</v>
      </c>
      <c r="J41" s="19" t="s">
        <v>11</v>
      </c>
      <c r="K41" s="19" t="s">
        <v>11</v>
      </c>
      <c r="L41" s="19" t="s">
        <v>7977</v>
      </c>
      <c r="M41" s="18"/>
      <c r="N41" s="19"/>
      <c r="O41" s="19"/>
      <c r="P41" s="19"/>
      <c r="Q41" s="18"/>
      <c r="R41" s="18"/>
      <c r="S41" s="18"/>
      <c r="T41" s="18"/>
    </row>
    <row r="42" spans="1:20" hidden="1" x14ac:dyDescent="0.25">
      <c r="A42" s="18">
        <v>130</v>
      </c>
      <c r="B42" s="18" t="s">
        <v>7833</v>
      </c>
      <c r="C42" s="18" t="s">
        <v>720</v>
      </c>
      <c r="D42" s="18" t="s">
        <v>717</v>
      </c>
      <c r="E42" s="18">
        <v>2</v>
      </c>
      <c r="F42" s="18"/>
      <c r="G42" s="20">
        <v>45307</v>
      </c>
      <c r="H42" s="21">
        <v>1</v>
      </c>
      <c r="I42" s="18">
        <v>32</v>
      </c>
      <c r="J42" s="19" t="s">
        <v>11</v>
      </c>
      <c r="K42" s="19" t="s">
        <v>11</v>
      </c>
      <c r="L42" s="19" t="s">
        <v>7977</v>
      </c>
      <c r="M42" s="18"/>
      <c r="N42" s="19"/>
      <c r="O42" s="19"/>
      <c r="P42" s="19"/>
      <c r="Q42" s="18"/>
      <c r="R42" s="18"/>
      <c r="S42" s="19"/>
      <c r="T42" s="18"/>
    </row>
    <row r="43" spans="1:20" hidden="1" x14ac:dyDescent="0.25">
      <c r="A43" s="18">
        <v>129</v>
      </c>
      <c r="B43" s="18"/>
      <c r="C43" s="18" t="s">
        <v>6800</v>
      </c>
      <c r="D43" s="18" t="s">
        <v>714</v>
      </c>
      <c r="E43" s="18">
        <v>2</v>
      </c>
      <c r="F43" s="18"/>
      <c r="G43" s="20">
        <v>45342</v>
      </c>
      <c r="H43" s="21">
        <v>1</v>
      </c>
      <c r="I43" s="18">
        <v>16</v>
      </c>
      <c r="J43" s="19" t="s">
        <v>11</v>
      </c>
      <c r="K43" s="19" t="s">
        <v>11</v>
      </c>
      <c r="L43" s="19" t="s">
        <v>7977</v>
      </c>
      <c r="M43" s="18"/>
      <c r="N43" s="19"/>
      <c r="O43" s="19"/>
      <c r="P43" s="19"/>
      <c r="Q43" s="18"/>
      <c r="R43" s="18"/>
      <c r="S43" s="18"/>
      <c r="T43" s="18"/>
    </row>
    <row r="44" spans="1:20" hidden="1" x14ac:dyDescent="0.25">
      <c r="A44" s="18">
        <v>371</v>
      </c>
      <c r="B44" s="18" t="s">
        <v>61</v>
      </c>
      <c r="C44" s="18" t="s">
        <v>414</v>
      </c>
      <c r="D44" s="18" t="s">
        <v>1469</v>
      </c>
      <c r="E44" s="18">
        <v>2</v>
      </c>
      <c r="F44" s="18"/>
      <c r="G44" s="20">
        <v>45321</v>
      </c>
      <c r="H44" s="21">
        <v>1</v>
      </c>
      <c r="I44" s="18">
        <v>28</v>
      </c>
      <c r="J44" s="19" t="s">
        <v>7977</v>
      </c>
      <c r="K44" s="19" t="s">
        <v>7977</v>
      </c>
      <c r="L44" s="19" t="s">
        <v>11</v>
      </c>
      <c r="M44" s="18"/>
      <c r="N44" s="19"/>
      <c r="O44" s="19"/>
      <c r="P44" s="19"/>
      <c r="Q44" s="18"/>
      <c r="R44" s="18"/>
      <c r="S44" s="18"/>
      <c r="T44" s="18"/>
    </row>
    <row r="45" spans="1:20" hidden="1" x14ac:dyDescent="0.25">
      <c r="A45" s="18">
        <v>37</v>
      </c>
      <c r="B45" s="18" t="s">
        <v>317</v>
      </c>
      <c r="C45" s="18" t="s">
        <v>439</v>
      </c>
      <c r="D45" s="18" t="s">
        <v>313</v>
      </c>
      <c r="E45" s="18">
        <v>3</v>
      </c>
      <c r="F45" s="18"/>
      <c r="G45" s="20">
        <v>45265</v>
      </c>
      <c r="H45" s="21">
        <v>1</v>
      </c>
      <c r="I45" s="18">
        <v>34</v>
      </c>
      <c r="J45" s="19" t="s">
        <v>11</v>
      </c>
      <c r="K45" s="19" t="s">
        <v>7977</v>
      </c>
      <c r="L45" s="19" t="s">
        <v>7977</v>
      </c>
      <c r="M45" s="18"/>
      <c r="N45" s="19"/>
      <c r="O45" s="19"/>
      <c r="P45" s="19"/>
      <c r="Q45" s="18"/>
      <c r="R45" s="18"/>
      <c r="S45" s="18"/>
      <c r="T45" s="18"/>
    </row>
    <row r="46" spans="1:20" hidden="1" x14ac:dyDescent="0.25">
      <c r="A46" s="18">
        <v>572</v>
      </c>
      <c r="B46" s="18" t="s">
        <v>7830</v>
      </c>
      <c r="C46" s="18" t="s">
        <v>2124</v>
      </c>
      <c r="D46" s="18" t="s">
        <v>71</v>
      </c>
      <c r="E46" s="18">
        <v>1</v>
      </c>
      <c r="F46" s="18"/>
      <c r="G46" s="20">
        <v>45538</v>
      </c>
      <c r="H46" s="21">
        <v>1</v>
      </c>
      <c r="I46" s="18">
        <v>21</v>
      </c>
      <c r="J46" s="19" t="s">
        <v>11</v>
      </c>
      <c r="K46" s="19" t="s">
        <v>11</v>
      </c>
      <c r="L46" s="19" t="s">
        <v>7977</v>
      </c>
      <c r="M46" s="18"/>
      <c r="N46" s="19"/>
      <c r="O46" s="19"/>
      <c r="P46" s="19"/>
      <c r="Q46" s="18"/>
      <c r="R46" s="18"/>
      <c r="S46" s="19"/>
      <c r="T46" s="18"/>
    </row>
    <row r="47" spans="1:20" hidden="1" x14ac:dyDescent="0.25">
      <c r="A47" s="18">
        <v>30</v>
      </c>
      <c r="B47" s="18"/>
      <c r="C47" s="18" t="s">
        <v>6800</v>
      </c>
      <c r="D47" s="18" t="s">
        <v>166</v>
      </c>
      <c r="E47" s="18">
        <v>3</v>
      </c>
      <c r="F47" s="18"/>
      <c r="G47" s="18"/>
      <c r="H47" s="21"/>
      <c r="I47" s="18"/>
      <c r="J47" s="19"/>
      <c r="K47" s="19"/>
      <c r="L47" s="19"/>
      <c r="M47" s="18"/>
      <c r="N47" s="19"/>
      <c r="O47" s="19"/>
      <c r="P47" s="19"/>
      <c r="Q47" s="18"/>
      <c r="R47" s="18"/>
      <c r="S47" s="18"/>
      <c r="T47" s="18"/>
    </row>
    <row r="48" spans="1:20" hidden="1" x14ac:dyDescent="0.25">
      <c r="A48" s="18">
        <v>90</v>
      </c>
      <c r="B48" s="18" t="s">
        <v>30</v>
      </c>
      <c r="C48" s="18" t="s">
        <v>560</v>
      </c>
      <c r="D48" s="18" t="s">
        <v>34</v>
      </c>
      <c r="E48" s="18">
        <v>2</v>
      </c>
      <c r="F48" s="18"/>
      <c r="G48" s="18"/>
      <c r="H48" s="21"/>
      <c r="I48" s="18"/>
      <c r="J48" s="19"/>
      <c r="K48" s="19"/>
      <c r="L48" s="19"/>
      <c r="M48" s="18"/>
      <c r="N48" s="19"/>
      <c r="O48" s="19"/>
      <c r="P48" s="19"/>
      <c r="Q48" s="18"/>
      <c r="R48" s="18"/>
      <c r="S48" s="19"/>
      <c r="T48" s="18"/>
    </row>
    <row r="49" spans="1:20" hidden="1" x14ac:dyDescent="0.25">
      <c r="A49" s="18">
        <v>78</v>
      </c>
      <c r="B49" s="18" t="s">
        <v>7832</v>
      </c>
      <c r="C49" s="18" t="s">
        <v>560</v>
      </c>
      <c r="D49" s="18" t="s">
        <v>33</v>
      </c>
      <c r="E49" s="18">
        <v>2</v>
      </c>
      <c r="F49" s="18"/>
      <c r="G49" s="18"/>
      <c r="H49" s="21"/>
      <c r="I49" s="18"/>
      <c r="J49" s="19"/>
      <c r="K49" s="19"/>
      <c r="L49" s="19"/>
      <c r="M49" s="18"/>
      <c r="N49" s="19"/>
      <c r="O49" s="19"/>
      <c r="P49" s="19"/>
      <c r="Q49" s="18"/>
      <c r="R49" s="18"/>
      <c r="S49" s="19"/>
      <c r="T49" s="18"/>
    </row>
    <row r="50" spans="1:20" hidden="1" x14ac:dyDescent="0.25">
      <c r="A50" s="18">
        <v>560</v>
      </c>
      <c r="B50" s="18" t="s">
        <v>317</v>
      </c>
      <c r="C50" s="18" t="s">
        <v>1976</v>
      </c>
      <c r="D50" s="18" t="s">
        <v>2086</v>
      </c>
      <c r="E50" s="18">
        <v>2</v>
      </c>
      <c r="F50" s="18"/>
      <c r="G50" s="20">
        <v>45470</v>
      </c>
      <c r="H50" s="21">
        <v>1</v>
      </c>
      <c r="I50" s="18">
        <v>50</v>
      </c>
      <c r="J50" s="19" t="s">
        <v>7977</v>
      </c>
      <c r="K50" s="19" t="s">
        <v>7977</v>
      </c>
      <c r="L50" s="19" t="s">
        <v>11</v>
      </c>
      <c r="M50" s="18">
        <v>4</v>
      </c>
      <c r="N50" s="19"/>
      <c r="O50" s="19"/>
      <c r="P50" s="19"/>
      <c r="Q50" s="18"/>
      <c r="R50" s="18"/>
      <c r="S50" s="18"/>
      <c r="T50" s="18"/>
    </row>
    <row r="51" spans="1:20" hidden="1" x14ac:dyDescent="0.25">
      <c r="A51" s="18">
        <v>713</v>
      </c>
      <c r="B51" s="18"/>
      <c r="C51" s="18" t="s">
        <v>6800</v>
      </c>
      <c r="D51" s="18" t="s">
        <v>307</v>
      </c>
      <c r="E51" s="18">
        <v>2</v>
      </c>
      <c r="F51" s="18"/>
      <c r="G51" s="20">
        <v>45320</v>
      </c>
      <c r="H51" s="21">
        <v>1</v>
      </c>
      <c r="I51" s="18">
        <v>16</v>
      </c>
      <c r="J51" s="19" t="s">
        <v>11</v>
      </c>
      <c r="K51" s="19" t="s">
        <v>11</v>
      </c>
      <c r="L51" s="19" t="s">
        <v>7977</v>
      </c>
      <c r="M51" s="18"/>
      <c r="N51" s="19"/>
      <c r="O51" s="19"/>
      <c r="P51" s="19"/>
      <c r="Q51" s="18"/>
      <c r="R51" s="18"/>
      <c r="S51" s="18"/>
      <c r="T51" s="18"/>
    </row>
    <row r="52" spans="1:20" hidden="1" x14ac:dyDescent="0.25">
      <c r="A52" s="18">
        <v>8</v>
      </c>
      <c r="B52" s="18" t="s">
        <v>316</v>
      </c>
      <c r="C52" s="18" t="s">
        <v>316</v>
      </c>
      <c r="D52" s="18" t="s">
        <v>347</v>
      </c>
      <c r="E52" s="18">
        <v>2</v>
      </c>
      <c r="F52" s="18"/>
      <c r="G52" s="20">
        <v>45299</v>
      </c>
      <c r="H52" s="21">
        <v>1</v>
      </c>
      <c r="I52" s="18">
        <v>36</v>
      </c>
      <c r="J52" s="19" t="s">
        <v>11</v>
      </c>
      <c r="K52" s="19" t="s">
        <v>7977</v>
      </c>
      <c r="L52" s="19" t="s">
        <v>8021</v>
      </c>
      <c r="M52" s="18"/>
      <c r="N52" s="19"/>
      <c r="O52" s="19"/>
      <c r="P52" s="19"/>
      <c r="Q52" s="18"/>
      <c r="R52" s="18"/>
      <c r="S52" s="18"/>
      <c r="T52" s="18"/>
    </row>
    <row r="53" spans="1:20" hidden="1" x14ac:dyDescent="0.25">
      <c r="A53" s="18">
        <v>977</v>
      </c>
      <c r="B53" s="18" t="s">
        <v>47</v>
      </c>
      <c r="C53" s="18" t="s">
        <v>372</v>
      </c>
      <c r="D53" s="18" t="s">
        <v>181</v>
      </c>
      <c r="E53" s="18">
        <v>1</v>
      </c>
      <c r="F53" s="18"/>
      <c r="G53" s="20">
        <v>45384</v>
      </c>
      <c r="H53" s="21">
        <v>1</v>
      </c>
      <c r="I53" s="18">
        <v>10</v>
      </c>
      <c r="J53" s="19" t="s">
        <v>11</v>
      </c>
      <c r="K53" s="19" t="s">
        <v>7977</v>
      </c>
      <c r="L53" s="19" t="s">
        <v>7977</v>
      </c>
      <c r="M53" s="18"/>
      <c r="N53" s="19" t="s">
        <v>11</v>
      </c>
      <c r="O53" s="19"/>
      <c r="P53" s="19"/>
      <c r="Q53" s="18"/>
      <c r="R53" s="18"/>
      <c r="S53" s="19"/>
      <c r="T53" s="18"/>
    </row>
    <row r="54" spans="1:20" hidden="1" x14ac:dyDescent="0.25">
      <c r="A54" s="18">
        <v>69</v>
      </c>
      <c r="B54" s="18" t="s">
        <v>47</v>
      </c>
      <c r="C54" s="18" t="s">
        <v>537</v>
      </c>
      <c r="D54" s="18" t="s">
        <v>534</v>
      </c>
      <c r="E54" s="18">
        <v>1</v>
      </c>
      <c r="F54" s="18"/>
      <c r="G54" s="20">
        <v>45236</v>
      </c>
      <c r="H54" s="21">
        <v>1</v>
      </c>
      <c r="I54" s="18">
        <v>16</v>
      </c>
      <c r="J54" s="19" t="s">
        <v>11</v>
      </c>
      <c r="K54" s="19" t="s">
        <v>7977</v>
      </c>
      <c r="L54" s="19" t="s">
        <v>7977</v>
      </c>
      <c r="M54" s="18"/>
      <c r="N54" s="19" t="s">
        <v>11</v>
      </c>
      <c r="O54" s="19"/>
      <c r="P54" s="19"/>
      <c r="Q54" s="18"/>
      <c r="R54" s="18"/>
      <c r="S54" s="19"/>
      <c r="T54" s="18"/>
    </row>
    <row r="55" spans="1:20" hidden="1" x14ac:dyDescent="0.25">
      <c r="A55" s="18">
        <v>410</v>
      </c>
      <c r="B55" s="18"/>
      <c r="C55" s="18" t="s">
        <v>6800</v>
      </c>
      <c r="D55" s="18" t="s">
        <v>1605</v>
      </c>
      <c r="E55" s="18">
        <v>3</v>
      </c>
      <c r="F55" s="18"/>
      <c r="G55" s="20">
        <v>45240</v>
      </c>
      <c r="H55" s="21">
        <v>1</v>
      </c>
      <c r="I55" s="18">
        <v>31</v>
      </c>
      <c r="J55" s="19" t="s">
        <v>7977</v>
      </c>
      <c r="K55" s="19" t="s">
        <v>7977</v>
      </c>
      <c r="L55" s="19" t="s">
        <v>11</v>
      </c>
      <c r="M55" s="18"/>
      <c r="N55" s="19"/>
      <c r="O55" s="19"/>
      <c r="P55" s="19"/>
      <c r="Q55" s="18"/>
      <c r="R55" s="18"/>
      <c r="S55" s="18"/>
      <c r="T55" s="18"/>
    </row>
    <row r="56" spans="1:20" hidden="1" x14ac:dyDescent="0.25">
      <c r="A56" s="18">
        <v>54</v>
      </c>
      <c r="B56" s="18" t="s">
        <v>317</v>
      </c>
      <c r="C56" s="18" t="s">
        <v>490</v>
      </c>
      <c r="D56" s="18" t="s">
        <v>194</v>
      </c>
      <c r="E56" s="18">
        <v>2</v>
      </c>
      <c r="F56" s="18"/>
      <c r="G56" s="20">
        <v>45219</v>
      </c>
      <c r="H56" s="21">
        <v>1</v>
      </c>
      <c r="I56" s="18">
        <v>54</v>
      </c>
      <c r="J56" s="19" t="s">
        <v>11</v>
      </c>
      <c r="K56" s="19" t="s">
        <v>7977</v>
      </c>
      <c r="L56" s="19" t="s">
        <v>11</v>
      </c>
      <c r="M56" s="18"/>
      <c r="N56" s="19" t="s">
        <v>11</v>
      </c>
      <c r="O56" s="19" t="s">
        <v>7977</v>
      </c>
      <c r="P56" s="19" t="s">
        <v>11</v>
      </c>
      <c r="Q56" s="18" t="s">
        <v>7979</v>
      </c>
      <c r="R56" s="18"/>
      <c r="S56" s="19" t="s">
        <v>7980</v>
      </c>
      <c r="T56" s="18"/>
    </row>
    <row r="57" spans="1:20" hidden="1" x14ac:dyDescent="0.25">
      <c r="A57" s="18">
        <v>148</v>
      </c>
      <c r="B57" s="18" t="s">
        <v>573</v>
      </c>
      <c r="C57" s="18" t="s">
        <v>777</v>
      </c>
      <c r="D57" s="18" t="s">
        <v>119</v>
      </c>
      <c r="E57" s="18">
        <v>2</v>
      </c>
      <c r="F57" s="18"/>
      <c r="G57" s="20">
        <v>45327</v>
      </c>
      <c r="H57" s="21">
        <v>1</v>
      </c>
      <c r="I57" s="18">
        <v>17</v>
      </c>
      <c r="J57" s="19" t="s">
        <v>11</v>
      </c>
      <c r="K57" s="19" t="s">
        <v>11</v>
      </c>
      <c r="L57" s="19" t="s">
        <v>7977</v>
      </c>
      <c r="M57" s="18"/>
      <c r="N57" s="19"/>
      <c r="O57" s="19"/>
      <c r="P57" s="19"/>
      <c r="Q57" s="18"/>
      <c r="R57" s="18"/>
      <c r="S57" s="18"/>
      <c r="T57" s="18"/>
    </row>
    <row r="58" spans="1:20" hidden="1" x14ac:dyDescent="0.25">
      <c r="A58" s="18">
        <v>75</v>
      </c>
      <c r="B58" s="18" t="s">
        <v>317</v>
      </c>
      <c r="C58" s="18" t="s">
        <v>372</v>
      </c>
      <c r="D58" s="18" t="s">
        <v>308</v>
      </c>
      <c r="E58" s="18">
        <v>2</v>
      </c>
      <c r="F58" s="18"/>
      <c r="G58" s="20">
        <v>45295</v>
      </c>
      <c r="H58" s="21">
        <v>1</v>
      </c>
      <c r="I58" s="18">
        <v>8</v>
      </c>
      <c r="J58" s="19" t="s">
        <v>11</v>
      </c>
      <c r="K58" s="19" t="s">
        <v>11</v>
      </c>
      <c r="L58" s="19" t="s">
        <v>11</v>
      </c>
      <c r="M58" s="18"/>
      <c r="N58" s="19"/>
      <c r="O58" s="19"/>
      <c r="P58" s="19"/>
      <c r="Q58" s="18"/>
      <c r="R58" s="18"/>
      <c r="S58" s="18" t="s">
        <v>8034</v>
      </c>
      <c r="T58" s="18"/>
    </row>
    <row r="59" spans="1:20" hidden="1" x14ac:dyDescent="0.25">
      <c r="A59" s="18">
        <v>451</v>
      </c>
      <c r="B59" s="18"/>
      <c r="C59" s="18" t="s">
        <v>6800</v>
      </c>
      <c r="D59" s="18" t="s">
        <v>137</v>
      </c>
      <c r="E59" s="18">
        <v>2</v>
      </c>
      <c r="F59" s="18"/>
      <c r="G59" s="18"/>
      <c r="H59" s="21"/>
      <c r="I59" s="18"/>
      <c r="J59" s="19"/>
      <c r="K59" s="19"/>
      <c r="L59" s="19"/>
      <c r="M59" s="18"/>
      <c r="N59" s="19"/>
      <c r="O59" s="19"/>
      <c r="P59" s="19"/>
      <c r="Q59" s="18"/>
      <c r="R59" s="18"/>
      <c r="S59" s="18"/>
      <c r="T59" s="18"/>
    </row>
    <row r="60" spans="1:20" hidden="1" x14ac:dyDescent="0.25">
      <c r="A60" s="18">
        <v>1146</v>
      </c>
      <c r="B60" s="18"/>
      <c r="C60" s="18" t="s">
        <v>6800</v>
      </c>
      <c r="D60" s="18" t="s">
        <v>3973</v>
      </c>
      <c r="E60" s="18">
        <v>2</v>
      </c>
      <c r="F60" s="18"/>
      <c r="G60" s="20">
        <v>45579</v>
      </c>
      <c r="H60" s="21">
        <v>1</v>
      </c>
      <c r="I60" s="18">
        <v>45</v>
      </c>
      <c r="J60" s="19" t="s">
        <v>7977</v>
      </c>
      <c r="K60" s="19" t="s">
        <v>7977</v>
      </c>
      <c r="L60" s="19" t="s">
        <v>8021</v>
      </c>
      <c r="M60" s="18"/>
      <c r="N60" s="19"/>
      <c r="O60" s="19"/>
      <c r="P60" s="19"/>
      <c r="Q60" s="18"/>
      <c r="R60" s="18"/>
      <c r="S60" s="18"/>
      <c r="T60" s="18"/>
    </row>
    <row r="61" spans="1:20" hidden="1" x14ac:dyDescent="0.25">
      <c r="A61" s="18">
        <v>1202</v>
      </c>
      <c r="B61" s="18"/>
      <c r="C61" s="18" t="s">
        <v>6800</v>
      </c>
      <c r="D61" s="18" t="s">
        <v>4155</v>
      </c>
      <c r="E61" s="18">
        <v>2</v>
      </c>
      <c r="F61" s="18"/>
      <c r="G61" s="20">
        <v>45271</v>
      </c>
      <c r="H61" s="21">
        <v>1</v>
      </c>
      <c r="I61" s="18">
        <v>35</v>
      </c>
      <c r="J61" s="19" t="s">
        <v>11</v>
      </c>
      <c r="K61" s="19" t="s">
        <v>11</v>
      </c>
      <c r="L61" s="19" t="s">
        <v>7977</v>
      </c>
      <c r="M61" s="18"/>
      <c r="N61" s="19"/>
      <c r="O61" s="19"/>
      <c r="P61" s="19"/>
      <c r="Q61" s="18"/>
      <c r="R61" s="18"/>
      <c r="S61" s="18"/>
      <c r="T61" s="18"/>
    </row>
    <row r="62" spans="1:20" hidden="1" x14ac:dyDescent="0.25">
      <c r="A62" s="18">
        <v>632</v>
      </c>
      <c r="B62" s="18" t="s">
        <v>7832</v>
      </c>
      <c r="C62" s="18" t="s">
        <v>2305</v>
      </c>
      <c r="D62" s="18" t="s">
        <v>140</v>
      </c>
      <c r="E62" s="18">
        <v>3</v>
      </c>
      <c r="F62" s="18"/>
      <c r="G62" s="20">
        <v>45328</v>
      </c>
      <c r="H62" s="21">
        <v>1</v>
      </c>
      <c r="I62" s="18">
        <v>54</v>
      </c>
      <c r="J62" s="19" t="s">
        <v>11</v>
      </c>
      <c r="K62" s="19" t="s">
        <v>11</v>
      </c>
      <c r="L62" s="19" t="s">
        <v>7977</v>
      </c>
      <c r="M62" s="18"/>
      <c r="N62" s="19"/>
      <c r="O62" s="19"/>
      <c r="P62" s="19"/>
      <c r="Q62" s="18"/>
      <c r="R62" s="18"/>
      <c r="S62" s="18"/>
      <c r="T62" s="18"/>
    </row>
    <row r="63" spans="1:20" hidden="1" x14ac:dyDescent="0.25">
      <c r="A63" s="18">
        <v>480</v>
      </c>
      <c r="B63" s="18"/>
      <c r="C63" s="18" t="s">
        <v>6800</v>
      </c>
      <c r="D63" s="18" t="s">
        <v>314</v>
      </c>
      <c r="E63" s="18">
        <v>3</v>
      </c>
      <c r="F63" s="18"/>
      <c r="G63" s="18"/>
      <c r="H63" s="21"/>
      <c r="I63" s="18"/>
      <c r="J63" s="19"/>
      <c r="K63" s="19"/>
      <c r="L63" s="19"/>
      <c r="M63" s="18"/>
      <c r="N63" s="19"/>
      <c r="O63" s="19"/>
      <c r="P63" s="19"/>
      <c r="Q63" s="18"/>
      <c r="R63" s="18"/>
      <c r="S63" s="18"/>
      <c r="T63" s="18"/>
    </row>
    <row r="64" spans="1:20" hidden="1" x14ac:dyDescent="0.25">
      <c r="A64" s="18">
        <v>239</v>
      </c>
      <c r="B64" s="18" t="s">
        <v>156</v>
      </c>
      <c r="C64" s="18" t="s">
        <v>1058</v>
      </c>
      <c r="D64" s="18" t="s">
        <v>162</v>
      </c>
      <c r="E64" s="18">
        <v>3</v>
      </c>
      <c r="F64" s="18"/>
      <c r="G64" s="18"/>
      <c r="H64" s="21"/>
      <c r="I64" s="18"/>
      <c r="J64" s="19"/>
      <c r="K64" s="19"/>
      <c r="L64" s="19"/>
      <c r="M64" s="18"/>
      <c r="N64" s="19"/>
      <c r="O64" s="19"/>
      <c r="P64" s="19"/>
      <c r="Q64" s="18"/>
      <c r="R64" s="18"/>
      <c r="S64" s="18"/>
      <c r="T64" s="18"/>
    </row>
    <row r="65" spans="1:20" hidden="1" x14ac:dyDescent="0.25">
      <c r="A65" s="18">
        <v>260</v>
      </c>
      <c r="B65" s="18"/>
      <c r="C65" s="18" t="s">
        <v>6800</v>
      </c>
      <c r="D65" s="18" t="s">
        <v>1117</v>
      </c>
      <c r="E65" s="18">
        <v>2</v>
      </c>
      <c r="F65" s="18"/>
      <c r="G65" s="18"/>
      <c r="H65" s="21"/>
      <c r="I65" s="18"/>
      <c r="J65" s="19"/>
      <c r="K65" s="19"/>
      <c r="L65" s="19"/>
      <c r="M65" s="18"/>
      <c r="N65" s="19"/>
      <c r="O65" s="19"/>
      <c r="P65" s="19"/>
      <c r="Q65" s="18"/>
      <c r="R65" s="18"/>
      <c r="S65" s="18"/>
      <c r="T65" s="18"/>
    </row>
    <row r="66" spans="1:20" hidden="1" x14ac:dyDescent="0.25">
      <c r="A66" s="18">
        <v>136</v>
      </c>
      <c r="B66" s="18" t="s">
        <v>7835</v>
      </c>
      <c r="C66" s="18" t="s">
        <v>738</v>
      </c>
      <c r="D66" s="18" t="s">
        <v>63</v>
      </c>
      <c r="E66" s="18">
        <v>1</v>
      </c>
      <c r="F66" s="18"/>
      <c r="G66" s="20">
        <v>45224</v>
      </c>
      <c r="H66" s="21">
        <v>1</v>
      </c>
      <c r="I66" s="18">
        <v>16</v>
      </c>
      <c r="J66" s="19" t="s">
        <v>7977</v>
      </c>
      <c r="K66" s="19" t="s">
        <v>7977</v>
      </c>
      <c r="L66" s="19" t="s">
        <v>11</v>
      </c>
      <c r="M66" s="18"/>
      <c r="N66" s="19" t="s">
        <v>7977</v>
      </c>
      <c r="O66" s="19" t="s">
        <v>11</v>
      </c>
      <c r="P66" s="19"/>
      <c r="Q66" s="18"/>
      <c r="R66" s="18"/>
      <c r="S66" s="19"/>
      <c r="T66" s="18"/>
    </row>
    <row r="67" spans="1:20" hidden="1" x14ac:dyDescent="0.25">
      <c r="A67" s="18">
        <v>540</v>
      </c>
      <c r="B67" s="18"/>
      <c r="C67" s="18" t="s">
        <v>6800</v>
      </c>
      <c r="D67" s="18" t="s">
        <v>2022</v>
      </c>
      <c r="E67" s="18">
        <v>2</v>
      </c>
      <c r="F67" s="18"/>
      <c r="G67" s="20">
        <v>45484</v>
      </c>
      <c r="H67" s="21">
        <v>1</v>
      </c>
      <c r="I67" s="18">
        <v>16</v>
      </c>
      <c r="J67" s="19" t="s">
        <v>11</v>
      </c>
      <c r="K67" s="19" t="s">
        <v>11</v>
      </c>
      <c r="L67" s="19" t="s">
        <v>7977</v>
      </c>
      <c r="M67" s="18"/>
      <c r="N67" s="19"/>
      <c r="O67" s="19"/>
      <c r="P67" s="19"/>
      <c r="Q67" s="18"/>
      <c r="R67" s="18"/>
      <c r="S67" s="18"/>
      <c r="T67" s="18"/>
    </row>
    <row r="68" spans="1:20" hidden="1" x14ac:dyDescent="0.25">
      <c r="A68" s="18">
        <v>384</v>
      </c>
      <c r="B68" s="18" t="s">
        <v>317</v>
      </c>
      <c r="C68" s="18" t="s">
        <v>1515</v>
      </c>
      <c r="D68" s="18" t="s">
        <v>1512</v>
      </c>
      <c r="E68" s="18">
        <v>2</v>
      </c>
      <c r="F68" s="18"/>
      <c r="G68" s="20">
        <v>45309</v>
      </c>
      <c r="H68" s="21">
        <v>1</v>
      </c>
      <c r="I68" s="18">
        <v>21</v>
      </c>
      <c r="J68" s="19" t="s">
        <v>11</v>
      </c>
      <c r="K68" s="19" t="s">
        <v>7977</v>
      </c>
      <c r="L68" s="19" t="s">
        <v>7977</v>
      </c>
      <c r="M68" s="18"/>
      <c r="N68" s="19"/>
      <c r="O68" s="19"/>
      <c r="P68" s="19"/>
      <c r="Q68" s="18"/>
      <c r="R68" s="18"/>
      <c r="S68" s="18"/>
      <c r="T68" s="18"/>
    </row>
    <row r="69" spans="1:20" hidden="1" x14ac:dyDescent="0.25">
      <c r="A69" s="18">
        <v>581</v>
      </c>
      <c r="B69" s="18"/>
      <c r="C69" s="18" t="s">
        <v>6800</v>
      </c>
      <c r="D69" s="18" t="s">
        <v>2149</v>
      </c>
      <c r="E69" s="18">
        <v>2</v>
      </c>
      <c r="F69" s="18"/>
      <c r="G69" s="20">
        <v>45342</v>
      </c>
      <c r="H69" s="21">
        <v>1</v>
      </c>
      <c r="I69" s="18">
        <v>85</v>
      </c>
      <c r="J69" s="19" t="s">
        <v>11</v>
      </c>
      <c r="K69" s="19" t="s">
        <v>7977</v>
      </c>
      <c r="L69" s="19" t="s">
        <v>11</v>
      </c>
      <c r="M69" s="18"/>
      <c r="N69" s="19"/>
      <c r="O69" s="19"/>
      <c r="P69" s="19"/>
      <c r="Q69" s="18"/>
      <c r="R69" s="18"/>
      <c r="S69" s="18"/>
      <c r="T69" s="18"/>
    </row>
    <row r="70" spans="1:20" hidden="1" x14ac:dyDescent="0.25">
      <c r="A70" s="18">
        <v>1730</v>
      </c>
      <c r="B70" s="18" t="s">
        <v>317</v>
      </c>
      <c r="C70" s="18" t="s">
        <v>1199</v>
      </c>
      <c r="D70" s="18" t="s">
        <v>5882</v>
      </c>
      <c r="E70" s="18">
        <v>2</v>
      </c>
      <c r="F70" s="18"/>
      <c r="G70" s="20">
        <v>45324</v>
      </c>
      <c r="H70" s="21">
        <v>1</v>
      </c>
      <c r="I70" s="18">
        <v>16</v>
      </c>
      <c r="J70" s="19" t="s">
        <v>11</v>
      </c>
      <c r="K70" s="19" t="s">
        <v>11</v>
      </c>
      <c r="L70" s="19" t="s">
        <v>7977</v>
      </c>
      <c r="M70" s="18"/>
      <c r="N70" s="19"/>
      <c r="O70" s="19"/>
      <c r="P70" s="19"/>
      <c r="Q70" s="18"/>
      <c r="R70" s="18"/>
      <c r="S70" s="18"/>
      <c r="T70" s="18"/>
    </row>
    <row r="71" spans="1:20" hidden="1" x14ac:dyDescent="0.25">
      <c r="A71" s="18">
        <v>1091</v>
      </c>
      <c r="B71" s="18"/>
      <c r="C71" s="18" t="s">
        <v>6800</v>
      </c>
      <c r="D71" s="18" t="s">
        <v>3795</v>
      </c>
      <c r="E71" s="18">
        <v>2</v>
      </c>
      <c r="F71" s="18"/>
      <c r="G71" s="20">
        <v>45273</v>
      </c>
      <c r="H71" s="21">
        <v>1</v>
      </c>
      <c r="I71" s="18">
        <v>43</v>
      </c>
      <c r="J71" s="19" t="s">
        <v>11</v>
      </c>
      <c r="K71" s="19" t="s">
        <v>7977</v>
      </c>
      <c r="L71" s="19" t="s">
        <v>11</v>
      </c>
      <c r="M71" s="18"/>
      <c r="N71" s="19"/>
      <c r="O71" s="19"/>
      <c r="P71" s="19"/>
      <c r="Q71" s="18"/>
      <c r="R71" s="18"/>
      <c r="S71" s="18"/>
      <c r="T71" s="18"/>
    </row>
    <row r="72" spans="1:20" hidden="1" x14ac:dyDescent="0.25">
      <c r="A72" s="18">
        <v>934</v>
      </c>
      <c r="B72" s="18"/>
      <c r="C72" s="18" t="s">
        <v>6800</v>
      </c>
      <c r="D72" s="18" t="s">
        <v>3290</v>
      </c>
      <c r="E72" s="18">
        <v>2</v>
      </c>
      <c r="F72" s="18"/>
      <c r="G72" s="18"/>
      <c r="H72" s="21"/>
      <c r="I72" s="18"/>
      <c r="J72" s="19"/>
      <c r="K72" s="19"/>
      <c r="L72" s="19"/>
      <c r="M72" s="18"/>
      <c r="N72" s="19"/>
      <c r="O72" s="19"/>
      <c r="P72" s="19"/>
      <c r="Q72" s="18"/>
      <c r="R72" s="18"/>
      <c r="S72" s="18"/>
      <c r="T72" s="18"/>
    </row>
    <row r="73" spans="1:20" hidden="1" x14ac:dyDescent="0.25">
      <c r="A73" s="18">
        <v>645</v>
      </c>
      <c r="B73" s="18"/>
      <c r="C73" s="18" t="s">
        <v>6800</v>
      </c>
      <c r="D73" s="18" t="s">
        <v>2343</v>
      </c>
      <c r="E73" s="18">
        <v>1</v>
      </c>
      <c r="F73" s="18"/>
      <c r="G73" s="20">
        <v>45320</v>
      </c>
      <c r="H73" s="21">
        <v>1</v>
      </c>
      <c r="I73" s="18">
        <v>7</v>
      </c>
      <c r="J73" s="19" t="s">
        <v>11</v>
      </c>
      <c r="K73" s="19" t="s">
        <v>11</v>
      </c>
      <c r="L73" s="19" t="s">
        <v>7977</v>
      </c>
      <c r="M73" s="18"/>
      <c r="N73" s="19"/>
      <c r="O73" s="19"/>
      <c r="P73" s="19"/>
      <c r="Q73" s="18"/>
      <c r="R73" s="18"/>
      <c r="S73" s="18"/>
      <c r="T73" s="18"/>
    </row>
    <row r="74" spans="1:20" hidden="1" x14ac:dyDescent="0.25">
      <c r="A74" s="18">
        <v>73</v>
      </c>
      <c r="B74" s="18" t="s">
        <v>7835</v>
      </c>
      <c r="C74" s="18" t="s">
        <v>436</v>
      </c>
      <c r="D74" s="18" t="s">
        <v>193</v>
      </c>
      <c r="E74" s="18">
        <v>2</v>
      </c>
      <c r="F74" s="18"/>
      <c r="G74" s="20">
        <v>45293</v>
      </c>
      <c r="H74" s="21">
        <v>1</v>
      </c>
      <c r="I74" s="18">
        <v>45</v>
      </c>
      <c r="J74" s="19" t="s">
        <v>11</v>
      </c>
      <c r="K74" s="19" t="s">
        <v>7977</v>
      </c>
      <c r="L74" s="19" t="s">
        <v>8021</v>
      </c>
      <c r="M74" s="18"/>
      <c r="N74" s="19"/>
      <c r="O74" s="19"/>
      <c r="P74" s="19"/>
      <c r="Q74" s="18"/>
      <c r="R74" s="18"/>
      <c r="S74" s="19"/>
      <c r="T74" s="18"/>
    </row>
    <row r="75" spans="1:20" hidden="1" x14ac:dyDescent="0.25">
      <c r="A75" s="18">
        <v>297</v>
      </c>
      <c r="B75" s="18" t="s">
        <v>7830</v>
      </c>
      <c r="C75" s="18" t="s">
        <v>1234</v>
      </c>
      <c r="D75" s="18" t="s">
        <v>87</v>
      </c>
      <c r="E75" s="18">
        <v>3</v>
      </c>
      <c r="F75" s="18"/>
      <c r="G75" s="20">
        <v>45322</v>
      </c>
      <c r="H75" s="21">
        <v>1</v>
      </c>
      <c r="I75" s="18">
        <v>75</v>
      </c>
      <c r="J75" s="19" t="s">
        <v>11</v>
      </c>
      <c r="K75" s="19" t="s">
        <v>7977</v>
      </c>
      <c r="L75" s="19" t="s">
        <v>11</v>
      </c>
      <c r="M75" s="18"/>
      <c r="N75" s="19"/>
      <c r="O75" s="19"/>
      <c r="P75" s="19"/>
      <c r="Q75" s="18"/>
      <c r="R75" s="18"/>
      <c r="S75" s="18"/>
      <c r="T75" s="18"/>
    </row>
    <row r="76" spans="1:20" hidden="1" x14ac:dyDescent="0.25">
      <c r="A76" s="18">
        <v>444</v>
      </c>
      <c r="B76" s="18"/>
      <c r="C76" s="18" t="s">
        <v>6800</v>
      </c>
      <c r="D76" s="18" t="s">
        <v>123</v>
      </c>
      <c r="E76" s="18">
        <v>2</v>
      </c>
      <c r="F76" s="18"/>
      <c r="G76" s="20">
        <v>45342</v>
      </c>
      <c r="H76" s="21">
        <v>1</v>
      </c>
      <c r="I76" s="18">
        <v>55</v>
      </c>
      <c r="J76" s="19" t="s">
        <v>7977</v>
      </c>
      <c r="K76" s="19" t="s">
        <v>7977</v>
      </c>
      <c r="L76" s="19" t="s">
        <v>11</v>
      </c>
      <c r="M76" s="18"/>
      <c r="N76" s="19"/>
      <c r="O76" s="19"/>
      <c r="P76" s="19"/>
      <c r="Q76" s="18"/>
      <c r="R76" s="18"/>
      <c r="S76" s="18" t="s">
        <v>8388</v>
      </c>
      <c r="T76" s="18"/>
    </row>
    <row r="77" spans="1:20" hidden="1" x14ac:dyDescent="0.25">
      <c r="A77" s="18">
        <v>2938</v>
      </c>
      <c r="B77" s="18"/>
      <c r="C77" s="18"/>
      <c r="D77" s="18" t="s">
        <v>8433</v>
      </c>
      <c r="E77" s="18">
        <v>2</v>
      </c>
      <c r="F77" s="18"/>
      <c r="G77" s="20">
        <v>45580</v>
      </c>
      <c r="H77" s="21">
        <v>1</v>
      </c>
      <c r="I77" s="18">
        <v>11</v>
      </c>
      <c r="J77" s="19" t="s">
        <v>11</v>
      </c>
      <c r="K77" s="19" t="s">
        <v>11</v>
      </c>
      <c r="L77" s="19" t="s">
        <v>7977</v>
      </c>
      <c r="M77" s="18"/>
      <c r="N77" s="19"/>
      <c r="O77" s="19"/>
      <c r="P77" s="19"/>
      <c r="Q77" s="18"/>
      <c r="R77" s="18" t="s">
        <v>316</v>
      </c>
      <c r="S77" s="18"/>
      <c r="T77" s="18"/>
    </row>
    <row r="78" spans="1:20" hidden="1" x14ac:dyDescent="0.25">
      <c r="A78" s="18">
        <v>1268</v>
      </c>
      <c r="B78" s="18"/>
      <c r="C78" s="18" t="s">
        <v>6800</v>
      </c>
      <c r="D78" s="18" t="s">
        <v>4375</v>
      </c>
      <c r="E78" s="18">
        <v>2</v>
      </c>
      <c r="F78" s="18"/>
      <c r="G78" s="18"/>
      <c r="H78" s="21"/>
      <c r="I78" s="18"/>
      <c r="J78" s="19"/>
      <c r="K78" s="19"/>
      <c r="L78" s="19"/>
      <c r="M78" s="18"/>
      <c r="N78" s="19"/>
      <c r="O78" s="19"/>
      <c r="P78" s="19"/>
      <c r="Q78" s="18"/>
      <c r="R78" s="18"/>
      <c r="S78" s="18"/>
      <c r="T78" s="18"/>
    </row>
    <row r="79" spans="1:20" hidden="1" x14ac:dyDescent="0.25">
      <c r="A79" s="18">
        <v>35</v>
      </c>
      <c r="B79" s="18" t="s">
        <v>7829</v>
      </c>
      <c r="C79" s="18" t="s">
        <v>426</v>
      </c>
      <c r="D79" s="18" t="s">
        <v>430</v>
      </c>
      <c r="E79" s="18">
        <v>1</v>
      </c>
      <c r="F79" s="18"/>
      <c r="G79" s="20">
        <v>45299</v>
      </c>
      <c r="H79" s="21">
        <v>1</v>
      </c>
      <c r="I79" s="18">
        <v>12</v>
      </c>
      <c r="J79" s="19" t="s">
        <v>11</v>
      </c>
      <c r="K79" s="19" t="s">
        <v>11</v>
      </c>
      <c r="L79" s="19" t="s">
        <v>7977</v>
      </c>
      <c r="M79" s="18"/>
      <c r="N79" s="19"/>
      <c r="O79" s="19"/>
      <c r="P79" s="19"/>
      <c r="Q79" s="18"/>
      <c r="R79" s="18"/>
      <c r="S79" s="19"/>
      <c r="T79" s="18"/>
    </row>
    <row r="80" spans="1:20" hidden="1" x14ac:dyDescent="0.25">
      <c r="A80" s="18">
        <v>81</v>
      </c>
      <c r="B80" s="18"/>
      <c r="C80" s="18" t="s">
        <v>6800</v>
      </c>
      <c r="D80" s="18" t="s">
        <v>55</v>
      </c>
      <c r="E80" s="18">
        <v>2</v>
      </c>
      <c r="F80" s="18"/>
      <c r="G80" s="20">
        <v>45323</v>
      </c>
      <c r="H80" s="21">
        <v>1</v>
      </c>
      <c r="I80" s="18">
        <v>90</v>
      </c>
      <c r="J80" s="19" t="s">
        <v>7977</v>
      </c>
      <c r="K80" s="19" t="s">
        <v>7977</v>
      </c>
      <c r="L80" s="19" t="s">
        <v>11</v>
      </c>
      <c r="M80" s="18"/>
      <c r="N80" s="19"/>
      <c r="O80" s="19"/>
      <c r="P80" s="19"/>
      <c r="Q80" s="18"/>
      <c r="R80" s="18"/>
      <c r="S80" s="18"/>
      <c r="T80" s="18"/>
    </row>
    <row r="81" spans="1:20" hidden="1" x14ac:dyDescent="0.25">
      <c r="A81" s="18">
        <v>33</v>
      </c>
      <c r="B81" s="18" t="s">
        <v>47</v>
      </c>
      <c r="C81" s="18" t="s">
        <v>426</v>
      </c>
      <c r="D81" s="18" t="s">
        <v>54</v>
      </c>
      <c r="E81" s="18">
        <v>2</v>
      </c>
      <c r="F81" s="20">
        <v>45236</v>
      </c>
      <c r="G81" s="20">
        <v>45447</v>
      </c>
      <c r="H81" s="21">
        <v>1</v>
      </c>
      <c r="I81" s="18">
        <v>35</v>
      </c>
      <c r="J81" s="19" t="s">
        <v>11</v>
      </c>
      <c r="K81" s="19" t="s">
        <v>7977</v>
      </c>
      <c r="L81" s="19" t="s">
        <v>7977</v>
      </c>
      <c r="M81" s="18">
        <v>3</v>
      </c>
      <c r="N81" s="19"/>
      <c r="O81" s="19"/>
      <c r="P81" s="19"/>
      <c r="Q81" s="18"/>
      <c r="R81" s="18"/>
      <c r="S81" s="19"/>
      <c r="T81" s="18"/>
    </row>
    <row r="82" spans="1:20" hidden="1" x14ac:dyDescent="0.25">
      <c r="A82" s="18">
        <v>702</v>
      </c>
      <c r="B82" s="18"/>
      <c r="C82" s="18" t="s">
        <v>6800</v>
      </c>
      <c r="D82" s="18" t="s">
        <v>285</v>
      </c>
      <c r="E82" s="18">
        <v>2</v>
      </c>
      <c r="F82" s="18"/>
      <c r="G82" s="20">
        <v>45238</v>
      </c>
      <c r="H82" s="21">
        <v>1</v>
      </c>
      <c r="I82" s="18">
        <v>17</v>
      </c>
      <c r="J82" s="19" t="s">
        <v>11</v>
      </c>
      <c r="K82" s="19" t="s">
        <v>11</v>
      </c>
      <c r="L82" s="19" t="s">
        <v>7977</v>
      </c>
      <c r="M82" s="18"/>
      <c r="N82" s="19"/>
      <c r="O82" s="19"/>
      <c r="P82" s="19"/>
      <c r="Q82" s="18"/>
      <c r="R82" s="18"/>
      <c r="S82" s="18"/>
      <c r="T82" s="18"/>
    </row>
    <row r="83" spans="1:20" hidden="1" x14ac:dyDescent="0.25">
      <c r="A83" s="18">
        <v>700</v>
      </c>
      <c r="B83" s="18"/>
      <c r="C83" s="18" t="s">
        <v>6800</v>
      </c>
      <c r="D83" s="18" t="s">
        <v>2518</v>
      </c>
      <c r="E83" s="18">
        <v>1</v>
      </c>
      <c r="F83" s="20">
        <v>45251</v>
      </c>
      <c r="G83" s="20">
        <v>45258</v>
      </c>
      <c r="H83" s="21">
        <v>2</v>
      </c>
      <c r="I83" s="18">
        <v>7</v>
      </c>
      <c r="J83" s="19" t="s">
        <v>11</v>
      </c>
      <c r="K83" s="19" t="s">
        <v>11</v>
      </c>
      <c r="L83" s="19" t="s">
        <v>7977</v>
      </c>
      <c r="M83" s="18"/>
      <c r="N83" s="19"/>
      <c r="O83" s="19"/>
      <c r="P83" s="19"/>
      <c r="Q83" s="18"/>
      <c r="R83" s="18"/>
      <c r="S83" s="18"/>
      <c r="T83" s="18"/>
    </row>
    <row r="84" spans="1:20" hidden="1" x14ac:dyDescent="0.25">
      <c r="A84" s="18">
        <v>240</v>
      </c>
      <c r="B84" s="18" t="s">
        <v>47</v>
      </c>
      <c r="C84" s="18" t="s">
        <v>1061</v>
      </c>
      <c r="D84" s="18" t="s">
        <v>57</v>
      </c>
      <c r="E84" s="18">
        <v>2</v>
      </c>
      <c r="F84" s="18"/>
      <c r="G84" s="20">
        <v>45260</v>
      </c>
      <c r="H84" s="21">
        <v>1</v>
      </c>
      <c r="I84" s="18">
        <v>32</v>
      </c>
      <c r="J84" s="19" t="s">
        <v>7977</v>
      </c>
      <c r="K84" s="19" t="s">
        <v>7977</v>
      </c>
      <c r="L84" s="19" t="s">
        <v>11</v>
      </c>
      <c r="M84" s="18"/>
      <c r="N84" s="19"/>
      <c r="O84" s="19"/>
      <c r="P84" s="19"/>
      <c r="Q84" s="18"/>
      <c r="R84" s="18"/>
      <c r="S84" s="18"/>
      <c r="T84" s="18"/>
    </row>
    <row r="85" spans="1:20" hidden="1" x14ac:dyDescent="0.25">
      <c r="A85" s="18">
        <v>74</v>
      </c>
      <c r="B85" s="18" t="s">
        <v>47</v>
      </c>
      <c r="C85" s="18" t="s">
        <v>551</v>
      </c>
      <c r="D85" s="18" t="s">
        <v>56</v>
      </c>
      <c r="E85" s="18">
        <v>2</v>
      </c>
      <c r="F85" s="18"/>
      <c r="G85" s="20">
        <v>45343</v>
      </c>
      <c r="H85" s="21">
        <v>1</v>
      </c>
      <c r="I85" s="18">
        <v>18</v>
      </c>
      <c r="J85" s="19" t="s">
        <v>11</v>
      </c>
      <c r="K85" s="19" t="s">
        <v>11</v>
      </c>
      <c r="L85" s="19" t="s">
        <v>7977</v>
      </c>
      <c r="M85" s="18"/>
      <c r="N85" s="19"/>
      <c r="O85" s="19"/>
      <c r="P85" s="19"/>
      <c r="Q85" s="18"/>
      <c r="R85" s="18"/>
      <c r="S85" s="19"/>
      <c r="T85" s="18"/>
    </row>
    <row r="86" spans="1:20" hidden="1" x14ac:dyDescent="0.25">
      <c r="A86" s="18">
        <v>100</v>
      </c>
      <c r="B86" s="18" t="s">
        <v>7830</v>
      </c>
      <c r="C86" s="18" t="s">
        <v>628</v>
      </c>
      <c r="D86" s="18" t="s">
        <v>67</v>
      </c>
      <c r="E86" s="18">
        <v>1</v>
      </c>
      <c r="F86" s="18"/>
      <c r="G86" s="20">
        <v>45265</v>
      </c>
      <c r="H86" s="21">
        <v>1</v>
      </c>
      <c r="I86" s="18">
        <v>4</v>
      </c>
      <c r="J86" s="19" t="s">
        <v>11</v>
      </c>
      <c r="K86" s="19" t="s">
        <v>11</v>
      </c>
      <c r="L86" s="19" t="s">
        <v>7977</v>
      </c>
      <c r="M86" s="18"/>
      <c r="N86" s="19"/>
      <c r="O86" s="19"/>
      <c r="P86" s="19"/>
      <c r="Q86" s="18"/>
      <c r="R86" s="18"/>
      <c r="S86" s="19"/>
      <c r="T86" s="18"/>
    </row>
    <row r="87" spans="1:20" hidden="1" x14ac:dyDescent="0.25">
      <c r="A87" s="18">
        <v>994</v>
      </c>
      <c r="B87" s="18" t="s">
        <v>7833</v>
      </c>
      <c r="C87" s="18" t="s">
        <v>1199</v>
      </c>
      <c r="D87" s="18" t="s">
        <v>3484</v>
      </c>
      <c r="E87" s="18">
        <v>2</v>
      </c>
      <c r="F87" s="18"/>
      <c r="G87" s="20">
        <v>45330</v>
      </c>
      <c r="H87" s="21">
        <v>1</v>
      </c>
      <c r="I87" s="18">
        <v>12</v>
      </c>
      <c r="J87" s="19" t="s">
        <v>11</v>
      </c>
      <c r="K87" s="19" t="s">
        <v>11</v>
      </c>
      <c r="L87" s="19" t="s">
        <v>7977</v>
      </c>
      <c r="M87" s="18"/>
      <c r="N87" s="19"/>
      <c r="O87" s="19"/>
      <c r="P87" s="19"/>
      <c r="Q87" s="18"/>
      <c r="R87" s="18"/>
      <c r="S87" s="18"/>
      <c r="T87" s="18"/>
    </row>
    <row r="88" spans="1:20" hidden="1" x14ac:dyDescent="0.25">
      <c r="A88" s="18">
        <v>991</v>
      </c>
      <c r="B88" s="18"/>
      <c r="C88" s="18" t="s">
        <v>6800</v>
      </c>
      <c r="D88" s="18" t="s">
        <v>8032</v>
      </c>
      <c r="E88" s="18">
        <v>2</v>
      </c>
      <c r="F88" s="18"/>
      <c r="G88" s="20">
        <v>45273</v>
      </c>
      <c r="H88" s="21">
        <v>1</v>
      </c>
      <c r="I88" s="18">
        <v>60</v>
      </c>
      <c r="J88" s="19" t="s">
        <v>11</v>
      </c>
      <c r="K88" s="19" t="s">
        <v>7977</v>
      </c>
      <c r="L88" s="19" t="s">
        <v>11</v>
      </c>
      <c r="M88" s="18"/>
      <c r="N88" s="19"/>
      <c r="O88" s="19"/>
      <c r="P88" s="19"/>
      <c r="Q88" s="18"/>
      <c r="R88" s="18"/>
      <c r="S88" s="18"/>
      <c r="T88" s="18"/>
    </row>
    <row r="89" spans="1:20" hidden="1" x14ac:dyDescent="0.25">
      <c r="A89" s="18">
        <v>61</v>
      </c>
      <c r="B89" s="18" t="s">
        <v>573</v>
      </c>
      <c r="C89" s="18" t="s">
        <v>383</v>
      </c>
      <c r="D89" s="18" t="s">
        <v>146</v>
      </c>
      <c r="E89" s="18">
        <v>2</v>
      </c>
      <c r="F89" s="18"/>
      <c r="G89" s="18"/>
      <c r="H89" s="21"/>
      <c r="I89" s="18"/>
      <c r="J89" s="19"/>
      <c r="K89" s="19"/>
      <c r="L89" s="19"/>
      <c r="M89" s="18"/>
      <c r="N89" s="19"/>
      <c r="O89" s="19"/>
      <c r="P89" s="19"/>
      <c r="Q89" s="18"/>
      <c r="R89" s="18"/>
      <c r="S89" s="18"/>
      <c r="T89" s="18"/>
    </row>
    <row r="90" spans="1:20" hidden="1" x14ac:dyDescent="0.25">
      <c r="A90" s="18">
        <v>48</v>
      </c>
      <c r="B90" s="18" t="s">
        <v>7835</v>
      </c>
      <c r="C90" s="18" t="s">
        <v>471</v>
      </c>
      <c r="D90" s="18" t="s">
        <v>195</v>
      </c>
      <c r="E90" s="18">
        <v>2</v>
      </c>
      <c r="F90" s="18"/>
      <c r="G90" s="20">
        <v>45331</v>
      </c>
      <c r="H90" s="21">
        <v>1</v>
      </c>
      <c r="I90" s="18">
        <v>46</v>
      </c>
      <c r="J90" s="19" t="s">
        <v>11</v>
      </c>
      <c r="K90" s="19" t="s">
        <v>7977</v>
      </c>
      <c r="L90" s="19" t="s">
        <v>8021</v>
      </c>
      <c r="M90" s="18"/>
      <c r="N90" s="19"/>
      <c r="O90" s="19"/>
      <c r="P90" s="19"/>
      <c r="Q90" s="18"/>
      <c r="R90" s="18"/>
      <c r="S90" s="19"/>
      <c r="T90" s="18"/>
    </row>
    <row r="91" spans="1:20" hidden="1" x14ac:dyDescent="0.25">
      <c r="A91" s="18">
        <v>189</v>
      </c>
      <c r="B91" s="18" t="s">
        <v>293</v>
      </c>
      <c r="C91" s="18" t="s">
        <v>903</v>
      </c>
      <c r="D91" s="18" t="s">
        <v>900</v>
      </c>
      <c r="E91" s="18">
        <v>2</v>
      </c>
      <c r="F91" s="18"/>
      <c r="G91" s="20">
        <v>45223</v>
      </c>
      <c r="H91" s="21">
        <v>1</v>
      </c>
      <c r="I91" s="18">
        <v>22</v>
      </c>
      <c r="J91" s="19" t="s">
        <v>7990</v>
      </c>
      <c r="K91" s="19" t="s">
        <v>7977</v>
      </c>
      <c r="L91" s="19" t="s">
        <v>11</v>
      </c>
      <c r="M91" s="18"/>
      <c r="N91" s="19" t="s">
        <v>11</v>
      </c>
      <c r="O91" s="19" t="s">
        <v>11</v>
      </c>
      <c r="P91" s="19" t="s">
        <v>11</v>
      </c>
      <c r="Q91" s="18"/>
      <c r="R91" s="18"/>
      <c r="S91" s="18" t="s">
        <v>7991</v>
      </c>
      <c r="T91" s="18"/>
    </row>
    <row r="92" spans="1:20" hidden="1" x14ac:dyDescent="0.25">
      <c r="A92" s="18">
        <v>13</v>
      </c>
      <c r="B92" s="18" t="s">
        <v>7835</v>
      </c>
      <c r="C92" s="18" t="s">
        <v>363</v>
      </c>
      <c r="D92" s="18" t="s">
        <v>364</v>
      </c>
      <c r="E92" s="18">
        <v>1</v>
      </c>
      <c r="F92" s="18"/>
      <c r="G92" s="20">
        <v>45298</v>
      </c>
      <c r="H92" s="21">
        <v>1</v>
      </c>
      <c r="I92" s="18">
        <v>15</v>
      </c>
      <c r="J92" s="19" t="s">
        <v>11</v>
      </c>
      <c r="K92" s="19" t="s">
        <v>11</v>
      </c>
      <c r="L92" s="19" t="s">
        <v>7977</v>
      </c>
      <c r="M92" s="18"/>
      <c r="N92" s="19"/>
      <c r="O92" s="19"/>
      <c r="P92" s="19"/>
      <c r="Q92" s="18"/>
      <c r="R92" s="18"/>
      <c r="S92" s="19"/>
      <c r="T92" s="18"/>
    </row>
    <row r="93" spans="1:20" hidden="1" x14ac:dyDescent="0.25">
      <c r="A93" s="18">
        <v>489</v>
      </c>
      <c r="B93" s="18"/>
      <c r="C93" s="18" t="s">
        <v>6800</v>
      </c>
      <c r="D93" s="18" t="s">
        <v>261</v>
      </c>
      <c r="E93" s="18">
        <v>3</v>
      </c>
      <c r="F93" s="18"/>
      <c r="G93" s="20">
        <v>45264</v>
      </c>
      <c r="H93" s="21">
        <v>1</v>
      </c>
      <c r="I93" s="18">
        <v>72</v>
      </c>
      <c r="J93" s="19" t="s">
        <v>11</v>
      </c>
      <c r="K93" s="19" t="s">
        <v>7977</v>
      </c>
      <c r="L93" s="19" t="s">
        <v>11</v>
      </c>
      <c r="M93" s="18"/>
      <c r="N93" s="19"/>
      <c r="O93" s="19"/>
      <c r="P93" s="19"/>
      <c r="Q93" s="18"/>
      <c r="R93" s="18"/>
      <c r="S93" s="18"/>
      <c r="T93" s="18"/>
    </row>
    <row r="94" spans="1:20" hidden="1" x14ac:dyDescent="0.25">
      <c r="A94" s="18">
        <v>557</v>
      </c>
      <c r="B94" s="18"/>
      <c r="C94" s="18" t="s">
        <v>6800</v>
      </c>
      <c r="D94" s="18" t="s">
        <v>2075</v>
      </c>
      <c r="E94" s="18">
        <v>1</v>
      </c>
      <c r="F94" s="18"/>
      <c r="G94" s="20">
        <v>45223</v>
      </c>
      <c r="H94" s="21">
        <v>1</v>
      </c>
      <c r="I94" s="18">
        <v>8</v>
      </c>
      <c r="J94" s="19" t="s">
        <v>11</v>
      </c>
      <c r="K94" s="19" t="s">
        <v>11</v>
      </c>
      <c r="L94" s="19" t="s">
        <v>7977</v>
      </c>
      <c r="M94" s="18"/>
      <c r="N94" s="19" t="s">
        <v>11</v>
      </c>
      <c r="O94" s="19" t="s">
        <v>7977</v>
      </c>
      <c r="P94" s="19" t="s">
        <v>11</v>
      </c>
      <c r="Q94" s="18"/>
      <c r="R94" s="18"/>
      <c r="S94" s="18"/>
      <c r="T94" s="18"/>
    </row>
    <row r="95" spans="1:20" hidden="1" x14ac:dyDescent="0.25">
      <c r="A95" s="18">
        <v>151</v>
      </c>
      <c r="B95" s="18"/>
      <c r="C95" s="18" t="s">
        <v>6800</v>
      </c>
      <c r="D95" s="18" t="s">
        <v>786</v>
      </c>
      <c r="E95" s="18">
        <v>2</v>
      </c>
      <c r="F95" s="18"/>
      <c r="G95" s="20">
        <v>45223</v>
      </c>
      <c r="H95" s="21">
        <v>1</v>
      </c>
      <c r="I95" s="18">
        <v>12</v>
      </c>
      <c r="J95" s="19" t="s">
        <v>11</v>
      </c>
      <c r="K95" s="19" t="s">
        <v>7977</v>
      </c>
      <c r="L95" s="19" t="s">
        <v>11</v>
      </c>
      <c r="M95" s="18"/>
      <c r="N95" s="19" t="s">
        <v>11</v>
      </c>
      <c r="O95" s="19" t="s">
        <v>7977</v>
      </c>
      <c r="P95" s="19" t="s">
        <v>11</v>
      </c>
      <c r="Q95" s="18"/>
      <c r="R95" s="18"/>
      <c r="S95" s="18" t="s">
        <v>7994</v>
      </c>
      <c r="T95" s="18"/>
    </row>
    <row r="96" spans="1:20" hidden="1" x14ac:dyDescent="0.25">
      <c r="A96" s="18">
        <v>344</v>
      </c>
      <c r="B96" s="18" t="s">
        <v>293</v>
      </c>
      <c r="C96" s="18" t="s">
        <v>1383</v>
      </c>
      <c r="D96" s="18" t="s">
        <v>1380</v>
      </c>
      <c r="E96" s="18">
        <v>1</v>
      </c>
      <c r="F96" s="18"/>
      <c r="G96" s="20">
        <v>45222</v>
      </c>
      <c r="H96" s="21">
        <v>1</v>
      </c>
      <c r="I96" s="18">
        <v>5</v>
      </c>
      <c r="J96" s="19" t="s">
        <v>11</v>
      </c>
      <c r="K96" s="19" t="s">
        <v>11</v>
      </c>
      <c r="L96" s="19" t="s">
        <v>7977</v>
      </c>
      <c r="M96" s="18"/>
      <c r="N96" s="19" t="s">
        <v>11</v>
      </c>
      <c r="O96" s="19" t="s">
        <v>7977</v>
      </c>
      <c r="P96" s="19" t="s">
        <v>11</v>
      </c>
      <c r="Q96" s="18" t="s">
        <v>7986</v>
      </c>
      <c r="R96" s="18"/>
      <c r="S96" s="19"/>
      <c r="T96" s="18"/>
    </row>
    <row r="97" spans="1:20" hidden="1" x14ac:dyDescent="0.25">
      <c r="A97" s="18">
        <v>25</v>
      </c>
      <c r="B97" s="18" t="s">
        <v>573</v>
      </c>
      <c r="C97" s="18" t="s">
        <v>390</v>
      </c>
      <c r="D97" s="18" t="s">
        <v>149</v>
      </c>
      <c r="E97" s="18">
        <v>3</v>
      </c>
      <c r="F97" s="18"/>
      <c r="G97" s="20">
        <v>45300</v>
      </c>
      <c r="H97" s="21">
        <v>1</v>
      </c>
      <c r="I97" s="18">
        <v>43</v>
      </c>
      <c r="J97" s="19" t="s">
        <v>11</v>
      </c>
      <c r="K97" s="19" t="s">
        <v>11</v>
      </c>
      <c r="L97" s="19" t="s">
        <v>8021</v>
      </c>
      <c r="M97" s="18"/>
      <c r="N97" s="19"/>
      <c r="O97" s="19"/>
      <c r="P97" s="19"/>
      <c r="Q97" s="18"/>
      <c r="R97" s="18"/>
      <c r="S97" s="18"/>
      <c r="T97" s="18"/>
    </row>
    <row r="98" spans="1:20" hidden="1" x14ac:dyDescent="0.25">
      <c r="A98" s="18">
        <v>2074</v>
      </c>
      <c r="B98" s="18"/>
      <c r="C98" s="18" t="s">
        <v>6800</v>
      </c>
      <c r="D98" s="18" t="s">
        <v>6999</v>
      </c>
      <c r="E98" s="18">
        <v>2</v>
      </c>
      <c r="F98" s="18"/>
      <c r="G98" s="20">
        <v>45362</v>
      </c>
      <c r="H98" s="21">
        <v>1</v>
      </c>
      <c r="I98" s="18">
        <v>59</v>
      </c>
      <c r="J98" s="19" t="s">
        <v>11</v>
      </c>
      <c r="K98" s="19" t="s">
        <v>7977</v>
      </c>
      <c r="L98" s="19" t="s">
        <v>11</v>
      </c>
      <c r="M98" s="18"/>
      <c r="N98" s="19"/>
      <c r="O98" s="19"/>
      <c r="P98" s="19"/>
      <c r="Q98" s="18"/>
      <c r="R98" s="18"/>
      <c r="S98" s="18"/>
      <c r="T98" s="18"/>
    </row>
    <row r="99" spans="1:20" hidden="1" x14ac:dyDescent="0.25">
      <c r="A99" s="18">
        <v>92</v>
      </c>
      <c r="B99" s="18"/>
      <c r="C99" s="18" t="s">
        <v>6800</v>
      </c>
      <c r="D99" s="18" t="s">
        <v>145</v>
      </c>
      <c r="E99" s="18">
        <v>2</v>
      </c>
      <c r="F99" s="18"/>
      <c r="G99" s="20">
        <v>45337</v>
      </c>
      <c r="H99" s="21">
        <v>1</v>
      </c>
      <c r="I99" s="18">
        <v>24</v>
      </c>
      <c r="J99" s="19" t="s">
        <v>11</v>
      </c>
      <c r="K99" s="19" t="s">
        <v>11</v>
      </c>
      <c r="L99" s="19" t="s">
        <v>7977</v>
      </c>
      <c r="M99" s="18"/>
      <c r="N99" s="19"/>
      <c r="O99" s="19"/>
      <c r="P99" s="19"/>
      <c r="Q99" s="18"/>
      <c r="R99" s="18"/>
      <c r="S99" s="18"/>
      <c r="T99" s="18"/>
    </row>
    <row r="100" spans="1:20" hidden="1" x14ac:dyDescent="0.25">
      <c r="A100" s="18">
        <v>206</v>
      </c>
      <c r="B100" s="18" t="s">
        <v>47</v>
      </c>
      <c r="C100" s="18" t="s">
        <v>390</v>
      </c>
      <c r="D100" s="18" t="s">
        <v>144</v>
      </c>
      <c r="E100" s="18">
        <v>1</v>
      </c>
      <c r="F100" s="18"/>
      <c r="G100" s="20">
        <v>45250</v>
      </c>
      <c r="H100" s="21">
        <v>1</v>
      </c>
      <c r="I100" s="18">
        <v>20</v>
      </c>
      <c r="J100" s="19" t="s">
        <v>11</v>
      </c>
      <c r="K100" s="19" t="s">
        <v>11</v>
      </c>
      <c r="L100" s="19" t="s">
        <v>7977</v>
      </c>
      <c r="M100" s="18"/>
      <c r="N100" s="19"/>
      <c r="O100" s="19"/>
      <c r="P100" s="19"/>
      <c r="Q100" s="18"/>
      <c r="R100" s="18"/>
      <c r="S100" s="19"/>
      <c r="T100" s="18"/>
    </row>
    <row r="101" spans="1:20" ht="30" hidden="1" x14ac:dyDescent="0.25">
      <c r="A101" s="18">
        <v>7</v>
      </c>
      <c r="B101" s="18" t="s">
        <v>61</v>
      </c>
      <c r="C101" s="18" t="s">
        <v>315</v>
      </c>
      <c r="D101" s="18" t="s">
        <v>344</v>
      </c>
      <c r="E101" s="18">
        <v>2</v>
      </c>
      <c r="F101" s="18"/>
      <c r="G101" s="20">
        <v>45293</v>
      </c>
      <c r="H101" s="21">
        <v>1</v>
      </c>
      <c r="I101" s="18">
        <v>12</v>
      </c>
      <c r="J101" s="19" t="s">
        <v>11</v>
      </c>
      <c r="K101" s="19" t="s">
        <v>11</v>
      </c>
      <c r="L101" s="19" t="s">
        <v>11</v>
      </c>
      <c r="M101" s="18"/>
      <c r="N101" s="19"/>
      <c r="O101" s="19"/>
      <c r="P101" s="19"/>
      <c r="Q101" s="18"/>
      <c r="R101" s="18"/>
      <c r="S101" s="19" t="s">
        <v>8033</v>
      </c>
      <c r="T101" s="18"/>
    </row>
    <row r="102" spans="1:20" hidden="1" x14ac:dyDescent="0.25">
      <c r="A102" s="18">
        <v>190</v>
      </c>
      <c r="B102" s="18" t="s">
        <v>61</v>
      </c>
      <c r="C102" s="18" t="s">
        <v>907</v>
      </c>
      <c r="D102" s="18" t="s">
        <v>904</v>
      </c>
      <c r="E102" s="18">
        <v>1</v>
      </c>
      <c r="F102" s="18"/>
      <c r="G102" s="20">
        <v>45308</v>
      </c>
      <c r="H102" s="21">
        <v>1</v>
      </c>
      <c r="I102" s="18">
        <v>21</v>
      </c>
      <c r="J102" s="19" t="s">
        <v>11</v>
      </c>
      <c r="K102" s="19" t="s">
        <v>7977</v>
      </c>
      <c r="L102" s="19" t="s">
        <v>11</v>
      </c>
      <c r="M102" s="18"/>
      <c r="N102" s="19"/>
      <c r="O102" s="19"/>
      <c r="P102" s="19"/>
      <c r="Q102" s="18"/>
      <c r="R102" s="18"/>
      <c r="S102" s="19"/>
      <c r="T102" s="18"/>
    </row>
    <row r="103" spans="1:20" hidden="1" x14ac:dyDescent="0.25">
      <c r="A103" s="18">
        <v>93</v>
      </c>
      <c r="B103" s="18"/>
      <c r="C103" s="18" t="s">
        <v>6800</v>
      </c>
      <c r="D103" s="18" t="s">
        <v>601</v>
      </c>
      <c r="E103" s="18">
        <v>2</v>
      </c>
      <c r="F103" s="18"/>
      <c r="G103" s="20">
        <v>45467</v>
      </c>
      <c r="H103" s="21">
        <v>1</v>
      </c>
      <c r="I103" s="18">
        <v>21</v>
      </c>
      <c r="J103" s="19" t="s">
        <v>11</v>
      </c>
      <c r="K103" s="19" t="s">
        <v>11</v>
      </c>
      <c r="L103" s="19" t="s">
        <v>7977</v>
      </c>
      <c r="M103" s="18"/>
      <c r="N103" s="19"/>
      <c r="O103" s="19"/>
      <c r="P103" s="19"/>
      <c r="Q103" s="18"/>
      <c r="R103" s="18"/>
      <c r="S103" s="18"/>
      <c r="T103" s="18"/>
    </row>
    <row r="104" spans="1:20" hidden="1" x14ac:dyDescent="0.25">
      <c r="A104" s="18">
        <v>648</v>
      </c>
      <c r="B104" s="18"/>
      <c r="C104" s="18" t="s">
        <v>6800</v>
      </c>
      <c r="D104" s="18" t="s">
        <v>2352</v>
      </c>
      <c r="E104" s="18">
        <v>2</v>
      </c>
      <c r="F104" s="18"/>
      <c r="G104" s="20">
        <v>45252</v>
      </c>
      <c r="H104" s="21">
        <v>1</v>
      </c>
      <c r="I104" s="18">
        <v>25</v>
      </c>
      <c r="J104" s="19" t="s">
        <v>11</v>
      </c>
      <c r="K104" s="19" t="s">
        <v>11</v>
      </c>
      <c r="L104" s="19" t="s">
        <v>7977</v>
      </c>
      <c r="M104" s="18"/>
      <c r="N104" s="19"/>
      <c r="O104" s="19"/>
      <c r="P104" s="19"/>
      <c r="Q104" s="18"/>
      <c r="R104" s="18"/>
      <c r="S104" s="18" t="s">
        <v>8020</v>
      </c>
      <c r="T104" s="18"/>
    </row>
    <row r="105" spans="1:20" hidden="1" x14ac:dyDescent="0.25">
      <c r="A105" s="18">
        <v>187</v>
      </c>
      <c r="B105" s="18"/>
      <c r="C105" s="18" t="s">
        <v>6800</v>
      </c>
      <c r="D105" s="18" t="s">
        <v>893</v>
      </c>
      <c r="E105" s="18">
        <v>2</v>
      </c>
      <c r="F105" s="18"/>
      <c r="G105" s="20">
        <v>45345</v>
      </c>
      <c r="H105" s="21">
        <v>1</v>
      </c>
      <c r="I105" s="18">
        <v>6</v>
      </c>
      <c r="J105" s="19" t="s">
        <v>11</v>
      </c>
      <c r="K105" s="19" t="s">
        <v>11</v>
      </c>
      <c r="L105" s="19" t="s">
        <v>7977</v>
      </c>
      <c r="M105" s="18"/>
      <c r="N105" s="19"/>
      <c r="O105" s="19"/>
      <c r="P105" s="19"/>
      <c r="Q105" s="18"/>
      <c r="R105" s="18"/>
      <c r="S105" s="18"/>
      <c r="T105" s="18"/>
    </row>
    <row r="106" spans="1:20" hidden="1" x14ac:dyDescent="0.25">
      <c r="A106" s="18">
        <v>767</v>
      </c>
      <c r="B106" s="18"/>
      <c r="C106" s="18" t="s">
        <v>6800</v>
      </c>
      <c r="D106" s="18" t="s">
        <v>128</v>
      </c>
      <c r="E106" s="18">
        <v>2</v>
      </c>
      <c r="F106" s="18"/>
      <c r="G106" s="20">
        <v>45338</v>
      </c>
      <c r="H106" s="21">
        <v>1</v>
      </c>
      <c r="I106" s="18">
        <v>20</v>
      </c>
      <c r="J106" s="19" t="s">
        <v>11</v>
      </c>
      <c r="K106" s="19" t="s">
        <v>11</v>
      </c>
      <c r="L106" s="19" t="s">
        <v>7977</v>
      </c>
      <c r="M106" s="18"/>
      <c r="N106" s="19"/>
      <c r="O106" s="19"/>
      <c r="P106" s="19"/>
      <c r="Q106" s="18"/>
      <c r="R106" s="18"/>
      <c r="S106" s="18"/>
      <c r="T106" s="18"/>
    </row>
    <row r="107" spans="1:20" hidden="1" x14ac:dyDescent="0.25">
      <c r="A107" s="18">
        <v>143</v>
      </c>
      <c r="B107" s="18" t="s">
        <v>573</v>
      </c>
      <c r="C107" s="18" t="s">
        <v>760</v>
      </c>
      <c r="D107" s="18" t="s">
        <v>120</v>
      </c>
      <c r="E107" s="18">
        <v>2</v>
      </c>
      <c r="F107" s="18"/>
      <c r="G107" s="20">
        <v>45442</v>
      </c>
      <c r="H107" s="21">
        <v>1</v>
      </c>
      <c r="I107" s="18">
        <v>17</v>
      </c>
      <c r="J107" s="19" t="s">
        <v>11</v>
      </c>
      <c r="K107" s="19" t="s">
        <v>11</v>
      </c>
      <c r="L107" s="19" t="s">
        <v>7977</v>
      </c>
      <c r="M107" s="18"/>
      <c r="N107" s="19"/>
      <c r="O107" s="19"/>
      <c r="P107" s="19"/>
      <c r="Q107" s="18"/>
      <c r="R107" s="18"/>
      <c r="S107" s="19"/>
      <c r="T107" s="18"/>
    </row>
    <row r="108" spans="1:20" hidden="1" x14ac:dyDescent="0.25">
      <c r="A108" s="18">
        <v>19</v>
      </c>
      <c r="B108" s="18" t="s">
        <v>573</v>
      </c>
      <c r="C108" s="18" t="s">
        <v>383</v>
      </c>
      <c r="D108" s="18" t="s">
        <v>303</v>
      </c>
      <c r="E108" s="18">
        <v>2</v>
      </c>
      <c r="F108" s="18"/>
      <c r="G108" s="20">
        <v>45301</v>
      </c>
      <c r="H108" s="21">
        <v>1</v>
      </c>
      <c r="I108" s="18">
        <v>14</v>
      </c>
      <c r="J108" s="19" t="s">
        <v>11</v>
      </c>
      <c r="K108" s="19" t="s">
        <v>11</v>
      </c>
      <c r="L108" s="19" t="s">
        <v>7977</v>
      </c>
      <c r="M108" s="18"/>
      <c r="N108" s="19"/>
      <c r="O108" s="19"/>
      <c r="P108" s="19"/>
      <c r="Q108" s="18"/>
      <c r="R108" s="18"/>
      <c r="S108" s="19"/>
      <c r="T108" s="18"/>
    </row>
    <row r="109" spans="1:20" hidden="1" x14ac:dyDescent="0.25">
      <c r="A109" s="18">
        <v>1272</v>
      </c>
      <c r="B109" s="18"/>
      <c r="C109" s="18" t="s">
        <v>6800</v>
      </c>
      <c r="D109" s="18" t="s">
        <v>4387</v>
      </c>
      <c r="E109" s="18">
        <v>2</v>
      </c>
      <c r="F109" s="18"/>
      <c r="G109" s="20">
        <v>45315</v>
      </c>
      <c r="H109" s="21">
        <v>1</v>
      </c>
      <c r="I109" s="18">
        <v>14</v>
      </c>
      <c r="J109" s="19" t="s">
        <v>11</v>
      </c>
      <c r="K109" s="19" t="s">
        <v>11</v>
      </c>
      <c r="L109" s="19" t="s">
        <v>7977</v>
      </c>
      <c r="M109" s="18"/>
      <c r="N109" s="19"/>
      <c r="O109" s="19"/>
      <c r="P109" s="19"/>
      <c r="Q109" s="18"/>
      <c r="R109" s="18"/>
      <c r="S109" s="18"/>
      <c r="T109" s="18"/>
    </row>
    <row r="110" spans="1:20" hidden="1" x14ac:dyDescent="0.25">
      <c r="A110" s="18">
        <v>27</v>
      </c>
      <c r="B110" s="18" t="s">
        <v>293</v>
      </c>
      <c r="C110" s="18" t="s">
        <v>404</v>
      </c>
      <c r="D110" s="18" t="s">
        <v>405</v>
      </c>
      <c r="E110" s="18">
        <v>1</v>
      </c>
      <c r="F110" s="18"/>
      <c r="G110" s="20">
        <v>45222</v>
      </c>
      <c r="H110" s="21">
        <v>1</v>
      </c>
      <c r="I110" s="18">
        <v>10</v>
      </c>
      <c r="J110" s="19" t="s">
        <v>11</v>
      </c>
      <c r="K110" s="19" t="s">
        <v>11</v>
      </c>
      <c r="L110" s="19" t="s">
        <v>7977</v>
      </c>
      <c r="M110" s="18"/>
      <c r="N110" s="19" t="s">
        <v>11</v>
      </c>
      <c r="O110" s="19" t="s">
        <v>7977</v>
      </c>
      <c r="P110" s="19" t="s">
        <v>11</v>
      </c>
      <c r="Q110" s="18"/>
      <c r="R110" s="18"/>
      <c r="S110" s="19"/>
      <c r="T110" s="18"/>
    </row>
    <row r="111" spans="1:20" hidden="1" x14ac:dyDescent="0.25">
      <c r="A111" s="18">
        <v>26</v>
      </c>
      <c r="B111" s="18" t="s">
        <v>293</v>
      </c>
      <c r="C111" s="18" t="s">
        <v>404</v>
      </c>
      <c r="D111" s="18" t="s">
        <v>401</v>
      </c>
      <c r="E111" s="18">
        <v>1</v>
      </c>
      <c r="F111" s="18"/>
      <c r="G111" s="20">
        <v>45223</v>
      </c>
      <c r="H111" s="21">
        <v>1</v>
      </c>
      <c r="I111" s="18">
        <v>7</v>
      </c>
      <c r="J111" s="19" t="s">
        <v>11</v>
      </c>
      <c r="K111" s="19" t="s">
        <v>11</v>
      </c>
      <c r="L111" s="19" t="s">
        <v>7977</v>
      </c>
      <c r="M111" s="18"/>
      <c r="N111" s="19" t="s">
        <v>11</v>
      </c>
      <c r="O111" s="19" t="s">
        <v>7977</v>
      </c>
      <c r="P111" s="19" t="s">
        <v>11</v>
      </c>
      <c r="Q111" s="18"/>
      <c r="R111" s="18"/>
      <c r="S111" s="19"/>
      <c r="T111" s="18"/>
    </row>
    <row r="112" spans="1:20" hidden="1" x14ac:dyDescent="0.25">
      <c r="A112" s="18">
        <v>1288</v>
      </c>
      <c r="B112" s="18"/>
      <c r="C112" s="18" t="s">
        <v>6800</v>
      </c>
      <c r="D112" s="18" t="s">
        <v>4439</v>
      </c>
      <c r="E112" s="18">
        <v>2</v>
      </c>
      <c r="F112" s="18"/>
      <c r="G112" s="20">
        <v>45315</v>
      </c>
      <c r="H112" s="21">
        <v>1</v>
      </c>
      <c r="I112" s="18">
        <v>27</v>
      </c>
      <c r="J112" s="19" t="s">
        <v>11</v>
      </c>
      <c r="K112" s="19" t="s">
        <v>7977</v>
      </c>
      <c r="L112" s="19" t="s">
        <v>7977</v>
      </c>
      <c r="M112" s="18"/>
      <c r="N112" s="19"/>
      <c r="O112" s="19"/>
      <c r="P112" s="19"/>
      <c r="Q112" s="18"/>
      <c r="R112" s="18"/>
      <c r="S112" s="18"/>
      <c r="T112" s="18"/>
    </row>
    <row r="113" spans="1:20" hidden="1" x14ac:dyDescent="0.25">
      <c r="A113" s="18">
        <v>1047</v>
      </c>
      <c r="B113" s="18"/>
      <c r="C113" s="18" t="s">
        <v>6800</v>
      </c>
      <c r="D113" s="18" t="s">
        <v>8384</v>
      </c>
      <c r="E113" s="18">
        <v>1</v>
      </c>
      <c r="F113" s="18"/>
      <c r="G113" s="20">
        <v>45328</v>
      </c>
      <c r="H113" s="21">
        <v>1</v>
      </c>
      <c r="I113" s="18">
        <v>5</v>
      </c>
      <c r="J113" s="19" t="s">
        <v>11</v>
      </c>
      <c r="K113" s="19" t="s">
        <v>11</v>
      </c>
      <c r="L113" s="19" t="s">
        <v>7977</v>
      </c>
      <c r="M113" s="18"/>
      <c r="N113" s="19"/>
      <c r="O113" s="19"/>
      <c r="P113" s="19"/>
      <c r="Q113" s="18"/>
      <c r="R113" s="18"/>
      <c r="S113" s="18"/>
      <c r="T113" s="18"/>
    </row>
    <row r="114" spans="1:20" hidden="1" x14ac:dyDescent="0.25">
      <c r="A114" s="18">
        <v>10</v>
      </c>
      <c r="B114" s="18" t="s">
        <v>109</v>
      </c>
      <c r="C114" s="18" t="s">
        <v>356</v>
      </c>
      <c r="D114" s="18" t="s">
        <v>353</v>
      </c>
      <c r="E114" s="18">
        <v>3</v>
      </c>
      <c r="F114" s="18"/>
      <c r="G114" s="20">
        <v>45296</v>
      </c>
      <c r="H114" s="21">
        <v>1</v>
      </c>
      <c r="I114" s="18">
        <v>55</v>
      </c>
      <c r="J114" s="19" t="s">
        <v>7977</v>
      </c>
      <c r="K114" s="19" t="s">
        <v>7977</v>
      </c>
      <c r="L114" s="19" t="s">
        <v>11</v>
      </c>
      <c r="M114" s="18"/>
      <c r="N114" s="19"/>
      <c r="O114" s="19"/>
      <c r="P114" s="19"/>
      <c r="Q114" s="18"/>
      <c r="R114" s="18"/>
      <c r="S114" s="18"/>
      <c r="T114" s="18"/>
    </row>
    <row r="115" spans="1:20" hidden="1" x14ac:dyDescent="0.25">
      <c r="A115" s="18">
        <v>959</v>
      </c>
      <c r="B115" s="18"/>
      <c r="C115" s="18" t="s">
        <v>6800</v>
      </c>
      <c r="D115" s="18" t="s">
        <v>3372</v>
      </c>
      <c r="E115" s="18">
        <v>2</v>
      </c>
      <c r="F115" s="18"/>
      <c r="G115" s="20">
        <v>45579</v>
      </c>
      <c r="H115" s="21">
        <v>1</v>
      </c>
      <c r="I115" s="18">
        <v>30</v>
      </c>
      <c r="J115" s="19" t="s">
        <v>11</v>
      </c>
      <c r="K115" s="19" t="s">
        <v>7977</v>
      </c>
      <c r="L115" s="19" t="s">
        <v>7977</v>
      </c>
      <c r="M115" s="18"/>
      <c r="N115" s="19"/>
      <c r="O115" s="19"/>
      <c r="P115" s="19"/>
      <c r="Q115" s="18"/>
      <c r="R115" s="18" t="s">
        <v>66</v>
      </c>
      <c r="S115" s="18"/>
      <c r="T115" s="18"/>
    </row>
    <row r="116" spans="1:20" hidden="1" x14ac:dyDescent="0.25">
      <c r="A116" s="18">
        <v>684</v>
      </c>
      <c r="B116" s="18" t="s">
        <v>7833</v>
      </c>
      <c r="C116" s="18" t="s">
        <v>1122</v>
      </c>
      <c r="D116" s="18" t="s">
        <v>2467</v>
      </c>
      <c r="E116" s="18">
        <v>2</v>
      </c>
      <c r="F116" s="18"/>
      <c r="G116" s="20">
        <v>45454</v>
      </c>
      <c r="H116" s="21">
        <v>1</v>
      </c>
      <c r="I116" s="18">
        <v>54</v>
      </c>
      <c r="J116" s="19" t="s">
        <v>7977</v>
      </c>
      <c r="K116" s="19" t="s">
        <v>7977</v>
      </c>
      <c r="L116" s="19" t="s">
        <v>11</v>
      </c>
      <c r="M116" s="18"/>
      <c r="N116" s="19"/>
      <c r="O116" s="19"/>
      <c r="P116" s="19"/>
      <c r="Q116" s="18"/>
      <c r="R116" s="18"/>
      <c r="S116" s="18"/>
      <c r="T116" s="18"/>
    </row>
    <row r="117" spans="1:20" hidden="1" x14ac:dyDescent="0.25">
      <c r="A117" s="18">
        <v>332</v>
      </c>
      <c r="B117" s="18" t="s">
        <v>7833</v>
      </c>
      <c r="C117" s="18" t="s">
        <v>1344</v>
      </c>
      <c r="D117" s="18" t="s">
        <v>1341</v>
      </c>
      <c r="E117" s="18">
        <v>3</v>
      </c>
      <c r="F117" s="18"/>
      <c r="G117" s="20">
        <v>45272</v>
      </c>
      <c r="H117" s="21">
        <v>1</v>
      </c>
      <c r="I117" s="18">
        <v>35</v>
      </c>
      <c r="J117" s="19" t="s">
        <v>7977</v>
      </c>
      <c r="K117" s="19" t="s">
        <v>7977</v>
      </c>
      <c r="L117" s="19" t="s">
        <v>11</v>
      </c>
      <c r="M117" s="18"/>
      <c r="N117" s="19"/>
      <c r="O117" s="19"/>
      <c r="P117" s="19"/>
      <c r="Q117" s="18"/>
      <c r="R117" s="18"/>
      <c r="S117" s="18"/>
      <c r="T117" s="18"/>
    </row>
    <row r="118" spans="1:20" hidden="1" x14ac:dyDescent="0.25">
      <c r="A118" s="18">
        <v>358</v>
      </c>
      <c r="B118" s="18"/>
      <c r="C118" s="18" t="s">
        <v>6800</v>
      </c>
      <c r="D118" s="18" t="s">
        <v>130</v>
      </c>
      <c r="E118" s="18">
        <v>3</v>
      </c>
      <c r="F118" s="18"/>
      <c r="G118" s="18"/>
      <c r="H118" s="21"/>
      <c r="I118" s="18"/>
      <c r="J118" s="19"/>
      <c r="K118" s="19"/>
      <c r="L118" s="19"/>
      <c r="M118" s="18"/>
      <c r="N118" s="19"/>
      <c r="O118" s="19"/>
      <c r="P118" s="19"/>
      <c r="Q118" s="18"/>
      <c r="R118" s="18"/>
      <c r="S118" s="18"/>
      <c r="T118" s="18"/>
    </row>
    <row r="119" spans="1:20" hidden="1" x14ac:dyDescent="0.25">
      <c r="A119" s="18">
        <v>383</v>
      </c>
      <c r="B119" s="18" t="s">
        <v>7974</v>
      </c>
      <c r="C119" s="18" t="s">
        <v>1240</v>
      </c>
      <c r="D119" s="18" t="s">
        <v>1509</v>
      </c>
      <c r="E119" s="18">
        <v>1</v>
      </c>
      <c r="F119" s="18"/>
      <c r="G119" s="20">
        <v>45306</v>
      </c>
      <c r="H119" s="21">
        <v>1</v>
      </c>
      <c r="I119" s="18">
        <v>4</v>
      </c>
      <c r="J119" s="19" t="s">
        <v>11</v>
      </c>
      <c r="K119" s="19" t="s">
        <v>11</v>
      </c>
      <c r="L119" s="19" t="s">
        <v>7977</v>
      </c>
      <c r="M119" s="18"/>
      <c r="N119" s="19" t="s">
        <v>11</v>
      </c>
      <c r="O119" s="19"/>
      <c r="P119" s="19"/>
      <c r="Q119" s="18"/>
      <c r="R119" s="18"/>
      <c r="S119" s="19"/>
      <c r="T119" s="18"/>
    </row>
    <row r="120" spans="1:20" hidden="1" x14ac:dyDescent="0.25">
      <c r="A120" s="18">
        <v>308</v>
      </c>
      <c r="B120" s="18" t="s">
        <v>317</v>
      </c>
      <c r="C120" s="18" t="s">
        <v>1270</v>
      </c>
      <c r="D120" s="18" t="s">
        <v>233</v>
      </c>
      <c r="E120" s="18">
        <v>3</v>
      </c>
      <c r="F120" s="18"/>
      <c r="G120" s="20">
        <v>45320</v>
      </c>
      <c r="H120" s="21">
        <v>1</v>
      </c>
      <c r="I120" s="18">
        <v>28</v>
      </c>
      <c r="J120" s="19" t="s">
        <v>11</v>
      </c>
      <c r="K120" s="19" t="s">
        <v>11</v>
      </c>
      <c r="L120" s="19" t="s">
        <v>7977</v>
      </c>
      <c r="M120" s="18"/>
      <c r="N120" s="19"/>
      <c r="O120" s="19"/>
      <c r="P120" s="19"/>
      <c r="Q120" s="18"/>
      <c r="R120" s="18"/>
      <c r="S120" s="18"/>
      <c r="T120" s="18"/>
    </row>
    <row r="121" spans="1:20" hidden="1" x14ac:dyDescent="0.25">
      <c r="A121" s="18">
        <v>370</v>
      </c>
      <c r="B121" s="18"/>
      <c r="C121" s="18" t="s">
        <v>6800</v>
      </c>
      <c r="D121" s="18" t="s">
        <v>251</v>
      </c>
      <c r="E121" s="18">
        <v>2</v>
      </c>
      <c r="F121" s="18"/>
      <c r="G121" s="20">
        <v>45314</v>
      </c>
      <c r="H121" s="21">
        <v>1</v>
      </c>
      <c r="I121" s="18">
        <v>15</v>
      </c>
      <c r="J121" s="19" t="s">
        <v>11</v>
      </c>
      <c r="K121" s="19" t="s">
        <v>11</v>
      </c>
      <c r="L121" s="19" t="s">
        <v>7977</v>
      </c>
      <c r="M121" s="18"/>
      <c r="N121" s="19"/>
      <c r="O121" s="19"/>
      <c r="P121" s="19"/>
      <c r="Q121" s="18"/>
      <c r="R121" s="18"/>
      <c r="S121" s="18"/>
      <c r="T121" s="18"/>
    </row>
    <row r="122" spans="1:20" hidden="1" x14ac:dyDescent="0.25">
      <c r="A122" s="18">
        <v>528</v>
      </c>
      <c r="B122" s="18" t="s">
        <v>47</v>
      </c>
      <c r="C122" s="18" t="s">
        <v>1986</v>
      </c>
      <c r="D122" s="18" t="s">
        <v>1983</v>
      </c>
      <c r="E122" s="18">
        <v>2</v>
      </c>
      <c r="F122" s="18"/>
      <c r="G122" s="20">
        <v>45313</v>
      </c>
      <c r="H122" s="21">
        <v>1</v>
      </c>
      <c r="I122" s="18">
        <v>31</v>
      </c>
      <c r="J122" s="19" t="s">
        <v>11</v>
      </c>
      <c r="K122" s="19" t="s">
        <v>11</v>
      </c>
      <c r="L122" s="19" t="s">
        <v>7977</v>
      </c>
      <c r="M122" s="18"/>
      <c r="N122" s="19"/>
      <c r="O122" s="19"/>
      <c r="P122" s="19"/>
      <c r="Q122" s="18"/>
      <c r="R122" s="18"/>
      <c r="S122" s="18"/>
      <c r="T122" s="18"/>
    </row>
    <row r="123" spans="1:20" hidden="1" x14ac:dyDescent="0.25">
      <c r="A123" s="18">
        <v>238</v>
      </c>
      <c r="B123" s="18" t="s">
        <v>317</v>
      </c>
      <c r="C123" s="18" t="s">
        <v>1055</v>
      </c>
      <c r="D123" s="18" t="s">
        <v>16</v>
      </c>
      <c r="E123" s="18">
        <v>2</v>
      </c>
      <c r="F123" s="18"/>
      <c r="G123" s="20">
        <v>45293</v>
      </c>
      <c r="H123" s="21">
        <v>1</v>
      </c>
      <c r="I123" s="18">
        <v>33</v>
      </c>
      <c r="J123" s="19" t="s">
        <v>11</v>
      </c>
      <c r="K123" s="19" t="s">
        <v>7977</v>
      </c>
      <c r="L123" s="19" t="s">
        <v>7977</v>
      </c>
      <c r="M123" s="18"/>
      <c r="N123" s="19"/>
      <c r="O123" s="19"/>
      <c r="P123" s="19"/>
      <c r="Q123" s="18"/>
      <c r="R123" s="18"/>
      <c r="S123" s="19"/>
      <c r="T123" s="18"/>
    </row>
    <row r="124" spans="1:20" hidden="1" x14ac:dyDescent="0.25">
      <c r="A124" s="18">
        <v>326</v>
      </c>
      <c r="B124" s="18" t="s">
        <v>7835</v>
      </c>
      <c r="C124" s="18" t="s">
        <v>479</v>
      </c>
      <c r="D124" s="18" t="s">
        <v>1323</v>
      </c>
      <c r="E124" s="18">
        <v>1</v>
      </c>
      <c r="F124" s="18"/>
      <c r="G124" s="20">
        <v>45327</v>
      </c>
      <c r="H124" s="21">
        <v>1</v>
      </c>
      <c r="I124" s="18">
        <v>16</v>
      </c>
      <c r="J124" s="19" t="s">
        <v>11</v>
      </c>
      <c r="K124" s="19" t="s">
        <v>11</v>
      </c>
      <c r="L124" s="19" t="s">
        <v>7977</v>
      </c>
      <c r="M124" s="18"/>
      <c r="N124" s="19"/>
      <c r="O124" s="19"/>
      <c r="P124" s="19"/>
      <c r="Q124" s="18"/>
      <c r="R124" s="18"/>
      <c r="S124" s="19"/>
      <c r="T124" s="18"/>
    </row>
    <row r="125" spans="1:20" hidden="1" x14ac:dyDescent="0.25">
      <c r="A125" s="18">
        <v>50</v>
      </c>
      <c r="B125" s="18" t="s">
        <v>7835</v>
      </c>
      <c r="C125" s="18" t="s">
        <v>479</v>
      </c>
      <c r="D125" s="18" t="s">
        <v>476</v>
      </c>
      <c r="E125" s="18">
        <v>2</v>
      </c>
      <c r="F125" s="18"/>
      <c r="G125" s="20">
        <v>45238</v>
      </c>
      <c r="H125" s="21">
        <v>1</v>
      </c>
      <c r="I125" s="18">
        <v>25</v>
      </c>
      <c r="J125" s="19" t="s">
        <v>7977</v>
      </c>
      <c r="K125" s="19" t="s">
        <v>7977</v>
      </c>
      <c r="L125" s="19" t="s">
        <v>11</v>
      </c>
      <c r="M125" s="18"/>
      <c r="N125" s="19"/>
      <c r="O125" s="19"/>
      <c r="P125" s="19"/>
      <c r="Q125" s="18"/>
      <c r="R125" s="18"/>
      <c r="S125" s="19"/>
      <c r="T125" s="18"/>
    </row>
    <row r="126" spans="1:20" hidden="1" x14ac:dyDescent="0.25">
      <c r="A126" s="18">
        <v>117</v>
      </c>
      <c r="B126" s="18"/>
      <c r="C126" s="18" t="s">
        <v>6800</v>
      </c>
      <c r="D126" s="18" t="s">
        <v>26</v>
      </c>
      <c r="E126" s="18">
        <v>2</v>
      </c>
      <c r="F126" s="18"/>
      <c r="G126" s="20">
        <v>45250</v>
      </c>
      <c r="H126" s="21">
        <v>1</v>
      </c>
      <c r="I126" s="18">
        <v>42</v>
      </c>
      <c r="J126" s="19" t="s">
        <v>11</v>
      </c>
      <c r="K126" s="19" t="s">
        <v>7977</v>
      </c>
      <c r="L126" s="19" t="s">
        <v>11</v>
      </c>
      <c r="M126" s="18"/>
      <c r="N126" s="19"/>
      <c r="O126" s="19"/>
      <c r="P126" s="19"/>
      <c r="Q126" s="18"/>
      <c r="R126" s="18"/>
      <c r="S126" s="18"/>
      <c r="T126" s="18"/>
    </row>
    <row r="127" spans="1:20" hidden="1" x14ac:dyDescent="0.25">
      <c r="A127" s="18">
        <v>116</v>
      </c>
      <c r="B127" s="18" t="s">
        <v>47</v>
      </c>
      <c r="C127" s="18" t="s">
        <v>675</v>
      </c>
      <c r="D127" s="18" t="s">
        <v>25</v>
      </c>
      <c r="E127" s="18">
        <v>2</v>
      </c>
      <c r="F127" s="18"/>
      <c r="G127" s="20">
        <v>45250</v>
      </c>
      <c r="H127" s="21">
        <v>1</v>
      </c>
      <c r="I127" s="18">
        <v>24</v>
      </c>
      <c r="J127" s="19" t="s">
        <v>11</v>
      </c>
      <c r="K127" s="19" t="s">
        <v>11</v>
      </c>
      <c r="L127" s="19" t="s">
        <v>11</v>
      </c>
      <c r="M127" s="18"/>
      <c r="N127" s="19" t="s">
        <v>7977</v>
      </c>
      <c r="O127" s="19"/>
      <c r="P127" s="19"/>
      <c r="Q127" s="18"/>
      <c r="R127" s="18"/>
      <c r="S127" s="18" t="s">
        <v>8019</v>
      </c>
      <c r="T127" s="18"/>
    </row>
    <row r="128" spans="1:20" hidden="1" x14ac:dyDescent="0.25">
      <c r="A128" s="18">
        <v>66</v>
      </c>
      <c r="B128" s="18" t="s">
        <v>7835</v>
      </c>
      <c r="C128" s="18" t="s">
        <v>525</v>
      </c>
      <c r="D128" s="18" t="s">
        <v>522</v>
      </c>
      <c r="E128" s="18">
        <v>1</v>
      </c>
      <c r="F128" s="18"/>
      <c r="G128" s="20">
        <v>45300</v>
      </c>
      <c r="H128" s="21">
        <v>1</v>
      </c>
      <c r="I128" s="18">
        <v>14</v>
      </c>
      <c r="J128" s="19" t="s">
        <v>11</v>
      </c>
      <c r="K128" s="19" t="s">
        <v>11</v>
      </c>
      <c r="L128" s="19" t="s">
        <v>7977</v>
      </c>
      <c r="M128" s="18"/>
      <c r="N128" s="19"/>
      <c r="O128" s="19"/>
      <c r="P128" s="19"/>
      <c r="Q128" s="18"/>
      <c r="R128" s="18"/>
      <c r="S128" s="19"/>
      <c r="T128" s="18"/>
    </row>
    <row r="129" spans="1:20" hidden="1" x14ac:dyDescent="0.25">
      <c r="A129" s="18">
        <v>47</v>
      </c>
      <c r="B129" s="18"/>
      <c r="C129" s="18" t="s">
        <v>6800</v>
      </c>
      <c r="D129" s="18" t="s">
        <v>301</v>
      </c>
      <c r="E129" s="18">
        <v>2</v>
      </c>
      <c r="F129" s="18"/>
      <c r="G129" s="18"/>
      <c r="H129" s="21"/>
      <c r="I129" s="18"/>
      <c r="J129" s="19"/>
      <c r="K129" s="19"/>
      <c r="L129" s="19"/>
      <c r="M129" s="18"/>
      <c r="N129" s="19"/>
      <c r="O129" s="19"/>
      <c r="P129" s="19"/>
      <c r="Q129" s="18"/>
      <c r="R129" s="18"/>
      <c r="S129" s="18"/>
      <c r="T129" s="18"/>
    </row>
    <row r="130" spans="1:20" hidden="1" x14ac:dyDescent="0.25">
      <c r="A130" s="18">
        <v>46</v>
      </c>
      <c r="B130" s="18" t="s">
        <v>30</v>
      </c>
      <c r="C130" s="18" t="s">
        <v>445</v>
      </c>
      <c r="D130" s="18" t="s">
        <v>35</v>
      </c>
      <c r="E130" s="18">
        <v>2</v>
      </c>
      <c r="F130" s="18"/>
      <c r="G130" s="20">
        <v>45267</v>
      </c>
      <c r="H130" s="21">
        <v>1</v>
      </c>
      <c r="I130" s="18">
        <v>31</v>
      </c>
      <c r="J130" s="19" t="s">
        <v>11</v>
      </c>
      <c r="K130" s="19" t="s">
        <v>7977</v>
      </c>
      <c r="L130" s="19" t="s">
        <v>11</v>
      </c>
      <c r="M130" s="18"/>
      <c r="N130" s="19"/>
      <c r="O130" s="19"/>
      <c r="P130" s="19"/>
      <c r="Q130" s="18"/>
      <c r="R130" s="18"/>
      <c r="S130" s="19"/>
      <c r="T130" s="18"/>
    </row>
    <row r="131" spans="1:20" hidden="1" x14ac:dyDescent="0.25">
      <c r="A131" s="18">
        <v>567</v>
      </c>
      <c r="B131" s="18" t="s">
        <v>156</v>
      </c>
      <c r="C131" s="18" t="s">
        <v>2110</v>
      </c>
      <c r="D131" s="18" t="s">
        <v>159</v>
      </c>
      <c r="E131" s="18">
        <v>2</v>
      </c>
      <c r="F131" s="18"/>
      <c r="G131" s="20">
        <v>45553</v>
      </c>
      <c r="H131" s="21">
        <v>1</v>
      </c>
      <c r="I131" s="18">
        <v>30</v>
      </c>
      <c r="J131" s="19" t="s">
        <v>11</v>
      </c>
      <c r="K131" s="19" t="s">
        <v>7977</v>
      </c>
      <c r="L131" s="19" t="s">
        <v>7977</v>
      </c>
      <c r="M131" s="18"/>
      <c r="N131" s="19"/>
      <c r="O131" s="19"/>
      <c r="P131" s="19"/>
      <c r="Q131" s="18"/>
      <c r="R131" s="18"/>
      <c r="S131" s="18"/>
      <c r="T131" s="18"/>
    </row>
    <row r="132" spans="1:20" hidden="1" x14ac:dyDescent="0.25">
      <c r="A132" s="18">
        <v>279</v>
      </c>
      <c r="B132" s="18" t="s">
        <v>109</v>
      </c>
      <c r="C132" s="18" t="s">
        <v>1178</v>
      </c>
      <c r="D132" s="18" t="s">
        <v>1175</v>
      </c>
      <c r="E132" s="18">
        <v>2</v>
      </c>
      <c r="F132" s="18"/>
      <c r="G132" s="20">
        <v>45229</v>
      </c>
      <c r="H132" s="21">
        <v>1</v>
      </c>
      <c r="I132" s="18">
        <v>24</v>
      </c>
      <c r="J132" s="19" t="s">
        <v>7977</v>
      </c>
      <c r="K132" s="19" t="s">
        <v>7977</v>
      </c>
      <c r="L132" s="19" t="s">
        <v>11</v>
      </c>
      <c r="M132" s="18"/>
      <c r="N132" s="19"/>
      <c r="O132" s="19"/>
      <c r="P132" s="19"/>
      <c r="Q132" s="18"/>
      <c r="R132" s="18"/>
      <c r="S132" s="18"/>
      <c r="T132" s="18"/>
    </row>
    <row r="133" spans="1:20" hidden="1" x14ac:dyDescent="0.25">
      <c r="A133" s="18">
        <v>852</v>
      </c>
      <c r="B133" s="18"/>
      <c r="C133" s="18"/>
      <c r="D133" s="18" t="s">
        <v>8410</v>
      </c>
      <c r="E133" s="18">
        <v>2</v>
      </c>
      <c r="F133" s="18"/>
      <c r="G133" s="20">
        <v>45447</v>
      </c>
      <c r="H133" s="21">
        <v>1</v>
      </c>
      <c r="I133" s="18">
        <v>16</v>
      </c>
      <c r="J133" s="19" t="s">
        <v>11</v>
      </c>
      <c r="K133" s="19" t="s">
        <v>11</v>
      </c>
      <c r="L133" s="19" t="s">
        <v>7977</v>
      </c>
      <c r="M133" s="18">
        <v>2</v>
      </c>
      <c r="N133" s="19"/>
      <c r="O133" s="19"/>
      <c r="P133" s="19"/>
      <c r="Q133" s="18"/>
      <c r="R133" s="18"/>
      <c r="S133" s="18"/>
      <c r="T133" s="18"/>
    </row>
    <row r="134" spans="1:20" hidden="1" x14ac:dyDescent="0.25">
      <c r="A134" s="18">
        <v>2077</v>
      </c>
      <c r="B134" s="18"/>
      <c r="C134" s="18" t="s">
        <v>6800</v>
      </c>
      <c r="D134" s="18" t="s">
        <v>7008</v>
      </c>
      <c r="E134" s="18">
        <v>2</v>
      </c>
      <c r="F134" s="18"/>
      <c r="G134" s="18"/>
      <c r="H134" s="21"/>
      <c r="I134" s="18"/>
      <c r="J134" s="19"/>
      <c r="K134" s="19"/>
      <c r="L134" s="19"/>
      <c r="M134" s="18"/>
      <c r="N134" s="19"/>
      <c r="O134" s="19"/>
      <c r="P134" s="19"/>
      <c r="Q134" s="18"/>
      <c r="R134" s="18"/>
      <c r="S134" s="18"/>
      <c r="T134" s="18"/>
    </row>
    <row r="135" spans="1:20" hidden="1" x14ac:dyDescent="0.25">
      <c r="A135" s="18">
        <v>1631</v>
      </c>
      <c r="B135" s="18"/>
      <c r="C135" s="18" t="s">
        <v>6800</v>
      </c>
      <c r="D135" s="18" t="s">
        <v>5561</v>
      </c>
      <c r="E135" s="18">
        <v>2</v>
      </c>
      <c r="F135" s="18"/>
      <c r="G135" s="20">
        <v>45274</v>
      </c>
      <c r="H135" s="21">
        <v>1</v>
      </c>
      <c r="I135" s="18">
        <v>39</v>
      </c>
      <c r="J135" s="19" t="s">
        <v>11</v>
      </c>
      <c r="K135" s="19" t="s">
        <v>11</v>
      </c>
      <c r="L135" s="19" t="s">
        <v>7977</v>
      </c>
      <c r="M135" s="18"/>
      <c r="N135" s="19"/>
      <c r="O135" s="19"/>
      <c r="P135" s="19"/>
      <c r="Q135" s="18"/>
      <c r="R135" s="18"/>
      <c r="S135" s="18"/>
      <c r="T135" s="18"/>
    </row>
    <row r="136" spans="1:20" hidden="1" x14ac:dyDescent="0.25">
      <c r="A136" s="18">
        <v>437</v>
      </c>
      <c r="B136" s="18" t="s">
        <v>7830</v>
      </c>
      <c r="C136" s="18" t="s">
        <v>658</v>
      </c>
      <c r="D136" s="18" t="s">
        <v>76</v>
      </c>
      <c r="E136" s="18">
        <v>2</v>
      </c>
      <c r="F136" s="18"/>
      <c r="G136" s="20">
        <v>45482</v>
      </c>
      <c r="H136" s="21">
        <v>1</v>
      </c>
      <c r="I136" s="18">
        <v>39</v>
      </c>
      <c r="J136" s="19" t="s">
        <v>11</v>
      </c>
      <c r="K136" s="19" t="s">
        <v>11</v>
      </c>
      <c r="L136" s="19" t="s">
        <v>11</v>
      </c>
      <c r="M136" s="18"/>
      <c r="N136" s="19"/>
      <c r="O136" s="19"/>
      <c r="P136" s="19"/>
      <c r="Q136" s="18"/>
      <c r="R136" s="18"/>
      <c r="S136" s="18" t="s">
        <v>8422</v>
      </c>
      <c r="T136" s="18"/>
    </row>
    <row r="137" spans="1:20" hidden="1" x14ac:dyDescent="0.25">
      <c r="A137" s="18">
        <v>113</v>
      </c>
      <c r="B137" s="18" t="s">
        <v>7830</v>
      </c>
      <c r="C137" s="18" t="s">
        <v>665</v>
      </c>
      <c r="D137" s="18" t="s">
        <v>75</v>
      </c>
      <c r="E137" s="18">
        <v>2</v>
      </c>
      <c r="F137" s="18"/>
      <c r="G137" s="18"/>
      <c r="H137" s="21"/>
      <c r="I137" s="18"/>
      <c r="J137" s="19"/>
      <c r="K137" s="19"/>
      <c r="L137" s="19"/>
      <c r="M137" s="18"/>
      <c r="N137" s="19"/>
      <c r="O137" s="19"/>
      <c r="P137" s="19"/>
      <c r="Q137" s="18"/>
      <c r="R137" s="18"/>
      <c r="S137" s="18"/>
      <c r="T137" s="18"/>
    </row>
    <row r="138" spans="1:20" hidden="1" x14ac:dyDescent="0.25">
      <c r="A138" s="18">
        <v>112</v>
      </c>
      <c r="B138" s="18"/>
      <c r="C138" s="18" t="s">
        <v>6800</v>
      </c>
      <c r="D138" s="18" t="s">
        <v>294</v>
      </c>
      <c r="E138" s="18">
        <v>1</v>
      </c>
      <c r="F138" s="18"/>
      <c r="G138" s="20">
        <v>45244</v>
      </c>
      <c r="H138" s="21">
        <v>1</v>
      </c>
      <c r="I138" s="18">
        <v>14</v>
      </c>
      <c r="J138" s="19" t="s">
        <v>11</v>
      </c>
      <c r="K138" s="19" t="s">
        <v>7977</v>
      </c>
      <c r="L138" s="19" t="s">
        <v>11</v>
      </c>
      <c r="M138" s="18"/>
      <c r="N138" s="19"/>
      <c r="O138" s="19"/>
      <c r="P138" s="19"/>
      <c r="Q138" s="18"/>
      <c r="R138" s="18"/>
      <c r="S138" s="18" t="s">
        <v>8018</v>
      </c>
      <c r="T138" s="18"/>
    </row>
    <row r="139" spans="1:20" hidden="1" x14ac:dyDescent="0.25">
      <c r="A139" s="18">
        <v>119</v>
      </c>
      <c r="B139" s="18"/>
      <c r="C139" s="18" t="s">
        <v>6800</v>
      </c>
      <c r="D139" s="18" t="s">
        <v>682</v>
      </c>
      <c r="E139" s="18">
        <v>1</v>
      </c>
      <c r="F139" s="18"/>
      <c r="G139" s="20">
        <v>45251</v>
      </c>
      <c r="H139" s="21">
        <v>1</v>
      </c>
      <c r="I139" s="18">
        <v>12</v>
      </c>
      <c r="J139" s="19" t="s">
        <v>11</v>
      </c>
      <c r="K139" s="19" t="s">
        <v>11</v>
      </c>
      <c r="L139" s="19" t="s">
        <v>7977</v>
      </c>
      <c r="M139" s="18"/>
      <c r="N139" s="19"/>
      <c r="O139" s="19"/>
      <c r="P139" s="19"/>
      <c r="Q139" s="18"/>
      <c r="R139" s="18"/>
      <c r="S139" s="18"/>
      <c r="T139" s="18"/>
    </row>
    <row r="140" spans="1:20" hidden="1" x14ac:dyDescent="0.25">
      <c r="A140" s="18">
        <v>118</v>
      </c>
      <c r="B140" s="18" t="s">
        <v>317</v>
      </c>
      <c r="C140" s="18" t="s">
        <v>681</v>
      </c>
      <c r="D140" s="18" t="s">
        <v>678</v>
      </c>
      <c r="E140" s="18">
        <v>1</v>
      </c>
      <c r="F140" s="20">
        <v>45219</v>
      </c>
      <c r="G140" s="20">
        <v>45223</v>
      </c>
      <c r="H140" s="21">
        <v>2</v>
      </c>
      <c r="I140" s="18">
        <v>13</v>
      </c>
      <c r="J140" s="19" t="s">
        <v>11</v>
      </c>
      <c r="K140" s="19" t="s">
        <v>11</v>
      </c>
      <c r="L140" s="19" t="s">
        <v>7977</v>
      </c>
      <c r="M140" s="18"/>
      <c r="N140" s="19" t="s">
        <v>11</v>
      </c>
      <c r="O140" s="19" t="s">
        <v>7977</v>
      </c>
      <c r="P140" s="19" t="s">
        <v>11</v>
      </c>
      <c r="Q140" s="18" t="s">
        <v>7981</v>
      </c>
      <c r="R140" s="18"/>
      <c r="S140" s="19"/>
      <c r="T140" s="18"/>
    </row>
    <row r="141" spans="1:20" hidden="1" x14ac:dyDescent="0.25">
      <c r="A141" s="18">
        <v>763</v>
      </c>
      <c r="B141" s="18" t="s">
        <v>125</v>
      </c>
      <c r="C141" s="18" t="s">
        <v>2723</v>
      </c>
      <c r="D141" s="18" t="s">
        <v>2720</v>
      </c>
      <c r="E141" s="18">
        <v>2</v>
      </c>
      <c r="F141" s="18"/>
      <c r="G141" s="20">
        <v>45336</v>
      </c>
      <c r="H141" s="21">
        <v>1</v>
      </c>
      <c r="I141" s="18">
        <v>14</v>
      </c>
      <c r="J141" s="19" t="s">
        <v>11</v>
      </c>
      <c r="K141" s="19" t="s">
        <v>11</v>
      </c>
      <c r="L141" s="19" t="s">
        <v>7977</v>
      </c>
      <c r="M141" s="18"/>
      <c r="N141" s="19"/>
      <c r="O141" s="19"/>
      <c r="P141" s="19"/>
      <c r="Q141" s="18"/>
      <c r="R141" s="18"/>
      <c r="S141" s="18"/>
      <c r="T141" s="18"/>
    </row>
    <row r="142" spans="1:20" hidden="1" x14ac:dyDescent="0.25">
      <c r="A142" s="18">
        <v>416</v>
      </c>
      <c r="B142" s="18" t="s">
        <v>109</v>
      </c>
      <c r="C142" s="18" t="s">
        <v>681</v>
      </c>
      <c r="D142" s="18" t="s">
        <v>105</v>
      </c>
      <c r="E142" s="18">
        <v>2</v>
      </c>
      <c r="F142" s="18"/>
      <c r="G142" s="20">
        <v>45331</v>
      </c>
      <c r="H142" s="21">
        <v>1</v>
      </c>
      <c r="I142" s="18">
        <v>42</v>
      </c>
      <c r="J142" s="19" t="s">
        <v>7977</v>
      </c>
      <c r="K142" s="19" t="s">
        <v>7977</v>
      </c>
      <c r="L142" s="19" t="s">
        <v>11</v>
      </c>
      <c r="M142" s="18"/>
      <c r="N142" s="19"/>
      <c r="O142" s="19"/>
      <c r="P142" s="19"/>
      <c r="Q142" s="18"/>
      <c r="R142" s="18"/>
      <c r="S142" s="18"/>
      <c r="T142" s="18"/>
    </row>
    <row r="143" spans="1:20" hidden="1" x14ac:dyDescent="0.25">
      <c r="A143" s="18">
        <v>1136</v>
      </c>
      <c r="B143" s="18"/>
      <c r="C143" s="18" t="s">
        <v>6800</v>
      </c>
      <c r="D143" s="18" t="s">
        <v>3942</v>
      </c>
      <c r="E143" s="18">
        <v>2</v>
      </c>
      <c r="F143" s="18"/>
      <c r="G143" s="20">
        <v>45275</v>
      </c>
      <c r="H143" s="21">
        <v>1</v>
      </c>
      <c r="I143" s="18">
        <v>22</v>
      </c>
      <c r="J143" s="19" t="s">
        <v>11</v>
      </c>
      <c r="K143" s="19" t="s">
        <v>11</v>
      </c>
      <c r="L143" s="19" t="s">
        <v>7977</v>
      </c>
      <c r="M143" s="18"/>
      <c r="N143" s="19"/>
      <c r="O143" s="19"/>
      <c r="P143" s="19"/>
      <c r="Q143" s="18"/>
      <c r="R143" s="18"/>
      <c r="S143" s="18"/>
      <c r="T143" s="18"/>
    </row>
    <row r="144" spans="1:20" hidden="1" x14ac:dyDescent="0.25">
      <c r="A144" s="18">
        <v>647</v>
      </c>
      <c r="B144" s="18" t="s">
        <v>109</v>
      </c>
      <c r="C144" s="18" t="s">
        <v>340</v>
      </c>
      <c r="D144" s="18" t="s">
        <v>103</v>
      </c>
      <c r="E144" s="18">
        <v>2</v>
      </c>
      <c r="F144" s="18"/>
      <c r="G144" s="20">
        <v>45539</v>
      </c>
      <c r="H144" s="21">
        <v>1</v>
      </c>
      <c r="I144" s="18">
        <v>35</v>
      </c>
      <c r="J144" s="19" t="s">
        <v>11</v>
      </c>
      <c r="K144" s="19" t="s">
        <v>11</v>
      </c>
      <c r="L144" s="19" t="s">
        <v>7977</v>
      </c>
      <c r="M144" s="18"/>
      <c r="N144" s="19"/>
      <c r="O144" s="19"/>
      <c r="P144" s="19"/>
      <c r="Q144" s="18"/>
      <c r="R144" s="18"/>
      <c r="S144" s="18"/>
      <c r="T144" s="18"/>
    </row>
    <row r="145" spans="1:20" hidden="1" x14ac:dyDescent="0.25">
      <c r="A145" s="18">
        <v>266</v>
      </c>
      <c r="B145" s="18"/>
      <c r="C145" s="18" t="s">
        <v>6800</v>
      </c>
      <c r="D145" s="18" t="s">
        <v>217</v>
      </c>
      <c r="E145" s="18">
        <v>1</v>
      </c>
      <c r="F145" s="18"/>
      <c r="G145" s="20">
        <v>45600</v>
      </c>
      <c r="H145" s="21">
        <v>1</v>
      </c>
      <c r="I145" s="18">
        <v>7</v>
      </c>
      <c r="J145" s="19" t="s">
        <v>11</v>
      </c>
      <c r="K145" s="19" t="s">
        <v>11</v>
      </c>
      <c r="L145" s="19" t="s">
        <v>7977</v>
      </c>
      <c r="M145" s="18"/>
      <c r="N145" s="19"/>
      <c r="O145" s="19"/>
      <c r="P145" s="19"/>
      <c r="Q145" s="18"/>
      <c r="R145" s="18" t="s">
        <v>7974</v>
      </c>
      <c r="S145" s="18"/>
      <c r="T145" s="18"/>
    </row>
    <row r="146" spans="1:20" hidden="1" x14ac:dyDescent="0.25">
      <c r="A146" s="18">
        <v>131</v>
      </c>
      <c r="B146" s="18" t="s">
        <v>30</v>
      </c>
      <c r="C146" s="18" t="s">
        <v>393</v>
      </c>
      <c r="D146" s="18" t="s">
        <v>41</v>
      </c>
      <c r="E146" s="18">
        <v>2</v>
      </c>
      <c r="F146" s="18"/>
      <c r="G146" s="20">
        <v>45461</v>
      </c>
      <c r="H146" s="21">
        <v>1</v>
      </c>
      <c r="I146" s="18">
        <v>28</v>
      </c>
      <c r="J146" s="19" t="s">
        <v>11</v>
      </c>
      <c r="K146" s="19" t="s">
        <v>7977</v>
      </c>
      <c r="L146" s="19" t="s">
        <v>7977</v>
      </c>
      <c r="M146" s="18"/>
      <c r="N146" s="19"/>
      <c r="O146" s="19"/>
      <c r="P146" s="19"/>
      <c r="Q146" s="18"/>
      <c r="R146" s="18"/>
      <c r="S146" s="19"/>
      <c r="T146" s="18"/>
    </row>
    <row r="147" spans="1:20" hidden="1" x14ac:dyDescent="0.25">
      <c r="A147" s="18">
        <v>336</v>
      </c>
      <c r="B147" s="18" t="s">
        <v>7974</v>
      </c>
      <c r="C147" s="18" t="s">
        <v>1357</v>
      </c>
      <c r="D147" s="18" t="s">
        <v>175</v>
      </c>
      <c r="E147" s="18">
        <v>3</v>
      </c>
      <c r="F147" s="18"/>
      <c r="G147" s="18"/>
      <c r="H147" s="21"/>
      <c r="I147" s="18"/>
      <c r="J147" s="19"/>
      <c r="K147" s="19"/>
      <c r="L147" s="19"/>
      <c r="M147" s="18"/>
      <c r="N147" s="19"/>
      <c r="O147" s="19"/>
      <c r="P147" s="19"/>
      <c r="Q147" s="18"/>
      <c r="R147" s="18"/>
      <c r="S147" s="18"/>
      <c r="T147" s="18"/>
    </row>
    <row r="148" spans="1:20" hidden="1" x14ac:dyDescent="0.25">
      <c r="A148" s="18">
        <v>9</v>
      </c>
      <c r="B148" s="18" t="s">
        <v>7835</v>
      </c>
      <c r="C148" s="18" t="s">
        <v>315</v>
      </c>
      <c r="D148" s="18" t="s">
        <v>350</v>
      </c>
      <c r="E148" s="18">
        <v>1</v>
      </c>
      <c r="F148" s="18"/>
      <c r="G148" s="20">
        <v>45297</v>
      </c>
      <c r="H148" s="21">
        <v>1</v>
      </c>
      <c r="I148" s="18">
        <v>9</v>
      </c>
      <c r="J148" s="19" t="s">
        <v>11</v>
      </c>
      <c r="K148" s="19" t="s">
        <v>11</v>
      </c>
      <c r="L148" s="19" t="s">
        <v>7977</v>
      </c>
      <c r="M148" s="18"/>
      <c r="N148" s="19"/>
      <c r="O148" s="19"/>
      <c r="P148" s="19"/>
      <c r="Q148" s="18"/>
      <c r="R148" s="18"/>
      <c r="S148" s="19"/>
      <c r="T148" s="18"/>
    </row>
    <row r="149" spans="1:20" hidden="1" x14ac:dyDescent="0.25">
      <c r="A149" s="18">
        <v>234</v>
      </c>
      <c r="B149" s="18" t="s">
        <v>47</v>
      </c>
      <c r="C149" s="18" t="s">
        <v>760</v>
      </c>
      <c r="D149" s="18" t="s">
        <v>113</v>
      </c>
      <c r="E149" s="18">
        <v>1</v>
      </c>
      <c r="F149" s="18"/>
      <c r="G149" s="20">
        <v>45442</v>
      </c>
      <c r="H149" s="21">
        <v>1</v>
      </c>
      <c r="I149" s="18">
        <v>8</v>
      </c>
      <c r="J149" s="19" t="s">
        <v>11</v>
      </c>
      <c r="K149" s="19" t="s">
        <v>11</v>
      </c>
      <c r="L149" s="19" t="s">
        <v>7977</v>
      </c>
      <c r="M149" s="18"/>
      <c r="N149" s="19"/>
      <c r="O149" s="19"/>
      <c r="P149" s="19"/>
      <c r="Q149" s="18"/>
      <c r="R149" s="18"/>
      <c r="S149" s="19"/>
      <c r="T149" s="18"/>
    </row>
    <row r="150" spans="1:20" hidden="1" x14ac:dyDescent="0.25">
      <c r="A150" s="18">
        <v>1473</v>
      </c>
      <c r="B150" s="18"/>
      <c r="C150" s="18" t="s">
        <v>6800</v>
      </c>
      <c r="D150" s="18" t="s">
        <v>5039</v>
      </c>
      <c r="E150" s="18">
        <v>3</v>
      </c>
      <c r="F150" s="18"/>
      <c r="G150" s="20">
        <v>45282</v>
      </c>
      <c r="H150" s="21">
        <v>1</v>
      </c>
      <c r="I150" s="18">
        <v>74</v>
      </c>
      <c r="J150" s="19" t="s">
        <v>11</v>
      </c>
      <c r="K150" s="19" t="s">
        <v>7977</v>
      </c>
      <c r="L150" s="19" t="s">
        <v>11</v>
      </c>
      <c r="M150" s="18"/>
      <c r="N150" s="19"/>
      <c r="O150" s="19"/>
      <c r="P150" s="19"/>
      <c r="Q150" s="18"/>
      <c r="R150" s="18"/>
      <c r="S150" s="18"/>
      <c r="T150" s="18"/>
    </row>
    <row r="151" spans="1:20" hidden="1" x14ac:dyDescent="0.25">
      <c r="A151" s="18">
        <v>265</v>
      </c>
      <c r="B151" s="18"/>
      <c r="C151" s="18" t="s">
        <v>6800</v>
      </c>
      <c r="D151" s="18" t="s">
        <v>216</v>
      </c>
      <c r="E151" s="18">
        <v>3</v>
      </c>
      <c r="F151" s="18"/>
      <c r="G151" s="20">
        <v>45282</v>
      </c>
      <c r="H151" s="21">
        <v>1</v>
      </c>
      <c r="I151" s="18">
        <v>34</v>
      </c>
      <c r="J151" s="19" t="s">
        <v>11</v>
      </c>
      <c r="K151" s="19" t="s">
        <v>7977</v>
      </c>
      <c r="L151" s="19" t="s">
        <v>7977</v>
      </c>
      <c r="M151" s="18"/>
      <c r="N151" s="19"/>
      <c r="O151" s="19"/>
      <c r="P151" s="19"/>
      <c r="Q151" s="18"/>
      <c r="R151" s="18"/>
      <c r="S151" s="18"/>
      <c r="T151" s="18"/>
    </row>
    <row r="152" spans="1:20" hidden="1" x14ac:dyDescent="0.25">
      <c r="A152" s="18">
        <v>256</v>
      </c>
      <c r="B152" s="18"/>
      <c r="C152" s="18" t="s">
        <v>6800</v>
      </c>
      <c r="D152" s="18" t="s">
        <v>214</v>
      </c>
      <c r="E152" s="18">
        <v>2</v>
      </c>
      <c r="F152" s="18"/>
      <c r="G152" s="20">
        <v>45282</v>
      </c>
      <c r="H152" s="21">
        <v>1</v>
      </c>
      <c r="I152" s="18">
        <v>26</v>
      </c>
      <c r="J152" s="19" t="s">
        <v>11</v>
      </c>
      <c r="K152" s="19" t="s">
        <v>7977</v>
      </c>
      <c r="L152" s="19" t="s">
        <v>7977</v>
      </c>
      <c r="M152" s="18"/>
      <c r="N152" s="19"/>
      <c r="O152" s="19"/>
      <c r="P152" s="19"/>
      <c r="Q152" s="18"/>
      <c r="R152" s="18"/>
      <c r="S152" s="18"/>
      <c r="T152" s="18"/>
    </row>
    <row r="153" spans="1:20" hidden="1" x14ac:dyDescent="0.25">
      <c r="A153" s="18">
        <v>276</v>
      </c>
      <c r="B153" s="18"/>
      <c r="C153" s="18" t="s">
        <v>6800</v>
      </c>
      <c r="D153" s="18" t="s">
        <v>222</v>
      </c>
      <c r="E153" s="18">
        <v>2</v>
      </c>
      <c r="F153" s="18"/>
      <c r="G153" s="20">
        <v>45280</v>
      </c>
      <c r="H153" s="21">
        <v>1</v>
      </c>
      <c r="I153" s="18">
        <v>63</v>
      </c>
      <c r="J153" s="19" t="s">
        <v>11</v>
      </c>
      <c r="K153" s="19" t="s">
        <v>11</v>
      </c>
      <c r="L153" s="19" t="s">
        <v>8021</v>
      </c>
      <c r="M153" s="18"/>
      <c r="N153" s="19"/>
      <c r="O153" s="19"/>
      <c r="P153" s="19"/>
      <c r="Q153" s="18"/>
      <c r="R153" s="18"/>
      <c r="S153" s="18"/>
      <c r="T153" s="18"/>
    </row>
    <row r="154" spans="1:20" hidden="1" x14ac:dyDescent="0.25">
      <c r="A154" s="18">
        <v>417</v>
      </c>
      <c r="B154" s="18" t="s">
        <v>7833</v>
      </c>
      <c r="C154" s="18" t="s">
        <v>1628</v>
      </c>
      <c r="D154" s="18" t="s">
        <v>15</v>
      </c>
      <c r="E154" s="18">
        <v>2</v>
      </c>
      <c r="F154" s="18"/>
      <c r="G154" s="20">
        <v>45308</v>
      </c>
      <c r="H154" s="21">
        <v>1</v>
      </c>
      <c r="I154" s="18">
        <v>95</v>
      </c>
      <c r="J154" s="19" t="s">
        <v>7977</v>
      </c>
      <c r="K154" s="19" t="s">
        <v>7977</v>
      </c>
      <c r="L154" s="19" t="s">
        <v>11</v>
      </c>
      <c r="M154" s="18"/>
      <c r="N154" s="19"/>
      <c r="O154" s="19"/>
      <c r="P154" s="19"/>
      <c r="Q154" s="18"/>
      <c r="R154" s="18"/>
      <c r="S154" s="18"/>
      <c r="T154" s="18"/>
    </row>
    <row r="155" spans="1:20" hidden="1" x14ac:dyDescent="0.25">
      <c r="A155" s="18">
        <v>2405</v>
      </c>
      <c r="B155" s="18"/>
      <c r="C155" s="18"/>
      <c r="D155" s="18" t="s">
        <v>7867</v>
      </c>
      <c r="E155" s="18">
        <v>2</v>
      </c>
      <c r="F155" s="18"/>
      <c r="G155" s="20">
        <v>45481</v>
      </c>
      <c r="H155" s="21">
        <v>1</v>
      </c>
      <c r="I155" s="18">
        <v>5</v>
      </c>
      <c r="J155" s="19" t="s">
        <v>11</v>
      </c>
      <c r="K155" s="19" t="s">
        <v>11</v>
      </c>
      <c r="L155" s="19" t="s">
        <v>7977</v>
      </c>
      <c r="M155" s="18"/>
      <c r="N155" s="19"/>
      <c r="O155" s="19"/>
      <c r="P155" s="19"/>
      <c r="Q155" s="18"/>
      <c r="R155" s="18"/>
      <c r="S155" s="18"/>
      <c r="T155" s="18"/>
    </row>
    <row r="156" spans="1:20" hidden="1" x14ac:dyDescent="0.25">
      <c r="A156" s="18">
        <v>752</v>
      </c>
      <c r="B156" s="18"/>
      <c r="C156" s="18" t="s">
        <v>6800</v>
      </c>
      <c r="D156" s="18" t="s">
        <v>2685</v>
      </c>
      <c r="E156" s="18">
        <v>2</v>
      </c>
      <c r="F156" s="18"/>
      <c r="G156" s="20">
        <v>45226</v>
      </c>
      <c r="H156" s="21">
        <v>1</v>
      </c>
      <c r="I156" s="18">
        <v>29</v>
      </c>
      <c r="J156" s="19" t="s">
        <v>11</v>
      </c>
      <c r="K156" s="19" t="s">
        <v>7977</v>
      </c>
      <c r="L156" s="19" t="s">
        <v>7977</v>
      </c>
      <c r="M156" s="18"/>
      <c r="N156" s="19"/>
      <c r="O156" s="19"/>
      <c r="P156" s="19"/>
      <c r="Q156" s="18"/>
      <c r="R156" s="18"/>
      <c r="S156" s="18"/>
      <c r="T156" s="18"/>
    </row>
    <row r="157" spans="1:20" hidden="1" x14ac:dyDescent="0.25">
      <c r="A157" s="18">
        <v>474</v>
      </c>
      <c r="B157" s="18"/>
      <c r="C157" s="18" t="s">
        <v>6800</v>
      </c>
      <c r="D157" s="18" t="s">
        <v>1805</v>
      </c>
      <c r="E157" s="18">
        <v>2</v>
      </c>
      <c r="F157" s="18"/>
      <c r="G157" s="20">
        <v>45344</v>
      </c>
      <c r="H157" s="21">
        <v>1</v>
      </c>
      <c r="I157" s="18">
        <v>32</v>
      </c>
      <c r="J157" s="19" t="s">
        <v>11</v>
      </c>
      <c r="K157" s="19" t="s">
        <v>7977</v>
      </c>
      <c r="L157" s="19" t="s">
        <v>7977</v>
      </c>
      <c r="M157" s="18"/>
      <c r="N157" s="19"/>
      <c r="O157" s="19"/>
      <c r="P157" s="19"/>
      <c r="Q157" s="18"/>
      <c r="R157" s="18"/>
      <c r="S157" s="18"/>
      <c r="T157" s="18"/>
    </row>
    <row r="158" spans="1:20" hidden="1" x14ac:dyDescent="0.25">
      <c r="A158" s="18">
        <v>328</v>
      </c>
      <c r="B158" s="18" t="s">
        <v>573</v>
      </c>
      <c r="C158" s="18" t="s">
        <v>573</v>
      </c>
      <c r="D158" s="18" t="s">
        <v>148</v>
      </c>
      <c r="E158" s="18">
        <v>2</v>
      </c>
      <c r="F158" s="18"/>
      <c r="G158" s="20">
        <v>45323</v>
      </c>
      <c r="H158" s="21">
        <v>1</v>
      </c>
      <c r="I158" s="18">
        <v>14</v>
      </c>
      <c r="J158" s="19" t="s">
        <v>11</v>
      </c>
      <c r="K158" s="19" t="s">
        <v>7977</v>
      </c>
      <c r="L158" s="19" t="s">
        <v>7977</v>
      </c>
      <c r="M158" s="18"/>
      <c r="N158" s="19"/>
      <c r="O158" s="19"/>
      <c r="P158" s="19"/>
      <c r="Q158" s="18"/>
      <c r="R158" s="18"/>
      <c r="S158" s="18"/>
      <c r="T158" s="18"/>
    </row>
    <row r="159" spans="1:20" hidden="1" x14ac:dyDescent="0.25">
      <c r="A159" s="18">
        <v>547</v>
      </c>
      <c r="B159" s="18"/>
      <c r="C159" s="18" t="s">
        <v>6800</v>
      </c>
      <c r="D159" s="18" t="s">
        <v>2044</v>
      </c>
      <c r="E159" s="18">
        <v>2</v>
      </c>
      <c r="F159" s="18"/>
      <c r="G159" s="20">
        <v>45268</v>
      </c>
      <c r="H159" s="21">
        <v>1</v>
      </c>
      <c r="I159" s="18">
        <v>16</v>
      </c>
      <c r="J159" s="19" t="s">
        <v>11</v>
      </c>
      <c r="K159" s="19" t="s">
        <v>11</v>
      </c>
      <c r="L159" s="19" t="s">
        <v>7977</v>
      </c>
      <c r="M159" s="18"/>
      <c r="N159" s="19"/>
      <c r="O159" s="19"/>
      <c r="P159" s="19"/>
      <c r="Q159" s="18"/>
      <c r="R159" s="18"/>
      <c r="S159" s="18"/>
      <c r="T159" s="18"/>
    </row>
    <row r="160" spans="1:20" hidden="1" x14ac:dyDescent="0.25">
      <c r="A160" s="18">
        <v>200</v>
      </c>
      <c r="B160" s="18" t="s">
        <v>30</v>
      </c>
      <c r="C160" s="18" t="s">
        <v>720</v>
      </c>
      <c r="D160" s="18" t="s">
        <v>17</v>
      </c>
      <c r="E160" s="18">
        <v>2</v>
      </c>
      <c r="F160" s="18"/>
      <c r="G160" s="20">
        <v>45226</v>
      </c>
      <c r="H160" s="21">
        <v>1</v>
      </c>
      <c r="I160" s="18">
        <v>26</v>
      </c>
      <c r="J160" s="19" t="s">
        <v>11</v>
      </c>
      <c r="K160" s="19" t="s">
        <v>7977</v>
      </c>
      <c r="L160" s="19" t="s">
        <v>7977</v>
      </c>
      <c r="M160" s="18"/>
      <c r="N160" s="19"/>
      <c r="O160" s="19"/>
      <c r="P160" s="19"/>
      <c r="Q160" s="18"/>
      <c r="R160" s="18"/>
      <c r="S160" s="19"/>
      <c r="T160" s="18"/>
    </row>
    <row r="161" spans="1:20" hidden="1" x14ac:dyDescent="0.25">
      <c r="A161" s="18">
        <v>2251</v>
      </c>
      <c r="B161" s="18"/>
      <c r="C161" s="18" t="s">
        <v>6800</v>
      </c>
      <c r="D161" s="18" t="s">
        <v>7570</v>
      </c>
      <c r="E161" s="18">
        <v>3</v>
      </c>
      <c r="F161" s="18"/>
      <c r="G161" s="20">
        <v>45314</v>
      </c>
      <c r="H161" s="21">
        <v>1</v>
      </c>
      <c r="I161" s="18">
        <v>17</v>
      </c>
      <c r="J161" s="19" t="s">
        <v>11</v>
      </c>
      <c r="K161" s="19" t="s">
        <v>11</v>
      </c>
      <c r="L161" s="19" t="s">
        <v>7977</v>
      </c>
      <c r="M161" s="18"/>
      <c r="N161" s="19"/>
      <c r="O161" s="19"/>
      <c r="P161" s="19"/>
      <c r="Q161" s="18"/>
      <c r="R161" s="18"/>
      <c r="S161" s="18"/>
      <c r="T161" s="18"/>
    </row>
    <row r="162" spans="1:20" hidden="1" x14ac:dyDescent="0.25">
      <c r="A162" s="18">
        <v>2067</v>
      </c>
      <c r="B162" s="18"/>
      <c r="C162" s="18"/>
      <c r="D162" s="18" t="s">
        <v>6975</v>
      </c>
      <c r="E162" s="18">
        <v>2</v>
      </c>
      <c r="F162" s="18"/>
      <c r="G162" s="20">
        <v>45481</v>
      </c>
      <c r="H162" s="21">
        <v>1</v>
      </c>
      <c r="I162" s="18">
        <v>26</v>
      </c>
      <c r="J162" s="19" t="s">
        <v>11</v>
      </c>
      <c r="K162" s="19" t="s">
        <v>7977</v>
      </c>
      <c r="L162" s="19" t="s">
        <v>7977</v>
      </c>
      <c r="M162" s="18"/>
      <c r="N162" s="19"/>
      <c r="O162" s="19"/>
      <c r="P162" s="19"/>
      <c r="Q162" s="18"/>
      <c r="R162" s="18"/>
      <c r="S162" s="18"/>
      <c r="T162" s="18"/>
    </row>
    <row r="163" spans="1:20" hidden="1" x14ac:dyDescent="0.25">
      <c r="A163" s="18">
        <v>323</v>
      </c>
      <c r="B163" s="18" t="s">
        <v>7833</v>
      </c>
      <c r="C163" s="18" t="s">
        <v>1122</v>
      </c>
      <c r="D163" s="18" t="s">
        <v>19</v>
      </c>
      <c r="E163" s="18">
        <v>2</v>
      </c>
      <c r="F163" s="18"/>
      <c r="G163" s="20">
        <v>45271</v>
      </c>
      <c r="H163" s="21">
        <v>1</v>
      </c>
      <c r="I163" s="18">
        <v>11</v>
      </c>
      <c r="J163" s="19" t="s">
        <v>11</v>
      </c>
      <c r="K163" s="19" t="s">
        <v>11</v>
      </c>
      <c r="L163" s="19" t="s">
        <v>7977</v>
      </c>
      <c r="M163" s="18"/>
      <c r="N163" s="19"/>
      <c r="O163" s="19"/>
      <c r="P163" s="19"/>
      <c r="Q163" s="18"/>
      <c r="R163" s="18"/>
      <c r="S163" s="18"/>
      <c r="T163" s="18"/>
    </row>
    <row r="164" spans="1:20" hidden="1" x14ac:dyDescent="0.25">
      <c r="A164" s="18">
        <v>191</v>
      </c>
      <c r="B164" s="18" t="s">
        <v>7835</v>
      </c>
      <c r="C164" s="18" t="s">
        <v>907</v>
      </c>
      <c r="D164" s="18" t="s">
        <v>908</v>
      </c>
      <c r="E164" s="18">
        <v>1</v>
      </c>
      <c r="F164" s="18"/>
      <c r="G164" s="20">
        <v>45321</v>
      </c>
      <c r="H164" s="21">
        <v>1</v>
      </c>
      <c r="I164" s="18">
        <v>3</v>
      </c>
      <c r="J164" s="19" t="s">
        <v>11</v>
      </c>
      <c r="K164" s="19" t="s">
        <v>11</v>
      </c>
      <c r="L164" s="19" t="s">
        <v>7977</v>
      </c>
      <c r="M164" s="18"/>
      <c r="N164" s="19"/>
      <c r="O164" s="19"/>
      <c r="P164" s="19"/>
      <c r="Q164" s="18"/>
      <c r="R164" s="18"/>
      <c r="S164" s="19"/>
      <c r="T164" s="18"/>
    </row>
    <row r="165" spans="1:20" hidden="1" x14ac:dyDescent="0.25">
      <c r="A165" s="18">
        <v>1137</v>
      </c>
      <c r="B165" s="18"/>
      <c r="C165" s="18" t="s">
        <v>6800</v>
      </c>
      <c r="D165" s="18" t="s">
        <v>3946</v>
      </c>
      <c r="E165" s="18">
        <v>1</v>
      </c>
      <c r="F165" s="18"/>
      <c r="G165" s="20">
        <v>45278</v>
      </c>
      <c r="H165" s="21">
        <v>1</v>
      </c>
      <c r="I165" s="18">
        <v>5</v>
      </c>
      <c r="J165" s="19" t="s">
        <v>11</v>
      </c>
      <c r="K165" s="19" t="s">
        <v>11</v>
      </c>
      <c r="L165" s="19" t="s">
        <v>7977</v>
      </c>
      <c r="M165" s="18"/>
      <c r="N165" s="19"/>
      <c r="O165" s="19"/>
      <c r="P165" s="19"/>
      <c r="Q165" s="18"/>
      <c r="R165" s="18"/>
      <c r="S165" s="18"/>
      <c r="T165" s="18"/>
    </row>
    <row r="166" spans="1:20" hidden="1" x14ac:dyDescent="0.25">
      <c r="A166" s="18">
        <v>52</v>
      </c>
      <c r="B166" s="18"/>
      <c r="C166" s="18" t="s">
        <v>6800</v>
      </c>
      <c r="D166" s="18" t="s">
        <v>482</v>
      </c>
      <c r="E166" s="18">
        <v>3</v>
      </c>
      <c r="F166" s="18"/>
      <c r="G166" s="20">
        <v>45260</v>
      </c>
      <c r="H166" s="21">
        <v>1</v>
      </c>
      <c r="I166" s="18">
        <v>22</v>
      </c>
      <c r="J166" s="19" t="s">
        <v>11</v>
      </c>
      <c r="K166" s="19" t="s">
        <v>7977</v>
      </c>
      <c r="L166" s="19" t="s">
        <v>11</v>
      </c>
      <c r="M166" s="18"/>
      <c r="N166" s="19" t="s">
        <v>7977</v>
      </c>
      <c r="O166" s="19"/>
      <c r="P166" s="19"/>
      <c r="Q166" s="18"/>
      <c r="R166" s="18"/>
      <c r="S166" s="18"/>
      <c r="T166" s="18"/>
    </row>
    <row r="167" spans="1:20" hidden="1" x14ac:dyDescent="0.25">
      <c r="A167" s="18">
        <v>51</v>
      </c>
      <c r="B167" s="18" t="s">
        <v>30</v>
      </c>
      <c r="C167" s="18" t="s">
        <v>445</v>
      </c>
      <c r="D167" s="18" t="s">
        <v>46</v>
      </c>
      <c r="E167" s="18">
        <v>3</v>
      </c>
      <c r="F167" s="18"/>
      <c r="G167" s="20">
        <v>45307</v>
      </c>
      <c r="H167" s="21">
        <v>1</v>
      </c>
      <c r="I167" s="18">
        <v>58</v>
      </c>
      <c r="J167" s="19" t="s">
        <v>11</v>
      </c>
      <c r="K167" s="19" t="s">
        <v>7977</v>
      </c>
      <c r="L167" s="19" t="s">
        <v>11</v>
      </c>
      <c r="M167" s="18"/>
      <c r="N167" s="19" t="s">
        <v>7977</v>
      </c>
      <c r="O167" s="19"/>
      <c r="P167" s="19"/>
      <c r="Q167" s="18"/>
      <c r="R167" s="18"/>
      <c r="S167" s="18"/>
      <c r="T167" s="18"/>
    </row>
    <row r="168" spans="1:20" hidden="1" x14ac:dyDescent="0.25">
      <c r="A168" s="18">
        <v>435</v>
      </c>
      <c r="B168" s="18" t="s">
        <v>125</v>
      </c>
      <c r="C168" s="18" t="s">
        <v>1686</v>
      </c>
      <c r="D168" s="18" t="s">
        <v>154</v>
      </c>
      <c r="E168" s="18">
        <v>2</v>
      </c>
      <c r="F168" s="18"/>
      <c r="G168" s="20">
        <v>45341</v>
      </c>
      <c r="H168" s="21">
        <v>1</v>
      </c>
      <c r="I168" s="18">
        <v>13</v>
      </c>
      <c r="J168" s="19" t="s">
        <v>11</v>
      </c>
      <c r="K168" s="19" t="s">
        <v>11</v>
      </c>
      <c r="L168" s="19" t="s">
        <v>7977</v>
      </c>
      <c r="M168" s="18"/>
      <c r="N168" s="19"/>
      <c r="O168" s="19"/>
      <c r="P168" s="19"/>
      <c r="Q168" s="18"/>
      <c r="R168" s="18"/>
      <c r="S168" s="18"/>
      <c r="T168" s="18"/>
    </row>
    <row r="169" spans="1:20" hidden="1" x14ac:dyDescent="0.25">
      <c r="A169" s="18">
        <v>31</v>
      </c>
      <c r="B169" s="18" t="s">
        <v>293</v>
      </c>
      <c r="C169" s="18" t="s">
        <v>404</v>
      </c>
      <c r="D169" s="18" t="s">
        <v>417</v>
      </c>
      <c r="E169" s="18">
        <v>2</v>
      </c>
      <c r="F169" s="18"/>
      <c r="G169" s="20">
        <v>45303</v>
      </c>
      <c r="H169" s="21">
        <v>1</v>
      </c>
      <c r="I169" s="18">
        <v>45</v>
      </c>
      <c r="J169" s="19" t="s">
        <v>11</v>
      </c>
      <c r="K169" s="19" t="s">
        <v>11</v>
      </c>
      <c r="L169" s="19" t="s">
        <v>11</v>
      </c>
      <c r="M169" s="18"/>
      <c r="N169" s="19" t="s">
        <v>7977</v>
      </c>
      <c r="O169" s="19"/>
      <c r="P169" s="19"/>
      <c r="Q169" s="18"/>
      <c r="R169" s="18"/>
      <c r="S169" s="18"/>
      <c r="T169" s="18">
        <v>556</v>
      </c>
    </row>
    <row r="170" spans="1:20" hidden="1" x14ac:dyDescent="0.25">
      <c r="A170" s="18">
        <v>556</v>
      </c>
      <c r="B170" s="18"/>
      <c r="C170" s="18" t="s">
        <v>6800</v>
      </c>
      <c r="D170" s="18" t="s">
        <v>2071</v>
      </c>
      <c r="E170" s="18">
        <v>2</v>
      </c>
      <c r="F170" s="18"/>
      <c r="G170" s="20">
        <v>45310</v>
      </c>
      <c r="H170" s="21">
        <v>1</v>
      </c>
      <c r="I170" s="18">
        <v>37</v>
      </c>
      <c r="J170" s="19" t="s">
        <v>11</v>
      </c>
      <c r="K170" s="19" t="s">
        <v>11</v>
      </c>
      <c r="L170" s="19" t="s">
        <v>7977</v>
      </c>
      <c r="M170" s="18"/>
      <c r="N170" s="19"/>
      <c r="O170" s="19"/>
      <c r="P170" s="19"/>
      <c r="Q170" s="18"/>
      <c r="R170" s="18"/>
      <c r="S170" s="18"/>
      <c r="T170" s="18">
        <v>31</v>
      </c>
    </row>
    <row r="171" spans="1:20" hidden="1" x14ac:dyDescent="0.25">
      <c r="A171" s="18">
        <v>503</v>
      </c>
      <c r="B171" s="18"/>
      <c r="C171" s="18" t="s">
        <v>6800</v>
      </c>
      <c r="D171" s="18" t="s">
        <v>1902</v>
      </c>
      <c r="E171" s="18">
        <v>2</v>
      </c>
      <c r="F171" s="18"/>
      <c r="G171" s="20">
        <v>45310</v>
      </c>
      <c r="H171" s="21">
        <v>1</v>
      </c>
      <c r="I171" s="18">
        <v>21</v>
      </c>
      <c r="J171" s="19" t="s">
        <v>11</v>
      </c>
      <c r="K171" s="19" t="s">
        <v>7977</v>
      </c>
      <c r="L171" s="19" t="s">
        <v>7977</v>
      </c>
      <c r="M171" s="18"/>
      <c r="N171" s="19"/>
      <c r="O171" s="19"/>
      <c r="P171" s="19"/>
      <c r="Q171" s="18"/>
      <c r="R171" s="18"/>
      <c r="S171" s="18"/>
      <c r="T171" s="18"/>
    </row>
    <row r="172" spans="1:20" hidden="1" x14ac:dyDescent="0.25">
      <c r="A172" s="18">
        <v>496</v>
      </c>
      <c r="B172" s="18"/>
      <c r="C172" s="18" t="s">
        <v>6800</v>
      </c>
      <c r="D172" s="18" t="s">
        <v>1878</v>
      </c>
      <c r="E172" s="18">
        <v>1</v>
      </c>
      <c r="F172" s="18"/>
      <c r="G172" s="20">
        <v>45310</v>
      </c>
      <c r="H172" s="21">
        <v>1</v>
      </c>
      <c r="I172" s="18">
        <v>12</v>
      </c>
      <c r="J172" s="19" t="s">
        <v>11</v>
      </c>
      <c r="K172" s="19" t="s">
        <v>11</v>
      </c>
      <c r="L172" s="19" t="s">
        <v>7977</v>
      </c>
      <c r="M172" s="18"/>
      <c r="N172" s="19"/>
      <c r="O172" s="19"/>
      <c r="P172" s="19"/>
      <c r="Q172" s="18"/>
      <c r="R172" s="18"/>
      <c r="S172" s="18"/>
      <c r="T172" s="18"/>
    </row>
    <row r="173" spans="1:20" hidden="1" x14ac:dyDescent="0.25">
      <c r="A173" s="18">
        <v>743</v>
      </c>
      <c r="B173" s="18" t="s">
        <v>7833</v>
      </c>
      <c r="C173" s="18" t="s">
        <v>1891</v>
      </c>
      <c r="D173" s="18" t="s">
        <v>2656</v>
      </c>
      <c r="E173" s="18">
        <v>2</v>
      </c>
      <c r="F173" s="18"/>
      <c r="G173" s="20">
        <v>45274</v>
      </c>
      <c r="H173" s="21">
        <v>1</v>
      </c>
      <c r="I173" s="18">
        <v>36</v>
      </c>
      <c r="J173" s="19" t="s">
        <v>11</v>
      </c>
      <c r="K173" s="19" t="s">
        <v>11</v>
      </c>
      <c r="L173" s="19" t="s">
        <v>7977</v>
      </c>
      <c r="M173" s="18"/>
      <c r="N173" s="19"/>
      <c r="O173" s="19"/>
      <c r="P173" s="19"/>
      <c r="Q173" s="18"/>
      <c r="R173" s="18"/>
      <c r="S173" s="18"/>
      <c r="T173" s="18"/>
    </row>
    <row r="174" spans="1:20" hidden="1" x14ac:dyDescent="0.25">
      <c r="A174" s="18">
        <v>589</v>
      </c>
      <c r="B174" s="18"/>
      <c r="C174" s="18" t="s">
        <v>6800</v>
      </c>
      <c r="D174" s="18" t="s">
        <v>2172</v>
      </c>
      <c r="E174" s="18">
        <v>1</v>
      </c>
      <c r="F174" s="18"/>
      <c r="G174" s="20">
        <v>45257</v>
      </c>
      <c r="H174" s="21">
        <v>1</v>
      </c>
      <c r="I174" s="18">
        <v>14</v>
      </c>
      <c r="J174" s="19" t="s">
        <v>11</v>
      </c>
      <c r="K174" s="19" t="s">
        <v>11</v>
      </c>
      <c r="L174" s="19" t="s">
        <v>7977</v>
      </c>
      <c r="M174" s="18"/>
      <c r="N174" s="19"/>
      <c r="O174" s="19"/>
      <c r="P174" s="19"/>
      <c r="Q174" s="18"/>
      <c r="R174" s="18"/>
      <c r="S174" s="18"/>
      <c r="T174" s="18"/>
    </row>
    <row r="175" spans="1:20" hidden="1" x14ac:dyDescent="0.25">
      <c r="A175" s="18">
        <v>590</v>
      </c>
      <c r="B175" s="18"/>
      <c r="C175" s="18" t="s">
        <v>6800</v>
      </c>
      <c r="D175" s="18" t="s">
        <v>2176</v>
      </c>
      <c r="E175" s="18">
        <v>1</v>
      </c>
      <c r="F175" s="18"/>
      <c r="G175" s="20">
        <v>45257</v>
      </c>
      <c r="H175" s="21">
        <v>1</v>
      </c>
      <c r="I175" s="18">
        <v>11</v>
      </c>
      <c r="J175" s="19" t="s">
        <v>11</v>
      </c>
      <c r="K175" s="19" t="s">
        <v>11</v>
      </c>
      <c r="L175" s="19" t="s">
        <v>7977</v>
      </c>
      <c r="M175" s="18"/>
      <c r="N175" s="19"/>
      <c r="O175" s="19"/>
      <c r="P175" s="19"/>
      <c r="Q175" s="18"/>
      <c r="R175" s="18"/>
      <c r="S175" s="18"/>
      <c r="T175" s="18"/>
    </row>
    <row r="176" spans="1:20" hidden="1" x14ac:dyDescent="0.25">
      <c r="A176" s="18">
        <v>429</v>
      </c>
      <c r="B176" s="18"/>
      <c r="C176" s="18" t="s">
        <v>6800</v>
      </c>
      <c r="D176" s="18" t="s">
        <v>1665</v>
      </c>
      <c r="E176" s="18">
        <v>2</v>
      </c>
      <c r="F176" s="18"/>
      <c r="G176" s="20">
        <v>45257</v>
      </c>
      <c r="H176" s="21">
        <v>1</v>
      </c>
      <c r="I176" s="18">
        <v>12</v>
      </c>
      <c r="J176" s="19" t="s">
        <v>11</v>
      </c>
      <c r="K176" s="19" t="s">
        <v>11</v>
      </c>
      <c r="L176" s="19" t="s">
        <v>7977</v>
      </c>
      <c r="M176" s="18"/>
      <c r="N176" s="19"/>
      <c r="O176" s="19"/>
      <c r="P176" s="19"/>
      <c r="Q176" s="18"/>
      <c r="R176" s="18"/>
      <c r="S176" s="18"/>
      <c r="T176" s="18"/>
    </row>
    <row r="177" spans="1:20" hidden="1" x14ac:dyDescent="0.25">
      <c r="A177" s="18">
        <v>731</v>
      </c>
      <c r="B177" s="18"/>
      <c r="C177" s="18" t="s">
        <v>6800</v>
      </c>
      <c r="D177" s="18" t="s">
        <v>2617</v>
      </c>
      <c r="E177" s="18">
        <v>2</v>
      </c>
      <c r="F177" s="18"/>
      <c r="G177" s="20">
        <v>45314</v>
      </c>
      <c r="H177" s="21">
        <v>1</v>
      </c>
      <c r="I177" s="18">
        <v>63</v>
      </c>
      <c r="J177" s="19" t="s">
        <v>11</v>
      </c>
      <c r="K177" s="19" t="s">
        <v>7977</v>
      </c>
      <c r="L177" s="19" t="s">
        <v>8021</v>
      </c>
      <c r="M177" s="18"/>
      <c r="N177" s="19"/>
      <c r="O177" s="19"/>
      <c r="P177" s="19"/>
      <c r="Q177" s="18"/>
      <c r="R177" s="18"/>
      <c r="S177" s="18"/>
      <c r="T177" s="18"/>
    </row>
    <row r="178" spans="1:20" hidden="1" x14ac:dyDescent="0.25">
      <c r="A178" s="18">
        <v>43</v>
      </c>
      <c r="B178" s="18" t="s">
        <v>7835</v>
      </c>
      <c r="C178" s="18" t="s">
        <v>456</v>
      </c>
      <c r="D178" s="18" t="s">
        <v>453</v>
      </c>
      <c r="E178" s="18">
        <v>2</v>
      </c>
      <c r="F178" s="18"/>
      <c r="G178" s="20">
        <v>45320</v>
      </c>
      <c r="H178" s="21">
        <v>1</v>
      </c>
      <c r="I178" s="18">
        <v>16</v>
      </c>
      <c r="J178" s="19" t="s">
        <v>11</v>
      </c>
      <c r="K178" s="19" t="s">
        <v>11</v>
      </c>
      <c r="L178" s="19" t="s">
        <v>7977</v>
      </c>
      <c r="M178" s="18"/>
      <c r="N178" s="19"/>
      <c r="O178" s="19"/>
      <c r="P178" s="19"/>
      <c r="Q178" s="18"/>
      <c r="R178" s="18"/>
      <c r="S178" s="19"/>
      <c r="T178" s="18"/>
    </row>
    <row r="179" spans="1:20" ht="60" hidden="1" x14ac:dyDescent="0.25">
      <c r="A179" s="18">
        <v>283</v>
      </c>
      <c r="B179" s="18" t="s">
        <v>293</v>
      </c>
      <c r="C179" s="18" t="s">
        <v>404</v>
      </c>
      <c r="D179" s="18" t="s">
        <v>297</v>
      </c>
      <c r="E179" s="18">
        <v>1</v>
      </c>
      <c r="F179" s="18"/>
      <c r="G179" s="20">
        <v>45223</v>
      </c>
      <c r="H179" s="21">
        <v>1</v>
      </c>
      <c r="I179" s="18">
        <v>37</v>
      </c>
      <c r="J179" s="19" t="s">
        <v>11</v>
      </c>
      <c r="K179" s="19" t="s">
        <v>7977</v>
      </c>
      <c r="L179" s="19" t="s">
        <v>11</v>
      </c>
      <c r="M179" s="18"/>
      <c r="N179" s="19" t="s">
        <v>11</v>
      </c>
      <c r="O179" s="19" t="s">
        <v>7977</v>
      </c>
      <c r="P179" s="19" t="s">
        <v>11</v>
      </c>
      <c r="Q179" s="18" t="s">
        <v>7995</v>
      </c>
      <c r="R179" s="18"/>
      <c r="S179" s="19" t="s">
        <v>7996</v>
      </c>
      <c r="T179" s="18"/>
    </row>
    <row r="180" spans="1:20" hidden="1" x14ac:dyDescent="0.25">
      <c r="A180" s="18">
        <v>947</v>
      </c>
      <c r="B180" s="18"/>
      <c r="C180" s="18" t="s">
        <v>6800</v>
      </c>
      <c r="D180" s="18" t="s">
        <v>3333</v>
      </c>
      <c r="E180" s="18">
        <v>2</v>
      </c>
      <c r="F180" s="18"/>
      <c r="G180" s="18"/>
      <c r="H180" s="21"/>
      <c r="I180" s="18"/>
      <c r="J180" s="19"/>
      <c r="K180" s="19"/>
      <c r="L180" s="19"/>
      <c r="M180" s="18"/>
      <c r="N180" s="19"/>
      <c r="O180" s="19"/>
      <c r="P180" s="19"/>
      <c r="Q180" s="18"/>
      <c r="R180" s="18"/>
      <c r="S180" s="18"/>
      <c r="T180" s="18"/>
    </row>
    <row r="181" spans="1:20" hidden="1" x14ac:dyDescent="0.25">
      <c r="A181" s="18">
        <v>163</v>
      </c>
      <c r="B181" s="18" t="s">
        <v>317</v>
      </c>
      <c r="C181" s="18" t="s">
        <v>317</v>
      </c>
      <c r="D181" s="18" t="s">
        <v>202</v>
      </c>
      <c r="E181" s="18">
        <v>1</v>
      </c>
      <c r="F181" s="18"/>
      <c r="G181" s="20">
        <v>45303</v>
      </c>
      <c r="H181" s="21">
        <v>1</v>
      </c>
      <c r="I181" s="18">
        <v>15</v>
      </c>
      <c r="J181" s="19" t="s">
        <v>11</v>
      </c>
      <c r="K181" s="19" t="s">
        <v>11</v>
      </c>
      <c r="L181" s="19" t="s">
        <v>7977</v>
      </c>
      <c r="M181" s="18"/>
      <c r="N181" s="19"/>
      <c r="O181" s="18"/>
      <c r="P181" s="19"/>
      <c r="Q181" s="18"/>
      <c r="R181" s="18"/>
      <c r="S181" s="19"/>
      <c r="T181" s="18"/>
    </row>
    <row r="182" spans="1:20" hidden="1" x14ac:dyDescent="0.25">
      <c r="A182" s="18">
        <v>268</v>
      </c>
      <c r="B182" s="18" t="s">
        <v>61</v>
      </c>
      <c r="C182" s="18" t="s">
        <v>1142</v>
      </c>
      <c r="D182" s="18" t="s">
        <v>62</v>
      </c>
      <c r="E182" s="18">
        <v>1</v>
      </c>
      <c r="F182" s="18"/>
      <c r="G182" s="20">
        <v>45446</v>
      </c>
      <c r="H182" s="21">
        <v>1</v>
      </c>
      <c r="I182" s="18">
        <v>7</v>
      </c>
      <c r="J182" s="19" t="s">
        <v>11</v>
      </c>
      <c r="K182" s="19" t="s">
        <v>11</v>
      </c>
      <c r="L182" s="19" t="s">
        <v>7977</v>
      </c>
      <c r="M182" s="18"/>
      <c r="N182" s="19"/>
      <c r="O182" s="19"/>
      <c r="P182" s="19"/>
      <c r="Q182" s="18"/>
      <c r="R182" s="18"/>
      <c r="S182" s="19"/>
      <c r="T182" s="18"/>
    </row>
    <row r="183" spans="1:20" hidden="1" x14ac:dyDescent="0.25">
      <c r="A183" s="18">
        <v>76</v>
      </c>
      <c r="B183" s="18" t="s">
        <v>156</v>
      </c>
      <c r="C183" s="18" t="s">
        <v>334</v>
      </c>
      <c r="D183" s="18" t="s">
        <v>165</v>
      </c>
      <c r="E183" s="18">
        <v>3</v>
      </c>
      <c r="F183" s="18"/>
      <c r="G183" s="18"/>
      <c r="H183" s="21"/>
      <c r="I183" s="18"/>
      <c r="J183" s="19"/>
      <c r="K183" s="19"/>
      <c r="L183" s="19"/>
      <c r="M183" s="18"/>
      <c r="N183" s="19"/>
      <c r="O183" s="19"/>
      <c r="P183" s="19"/>
      <c r="Q183" s="18"/>
      <c r="R183" s="18"/>
      <c r="S183" s="18"/>
      <c r="T183" s="18"/>
    </row>
    <row r="184" spans="1:20" hidden="1" x14ac:dyDescent="0.25">
      <c r="A184" s="18">
        <v>209</v>
      </c>
      <c r="B184" s="18"/>
      <c r="C184" s="18" t="s">
        <v>6800</v>
      </c>
      <c r="D184" s="18" t="s">
        <v>157</v>
      </c>
      <c r="E184" s="18">
        <v>2</v>
      </c>
      <c r="F184" s="18"/>
      <c r="G184" s="20">
        <v>45223</v>
      </c>
      <c r="H184" s="21">
        <v>1</v>
      </c>
      <c r="I184" s="18">
        <v>40</v>
      </c>
      <c r="J184" s="19" t="s">
        <v>11</v>
      </c>
      <c r="K184" s="19" t="s">
        <v>7977</v>
      </c>
      <c r="L184" s="19" t="s">
        <v>11</v>
      </c>
      <c r="M184" s="18"/>
      <c r="N184" s="19" t="s">
        <v>11</v>
      </c>
      <c r="O184" s="19" t="s">
        <v>11</v>
      </c>
      <c r="P184" s="19" t="s">
        <v>11</v>
      </c>
      <c r="Q184" s="18" t="s">
        <v>7988</v>
      </c>
      <c r="R184" s="18"/>
      <c r="S184" s="18" t="s">
        <v>7989</v>
      </c>
      <c r="T184" s="18"/>
    </row>
    <row r="185" spans="1:20" hidden="1" x14ac:dyDescent="0.25">
      <c r="A185" s="18">
        <v>1249</v>
      </c>
      <c r="B185" s="18"/>
      <c r="C185" s="18" t="s">
        <v>6800</v>
      </c>
      <c r="D185" s="18" t="s">
        <v>4311</v>
      </c>
      <c r="E185" s="18">
        <v>2</v>
      </c>
      <c r="F185" s="18"/>
      <c r="G185" s="18"/>
      <c r="H185" s="21"/>
      <c r="I185" s="18"/>
      <c r="J185" s="19"/>
      <c r="K185" s="19"/>
      <c r="L185" s="19"/>
      <c r="M185" s="18"/>
      <c r="N185" s="19"/>
      <c r="O185" s="19"/>
      <c r="P185" s="19"/>
      <c r="Q185" s="18"/>
      <c r="R185" s="18"/>
      <c r="S185" s="18"/>
      <c r="T185" s="18"/>
    </row>
    <row r="186" spans="1:20" hidden="1" x14ac:dyDescent="0.25">
      <c r="A186" s="18">
        <v>64</v>
      </c>
      <c r="B186" s="18" t="s">
        <v>109</v>
      </c>
      <c r="C186" s="18" t="s">
        <v>515</v>
      </c>
      <c r="D186" s="18" t="s">
        <v>516</v>
      </c>
      <c r="E186" s="18">
        <v>2</v>
      </c>
      <c r="F186" s="18"/>
      <c r="G186" s="20">
        <v>45282</v>
      </c>
      <c r="H186" s="21">
        <v>1</v>
      </c>
      <c r="I186" s="18">
        <v>19</v>
      </c>
      <c r="J186" s="19" t="s">
        <v>11</v>
      </c>
      <c r="K186" s="19" t="s">
        <v>11</v>
      </c>
      <c r="L186" s="19" t="s">
        <v>7977</v>
      </c>
      <c r="M186" s="18"/>
      <c r="N186" s="19"/>
      <c r="O186" s="19"/>
      <c r="P186" s="19"/>
      <c r="Q186" s="18"/>
      <c r="R186" s="18"/>
      <c r="S186" s="18"/>
      <c r="T186" s="18"/>
    </row>
    <row r="187" spans="1:20" hidden="1" x14ac:dyDescent="0.25">
      <c r="A187" s="18">
        <v>1658</v>
      </c>
      <c r="B187" s="18"/>
      <c r="C187" s="18"/>
      <c r="D187" s="18" t="s">
        <v>5649</v>
      </c>
      <c r="E187" s="18">
        <v>2</v>
      </c>
      <c r="F187" s="18"/>
      <c r="G187" s="20">
        <v>45475</v>
      </c>
      <c r="H187" s="21">
        <v>1</v>
      </c>
      <c r="I187" s="18">
        <v>31</v>
      </c>
      <c r="J187" s="19" t="s">
        <v>11</v>
      </c>
      <c r="K187" s="19" t="s">
        <v>11</v>
      </c>
      <c r="L187" s="19" t="s">
        <v>7977</v>
      </c>
      <c r="M187" s="18"/>
      <c r="N187" s="19"/>
      <c r="O187" s="19"/>
      <c r="P187" s="19"/>
      <c r="Q187" s="18"/>
      <c r="R187" s="18"/>
      <c r="S187" s="18"/>
      <c r="T187" s="18"/>
    </row>
    <row r="188" spans="1:20" hidden="1" x14ac:dyDescent="0.25">
      <c r="A188" s="18">
        <v>1326</v>
      </c>
      <c r="B188" s="18"/>
      <c r="C188" s="18" t="s">
        <v>6800</v>
      </c>
      <c r="D188" s="18" t="s">
        <v>4563</v>
      </c>
      <c r="E188" s="18">
        <v>3</v>
      </c>
      <c r="F188" s="18"/>
      <c r="G188" s="20">
        <v>45316</v>
      </c>
      <c r="H188" s="21">
        <v>1</v>
      </c>
      <c r="I188" s="18">
        <v>27</v>
      </c>
      <c r="J188" s="19" t="s">
        <v>11</v>
      </c>
      <c r="K188" s="19" t="s">
        <v>7977</v>
      </c>
      <c r="L188" s="19" t="s">
        <v>11</v>
      </c>
      <c r="M188" s="18"/>
      <c r="N188" s="19" t="s">
        <v>7977</v>
      </c>
      <c r="O188" s="19"/>
      <c r="P188" s="19"/>
      <c r="Q188" s="18"/>
      <c r="R188" s="18"/>
      <c r="S188" s="18"/>
      <c r="T188" s="18"/>
    </row>
    <row r="189" spans="1:20" hidden="1" x14ac:dyDescent="0.25">
      <c r="A189" s="18">
        <v>871</v>
      </c>
      <c r="B189" s="18"/>
      <c r="C189" s="18" t="s">
        <v>6800</v>
      </c>
      <c r="D189" s="18" t="s">
        <v>3077</v>
      </c>
      <c r="E189" s="18">
        <v>3</v>
      </c>
      <c r="F189" s="18"/>
      <c r="G189" s="18"/>
      <c r="H189" s="21"/>
      <c r="I189" s="18"/>
      <c r="J189" s="19"/>
      <c r="K189" s="19"/>
      <c r="L189" s="19"/>
      <c r="M189" s="18"/>
      <c r="N189" s="19"/>
      <c r="O189" s="19"/>
      <c r="P189" s="19"/>
      <c r="Q189" s="18"/>
      <c r="R189" s="18"/>
      <c r="S189" s="18"/>
      <c r="T189" s="18"/>
    </row>
    <row r="190" spans="1:20" hidden="1" x14ac:dyDescent="0.25">
      <c r="A190" s="18">
        <v>1888</v>
      </c>
      <c r="B190" s="18"/>
      <c r="C190" s="18" t="s">
        <v>6800</v>
      </c>
      <c r="D190" s="18" t="s">
        <v>6391</v>
      </c>
      <c r="E190" s="18">
        <v>2</v>
      </c>
      <c r="F190" s="18"/>
      <c r="G190" s="18"/>
      <c r="H190" s="21"/>
      <c r="I190" s="18"/>
      <c r="J190" s="19"/>
      <c r="K190" s="19"/>
      <c r="L190" s="19"/>
      <c r="M190" s="18"/>
      <c r="N190" s="19"/>
      <c r="O190" s="19"/>
      <c r="P190" s="19"/>
      <c r="Q190" s="18"/>
      <c r="R190" s="18"/>
      <c r="S190" s="18"/>
      <c r="T190" s="18"/>
    </row>
    <row r="191" spans="1:20" hidden="1" x14ac:dyDescent="0.25">
      <c r="A191" s="18">
        <v>1482</v>
      </c>
      <c r="B191" s="18"/>
      <c r="C191" s="18"/>
      <c r="D191" s="18" t="s">
        <v>5068</v>
      </c>
      <c r="E191" s="18">
        <v>2</v>
      </c>
      <c r="F191" s="18"/>
      <c r="G191" s="20">
        <v>45447</v>
      </c>
      <c r="H191" s="21">
        <v>1</v>
      </c>
      <c r="I191" s="18">
        <v>20</v>
      </c>
      <c r="J191" s="19" t="s">
        <v>11</v>
      </c>
      <c r="K191" s="19" t="s">
        <v>11</v>
      </c>
      <c r="L191" s="19" t="s">
        <v>7977</v>
      </c>
      <c r="M191" s="18">
        <v>1</v>
      </c>
      <c r="N191" s="19"/>
      <c r="O191" s="19"/>
      <c r="P191" s="19"/>
      <c r="Q191" s="18"/>
      <c r="R191" s="18"/>
      <c r="S191" s="18"/>
      <c r="T191" s="18"/>
    </row>
    <row r="192" spans="1:20" hidden="1" x14ac:dyDescent="0.25">
      <c r="A192" s="18">
        <v>452</v>
      </c>
      <c r="B192" s="18"/>
      <c r="C192" s="18" t="s">
        <v>6800</v>
      </c>
      <c r="D192" s="18" t="s">
        <v>127</v>
      </c>
      <c r="E192" s="18">
        <v>2</v>
      </c>
      <c r="F192" s="18"/>
      <c r="G192" s="20">
        <v>45314</v>
      </c>
      <c r="H192" s="21">
        <v>1</v>
      </c>
      <c r="I192" s="18">
        <v>23</v>
      </c>
      <c r="J192" s="19" t="s">
        <v>11</v>
      </c>
      <c r="K192" s="19" t="s">
        <v>11</v>
      </c>
      <c r="L192" s="19" t="s">
        <v>7977</v>
      </c>
      <c r="M192" s="18"/>
      <c r="N192" s="19"/>
      <c r="O192" s="19"/>
      <c r="P192" s="19"/>
      <c r="Q192" s="18"/>
      <c r="R192" s="18"/>
      <c r="S192" s="18"/>
      <c r="T192" s="18"/>
    </row>
    <row r="193" spans="1:20" hidden="1" x14ac:dyDescent="0.25">
      <c r="A193" s="18">
        <v>1197</v>
      </c>
      <c r="B193" s="18" t="s">
        <v>7830</v>
      </c>
      <c r="C193" s="18" t="s">
        <v>4139</v>
      </c>
      <c r="D193" s="18" t="s">
        <v>4136</v>
      </c>
      <c r="E193" s="18">
        <v>2</v>
      </c>
      <c r="F193" s="18"/>
      <c r="G193" s="20">
        <v>45323</v>
      </c>
      <c r="H193" s="21">
        <v>1</v>
      </c>
      <c r="I193" s="18">
        <v>63</v>
      </c>
      <c r="J193" s="19" t="s">
        <v>11</v>
      </c>
      <c r="K193" s="19" t="s">
        <v>7977</v>
      </c>
      <c r="L193" s="19" t="s">
        <v>7977</v>
      </c>
      <c r="M193" s="18"/>
      <c r="N193" s="19" t="s">
        <v>7977</v>
      </c>
      <c r="O193" s="19"/>
      <c r="P193" s="19"/>
      <c r="Q193" s="18"/>
      <c r="R193" s="18"/>
      <c r="S193" s="18"/>
      <c r="T193" s="18"/>
    </row>
    <row r="194" spans="1:20" hidden="1" x14ac:dyDescent="0.25">
      <c r="A194" s="18">
        <v>1851</v>
      </c>
      <c r="B194" s="18" t="s">
        <v>150</v>
      </c>
      <c r="C194" s="18" t="s">
        <v>6272</v>
      </c>
      <c r="D194" s="18" t="s">
        <v>6269</v>
      </c>
      <c r="E194" s="18">
        <v>3</v>
      </c>
      <c r="F194" s="18"/>
      <c r="G194" s="18"/>
      <c r="H194" s="21"/>
      <c r="I194" s="18"/>
      <c r="J194" s="19"/>
      <c r="K194" s="19"/>
      <c r="L194" s="19"/>
      <c r="M194" s="18"/>
      <c r="N194" s="19"/>
      <c r="O194" s="19"/>
      <c r="P194" s="19"/>
      <c r="Q194" s="18"/>
      <c r="R194" s="18"/>
      <c r="S194" s="18"/>
      <c r="T194" s="18"/>
    </row>
    <row r="195" spans="1:20" hidden="1" x14ac:dyDescent="0.25">
      <c r="A195" s="18">
        <v>599</v>
      </c>
      <c r="B195" s="18" t="s">
        <v>7974</v>
      </c>
      <c r="C195" s="18" t="s">
        <v>6800</v>
      </c>
      <c r="D195" s="18" t="s">
        <v>2203</v>
      </c>
      <c r="E195" s="18">
        <v>1</v>
      </c>
      <c r="F195" s="18"/>
      <c r="G195" s="20">
        <v>45224</v>
      </c>
      <c r="H195" s="21">
        <v>1</v>
      </c>
      <c r="I195" s="18">
        <v>13</v>
      </c>
      <c r="J195" s="19" t="s">
        <v>11</v>
      </c>
      <c r="K195" s="19" t="s">
        <v>11</v>
      </c>
      <c r="L195" s="19" t="s">
        <v>7977</v>
      </c>
      <c r="M195" s="18"/>
      <c r="N195" s="19" t="s">
        <v>11</v>
      </c>
      <c r="O195" s="19"/>
      <c r="P195" s="19"/>
      <c r="Q195" s="18"/>
      <c r="R195" s="18"/>
      <c r="S195" s="18"/>
      <c r="T195" s="18"/>
    </row>
    <row r="196" spans="1:20" hidden="1" x14ac:dyDescent="0.25">
      <c r="A196" s="18">
        <v>310</v>
      </c>
      <c r="B196" s="18" t="s">
        <v>7830</v>
      </c>
      <c r="C196" s="18" t="s">
        <v>957</v>
      </c>
      <c r="D196" s="18" t="s">
        <v>21</v>
      </c>
      <c r="E196" s="18">
        <v>2</v>
      </c>
      <c r="F196" s="18"/>
      <c r="G196" s="20">
        <v>45275</v>
      </c>
      <c r="H196" s="21">
        <v>1</v>
      </c>
      <c r="I196" s="18">
        <v>96</v>
      </c>
      <c r="J196" s="19" t="s">
        <v>7977</v>
      </c>
      <c r="K196" s="19" t="s">
        <v>7977</v>
      </c>
      <c r="L196" s="19" t="s">
        <v>11</v>
      </c>
      <c r="M196" s="18"/>
      <c r="N196" s="19"/>
      <c r="O196" s="19"/>
      <c r="P196" s="19"/>
      <c r="Q196" s="18"/>
      <c r="R196" s="18"/>
      <c r="S196" s="18"/>
      <c r="T196" s="18"/>
    </row>
    <row r="197" spans="1:20" hidden="1" x14ac:dyDescent="0.25">
      <c r="A197" s="18">
        <v>931</v>
      </c>
      <c r="B197" s="18"/>
      <c r="C197" s="18" t="s">
        <v>6800</v>
      </c>
      <c r="D197" s="18" t="s">
        <v>3279</v>
      </c>
      <c r="E197" s="18">
        <v>2</v>
      </c>
      <c r="F197" s="18"/>
      <c r="G197" s="20">
        <v>45282</v>
      </c>
      <c r="H197" s="21">
        <v>1</v>
      </c>
      <c r="I197" s="18">
        <v>20</v>
      </c>
      <c r="J197" s="19" t="s">
        <v>11</v>
      </c>
      <c r="K197" s="19" t="s">
        <v>7977</v>
      </c>
      <c r="L197" s="19" t="s">
        <v>7977</v>
      </c>
      <c r="M197" s="18"/>
      <c r="N197" s="19"/>
      <c r="O197" s="19"/>
      <c r="P197" s="19"/>
      <c r="Q197" s="18"/>
      <c r="R197" s="18"/>
      <c r="S197" s="18"/>
      <c r="T197" s="18"/>
    </row>
    <row r="198" spans="1:20" hidden="1" x14ac:dyDescent="0.25">
      <c r="A198" s="18">
        <v>1335</v>
      </c>
      <c r="B198" s="18"/>
      <c r="C198" s="18" t="s">
        <v>6800</v>
      </c>
      <c r="D198" s="18" t="s">
        <v>4591</v>
      </c>
      <c r="E198" s="18">
        <v>3</v>
      </c>
      <c r="F198" s="18"/>
      <c r="G198" s="20">
        <v>45279</v>
      </c>
      <c r="H198" s="21">
        <v>1</v>
      </c>
      <c r="I198" s="18">
        <v>28</v>
      </c>
      <c r="J198" s="19" t="s">
        <v>11</v>
      </c>
      <c r="K198" s="19" t="s">
        <v>7977</v>
      </c>
      <c r="L198" s="19" t="s">
        <v>8021</v>
      </c>
      <c r="M198" s="18"/>
      <c r="N198" s="19"/>
      <c r="O198" s="19"/>
      <c r="P198" s="19"/>
      <c r="Q198" s="18"/>
      <c r="R198" s="18"/>
      <c r="S198" s="18"/>
      <c r="T198" s="18"/>
    </row>
    <row r="199" spans="1:20" hidden="1" x14ac:dyDescent="0.25">
      <c r="A199" s="18">
        <v>111</v>
      </c>
      <c r="B199" s="18"/>
      <c r="C199" s="18" t="s">
        <v>6800</v>
      </c>
      <c r="D199" s="18" t="s">
        <v>12</v>
      </c>
      <c r="E199" s="18">
        <v>1</v>
      </c>
      <c r="F199" s="18"/>
      <c r="G199" s="18"/>
      <c r="H199" s="21"/>
      <c r="I199" s="18"/>
      <c r="J199" s="19"/>
      <c r="K199" s="19"/>
      <c r="L199" s="19"/>
      <c r="M199" s="18"/>
      <c r="N199" s="19"/>
      <c r="O199" s="19"/>
      <c r="P199" s="19"/>
      <c r="Q199" s="18"/>
      <c r="R199" s="18"/>
      <c r="S199" s="18"/>
      <c r="T199" s="18"/>
    </row>
    <row r="200" spans="1:20" hidden="1" x14ac:dyDescent="0.25">
      <c r="A200" s="18">
        <v>1167</v>
      </c>
      <c r="B200" s="18"/>
      <c r="C200" s="18" t="s">
        <v>6800</v>
      </c>
      <c r="D200" s="18" t="s">
        <v>4039</v>
      </c>
      <c r="E200" s="18">
        <v>2</v>
      </c>
      <c r="F200" s="18"/>
      <c r="G200" s="20">
        <v>45233</v>
      </c>
      <c r="H200" s="21">
        <v>1</v>
      </c>
      <c r="I200" s="18">
        <v>11</v>
      </c>
      <c r="J200" s="19" t="s">
        <v>11</v>
      </c>
      <c r="K200" s="19" t="s">
        <v>11</v>
      </c>
      <c r="L200" s="19" t="s">
        <v>7977</v>
      </c>
      <c r="M200" s="18"/>
      <c r="N200" s="19" t="s">
        <v>11</v>
      </c>
      <c r="O200" s="19"/>
      <c r="P200" s="19" t="s">
        <v>11</v>
      </c>
      <c r="Q200" s="18"/>
      <c r="R200" s="18"/>
      <c r="S200" s="18"/>
      <c r="T200" s="18"/>
    </row>
    <row r="201" spans="1:20" hidden="1" x14ac:dyDescent="0.25">
      <c r="A201" s="18">
        <v>924</v>
      </c>
      <c r="B201" s="18"/>
      <c r="C201" s="18" t="s">
        <v>6800</v>
      </c>
      <c r="D201" s="18" t="s">
        <v>3257</v>
      </c>
      <c r="E201" s="18">
        <v>3</v>
      </c>
      <c r="F201" s="18"/>
      <c r="G201" s="18"/>
      <c r="H201" s="21"/>
      <c r="I201" s="18"/>
      <c r="J201" s="19"/>
      <c r="K201" s="19"/>
      <c r="L201" s="19"/>
      <c r="M201" s="18"/>
      <c r="N201" s="19"/>
      <c r="O201" s="19"/>
      <c r="P201" s="19"/>
      <c r="Q201" s="18"/>
      <c r="R201" s="18"/>
      <c r="S201" s="18"/>
      <c r="T201" s="18"/>
    </row>
    <row r="202" spans="1:20" hidden="1" x14ac:dyDescent="0.25">
      <c r="A202" s="18">
        <v>155</v>
      </c>
      <c r="B202" s="18" t="s">
        <v>7829</v>
      </c>
      <c r="C202" s="18" t="s">
        <v>799</v>
      </c>
      <c r="D202" s="18" t="s">
        <v>796</v>
      </c>
      <c r="E202" s="18">
        <v>2</v>
      </c>
      <c r="F202" s="18"/>
      <c r="G202" s="20">
        <v>45229</v>
      </c>
      <c r="H202" s="21">
        <v>1</v>
      </c>
      <c r="I202" s="18">
        <v>23</v>
      </c>
      <c r="J202" s="19" t="s">
        <v>7977</v>
      </c>
      <c r="K202" s="19" t="s">
        <v>7977</v>
      </c>
      <c r="L202" s="19" t="s">
        <v>11</v>
      </c>
      <c r="M202" s="18"/>
      <c r="N202" s="19"/>
      <c r="O202" s="19"/>
      <c r="P202" s="19"/>
      <c r="Q202" s="18"/>
      <c r="R202" s="18"/>
      <c r="S202" s="19"/>
      <c r="T202" s="18"/>
    </row>
    <row r="203" spans="1:20" hidden="1" x14ac:dyDescent="0.25">
      <c r="A203" s="18">
        <v>1584</v>
      </c>
      <c r="B203" s="18" t="s">
        <v>7833</v>
      </c>
      <c r="C203" s="18" t="s">
        <v>5409</v>
      </c>
      <c r="D203" s="18" t="s">
        <v>5406</v>
      </c>
      <c r="E203" s="18">
        <v>2</v>
      </c>
      <c r="F203" s="18"/>
      <c r="G203" s="20">
        <v>45272</v>
      </c>
      <c r="H203" s="21">
        <v>1</v>
      </c>
      <c r="I203" s="18">
        <v>19</v>
      </c>
      <c r="J203" s="19" t="s">
        <v>11</v>
      </c>
      <c r="K203" s="19" t="s">
        <v>11</v>
      </c>
      <c r="L203" s="19" t="s">
        <v>7977</v>
      </c>
      <c r="M203" s="18"/>
      <c r="N203" s="19"/>
      <c r="O203" s="19"/>
      <c r="P203" s="19"/>
      <c r="Q203" s="18"/>
      <c r="R203" s="18"/>
      <c r="S203" s="18"/>
      <c r="T203" s="18"/>
    </row>
    <row r="204" spans="1:20" hidden="1" x14ac:dyDescent="0.25">
      <c r="A204" s="18">
        <v>746</v>
      </c>
      <c r="B204" s="18" t="s">
        <v>7834</v>
      </c>
      <c r="C204" s="18" t="s">
        <v>681</v>
      </c>
      <c r="D204" s="18" t="s">
        <v>2664</v>
      </c>
      <c r="E204" s="18">
        <v>1</v>
      </c>
      <c r="F204" s="18"/>
      <c r="G204" s="20">
        <v>45278</v>
      </c>
      <c r="H204" s="21">
        <v>1</v>
      </c>
      <c r="I204" s="18">
        <v>18</v>
      </c>
      <c r="J204" s="19" t="s">
        <v>11</v>
      </c>
      <c r="K204" s="19" t="s">
        <v>7977</v>
      </c>
      <c r="L204" s="19" t="s">
        <v>7977</v>
      </c>
      <c r="M204" s="18"/>
      <c r="N204" s="19"/>
      <c r="O204" s="18"/>
      <c r="P204" s="19"/>
      <c r="Q204" s="18"/>
      <c r="R204" s="18"/>
      <c r="S204" s="19"/>
      <c r="T204" s="18"/>
    </row>
    <row r="205" spans="1:20" hidden="1" x14ac:dyDescent="0.25">
      <c r="A205" s="18">
        <v>876</v>
      </c>
      <c r="B205" s="18" t="s">
        <v>573</v>
      </c>
      <c r="C205" s="18" t="s">
        <v>383</v>
      </c>
      <c r="D205" s="18" t="s">
        <v>112</v>
      </c>
      <c r="E205" s="18">
        <v>1</v>
      </c>
      <c r="F205" s="18"/>
      <c r="G205" s="20">
        <v>45442</v>
      </c>
      <c r="H205" s="21">
        <v>1</v>
      </c>
      <c r="I205" s="18">
        <v>7</v>
      </c>
      <c r="J205" s="19" t="s">
        <v>11</v>
      </c>
      <c r="K205" s="19" t="s">
        <v>11</v>
      </c>
      <c r="L205" s="19" t="s">
        <v>7977</v>
      </c>
      <c r="M205" s="18"/>
      <c r="N205" s="19"/>
      <c r="O205" s="19"/>
      <c r="P205" s="19"/>
      <c r="Q205" s="18"/>
      <c r="R205" s="18"/>
      <c r="S205" s="19"/>
      <c r="T205" s="18"/>
    </row>
    <row r="206" spans="1:20" hidden="1" x14ac:dyDescent="0.25">
      <c r="A206" s="18">
        <v>21</v>
      </c>
      <c r="B206" s="18" t="s">
        <v>47</v>
      </c>
      <c r="C206" s="18" t="s">
        <v>390</v>
      </c>
      <c r="D206" s="18" t="s">
        <v>179</v>
      </c>
      <c r="E206" s="18">
        <v>1</v>
      </c>
      <c r="F206" s="18"/>
      <c r="G206" s="20">
        <v>45251</v>
      </c>
      <c r="H206" s="21">
        <v>1</v>
      </c>
      <c r="I206" s="18">
        <v>9</v>
      </c>
      <c r="J206" s="19" t="s">
        <v>11</v>
      </c>
      <c r="K206" s="19" t="s">
        <v>11</v>
      </c>
      <c r="L206" s="19" t="s">
        <v>7977</v>
      </c>
      <c r="M206" s="18"/>
      <c r="N206" s="19" t="s">
        <v>11</v>
      </c>
      <c r="O206" s="19"/>
      <c r="P206" s="19"/>
      <c r="Q206" s="18"/>
      <c r="R206" s="18"/>
      <c r="S206" s="19"/>
      <c r="T206" s="18"/>
    </row>
    <row r="207" spans="1:20" hidden="1" x14ac:dyDescent="0.25">
      <c r="A207" s="18">
        <v>1899</v>
      </c>
      <c r="B207" s="18" t="s">
        <v>125</v>
      </c>
      <c r="C207" s="18" t="s">
        <v>732</v>
      </c>
      <c r="D207" s="18" t="s">
        <v>6428</v>
      </c>
      <c r="E207" s="18">
        <v>2</v>
      </c>
      <c r="F207" s="18"/>
      <c r="G207" s="20">
        <v>45328</v>
      </c>
      <c r="H207" s="21">
        <v>1</v>
      </c>
      <c r="I207" s="18">
        <v>55</v>
      </c>
      <c r="J207" s="19" t="s">
        <v>11</v>
      </c>
      <c r="K207" s="19" t="s">
        <v>7977</v>
      </c>
      <c r="L207" s="19" t="s">
        <v>8021</v>
      </c>
      <c r="M207" s="18"/>
      <c r="N207" s="19" t="s">
        <v>7977</v>
      </c>
      <c r="O207" s="19"/>
      <c r="P207" s="19"/>
      <c r="Q207" s="18"/>
      <c r="R207" s="18"/>
      <c r="S207" s="18"/>
      <c r="T207" s="18"/>
    </row>
    <row r="208" spans="1:20" hidden="1" x14ac:dyDescent="0.25">
      <c r="A208" s="18">
        <v>88</v>
      </c>
      <c r="B208" s="18" t="s">
        <v>293</v>
      </c>
      <c r="C208" s="18" t="s">
        <v>372</v>
      </c>
      <c r="D208" s="18" t="s">
        <v>588</v>
      </c>
      <c r="E208" s="18">
        <v>1</v>
      </c>
      <c r="F208" s="18"/>
      <c r="G208" s="20">
        <v>45301</v>
      </c>
      <c r="H208" s="21">
        <v>1</v>
      </c>
      <c r="I208" s="18">
        <v>11</v>
      </c>
      <c r="J208" s="19" t="s">
        <v>11</v>
      </c>
      <c r="K208" s="19" t="s">
        <v>11</v>
      </c>
      <c r="L208" s="19" t="s">
        <v>7977</v>
      </c>
      <c r="M208" s="18"/>
      <c r="N208" s="19"/>
      <c r="O208" s="19"/>
      <c r="P208" s="19"/>
      <c r="Q208" s="18"/>
      <c r="R208" s="18"/>
      <c r="S208" s="19"/>
      <c r="T208" s="18"/>
    </row>
    <row r="209" spans="1:20" hidden="1" x14ac:dyDescent="0.25">
      <c r="A209" s="18">
        <v>23</v>
      </c>
      <c r="B209" s="18" t="s">
        <v>573</v>
      </c>
      <c r="C209" s="18" t="s">
        <v>396</v>
      </c>
      <c r="D209" s="18" t="s">
        <v>139</v>
      </c>
      <c r="E209" s="18">
        <v>3</v>
      </c>
      <c r="F209" s="18"/>
      <c r="G209" s="20">
        <v>45299</v>
      </c>
      <c r="H209" s="21">
        <v>1</v>
      </c>
      <c r="I209" s="18">
        <v>27</v>
      </c>
      <c r="J209" s="19" t="s">
        <v>11</v>
      </c>
      <c r="K209" s="19" t="s">
        <v>7977</v>
      </c>
      <c r="L209" s="19" t="s">
        <v>7977</v>
      </c>
      <c r="M209" s="18"/>
      <c r="N209" s="19"/>
      <c r="O209" s="19"/>
      <c r="P209" s="19"/>
      <c r="Q209" s="18"/>
      <c r="R209" s="18"/>
      <c r="S209" s="18"/>
      <c r="T209" s="18"/>
    </row>
    <row r="210" spans="1:20" hidden="1" x14ac:dyDescent="0.25">
      <c r="A210" s="18">
        <v>56</v>
      </c>
      <c r="B210" s="18" t="s">
        <v>125</v>
      </c>
      <c r="C210" s="18" t="s">
        <v>495</v>
      </c>
      <c r="D210" s="18" t="s">
        <v>152</v>
      </c>
      <c r="E210" s="18">
        <v>2</v>
      </c>
      <c r="F210" s="18"/>
      <c r="G210" s="20">
        <v>45316</v>
      </c>
      <c r="H210" s="21">
        <v>1</v>
      </c>
      <c r="I210" s="18">
        <v>13</v>
      </c>
      <c r="J210" s="19" t="s">
        <v>11</v>
      </c>
      <c r="K210" s="19" t="s">
        <v>11</v>
      </c>
      <c r="L210" s="19" t="s">
        <v>7977</v>
      </c>
      <c r="M210" s="18"/>
      <c r="N210" s="19"/>
      <c r="O210" s="19"/>
      <c r="P210" s="19"/>
      <c r="Q210" s="18"/>
      <c r="R210" s="18"/>
      <c r="S210" s="19"/>
      <c r="T210" s="18"/>
    </row>
    <row r="211" spans="1:20" hidden="1" x14ac:dyDescent="0.25">
      <c r="A211" s="18">
        <v>253</v>
      </c>
      <c r="B211" s="18" t="s">
        <v>150</v>
      </c>
      <c r="C211" s="18" t="s">
        <v>1100</v>
      </c>
      <c r="D211" s="18" t="s">
        <v>134</v>
      </c>
      <c r="E211" s="18">
        <v>2</v>
      </c>
      <c r="F211" s="18"/>
      <c r="G211" s="20">
        <v>45233</v>
      </c>
      <c r="H211" s="21">
        <v>1</v>
      </c>
      <c r="I211" s="18">
        <v>24</v>
      </c>
      <c r="J211" s="19" t="s">
        <v>7990</v>
      </c>
      <c r="K211" s="19" t="s">
        <v>11</v>
      </c>
      <c r="L211" s="19" t="s">
        <v>11</v>
      </c>
      <c r="M211" s="18"/>
      <c r="N211" s="19"/>
      <c r="O211" s="19"/>
      <c r="P211" s="19"/>
      <c r="Q211" s="18"/>
      <c r="R211" s="18"/>
      <c r="S211" s="19"/>
      <c r="T211" s="18"/>
    </row>
    <row r="212" spans="1:20" hidden="1" x14ac:dyDescent="0.25">
      <c r="A212" s="18">
        <v>252</v>
      </c>
      <c r="B212" s="18" t="s">
        <v>150</v>
      </c>
      <c r="C212" s="18" t="s">
        <v>495</v>
      </c>
      <c r="D212" s="18" t="s">
        <v>151</v>
      </c>
      <c r="E212" s="18">
        <v>1</v>
      </c>
      <c r="F212" s="18"/>
      <c r="G212" s="20">
        <v>45308</v>
      </c>
      <c r="H212" s="21">
        <v>1</v>
      </c>
      <c r="I212" s="18">
        <v>5</v>
      </c>
      <c r="J212" s="19" t="s">
        <v>11</v>
      </c>
      <c r="K212" s="19" t="s">
        <v>11</v>
      </c>
      <c r="L212" s="19"/>
      <c r="M212" s="18"/>
      <c r="N212" s="19"/>
      <c r="O212" s="19"/>
      <c r="P212" s="19"/>
      <c r="Q212" s="18"/>
      <c r="R212" s="18"/>
      <c r="S212" s="19"/>
      <c r="T212" s="18"/>
    </row>
    <row r="213" spans="1:20" hidden="1" x14ac:dyDescent="0.25">
      <c r="A213" s="18">
        <v>4</v>
      </c>
      <c r="B213" s="18" t="s">
        <v>47</v>
      </c>
      <c r="C213" s="18" t="s">
        <v>337</v>
      </c>
      <c r="D213" s="18" t="s">
        <v>60</v>
      </c>
      <c r="E213" s="18">
        <v>3</v>
      </c>
      <c r="F213" s="18"/>
      <c r="G213" s="20">
        <v>45240</v>
      </c>
      <c r="H213" s="21">
        <v>1</v>
      </c>
      <c r="I213" s="18">
        <v>31</v>
      </c>
      <c r="J213" s="19" t="s">
        <v>7977</v>
      </c>
      <c r="K213" s="19" t="s">
        <v>7977</v>
      </c>
      <c r="L213" s="19" t="s">
        <v>11</v>
      </c>
      <c r="M213" s="18"/>
      <c r="N213" s="19"/>
      <c r="O213" s="19"/>
      <c r="P213" s="19"/>
      <c r="Q213" s="18"/>
      <c r="R213" s="18"/>
      <c r="S213" s="18"/>
      <c r="T213" s="18"/>
    </row>
    <row r="214" spans="1:20" hidden="1" x14ac:dyDescent="0.25">
      <c r="A214" s="18">
        <v>421</v>
      </c>
      <c r="B214" s="18"/>
      <c r="C214" s="18" t="s">
        <v>6800</v>
      </c>
      <c r="D214" s="18" t="s">
        <v>172</v>
      </c>
      <c r="E214" s="18">
        <v>2</v>
      </c>
      <c r="F214" s="18"/>
      <c r="G214" s="20">
        <v>45252</v>
      </c>
      <c r="H214" s="21">
        <v>1</v>
      </c>
      <c r="I214" s="18">
        <v>66</v>
      </c>
      <c r="J214" s="19" t="s">
        <v>11</v>
      </c>
      <c r="K214" s="19" t="s">
        <v>11</v>
      </c>
      <c r="L214" s="19" t="s">
        <v>11</v>
      </c>
      <c r="M214" s="18"/>
      <c r="N214" s="19"/>
      <c r="O214" s="19"/>
      <c r="P214" s="19"/>
      <c r="Q214" s="18"/>
      <c r="R214" s="18"/>
      <c r="S214" s="18"/>
      <c r="T214" s="18"/>
    </row>
    <row r="215" spans="1:20" hidden="1" x14ac:dyDescent="0.25">
      <c r="A215" s="18">
        <v>662</v>
      </c>
      <c r="B215" s="18" t="s">
        <v>7830</v>
      </c>
      <c r="C215" s="18" t="s">
        <v>628</v>
      </c>
      <c r="D215" s="18" t="s">
        <v>304</v>
      </c>
      <c r="E215" s="18">
        <v>2</v>
      </c>
      <c r="F215" s="18"/>
      <c r="G215" s="20">
        <v>45321</v>
      </c>
      <c r="H215" s="21">
        <v>1</v>
      </c>
      <c r="I215" s="18">
        <v>21</v>
      </c>
      <c r="J215" s="19" t="s">
        <v>11</v>
      </c>
      <c r="K215" s="19" t="s">
        <v>11</v>
      </c>
      <c r="L215" s="19" t="s">
        <v>7977</v>
      </c>
      <c r="M215" s="18"/>
      <c r="N215" s="19"/>
      <c r="O215" s="19"/>
      <c r="P215" s="19"/>
      <c r="Q215" s="18"/>
      <c r="R215" s="18"/>
      <c r="S215" s="18"/>
      <c r="T215" s="18"/>
    </row>
    <row r="216" spans="1:20" hidden="1" x14ac:dyDescent="0.25">
      <c r="A216" s="18">
        <v>670</v>
      </c>
      <c r="B216" s="18"/>
      <c r="C216" s="18"/>
      <c r="D216" s="18" t="s">
        <v>2420</v>
      </c>
      <c r="E216" s="18">
        <v>2</v>
      </c>
      <c r="F216" s="20"/>
      <c r="G216" s="20">
        <v>45582</v>
      </c>
      <c r="H216" s="21">
        <v>1</v>
      </c>
      <c r="I216" s="18">
        <v>37</v>
      </c>
      <c r="J216" s="19" t="s">
        <v>11</v>
      </c>
      <c r="K216" s="19" t="s">
        <v>7977</v>
      </c>
      <c r="L216" s="19" t="s">
        <v>7977</v>
      </c>
      <c r="M216" s="18"/>
      <c r="N216" s="19"/>
      <c r="O216" s="19"/>
      <c r="P216" s="19"/>
      <c r="Q216" s="18"/>
      <c r="R216" s="18" t="s">
        <v>315</v>
      </c>
      <c r="S216" s="18"/>
      <c r="T216" s="18"/>
    </row>
    <row r="217" spans="1:20" hidden="1" x14ac:dyDescent="0.25">
      <c r="A217" s="18">
        <v>918</v>
      </c>
      <c r="B217" s="18"/>
      <c r="C217" s="18" t="s">
        <v>6800</v>
      </c>
      <c r="D217" s="18" t="s">
        <v>3236</v>
      </c>
      <c r="E217" s="18">
        <v>2</v>
      </c>
      <c r="F217" s="18"/>
      <c r="G217" s="20">
        <v>45281</v>
      </c>
      <c r="H217" s="21">
        <v>1</v>
      </c>
      <c r="I217" s="18">
        <v>120</v>
      </c>
      <c r="J217" s="19" t="s">
        <v>7977</v>
      </c>
      <c r="K217" s="19" t="s">
        <v>7977</v>
      </c>
      <c r="L217" s="19" t="s">
        <v>11</v>
      </c>
      <c r="M217" s="18"/>
      <c r="N217" s="19"/>
      <c r="O217" s="19"/>
      <c r="P217" s="19"/>
      <c r="Q217" s="18"/>
      <c r="R217" s="18"/>
      <c r="S217" s="18"/>
      <c r="T217" s="18"/>
    </row>
    <row r="218" spans="1:20" hidden="1" x14ac:dyDescent="0.25">
      <c r="A218" s="18">
        <v>53</v>
      </c>
      <c r="B218" s="18" t="s">
        <v>109</v>
      </c>
      <c r="C218" s="18" t="s">
        <v>487</v>
      </c>
      <c r="D218" s="18" t="s">
        <v>90</v>
      </c>
      <c r="E218" s="18">
        <v>2</v>
      </c>
      <c r="F218" s="18"/>
      <c r="G218" s="20">
        <v>45281</v>
      </c>
      <c r="H218" s="21">
        <v>1</v>
      </c>
      <c r="I218" s="18">
        <v>11</v>
      </c>
      <c r="J218" s="19" t="s">
        <v>11</v>
      </c>
      <c r="K218" s="19" t="s">
        <v>7977</v>
      </c>
      <c r="L218" s="19" t="s">
        <v>7977</v>
      </c>
      <c r="M218" s="18"/>
      <c r="N218" s="19"/>
      <c r="O218" s="19"/>
      <c r="P218" s="19"/>
      <c r="Q218" s="18"/>
      <c r="R218" s="18"/>
      <c r="S218" s="19"/>
      <c r="T218" s="18"/>
    </row>
    <row r="219" spans="1:20" hidden="1" x14ac:dyDescent="0.25">
      <c r="A219" s="18">
        <v>325</v>
      </c>
      <c r="B219" s="18"/>
      <c r="C219" s="18"/>
      <c r="D219" s="18" t="s">
        <v>237</v>
      </c>
      <c r="E219" s="18">
        <v>2</v>
      </c>
      <c r="F219" s="18"/>
      <c r="G219" s="20">
        <v>45475</v>
      </c>
      <c r="H219" s="21">
        <v>1</v>
      </c>
      <c r="I219" s="18">
        <v>10</v>
      </c>
      <c r="J219" s="19" t="s">
        <v>11</v>
      </c>
      <c r="K219" s="19" t="s">
        <v>11</v>
      </c>
      <c r="L219" s="19" t="s">
        <v>7977</v>
      </c>
      <c r="M219" s="18">
        <v>4</v>
      </c>
      <c r="N219" s="19"/>
      <c r="O219" s="19"/>
      <c r="P219" s="19"/>
      <c r="Q219" s="18"/>
      <c r="R219" s="18"/>
      <c r="S219" s="18"/>
      <c r="T219" s="18"/>
    </row>
    <row r="220" spans="1:20" hidden="1" x14ac:dyDescent="0.25">
      <c r="A220" s="18">
        <v>1770</v>
      </c>
      <c r="B220" s="18"/>
      <c r="C220" s="18" t="s">
        <v>6800</v>
      </c>
      <c r="D220" s="18" t="s">
        <v>6009</v>
      </c>
      <c r="E220" s="18">
        <v>3</v>
      </c>
      <c r="F220" s="18"/>
      <c r="G220" s="20">
        <v>45278</v>
      </c>
      <c r="H220" s="21">
        <v>1</v>
      </c>
      <c r="I220" s="18">
        <v>74</v>
      </c>
      <c r="J220" s="19" t="s">
        <v>11</v>
      </c>
      <c r="K220" s="19" t="s">
        <v>7977</v>
      </c>
      <c r="L220" s="19" t="s">
        <v>11</v>
      </c>
      <c r="M220" s="18"/>
      <c r="N220" s="19"/>
      <c r="O220" s="19"/>
      <c r="P220" s="19"/>
      <c r="Q220" s="18"/>
      <c r="R220" s="18"/>
      <c r="S220" s="18"/>
      <c r="T220" s="18"/>
    </row>
    <row r="221" spans="1:20" hidden="1" x14ac:dyDescent="0.25">
      <c r="A221" s="18">
        <v>1235</v>
      </c>
      <c r="B221" s="18" t="s">
        <v>109</v>
      </c>
      <c r="C221" s="18" t="s">
        <v>1417</v>
      </c>
      <c r="D221" s="18" t="s">
        <v>4261</v>
      </c>
      <c r="E221" s="18">
        <v>3</v>
      </c>
      <c r="F221" s="18"/>
      <c r="G221" s="20">
        <v>45329</v>
      </c>
      <c r="H221" s="21">
        <v>1</v>
      </c>
      <c r="I221" s="18">
        <v>75</v>
      </c>
      <c r="J221" s="19" t="s">
        <v>7977</v>
      </c>
      <c r="K221" s="19" t="s">
        <v>7977</v>
      </c>
      <c r="L221" s="19" t="s">
        <v>11</v>
      </c>
      <c r="M221" s="18"/>
      <c r="N221" s="19"/>
      <c r="O221" s="19"/>
      <c r="P221" s="19"/>
      <c r="Q221" s="18"/>
      <c r="R221" s="18"/>
      <c r="S221" s="18"/>
      <c r="T221" s="18"/>
    </row>
    <row r="222" spans="1:20" hidden="1" x14ac:dyDescent="0.25">
      <c r="A222" s="18">
        <v>152</v>
      </c>
      <c r="B222" s="18" t="s">
        <v>109</v>
      </c>
      <c r="C222" s="18" t="s">
        <v>681</v>
      </c>
      <c r="D222" s="18" t="s">
        <v>95</v>
      </c>
      <c r="E222" s="18">
        <v>2</v>
      </c>
      <c r="F222" s="18"/>
      <c r="G222" s="20">
        <v>45294</v>
      </c>
      <c r="H222" s="21">
        <v>1</v>
      </c>
      <c r="I222" s="18">
        <v>12</v>
      </c>
      <c r="J222" s="19" t="s">
        <v>11</v>
      </c>
      <c r="K222" s="19" t="s">
        <v>11</v>
      </c>
      <c r="L222" s="19" t="s">
        <v>7977</v>
      </c>
      <c r="M222" s="18"/>
      <c r="N222" s="19"/>
      <c r="O222" s="19"/>
      <c r="P222" s="19"/>
      <c r="Q222" s="18"/>
      <c r="R222" s="18"/>
      <c r="S222" s="19"/>
      <c r="T222" s="18"/>
    </row>
    <row r="223" spans="1:20" hidden="1" x14ac:dyDescent="0.25">
      <c r="A223" s="18">
        <v>1854</v>
      </c>
      <c r="B223" s="18"/>
      <c r="C223" s="18" t="s">
        <v>6800</v>
      </c>
      <c r="D223" s="18" t="s">
        <v>6279</v>
      </c>
      <c r="E223" s="18">
        <v>1</v>
      </c>
      <c r="F223" s="18"/>
      <c r="G223" s="20">
        <v>45314</v>
      </c>
      <c r="H223" s="21">
        <v>1</v>
      </c>
      <c r="I223" s="18">
        <v>9</v>
      </c>
      <c r="J223" s="19" t="s">
        <v>11</v>
      </c>
      <c r="K223" s="19" t="s">
        <v>11</v>
      </c>
      <c r="L223" s="19" t="s">
        <v>7977</v>
      </c>
      <c r="M223" s="18"/>
      <c r="N223" s="19"/>
      <c r="O223" s="19"/>
      <c r="P223" s="19"/>
      <c r="Q223" s="18"/>
      <c r="R223" s="18"/>
      <c r="S223" s="18"/>
      <c r="T223" s="18"/>
    </row>
    <row r="224" spans="1:20" hidden="1" x14ac:dyDescent="0.25">
      <c r="A224" s="18">
        <v>1353</v>
      </c>
      <c r="B224" s="18"/>
      <c r="C224" s="18" t="s">
        <v>6800</v>
      </c>
      <c r="D224" s="18" t="s">
        <v>4650</v>
      </c>
      <c r="E224" s="18">
        <v>2</v>
      </c>
      <c r="F224" s="18"/>
      <c r="G224" s="20">
        <v>45316</v>
      </c>
      <c r="H224" s="21">
        <v>1</v>
      </c>
      <c r="I224" s="18">
        <v>61</v>
      </c>
      <c r="J224" s="19" t="s">
        <v>7990</v>
      </c>
      <c r="K224" s="19" t="s">
        <v>7977</v>
      </c>
      <c r="L224" s="19" t="s">
        <v>11</v>
      </c>
      <c r="M224" s="18"/>
      <c r="N224" s="19"/>
      <c r="O224" s="19"/>
      <c r="P224" s="19"/>
      <c r="Q224" s="18"/>
      <c r="R224" s="18"/>
      <c r="S224" s="18"/>
      <c r="T224" s="18"/>
    </row>
    <row r="225" spans="1:20" hidden="1" x14ac:dyDescent="0.25">
      <c r="A225" s="18">
        <v>895</v>
      </c>
      <c r="B225" s="18" t="s">
        <v>7829</v>
      </c>
      <c r="C225" s="18" t="s">
        <v>3158</v>
      </c>
      <c r="D225" s="18" t="s">
        <v>65</v>
      </c>
      <c r="E225" s="18">
        <v>3</v>
      </c>
      <c r="F225" s="18"/>
      <c r="G225" s="20">
        <v>45328</v>
      </c>
      <c r="H225" s="21">
        <v>1</v>
      </c>
      <c r="I225" s="18">
        <v>50</v>
      </c>
      <c r="J225" s="19" t="s">
        <v>11</v>
      </c>
      <c r="K225" s="19" t="s">
        <v>7977</v>
      </c>
      <c r="L225" s="19" t="s">
        <v>7977</v>
      </c>
      <c r="M225" s="18"/>
      <c r="N225" s="19"/>
      <c r="O225" s="19"/>
      <c r="P225" s="19"/>
      <c r="Q225" s="18"/>
      <c r="R225" s="18"/>
      <c r="S225" s="18" t="s">
        <v>8386</v>
      </c>
      <c r="T225" s="18"/>
    </row>
    <row r="226" spans="1:20" hidden="1" x14ac:dyDescent="0.25">
      <c r="A226" s="18">
        <v>559</v>
      </c>
      <c r="B226" s="18"/>
      <c r="C226" s="18" t="s">
        <v>6800</v>
      </c>
      <c r="D226" s="18" t="s">
        <v>2082</v>
      </c>
      <c r="E226" s="18">
        <v>1</v>
      </c>
      <c r="F226" s="18"/>
      <c r="G226" s="20">
        <v>45257</v>
      </c>
      <c r="H226" s="21">
        <v>1</v>
      </c>
      <c r="I226" s="18">
        <v>8</v>
      </c>
      <c r="J226" s="19" t="s">
        <v>11</v>
      </c>
      <c r="K226" s="19" t="s">
        <v>11</v>
      </c>
      <c r="L226" s="19" t="s">
        <v>7977</v>
      </c>
      <c r="M226" s="18"/>
      <c r="N226" s="19"/>
      <c r="O226" s="19"/>
      <c r="P226" s="19"/>
      <c r="Q226" s="18"/>
      <c r="R226" s="18"/>
      <c r="S226" s="18"/>
      <c r="T226" s="18"/>
    </row>
    <row r="227" spans="1:20" hidden="1" x14ac:dyDescent="0.25">
      <c r="A227" s="18">
        <v>104</v>
      </c>
      <c r="B227" s="18" t="s">
        <v>7830</v>
      </c>
      <c r="C227" s="18" t="s">
        <v>628</v>
      </c>
      <c r="D227" s="18" t="s">
        <v>69</v>
      </c>
      <c r="E227" s="18">
        <v>1</v>
      </c>
      <c r="F227" s="18"/>
      <c r="G227" s="20">
        <v>45244</v>
      </c>
      <c r="H227" s="21">
        <v>1</v>
      </c>
      <c r="I227" s="18">
        <v>7</v>
      </c>
      <c r="J227" s="19" t="s">
        <v>11</v>
      </c>
      <c r="K227" s="19" t="s">
        <v>11</v>
      </c>
      <c r="L227" s="19" t="s">
        <v>7977</v>
      </c>
      <c r="M227" s="18"/>
      <c r="N227" s="19"/>
      <c r="O227" s="19"/>
      <c r="P227" s="19"/>
      <c r="Q227" s="18"/>
      <c r="R227" s="18"/>
      <c r="S227" s="19"/>
      <c r="T227" s="18"/>
    </row>
    <row r="228" spans="1:20" hidden="1" x14ac:dyDescent="0.25">
      <c r="A228" s="18">
        <v>221</v>
      </c>
      <c r="B228" s="18" t="s">
        <v>109</v>
      </c>
      <c r="C228" s="18" t="s">
        <v>515</v>
      </c>
      <c r="D228" s="18" t="s">
        <v>999</v>
      </c>
      <c r="E228" s="18">
        <v>2</v>
      </c>
      <c r="F228" s="18"/>
      <c r="G228" s="20">
        <v>45278</v>
      </c>
      <c r="H228" s="21">
        <v>1</v>
      </c>
      <c r="I228" s="18">
        <v>81</v>
      </c>
      <c r="J228" s="19" t="s">
        <v>7977</v>
      </c>
      <c r="K228" s="19" t="s">
        <v>7977</v>
      </c>
      <c r="L228" s="19" t="s">
        <v>11</v>
      </c>
      <c r="M228" s="18"/>
      <c r="N228" s="19"/>
      <c r="O228" s="19"/>
      <c r="P228" s="19"/>
      <c r="Q228" s="18"/>
      <c r="R228" s="18"/>
      <c r="S228" s="18"/>
      <c r="T228" s="18"/>
    </row>
    <row r="229" spans="1:20" hidden="1" x14ac:dyDescent="0.25">
      <c r="A229" s="18">
        <v>2530</v>
      </c>
      <c r="B229" s="18"/>
      <c r="C229" s="18"/>
      <c r="D229" s="18" t="s">
        <v>8432</v>
      </c>
      <c r="E229" s="18">
        <v>2</v>
      </c>
      <c r="F229" s="18"/>
      <c r="G229" s="20">
        <v>45579</v>
      </c>
      <c r="H229" s="21">
        <v>1</v>
      </c>
      <c r="I229" s="18">
        <v>12</v>
      </c>
      <c r="J229" s="19" t="s">
        <v>11</v>
      </c>
      <c r="K229" s="19" t="s">
        <v>11</v>
      </c>
      <c r="L229" s="19" t="s">
        <v>7977</v>
      </c>
      <c r="M229" s="18"/>
      <c r="N229" s="19"/>
      <c r="O229" s="19"/>
      <c r="P229" s="19"/>
      <c r="Q229" s="18"/>
      <c r="R229" s="18" t="s">
        <v>132</v>
      </c>
      <c r="S229" s="18"/>
      <c r="T229" s="18"/>
    </row>
    <row r="230" spans="1:20" hidden="1" x14ac:dyDescent="0.25">
      <c r="A230" s="18">
        <v>149</v>
      </c>
      <c r="B230" s="18" t="s">
        <v>7835</v>
      </c>
      <c r="C230" s="18" t="s">
        <v>781</v>
      </c>
      <c r="D230" s="18" t="s">
        <v>778</v>
      </c>
      <c r="E230" s="18">
        <v>3</v>
      </c>
      <c r="F230" s="18"/>
      <c r="G230" s="20">
        <v>45310</v>
      </c>
      <c r="H230" s="21">
        <v>1</v>
      </c>
      <c r="I230" s="18">
        <v>44</v>
      </c>
      <c r="J230" s="19" t="s">
        <v>11</v>
      </c>
      <c r="K230" s="19" t="s">
        <v>7977</v>
      </c>
      <c r="L230" s="19" t="s">
        <v>7977</v>
      </c>
      <c r="M230" s="18"/>
      <c r="N230" s="19"/>
      <c r="O230" s="19"/>
      <c r="P230" s="19"/>
      <c r="Q230" s="18"/>
      <c r="R230" s="18"/>
      <c r="S230" s="18"/>
      <c r="T230" s="18"/>
    </row>
    <row r="231" spans="1:20" hidden="1" x14ac:dyDescent="0.25">
      <c r="A231" s="18">
        <v>1004</v>
      </c>
      <c r="B231" s="18"/>
      <c r="C231" s="18" t="s">
        <v>6800</v>
      </c>
      <c r="D231" s="18" t="s">
        <v>311</v>
      </c>
      <c r="E231" s="18">
        <v>2</v>
      </c>
      <c r="F231" s="18"/>
      <c r="G231" s="20">
        <v>45334</v>
      </c>
      <c r="H231" s="21">
        <v>1</v>
      </c>
      <c r="I231" s="18">
        <f>25+57</f>
        <v>82</v>
      </c>
      <c r="J231" s="19" t="s">
        <v>11</v>
      </c>
      <c r="K231" s="19" t="s">
        <v>7977</v>
      </c>
      <c r="L231" s="19" t="s">
        <v>11</v>
      </c>
      <c r="M231" s="18"/>
      <c r="N231" s="19"/>
      <c r="O231" s="19"/>
      <c r="P231" s="19"/>
      <c r="Q231" s="18"/>
      <c r="R231" s="18"/>
      <c r="S231" s="18"/>
      <c r="T231" s="18"/>
    </row>
    <row r="232" spans="1:20" hidden="1" x14ac:dyDescent="0.25">
      <c r="A232" s="18">
        <v>485</v>
      </c>
      <c r="B232" s="18" t="s">
        <v>293</v>
      </c>
      <c r="C232" s="18"/>
      <c r="D232" s="18" t="s">
        <v>1841</v>
      </c>
      <c r="E232" s="18">
        <v>1</v>
      </c>
      <c r="F232" s="18"/>
      <c r="G232" s="20">
        <v>45222</v>
      </c>
      <c r="H232" s="21">
        <v>1</v>
      </c>
      <c r="I232" s="18">
        <v>10</v>
      </c>
      <c r="J232" s="19" t="s">
        <v>11</v>
      </c>
      <c r="K232" s="19" t="s">
        <v>11</v>
      </c>
      <c r="L232" s="19" t="s">
        <v>7977</v>
      </c>
      <c r="M232" s="18"/>
      <c r="N232" s="19" t="s">
        <v>11</v>
      </c>
      <c r="O232" s="19" t="s">
        <v>7977</v>
      </c>
      <c r="P232" s="19" t="s">
        <v>11</v>
      </c>
      <c r="Q232" s="18"/>
      <c r="R232" s="18"/>
      <c r="S232" s="19"/>
      <c r="T232" s="18"/>
    </row>
    <row r="233" spans="1:20" hidden="1" x14ac:dyDescent="0.25">
      <c r="A233" s="18">
        <v>695</v>
      </c>
      <c r="B233" s="18" t="s">
        <v>7833</v>
      </c>
      <c r="C233" s="18" t="s">
        <v>720</v>
      </c>
      <c r="D233" s="18" t="s">
        <v>2503</v>
      </c>
      <c r="E233" s="18">
        <v>2</v>
      </c>
      <c r="F233" s="18"/>
      <c r="G233" s="20">
        <v>45308</v>
      </c>
      <c r="H233" s="21">
        <v>1</v>
      </c>
      <c r="I233" s="18">
        <v>9</v>
      </c>
      <c r="J233" s="19" t="s">
        <v>11</v>
      </c>
      <c r="K233" s="19" t="s">
        <v>11</v>
      </c>
      <c r="L233" s="19" t="s">
        <v>7977</v>
      </c>
      <c r="M233" s="18"/>
      <c r="N233" s="19"/>
      <c r="O233" s="19"/>
      <c r="P233" s="19"/>
      <c r="Q233" s="18"/>
      <c r="R233" s="18"/>
      <c r="S233" s="18"/>
      <c r="T233" s="18"/>
    </row>
    <row r="234" spans="1:20" hidden="1" x14ac:dyDescent="0.25">
      <c r="A234" s="18">
        <v>473</v>
      </c>
      <c r="B234" s="18"/>
      <c r="C234" s="18" t="s">
        <v>6800</v>
      </c>
      <c r="D234" s="18" t="s">
        <v>1802</v>
      </c>
      <c r="E234" s="18">
        <v>2</v>
      </c>
      <c r="F234" s="18"/>
      <c r="G234" s="20">
        <v>45343</v>
      </c>
      <c r="H234" s="21">
        <v>1</v>
      </c>
      <c r="I234" s="18">
        <v>31</v>
      </c>
      <c r="J234" s="19" t="s">
        <v>11</v>
      </c>
      <c r="K234" s="19" t="s">
        <v>11</v>
      </c>
      <c r="L234" s="19" t="s">
        <v>7977</v>
      </c>
      <c r="M234" s="18"/>
      <c r="N234" s="19"/>
      <c r="O234" s="19"/>
      <c r="P234" s="19"/>
      <c r="Q234" s="18"/>
      <c r="R234" s="18"/>
      <c r="S234" s="18"/>
      <c r="T234" s="18"/>
    </row>
    <row r="235" spans="1:20" hidden="1" x14ac:dyDescent="0.25">
      <c r="A235" s="18">
        <v>677</v>
      </c>
      <c r="B235" s="18"/>
      <c r="C235" s="18" t="s">
        <v>6800</v>
      </c>
      <c r="D235" s="18" t="s">
        <v>2440</v>
      </c>
      <c r="E235" s="18">
        <v>2</v>
      </c>
      <c r="F235" s="18"/>
      <c r="G235" s="20">
        <v>45252</v>
      </c>
      <c r="H235" s="21">
        <v>1</v>
      </c>
      <c r="I235" s="18">
        <v>21</v>
      </c>
      <c r="J235" s="19" t="s">
        <v>11</v>
      </c>
      <c r="K235" s="19" t="s">
        <v>11</v>
      </c>
      <c r="L235" s="19" t="s">
        <v>7977</v>
      </c>
      <c r="M235" s="18"/>
      <c r="N235" s="19"/>
      <c r="O235" s="19"/>
      <c r="P235" s="19"/>
      <c r="Q235" s="18"/>
      <c r="R235" s="18"/>
      <c r="S235" s="18"/>
      <c r="T235" s="18"/>
    </row>
    <row r="236" spans="1:20" hidden="1" x14ac:dyDescent="0.25">
      <c r="A236" s="18">
        <v>169</v>
      </c>
      <c r="B236" s="18" t="s">
        <v>317</v>
      </c>
      <c r="C236" s="18" t="s">
        <v>839</v>
      </c>
      <c r="D236" s="18" t="s">
        <v>168</v>
      </c>
      <c r="E236" s="18">
        <v>1</v>
      </c>
      <c r="F236" s="18"/>
      <c r="G236" s="20">
        <v>45266</v>
      </c>
      <c r="H236" s="21">
        <v>1</v>
      </c>
      <c r="I236" s="18">
        <v>9</v>
      </c>
      <c r="J236" s="19" t="s">
        <v>11</v>
      </c>
      <c r="K236" s="19" t="s">
        <v>11</v>
      </c>
      <c r="L236" s="19" t="s">
        <v>7977</v>
      </c>
      <c r="M236" s="18"/>
      <c r="N236" s="19"/>
      <c r="O236" s="19"/>
      <c r="P236" s="19"/>
      <c r="Q236" s="18"/>
      <c r="R236" s="18"/>
      <c r="S236" s="19"/>
      <c r="T236" s="18"/>
    </row>
    <row r="237" spans="1:20" hidden="1" x14ac:dyDescent="0.25">
      <c r="A237" s="18">
        <v>146</v>
      </c>
      <c r="B237" s="18" t="s">
        <v>573</v>
      </c>
      <c r="C237" s="18" t="s">
        <v>770</v>
      </c>
      <c r="D237" s="18" t="s">
        <v>767</v>
      </c>
      <c r="E237" s="18">
        <v>2</v>
      </c>
      <c r="F237" s="18"/>
      <c r="G237" s="20">
        <v>45538</v>
      </c>
      <c r="H237" s="21">
        <v>1</v>
      </c>
      <c r="I237" s="18">
        <v>42</v>
      </c>
      <c r="J237" s="19" t="s">
        <v>11</v>
      </c>
      <c r="K237" s="19" t="s">
        <v>11</v>
      </c>
      <c r="L237" s="19" t="s">
        <v>8021</v>
      </c>
      <c r="M237" s="18"/>
      <c r="N237" s="19" t="s">
        <v>7977</v>
      </c>
      <c r="O237" s="19"/>
      <c r="P237" s="19"/>
      <c r="Q237" s="18"/>
      <c r="R237" s="18"/>
      <c r="S237" s="19"/>
      <c r="T237" s="18"/>
    </row>
    <row r="238" spans="1:20" hidden="1" x14ac:dyDescent="0.25">
      <c r="A238" s="18">
        <v>236</v>
      </c>
      <c r="B238" s="18" t="s">
        <v>7830</v>
      </c>
      <c r="C238" s="18" t="s">
        <v>658</v>
      </c>
      <c r="D238" s="18" t="s">
        <v>77</v>
      </c>
      <c r="E238" s="18">
        <v>2</v>
      </c>
      <c r="F238" s="18"/>
      <c r="G238" s="20">
        <v>45250</v>
      </c>
      <c r="H238" s="21">
        <v>1</v>
      </c>
      <c r="I238" s="18">
        <v>20</v>
      </c>
      <c r="J238" s="19" t="s">
        <v>11</v>
      </c>
      <c r="K238" s="19" t="s">
        <v>11</v>
      </c>
      <c r="L238" s="19" t="s">
        <v>7977</v>
      </c>
      <c r="M238" s="18"/>
      <c r="N238" s="19"/>
      <c r="O238" s="19"/>
      <c r="P238" s="19"/>
      <c r="Q238" s="18"/>
      <c r="R238" s="18"/>
      <c r="S238" s="18"/>
      <c r="T238" s="18"/>
    </row>
    <row r="239" spans="1:20" hidden="1" x14ac:dyDescent="0.25">
      <c r="A239" s="18">
        <v>235</v>
      </c>
      <c r="B239" s="18" t="s">
        <v>7830</v>
      </c>
      <c r="C239" s="18" t="s">
        <v>622</v>
      </c>
      <c r="D239" s="18" t="s">
        <v>70</v>
      </c>
      <c r="E239" s="18">
        <v>1</v>
      </c>
      <c r="F239" s="18"/>
      <c r="G239" s="20">
        <v>45260</v>
      </c>
      <c r="H239" s="21">
        <v>1</v>
      </c>
      <c r="I239" s="18">
        <v>11</v>
      </c>
      <c r="J239" s="19" t="s">
        <v>11</v>
      </c>
      <c r="K239" s="19" t="s">
        <v>11</v>
      </c>
      <c r="L239" s="19" t="s">
        <v>7977</v>
      </c>
      <c r="M239" s="18"/>
      <c r="N239" s="19"/>
      <c r="O239" s="19"/>
      <c r="P239" s="19"/>
      <c r="Q239" s="18"/>
      <c r="R239" s="18"/>
      <c r="S239" s="19"/>
      <c r="T239" s="18"/>
    </row>
    <row r="240" spans="1:20" hidden="1" x14ac:dyDescent="0.25">
      <c r="A240" s="18">
        <v>851</v>
      </c>
      <c r="B240" s="18"/>
      <c r="C240" s="18" t="s">
        <v>6800</v>
      </c>
      <c r="D240" s="18" t="s">
        <v>3011</v>
      </c>
      <c r="E240" s="18">
        <v>2</v>
      </c>
      <c r="F240" s="18"/>
      <c r="G240" s="18"/>
      <c r="H240" s="21"/>
      <c r="I240" s="18"/>
      <c r="J240" s="19"/>
      <c r="K240" s="19"/>
      <c r="L240" s="19"/>
      <c r="M240" s="18"/>
      <c r="N240" s="19"/>
      <c r="O240" s="19"/>
      <c r="P240" s="19"/>
      <c r="Q240" s="18"/>
      <c r="R240" s="18"/>
      <c r="S240" s="18"/>
      <c r="T240" s="18"/>
    </row>
    <row r="241" spans="1:20" hidden="1" x14ac:dyDescent="0.25">
      <c r="A241" s="18">
        <v>32</v>
      </c>
      <c r="B241" s="18" t="s">
        <v>109</v>
      </c>
      <c r="C241" s="18" t="s">
        <v>423</v>
      </c>
      <c r="D241" s="18" t="s">
        <v>420</v>
      </c>
      <c r="E241" s="18">
        <v>3</v>
      </c>
      <c r="F241" s="18"/>
      <c r="G241" s="20">
        <v>45301</v>
      </c>
      <c r="H241" s="21">
        <v>1</v>
      </c>
      <c r="I241" s="18">
        <v>65</v>
      </c>
      <c r="J241" s="19" t="s">
        <v>7977</v>
      </c>
      <c r="K241" s="19" t="s">
        <v>7977</v>
      </c>
      <c r="L241" s="19" t="s">
        <v>11</v>
      </c>
      <c r="M241" s="18"/>
      <c r="N241" s="19"/>
      <c r="O241" s="19"/>
      <c r="P241" s="19"/>
      <c r="Q241" s="18"/>
      <c r="R241" s="18"/>
      <c r="S241" s="18"/>
      <c r="T241" s="18"/>
    </row>
    <row r="242" spans="1:20" hidden="1" x14ac:dyDescent="0.25">
      <c r="A242" s="18">
        <v>3</v>
      </c>
      <c r="B242" s="18" t="s">
        <v>156</v>
      </c>
      <c r="C242" s="18" t="s">
        <v>334</v>
      </c>
      <c r="D242" s="18" t="s">
        <v>161</v>
      </c>
      <c r="E242" s="18">
        <v>2</v>
      </c>
      <c r="F242" s="18"/>
      <c r="G242" s="20">
        <v>45225</v>
      </c>
      <c r="H242" s="21">
        <v>1</v>
      </c>
      <c r="I242" s="18">
        <v>35</v>
      </c>
      <c r="J242" s="19" t="s">
        <v>11</v>
      </c>
      <c r="K242" s="19" t="s">
        <v>7977</v>
      </c>
      <c r="L242" s="19" t="s">
        <v>11</v>
      </c>
      <c r="M242" s="18"/>
      <c r="N242" s="19" t="s">
        <v>11</v>
      </c>
      <c r="O242" s="19"/>
      <c r="P242" s="19"/>
      <c r="Q242" s="18"/>
      <c r="R242" s="18"/>
      <c r="S242" s="19"/>
      <c r="T242" s="18"/>
    </row>
    <row r="243" spans="1:20" hidden="1" x14ac:dyDescent="0.25">
      <c r="A243" s="18">
        <v>340</v>
      </c>
      <c r="B243" s="18" t="s">
        <v>156</v>
      </c>
      <c r="C243" s="18" t="s">
        <v>334</v>
      </c>
      <c r="D243" s="18" t="s">
        <v>240</v>
      </c>
      <c r="E243" s="18">
        <v>2</v>
      </c>
      <c r="F243" s="18"/>
      <c r="G243" s="20">
        <v>45320</v>
      </c>
      <c r="H243" s="21">
        <v>1</v>
      </c>
      <c r="I243" s="18">
        <v>17</v>
      </c>
      <c r="J243" s="19" t="s">
        <v>11</v>
      </c>
      <c r="K243" s="19" t="s">
        <v>11</v>
      </c>
      <c r="L243" s="19" t="s">
        <v>7977</v>
      </c>
      <c r="M243" s="18"/>
      <c r="N243" s="19"/>
      <c r="O243" s="19"/>
      <c r="P243" s="19"/>
      <c r="Q243" s="18"/>
      <c r="R243" s="18"/>
      <c r="S243" s="18"/>
      <c r="T243" s="18"/>
    </row>
    <row r="244" spans="1:20" hidden="1" x14ac:dyDescent="0.25">
      <c r="A244" s="18">
        <v>395</v>
      </c>
      <c r="B244" s="18" t="s">
        <v>156</v>
      </c>
      <c r="C244" s="18" t="s">
        <v>1555</v>
      </c>
      <c r="D244" s="18" t="s">
        <v>1552</v>
      </c>
      <c r="E244" s="18">
        <v>2</v>
      </c>
      <c r="F244" s="18"/>
      <c r="G244" s="20">
        <v>45476</v>
      </c>
      <c r="H244" s="21">
        <v>1</v>
      </c>
      <c r="I244" s="18">
        <v>40</v>
      </c>
      <c r="J244" s="19" t="s">
        <v>7977</v>
      </c>
      <c r="K244" s="19" t="s">
        <v>7977</v>
      </c>
      <c r="L244" s="19" t="s">
        <v>11</v>
      </c>
      <c r="M244" s="18"/>
      <c r="N244" s="19"/>
      <c r="O244" s="19"/>
      <c r="P244" s="19"/>
      <c r="Q244" s="18"/>
      <c r="R244" s="18"/>
      <c r="S244" s="18"/>
      <c r="T244" s="18"/>
    </row>
    <row r="245" spans="1:20" hidden="1" x14ac:dyDescent="0.25">
      <c r="A245" s="18">
        <v>424</v>
      </c>
      <c r="B245" s="18" t="s">
        <v>156</v>
      </c>
      <c r="C245" s="18" t="s">
        <v>334</v>
      </c>
      <c r="D245" s="18" t="s">
        <v>160</v>
      </c>
      <c r="E245" s="18">
        <v>2</v>
      </c>
      <c r="F245" s="18"/>
      <c r="G245" s="20">
        <v>45455</v>
      </c>
      <c r="H245" s="21">
        <v>1</v>
      </c>
      <c r="I245" s="18">
        <v>22</v>
      </c>
      <c r="J245" s="19" t="s">
        <v>7977</v>
      </c>
      <c r="K245" s="19" t="s">
        <v>7977</v>
      </c>
      <c r="L245" s="19" t="s">
        <v>11</v>
      </c>
      <c r="M245" s="18"/>
      <c r="N245" s="19"/>
      <c r="O245" s="19"/>
      <c r="P245" s="19"/>
      <c r="Q245" s="18"/>
      <c r="R245" s="18"/>
      <c r="S245" s="18"/>
      <c r="T245" s="18"/>
    </row>
    <row r="246" spans="1:20" hidden="1" x14ac:dyDescent="0.25">
      <c r="A246" s="18">
        <v>5</v>
      </c>
      <c r="B246" s="18" t="s">
        <v>109</v>
      </c>
      <c r="C246" s="18" t="s">
        <v>340</v>
      </c>
      <c r="D246" s="18" t="s">
        <v>97</v>
      </c>
      <c r="E246" s="18">
        <v>2</v>
      </c>
      <c r="F246" s="18"/>
      <c r="G246" s="20">
        <v>45298</v>
      </c>
      <c r="H246" s="21">
        <v>1</v>
      </c>
      <c r="I246" s="18">
        <v>46</v>
      </c>
      <c r="J246" s="19" t="s">
        <v>11</v>
      </c>
      <c r="K246" s="19" t="s">
        <v>11</v>
      </c>
      <c r="L246" s="19" t="s">
        <v>8021</v>
      </c>
      <c r="M246" s="18"/>
      <c r="N246" s="19"/>
      <c r="O246" s="19"/>
      <c r="P246" s="19"/>
      <c r="Q246" s="18"/>
      <c r="R246" s="18"/>
      <c r="S246" s="19"/>
      <c r="T246" s="18"/>
    </row>
    <row r="247" spans="1:20" hidden="1" x14ac:dyDescent="0.25">
      <c r="A247" s="18">
        <v>409</v>
      </c>
      <c r="B247" s="18" t="s">
        <v>125</v>
      </c>
      <c r="C247" s="18" t="s">
        <v>1604</v>
      </c>
      <c r="D247" s="18" t="s">
        <v>1601</v>
      </c>
      <c r="E247" s="18">
        <v>1</v>
      </c>
      <c r="F247" s="18"/>
      <c r="G247" s="20">
        <v>45539</v>
      </c>
      <c r="H247" s="21">
        <v>1</v>
      </c>
      <c r="I247" s="18">
        <v>6</v>
      </c>
      <c r="J247" s="19" t="s">
        <v>11</v>
      </c>
      <c r="K247" s="19" t="s">
        <v>11</v>
      </c>
      <c r="L247" s="19" t="s">
        <v>7977</v>
      </c>
      <c r="M247" s="18"/>
      <c r="N247" s="19"/>
      <c r="O247" s="19"/>
      <c r="P247" s="19"/>
      <c r="Q247" s="18"/>
      <c r="R247" s="18"/>
      <c r="S247" s="19"/>
      <c r="T247" s="18"/>
    </row>
    <row r="248" spans="1:20" hidden="1" x14ac:dyDescent="0.25">
      <c r="A248" s="18">
        <v>300</v>
      </c>
      <c r="B248" s="18" t="s">
        <v>109</v>
      </c>
      <c r="C248" s="18" t="s">
        <v>1243</v>
      </c>
      <c r="D248" s="18" t="s">
        <v>96</v>
      </c>
      <c r="E248" s="18">
        <v>2</v>
      </c>
      <c r="F248" s="18"/>
      <c r="G248" s="20">
        <v>45279</v>
      </c>
      <c r="H248" s="21">
        <v>1</v>
      </c>
      <c r="I248" s="18">
        <v>12</v>
      </c>
      <c r="J248" s="19" t="s">
        <v>11</v>
      </c>
      <c r="K248" s="19" t="s">
        <v>11</v>
      </c>
      <c r="L248" s="19" t="s">
        <v>7977</v>
      </c>
      <c r="M248" s="18"/>
      <c r="N248" s="19"/>
      <c r="O248" s="19"/>
      <c r="P248" s="19"/>
      <c r="Q248" s="18"/>
      <c r="R248" s="18"/>
      <c r="S248" s="19"/>
      <c r="T248" s="18"/>
    </row>
    <row r="249" spans="1:20" hidden="1" x14ac:dyDescent="0.25">
      <c r="A249" s="18">
        <v>329</v>
      </c>
      <c r="B249" s="18" t="s">
        <v>109</v>
      </c>
      <c r="C249" s="18" t="s">
        <v>1333</v>
      </c>
      <c r="D249" s="18" t="s">
        <v>1330</v>
      </c>
      <c r="E249" s="18">
        <v>3</v>
      </c>
      <c r="F249" s="18"/>
      <c r="G249" s="18"/>
      <c r="H249" s="21"/>
      <c r="I249" s="18"/>
      <c r="J249" s="19"/>
      <c r="K249" s="19"/>
      <c r="L249" s="19"/>
      <c r="M249" s="18"/>
      <c r="N249" s="19"/>
      <c r="O249" s="19"/>
      <c r="P249" s="19"/>
      <c r="Q249" s="18"/>
      <c r="R249" s="18"/>
      <c r="S249" s="18"/>
      <c r="T249" s="18"/>
    </row>
    <row r="250" spans="1:20" hidden="1" x14ac:dyDescent="0.25">
      <c r="A250" s="18">
        <v>1405</v>
      </c>
      <c r="B250" s="18"/>
      <c r="C250" s="18"/>
      <c r="D250" s="18" t="s">
        <v>4818</v>
      </c>
      <c r="E250" s="18">
        <v>2</v>
      </c>
      <c r="F250" s="20"/>
      <c r="G250" s="20">
        <v>45581</v>
      </c>
      <c r="H250" s="21">
        <v>1</v>
      </c>
      <c r="I250" s="18">
        <v>22</v>
      </c>
      <c r="J250" s="19" t="s">
        <v>11</v>
      </c>
      <c r="K250" s="19" t="s">
        <v>7977</v>
      </c>
      <c r="L250" s="19" t="s">
        <v>7977</v>
      </c>
      <c r="M250" s="18"/>
      <c r="N250" s="19"/>
      <c r="O250" s="19"/>
      <c r="P250" s="19"/>
      <c r="Q250" s="18"/>
      <c r="R250" s="18"/>
      <c r="S250" s="18"/>
      <c r="T250" s="18"/>
    </row>
    <row r="251" spans="1:20" hidden="1" x14ac:dyDescent="0.25">
      <c r="A251" s="18">
        <v>128</v>
      </c>
      <c r="B251" s="18" t="s">
        <v>317</v>
      </c>
      <c r="C251" s="18" t="s">
        <v>713</v>
      </c>
      <c r="D251" s="18" t="s">
        <v>197</v>
      </c>
      <c r="E251" s="18">
        <v>2</v>
      </c>
      <c r="F251" s="18"/>
      <c r="G251" s="20">
        <v>45535</v>
      </c>
      <c r="H251" s="21">
        <v>1</v>
      </c>
      <c r="I251" s="18">
        <v>24</v>
      </c>
      <c r="J251" s="19" t="s">
        <v>11</v>
      </c>
      <c r="K251" s="19" t="s">
        <v>11</v>
      </c>
      <c r="L251" s="19" t="s">
        <v>7977</v>
      </c>
      <c r="M251" s="18"/>
      <c r="N251" s="19"/>
      <c r="O251" s="19"/>
      <c r="P251" s="19"/>
      <c r="Q251" s="18"/>
      <c r="R251" s="18"/>
      <c r="S251" s="19"/>
      <c r="T251" s="18"/>
    </row>
    <row r="252" spans="1:20" hidden="1" x14ac:dyDescent="0.25">
      <c r="A252" s="18">
        <v>1143</v>
      </c>
      <c r="B252" s="18" t="s">
        <v>109</v>
      </c>
      <c r="C252" s="18" t="s">
        <v>340</v>
      </c>
      <c r="D252" s="18" t="s">
        <v>3964</v>
      </c>
      <c r="E252" s="18">
        <v>2</v>
      </c>
      <c r="F252" s="18"/>
      <c r="G252" s="20">
        <v>45278</v>
      </c>
      <c r="H252" s="21">
        <v>1</v>
      </c>
      <c r="I252" s="18">
        <v>8</v>
      </c>
      <c r="J252" s="19" t="s">
        <v>11</v>
      </c>
      <c r="K252" s="19" t="s">
        <v>11</v>
      </c>
      <c r="L252" s="19" t="s">
        <v>7977</v>
      </c>
      <c r="M252" s="18"/>
      <c r="N252" s="19"/>
      <c r="O252" s="19"/>
      <c r="P252" s="19"/>
      <c r="Q252" s="18"/>
      <c r="R252" s="18"/>
      <c r="S252" s="18"/>
      <c r="T252" s="18"/>
    </row>
    <row r="253" spans="1:20" hidden="1" x14ac:dyDescent="0.25">
      <c r="A253" s="18">
        <v>14</v>
      </c>
      <c r="B253" s="18" t="s">
        <v>317</v>
      </c>
      <c r="C253" s="18" t="s">
        <v>316</v>
      </c>
      <c r="D253" s="18" t="s">
        <v>367</v>
      </c>
      <c r="E253" s="18">
        <v>1</v>
      </c>
      <c r="F253" s="18"/>
      <c r="G253" s="20">
        <v>45222</v>
      </c>
      <c r="H253" s="21">
        <v>1</v>
      </c>
      <c r="I253" s="18">
        <v>26</v>
      </c>
      <c r="J253" s="19" t="s">
        <v>11</v>
      </c>
      <c r="K253" s="19" t="s">
        <v>7977</v>
      </c>
      <c r="L253" s="19" t="s">
        <v>11</v>
      </c>
      <c r="M253" s="18"/>
      <c r="N253" s="19" t="s">
        <v>11</v>
      </c>
      <c r="O253" s="19" t="s">
        <v>7977</v>
      </c>
      <c r="P253" s="19" t="s">
        <v>11</v>
      </c>
      <c r="Q253" s="18" t="s">
        <v>7985</v>
      </c>
      <c r="R253" s="18"/>
      <c r="S253" s="19"/>
      <c r="T253" s="18"/>
    </row>
    <row r="254" spans="1:20" hidden="1" x14ac:dyDescent="0.25">
      <c r="A254" s="18">
        <v>359</v>
      </c>
      <c r="B254" s="18"/>
      <c r="C254" s="18" t="s">
        <v>6800</v>
      </c>
      <c r="D254" s="18" t="s">
        <v>244</v>
      </c>
      <c r="E254" s="18">
        <v>1</v>
      </c>
      <c r="F254" s="18"/>
      <c r="G254" s="18"/>
      <c r="H254" s="21"/>
      <c r="I254" s="18"/>
      <c r="J254" s="19"/>
      <c r="K254" s="19"/>
      <c r="L254" s="19"/>
      <c r="M254" s="18"/>
      <c r="N254" s="19"/>
      <c r="O254" s="19"/>
      <c r="P254" s="19"/>
      <c r="Q254" s="18"/>
      <c r="R254" s="18"/>
      <c r="S254" s="18"/>
      <c r="T254" s="18"/>
    </row>
    <row r="255" spans="1:20" hidden="1" x14ac:dyDescent="0.25">
      <c r="A255" s="18">
        <v>142</v>
      </c>
      <c r="B255" s="18" t="s">
        <v>573</v>
      </c>
      <c r="C255" s="18" t="s">
        <v>755</v>
      </c>
      <c r="D255" s="18" t="s">
        <v>116</v>
      </c>
      <c r="E255" s="18">
        <v>2</v>
      </c>
      <c r="F255" s="18"/>
      <c r="G255" s="20">
        <v>45411</v>
      </c>
      <c r="H255" s="21">
        <v>1</v>
      </c>
      <c r="I255" s="18">
        <v>22</v>
      </c>
      <c r="J255" s="19" t="s">
        <v>11</v>
      </c>
      <c r="K255" s="19" t="s">
        <v>7977</v>
      </c>
      <c r="L255" s="19" t="s">
        <v>7977</v>
      </c>
      <c r="M255" s="18"/>
      <c r="N255" s="19"/>
      <c r="O255" s="19"/>
      <c r="P255" s="19"/>
      <c r="Q255" s="18"/>
      <c r="R255" s="18"/>
      <c r="S255" s="18"/>
      <c r="T255" s="18"/>
    </row>
    <row r="256" spans="1:20" hidden="1" x14ac:dyDescent="0.25">
      <c r="A256" s="18">
        <v>141</v>
      </c>
      <c r="B256" s="18" t="s">
        <v>573</v>
      </c>
      <c r="C256" s="18" t="s">
        <v>755</v>
      </c>
      <c r="D256" s="18" t="s">
        <v>111</v>
      </c>
      <c r="E256" s="18">
        <v>1</v>
      </c>
      <c r="F256" s="18"/>
      <c r="G256" s="20">
        <v>45302</v>
      </c>
      <c r="H256" s="21">
        <v>1</v>
      </c>
      <c r="I256" s="18">
        <v>8</v>
      </c>
      <c r="J256" s="19" t="s">
        <v>11</v>
      </c>
      <c r="K256" s="19" t="s">
        <v>11</v>
      </c>
      <c r="L256" s="19" t="s">
        <v>7977</v>
      </c>
      <c r="M256" s="18"/>
      <c r="N256" s="19"/>
      <c r="O256" s="19"/>
      <c r="P256" s="19"/>
      <c r="Q256" s="18"/>
      <c r="R256" s="18"/>
      <c r="S256" s="19"/>
      <c r="T256" s="18"/>
    </row>
    <row r="257" spans="1:20" hidden="1" x14ac:dyDescent="0.25">
      <c r="A257" s="18">
        <v>460</v>
      </c>
      <c r="B257" s="18"/>
      <c r="C257" s="18" t="s">
        <v>6800</v>
      </c>
      <c r="D257" s="18" t="s">
        <v>1761</v>
      </c>
      <c r="E257" s="18">
        <v>3</v>
      </c>
      <c r="F257" s="18"/>
      <c r="G257" s="18"/>
      <c r="H257" s="21"/>
      <c r="I257" s="18"/>
      <c r="J257" s="19"/>
      <c r="K257" s="19"/>
      <c r="L257" s="19"/>
      <c r="M257" s="18"/>
      <c r="N257" s="19"/>
      <c r="O257" s="19"/>
      <c r="P257" s="19"/>
      <c r="Q257" s="18"/>
      <c r="R257" s="18"/>
      <c r="S257" s="18"/>
      <c r="T257" s="18"/>
    </row>
    <row r="258" spans="1:20" hidden="1" x14ac:dyDescent="0.25">
      <c r="A258" s="18">
        <v>386</v>
      </c>
      <c r="B258" s="18"/>
      <c r="C258" s="18" t="s">
        <v>6800</v>
      </c>
      <c r="D258" s="18" t="s">
        <v>1520</v>
      </c>
      <c r="E258" s="18">
        <v>2</v>
      </c>
      <c r="F258" s="18"/>
      <c r="G258" s="18"/>
      <c r="H258" s="21"/>
      <c r="I258" s="18"/>
      <c r="J258" s="19"/>
      <c r="K258" s="19"/>
      <c r="L258" s="19"/>
      <c r="M258" s="18"/>
      <c r="N258" s="19"/>
      <c r="O258" s="19"/>
      <c r="P258" s="19"/>
      <c r="Q258" s="18"/>
      <c r="R258" s="18"/>
      <c r="S258" s="18"/>
      <c r="T258" s="18"/>
    </row>
    <row r="259" spans="1:20" hidden="1" x14ac:dyDescent="0.25">
      <c r="A259" s="18">
        <v>17</v>
      </c>
      <c r="B259" s="18" t="s">
        <v>30</v>
      </c>
      <c r="C259" s="18" t="s">
        <v>377</v>
      </c>
      <c r="D259" s="18" t="s">
        <v>302</v>
      </c>
      <c r="E259" s="18">
        <v>2</v>
      </c>
      <c r="F259" s="18"/>
      <c r="G259" s="20">
        <v>45267</v>
      </c>
      <c r="H259" s="21">
        <v>1</v>
      </c>
      <c r="I259" s="18">
        <v>22</v>
      </c>
      <c r="J259" s="19" t="s">
        <v>11</v>
      </c>
      <c r="K259" s="19" t="s">
        <v>11</v>
      </c>
      <c r="L259" s="19" t="s">
        <v>7977</v>
      </c>
      <c r="M259" s="18"/>
      <c r="N259" s="19"/>
      <c r="O259" s="19"/>
      <c r="P259" s="19"/>
      <c r="Q259" s="18"/>
      <c r="R259" s="18"/>
      <c r="S259" s="19"/>
      <c r="T259" s="18"/>
    </row>
    <row r="260" spans="1:20" hidden="1" x14ac:dyDescent="0.25">
      <c r="A260" s="18">
        <v>784</v>
      </c>
      <c r="B260" s="18"/>
      <c r="C260" s="18" t="s">
        <v>6800</v>
      </c>
      <c r="D260" s="18" t="s">
        <v>32</v>
      </c>
      <c r="E260" s="18">
        <v>2</v>
      </c>
      <c r="F260" s="18"/>
      <c r="G260" s="20">
        <v>45470</v>
      </c>
      <c r="H260" s="21">
        <v>1</v>
      </c>
      <c r="I260" s="18">
        <v>14</v>
      </c>
      <c r="J260" s="19" t="s">
        <v>11</v>
      </c>
      <c r="K260" s="19" t="s">
        <v>11</v>
      </c>
      <c r="L260" s="19" t="s">
        <v>7977</v>
      </c>
      <c r="M260" s="18"/>
      <c r="N260" s="19"/>
      <c r="O260" s="19"/>
      <c r="P260" s="19"/>
      <c r="Q260" s="18"/>
      <c r="R260" s="18"/>
      <c r="S260" s="18"/>
      <c r="T260" s="18"/>
    </row>
    <row r="261" spans="1:20" hidden="1" x14ac:dyDescent="0.25">
      <c r="A261" s="18">
        <v>2958</v>
      </c>
      <c r="B261" s="18"/>
      <c r="C261" s="18"/>
      <c r="D261" s="18" t="s">
        <v>8420</v>
      </c>
      <c r="E261" s="18">
        <v>2</v>
      </c>
      <c r="F261" s="18"/>
      <c r="G261" s="20">
        <v>45481</v>
      </c>
      <c r="H261" s="21">
        <v>1</v>
      </c>
      <c r="I261" s="18">
        <v>8</v>
      </c>
      <c r="J261" s="19" t="s">
        <v>11</v>
      </c>
      <c r="K261" s="19" t="s">
        <v>11</v>
      </c>
      <c r="L261" s="19" t="s">
        <v>7977</v>
      </c>
      <c r="M261" s="18"/>
      <c r="N261" s="19"/>
      <c r="O261" s="19"/>
      <c r="P261" s="19"/>
      <c r="Q261" s="18"/>
      <c r="R261" s="18"/>
      <c r="S261" s="18"/>
      <c r="T261" s="18"/>
    </row>
    <row r="262" spans="1:20" hidden="1" x14ac:dyDescent="0.25">
      <c r="A262" s="18">
        <v>860</v>
      </c>
      <c r="B262" s="18"/>
      <c r="C262" s="18" t="s">
        <v>6800</v>
      </c>
      <c r="D262" s="18" t="s">
        <v>3041</v>
      </c>
      <c r="E262" s="18">
        <v>1</v>
      </c>
      <c r="F262" s="18"/>
      <c r="G262" s="18"/>
      <c r="H262" s="21"/>
      <c r="I262" s="18"/>
      <c r="J262" s="19"/>
      <c r="K262" s="19"/>
      <c r="L262" s="19"/>
      <c r="M262" s="18"/>
      <c r="N262" s="19"/>
      <c r="O262" s="19"/>
      <c r="P262" s="19"/>
      <c r="Q262" s="18"/>
      <c r="R262" s="18"/>
      <c r="S262" s="18"/>
      <c r="T262" s="18"/>
    </row>
    <row r="263" spans="1:20" hidden="1" x14ac:dyDescent="0.25">
      <c r="A263" s="18">
        <v>1481</v>
      </c>
      <c r="B263" s="18"/>
      <c r="C263" s="18" t="s">
        <v>6800</v>
      </c>
      <c r="D263" s="18" t="s">
        <v>5065</v>
      </c>
      <c r="E263" s="18">
        <v>2</v>
      </c>
      <c r="F263" s="18"/>
      <c r="G263" s="18"/>
      <c r="H263" s="21"/>
      <c r="I263" s="18"/>
      <c r="J263" s="19"/>
      <c r="K263" s="19"/>
      <c r="L263" s="19"/>
      <c r="M263" s="18"/>
      <c r="N263" s="19"/>
      <c r="O263" s="19"/>
      <c r="P263" s="19"/>
      <c r="Q263" s="18"/>
      <c r="R263" s="18"/>
      <c r="S263" s="18"/>
      <c r="T263" s="18"/>
    </row>
    <row r="264" spans="1:20" hidden="1" x14ac:dyDescent="0.25">
      <c r="A264" s="18">
        <v>1049</v>
      </c>
      <c r="B264" s="18"/>
      <c r="C264" s="18" t="s">
        <v>6800</v>
      </c>
      <c r="D264" s="18" t="s">
        <v>3662</v>
      </c>
      <c r="E264" s="18">
        <v>2</v>
      </c>
      <c r="F264" s="18"/>
      <c r="G264" s="20">
        <v>45330</v>
      </c>
      <c r="H264" s="21">
        <v>1</v>
      </c>
      <c r="I264" s="18">
        <v>70</v>
      </c>
      <c r="J264" s="19" t="s">
        <v>7977</v>
      </c>
      <c r="K264" s="19" t="s">
        <v>7977</v>
      </c>
      <c r="L264" s="19" t="s">
        <v>11</v>
      </c>
      <c r="M264" s="18"/>
      <c r="N264" s="19"/>
      <c r="O264" s="19"/>
      <c r="P264" s="19"/>
      <c r="Q264" s="18"/>
      <c r="R264" s="18"/>
      <c r="S264" s="18"/>
      <c r="T264" s="18"/>
    </row>
    <row r="265" spans="1:20" hidden="1" x14ac:dyDescent="0.25">
      <c r="A265" s="18">
        <v>1046</v>
      </c>
      <c r="B265" s="18" t="s">
        <v>7831</v>
      </c>
      <c r="C265" s="18" t="s">
        <v>1478</v>
      </c>
      <c r="D265" s="18" t="s">
        <v>3652</v>
      </c>
      <c r="E265" s="18">
        <v>1</v>
      </c>
      <c r="F265" s="18"/>
      <c r="G265" s="20">
        <v>45232</v>
      </c>
      <c r="H265" s="21">
        <v>1</v>
      </c>
      <c r="I265" s="18">
        <v>11</v>
      </c>
      <c r="J265" s="19" t="s">
        <v>11</v>
      </c>
      <c r="K265" s="19" t="s">
        <v>11</v>
      </c>
      <c r="L265" s="19" t="s">
        <v>7977</v>
      </c>
      <c r="M265" s="18"/>
      <c r="N265" s="19"/>
      <c r="O265" s="19"/>
      <c r="P265" s="19"/>
      <c r="Q265" s="18"/>
      <c r="R265" s="18"/>
      <c r="S265" s="19"/>
      <c r="T265" s="18"/>
    </row>
    <row r="266" spans="1:20" hidden="1" x14ac:dyDescent="0.25">
      <c r="A266" s="18">
        <v>1970</v>
      </c>
      <c r="B266" s="18"/>
      <c r="C266" s="18" t="s">
        <v>6800</v>
      </c>
      <c r="D266" s="18" t="s">
        <v>6656</v>
      </c>
      <c r="E266" s="18">
        <v>3</v>
      </c>
      <c r="F266" s="18"/>
      <c r="G266" s="18"/>
      <c r="H266" s="21"/>
      <c r="I266" s="18"/>
      <c r="J266" s="19"/>
      <c r="K266" s="19"/>
      <c r="L266" s="19"/>
      <c r="M266" s="18"/>
      <c r="N266" s="19"/>
      <c r="O266" s="19"/>
      <c r="P266" s="19"/>
      <c r="Q266" s="18"/>
      <c r="R266" s="18"/>
      <c r="S266" s="18"/>
      <c r="T266" s="18"/>
    </row>
    <row r="267" spans="1:20" hidden="1" x14ac:dyDescent="0.25">
      <c r="A267" s="18">
        <v>84</v>
      </c>
      <c r="B267" s="18" t="s">
        <v>7829</v>
      </c>
      <c r="C267" s="18" t="s">
        <v>577</v>
      </c>
      <c r="D267" s="18" t="s">
        <v>574</v>
      </c>
      <c r="E267" s="18">
        <v>3</v>
      </c>
      <c r="F267" s="18"/>
      <c r="G267" s="20">
        <v>45309</v>
      </c>
      <c r="H267" s="21">
        <v>1</v>
      </c>
      <c r="I267" s="18">
        <v>90</v>
      </c>
      <c r="J267" s="19" t="s">
        <v>7977</v>
      </c>
      <c r="K267" s="19" t="s">
        <v>7977</v>
      </c>
      <c r="L267" s="19" t="s">
        <v>11</v>
      </c>
      <c r="M267" s="18"/>
      <c r="N267" s="19"/>
      <c r="O267" s="19"/>
      <c r="P267" s="19"/>
      <c r="Q267" s="18"/>
      <c r="R267" s="18"/>
      <c r="S267" s="18"/>
      <c r="T267" s="18"/>
    </row>
    <row r="268" spans="1:20" hidden="1" x14ac:dyDescent="0.25">
      <c r="A268" s="18">
        <v>179</v>
      </c>
      <c r="B268" s="18" t="s">
        <v>317</v>
      </c>
      <c r="C268" s="18" t="s">
        <v>872</v>
      </c>
      <c r="D268" s="18" t="s">
        <v>869</v>
      </c>
      <c r="E268" s="18">
        <v>2</v>
      </c>
      <c r="F268" s="18"/>
      <c r="G268" s="20">
        <v>45460</v>
      </c>
      <c r="H268" s="21">
        <v>1</v>
      </c>
      <c r="I268" s="18">
        <v>33</v>
      </c>
      <c r="J268" s="19" t="s">
        <v>7977</v>
      </c>
      <c r="K268" s="19" t="s">
        <v>7977</v>
      </c>
      <c r="L268" s="19" t="s">
        <v>11</v>
      </c>
      <c r="M268" s="18"/>
      <c r="N268" s="19"/>
      <c r="O268" s="19"/>
      <c r="P268" s="19"/>
      <c r="Q268" s="18"/>
      <c r="R268" s="18"/>
      <c r="S268" s="18"/>
      <c r="T268" s="18"/>
    </row>
    <row r="269" spans="1:20" hidden="1" x14ac:dyDescent="0.25">
      <c r="A269" s="18">
        <v>779</v>
      </c>
      <c r="B269" s="18"/>
      <c r="C269" s="18" t="s">
        <v>6800</v>
      </c>
      <c r="D269" s="18" t="s">
        <v>2772</v>
      </c>
      <c r="E269" s="18">
        <v>2</v>
      </c>
      <c r="F269" s="18"/>
      <c r="G269" s="20">
        <v>45251</v>
      </c>
      <c r="H269" s="21">
        <v>1</v>
      </c>
      <c r="I269" s="18">
        <v>26</v>
      </c>
      <c r="J269" s="19" t="s">
        <v>7977</v>
      </c>
      <c r="K269" s="19" t="s">
        <v>7977</v>
      </c>
      <c r="L269" s="19" t="s">
        <v>11</v>
      </c>
      <c r="M269" s="18"/>
      <c r="N269" s="19"/>
      <c r="O269" s="19"/>
      <c r="P269" s="19"/>
      <c r="Q269" s="18"/>
      <c r="R269" s="18"/>
      <c r="S269" s="18"/>
      <c r="T269" s="18"/>
    </row>
    <row r="270" spans="1:20" hidden="1" x14ac:dyDescent="0.25">
      <c r="A270" s="18">
        <v>378</v>
      </c>
      <c r="B270" s="18" t="s">
        <v>7832</v>
      </c>
      <c r="C270" s="18" t="s">
        <v>1493</v>
      </c>
      <c r="D270" s="18" t="s">
        <v>51</v>
      </c>
      <c r="E270" s="18">
        <v>2</v>
      </c>
      <c r="F270" s="18"/>
      <c r="G270" s="20">
        <v>45233</v>
      </c>
      <c r="H270" s="21">
        <v>1</v>
      </c>
      <c r="I270" s="18">
        <v>41</v>
      </c>
      <c r="J270" s="19" t="s">
        <v>11</v>
      </c>
      <c r="K270" s="19" t="s">
        <v>7977</v>
      </c>
      <c r="L270" s="19" t="s">
        <v>11</v>
      </c>
      <c r="M270" s="18"/>
      <c r="N270" s="19" t="s">
        <v>7977</v>
      </c>
      <c r="O270" s="19" t="s">
        <v>7977</v>
      </c>
      <c r="P270" s="19" t="s">
        <v>11</v>
      </c>
      <c r="Q270" s="18"/>
      <c r="R270" s="18"/>
      <c r="S270" s="18" t="s">
        <v>8011</v>
      </c>
      <c r="T270" s="18"/>
    </row>
    <row r="271" spans="1:20" hidden="1" x14ac:dyDescent="0.25">
      <c r="A271" s="18">
        <v>230</v>
      </c>
      <c r="B271" s="18" t="s">
        <v>7830</v>
      </c>
      <c r="C271" s="18" t="s">
        <v>622</v>
      </c>
      <c r="D271" s="18" t="s">
        <v>74</v>
      </c>
      <c r="E271" s="18">
        <v>2</v>
      </c>
      <c r="F271" s="18"/>
      <c r="G271" s="20">
        <v>45293</v>
      </c>
      <c r="H271" s="21">
        <v>1</v>
      </c>
      <c r="I271" s="18">
        <v>15</v>
      </c>
      <c r="J271" s="19" t="s">
        <v>11</v>
      </c>
      <c r="K271" s="19" t="s">
        <v>11</v>
      </c>
      <c r="L271" s="19" t="s">
        <v>7977</v>
      </c>
      <c r="M271" s="18"/>
      <c r="N271" s="19"/>
      <c r="O271" s="19"/>
      <c r="P271" s="19"/>
      <c r="Q271" s="18"/>
      <c r="R271" s="18"/>
      <c r="S271" s="19"/>
      <c r="T271" s="18"/>
    </row>
    <row r="272" spans="1:20" hidden="1" x14ac:dyDescent="0.25">
      <c r="A272" s="18">
        <v>1539</v>
      </c>
      <c r="B272" s="18"/>
      <c r="C272" s="18" t="s">
        <v>6800</v>
      </c>
      <c r="D272" s="18" t="s">
        <v>5258</v>
      </c>
      <c r="E272" s="18">
        <v>1</v>
      </c>
      <c r="F272" s="18"/>
      <c r="G272" s="18"/>
      <c r="H272" s="21"/>
      <c r="I272" s="18"/>
      <c r="J272" s="19"/>
      <c r="K272" s="19"/>
      <c r="L272" s="19"/>
      <c r="M272" s="18"/>
      <c r="N272" s="19"/>
      <c r="O272" s="19"/>
      <c r="P272" s="19"/>
      <c r="Q272" s="18"/>
      <c r="R272" s="18"/>
      <c r="S272" s="18"/>
      <c r="T272" s="18"/>
    </row>
    <row r="273" spans="1:20" hidden="1" x14ac:dyDescent="0.25">
      <c r="A273" s="18">
        <v>215</v>
      </c>
      <c r="B273" s="18" t="s">
        <v>7832</v>
      </c>
      <c r="C273" s="18" t="s">
        <v>981</v>
      </c>
      <c r="D273" s="18" t="s">
        <v>138</v>
      </c>
      <c r="E273" s="18">
        <v>2</v>
      </c>
      <c r="F273" s="18"/>
      <c r="G273" s="20">
        <v>45232</v>
      </c>
      <c r="H273" s="21">
        <v>1</v>
      </c>
      <c r="I273" s="18">
        <v>8</v>
      </c>
      <c r="J273" s="19" t="s">
        <v>11</v>
      </c>
      <c r="K273" s="19" t="s">
        <v>11</v>
      </c>
      <c r="L273" s="19" t="s">
        <v>7977</v>
      </c>
      <c r="M273" s="18"/>
      <c r="N273" s="19"/>
      <c r="O273" s="19"/>
      <c r="P273" s="19"/>
      <c r="Q273" s="18"/>
      <c r="R273" s="18"/>
      <c r="S273" s="19"/>
      <c r="T273" s="18"/>
    </row>
    <row r="274" spans="1:20" ht="30" hidden="1" x14ac:dyDescent="0.25">
      <c r="A274" s="18">
        <v>703</v>
      </c>
      <c r="B274" s="18" t="s">
        <v>7831</v>
      </c>
      <c r="C274" s="18" t="s">
        <v>2530</v>
      </c>
      <c r="D274" s="18" t="s">
        <v>2527</v>
      </c>
      <c r="E274" s="18">
        <v>1</v>
      </c>
      <c r="F274" s="18"/>
      <c r="G274" s="20">
        <v>45232</v>
      </c>
      <c r="H274" s="21">
        <v>1</v>
      </c>
      <c r="I274" s="18">
        <v>13</v>
      </c>
      <c r="J274" s="19" t="s">
        <v>11</v>
      </c>
      <c r="K274" s="19" t="s">
        <v>11</v>
      </c>
      <c r="L274" s="19" t="s">
        <v>7977</v>
      </c>
      <c r="M274" s="18"/>
      <c r="N274" s="19" t="s">
        <v>11</v>
      </c>
      <c r="O274" s="19"/>
      <c r="P274" s="19"/>
      <c r="Q274" s="18"/>
      <c r="R274" s="18"/>
      <c r="S274" s="19" t="s">
        <v>8010</v>
      </c>
      <c r="T274" s="18"/>
    </row>
    <row r="275" spans="1:20" hidden="1" x14ac:dyDescent="0.25">
      <c r="A275" s="18">
        <v>875</v>
      </c>
      <c r="B275" s="18" t="s">
        <v>47</v>
      </c>
      <c r="C275" s="18" t="s">
        <v>426</v>
      </c>
      <c r="D275" s="18" t="s">
        <v>3090</v>
      </c>
      <c r="E275" s="18">
        <v>2</v>
      </c>
      <c r="F275" s="18"/>
      <c r="G275" s="20">
        <v>45344</v>
      </c>
      <c r="H275" s="21">
        <v>1</v>
      </c>
      <c r="I275" s="18">
        <v>55</v>
      </c>
      <c r="J275" s="19" t="s">
        <v>7977</v>
      </c>
      <c r="K275" s="19" t="s">
        <v>7977</v>
      </c>
      <c r="L275" s="19" t="s">
        <v>11</v>
      </c>
      <c r="M275" s="18"/>
      <c r="N275" s="19"/>
      <c r="O275" s="19"/>
      <c r="P275" s="19"/>
      <c r="Q275" s="18"/>
      <c r="R275" s="18"/>
      <c r="S275" s="18"/>
      <c r="T275" s="18"/>
    </row>
    <row r="276" spans="1:20" hidden="1" x14ac:dyDescent="0.25">
      <c r="A276" s="18">
        <v>841</v>
      </c>
      <c r="B276" s="18"/>
      <c r="C276" s="18" t="s">
        <v>6800</v>
      </c>
      <c r="D276" s="18" t="s">
        <v>2976</v>
      </c>
      <c r="E276" s="18">
        <v>2</v>
      </c>
      <c r="F276" s="18"/>
      <c r="G276" s="20">
        <v>45232</v>
      </c>
      <c r="H276" s="21">
        <v>1</v>
      </c>
      <c r="I276" s="18">
        <v>12</v>
      </c>
      <c r="J276" s="19" t="s">
        <v>11</v>
      </c>
      <c r="K276" s="19" t="s">
        <v>11</v>
      </c>
      <c r="L276" s="19" t="s">
        <v>7977</v>
      </c>
      <c r="M276" s="18"/>
      <c r="N276" s="19"/>
      <c r="O276" s="19"/>
      <c r="P276" s="19"/>
      <c r="Q276" s="18"/>
      <c r="R276" s="18"/>
      <c r="S276" s="18"/>
      <c r="T276" s="18"/>
    </row>
    <row r="277" spans="1:20" hidden="1" x14ac:dyDescent="0.25">
      <c r="A277" s="18">
        <v>973</v>
      </c>
      <c r="B277" s="18" t="s">
        <v>7832</v>
      </c>
      <c r="C277" s="18" t="s">
        <v>3418</v>
      </c>
      <c r="D277" s="18" t="s">
        <v>135</v>
      </c>
      <c r="E277" s="18">
        <v>2</v>
      </c>
      <c r="F277" s="18"/>
      <c r="G277" s="20">
        <v>45233</v>
      </c>
      <c r="H277" s="21">
        <v>1</v>
      </c>
      <c r="I277" s="18">
        <v>11</v>
      </c>
      <c r="J277" s="19" t="s">
        <v>11</v>
      </c>
      <c r="K277" s="19" t="s">
        <v>11</v>
      </c>
      <c r="L277" s="19" t="s">
        <v>7977</v>
      </c>
      <c r="M277" s="18"/>
      <c r="N277" s="19" t="s">
        <v>11</v>
      </c>
      <c r="O277" s="19"/>
      <c r="P277" s="19" t="s">
        <v>11</v>
      </c>
      <c r="Q277" s="18"/>
      <c r="R277" s="18"/>
      <c r="S277" s="18"/>
      <c r="T277" s="18"/>
    </row>
    <row r="278" spans="1:20" hidden="1" x14ac:dyDescent="0.25">
      <c r="A278" s="18">
        <v>45</v>
      </c>
      <c r="B278" s="18" t="s">
        <v>125</v>
      </c>
      <c r="C278" s="18" t="s">
        <v>464</v>
      </c>
      <c r="D278" s="18" t="s">
        <v>461</v>
      </c>
      <c r="E278" s="18">
        <v>2</v>
      </c>
      <c r="F278" s="18"/>
      <c r="G278" s="20">
        <v>45335</v>
      </c>
      <c r="H278" s="21">
        <v>1</v>
      </c>
      <c r="I278" s="18">
        <v>19</v>
      </c>
      <c r="J278" s="19" t="s">
        <v>11</v>
      </c>
      <c r="K278" s="19" t="s">
        <v>7977</v>
      </c>
      <c r="L278" s="19" t="s">
        <v>7977</v>
      </c>
      <c r="M278" s="18"/>
      <c r="N278" s="19"/>
      <c r="O278" s="19"/>
      <c r="P278" s="19"/>
      <c r="Q278" s="18"/>
      <c r="R278" s="18"/>
      <c r="S278" s="19"/>
      <c r="T278" s="18"/>
    </row>
    <row r="279" spans="1:20" hidden="1" x14ac:dyDescent="0.25">
      <c r="A279" s="18">
        <v>55</v>
      </c>
      <c r="B279" s="18" t="s">
        <v>125</v>
      </c>
      <c r="C279" s="18" t="s">
        <v>464</v>
      </c>
      <c r="D279" s="18" t="s">
        <v>102</v>
      </c>
      <c r="E279" s="18">
        <v>2</v>
      </c>
      <c r="F279" s="18"/>
      <c r="G279" s="20">
        <v>45307</v>
      </c>
      <c r="H279" s="21">
        <v>1</v>
      </c>
      <c r="I279" s="18">
        <v>11</v>
      </c>
      <c r="J279" s="19" t="s">
        <v>11</v>
      </c>
      <c r="K279" s="19" t="s">
        <v>11</v>
      </c>
      <c r="L279" s="19" t="s">
        <v>7977</v>
      </c>
      <c r="M279" s="18"/>
      <c r="N279" s="19"/>
      <c r="O279" s="19"/>
      <c r="P279" s="19"/>
      <c r="Q279" s="18"/>
      <c r="R279" s="18"/>
      <c r="S279" s="19"/>
      <c r="T279" s="18"/>
    </row>
    <row r="280" spans="1:20" hidden="1" x14ac:dyDescent="0.25">
      <c r="A280" s="18">
        <v>771</v>
      </c>
      <c r="B280" s="18" t="s">
        <v>7974</v>
      </c>
      <c r="C280" s="18" t="s">
        <v>6800</v>
      </c>
      <c r="D280" s="18" t="s">
        <v>2747</v>
      </c>
      <c r="E280" s="18">
        <v>1</v>
      </c>
      <c r="F280" s="18"/>
      <c r="G280" s="20">
        <v>45225</v>
      </c>
      <c r="H280" s="21">
        <v>1</v>
      </c>
      <c r="I280" s="18">
        <v>3</v>
      </c>
      <c r="J280" s="19" t="s">
        <v>11</v>
      </c>
      <c r="K280" s="19" t="s">
        <v>11</v>
      </c>
      <c r="L280" s="19" t="s">
        <v>7977</v>
      </c>
      <c r="M280" s="18"/>
      <c r="N280" s="19" t="s">
        <v>11</v>
      </c>
      <c r="O280" s="19"/>
      <c r="P280" s="19"/>
      <c r="Q280" s="18"/>
      <c r="R280" s="18"/>
      <c r="S280" s="18"/>
      <c r="T280" s="18"/>
    </row>
    <row r="281" spans="1:20" hidden="1" x14ac:dyDescent="0.25">
      <c r="A281" s="18">
        <v>205</v>
      </c>
      <c r="B281" s="18" t="s">
        <v>7974</v>
      </c>
      <c r="C281" s="18" t="s">
        <v>6800</v>
      </c>
      <c r="D281" s="18" t="s">
        <v>949</v>
      </c>
      <c r="E281" s="18">
        <v>1</v>
      </c>
      <c r="F281" s="18"/>
      <c r="G281" s="20">
        <v>45224</v>
      </c>
      <c r="H281" s="21">
        <v>1</v>
      </c>
      <c r="I281" s="18">
        <v>13</v>
      </c>
      <c r="J281" s="19" t="s">
        <v>11</v>
      </c>
      <c r="K281" s="19" t="s">
        <v>7977</v>
      </c>
      <c r="L281" s="19" t="s">
        <v>11</v>
      </c>
      <c r="M281" s="18"/>
      <c r="N281" s="19"/>
      <c r="O281" s="19"/>
      <c r="P281" s="19"/>
      <c r="Q281" s="18"/>
      <c r="R281" s="18"/>
      <c r="S281" s="18" t="s">
        <v>8001</v>
      </c>
      <c r="T281" s="18"/>
    </row>
    <row r="282" spans="1:20" hidden="1" x14ac:dyDescent="0.25">
      <c r="A282" s="18">
        <v>392</v>
      </c>
      <c r="B282" s="18"/>
      <c r="C282" s="18"/>
      <c r="D282" s="18" t="s">
        <v>298</v>
      </c>
      <c r="E282" s="18">
        <v>1</v>
      </c>
      <c r="F282" s="18"/>
      <c r="G282" s="20">
        <v>45385</v>
      </c>
      <c r="H282" s="21">
        <v>1</v>
      </c>
      <c r="I282" s="18">
        <v>8</v>
      </c>
      <c r="J282" s="19" t="s">
        <v>11</v>
      </c>
      <c r="K282" s="19" t="s">
        <v>11</v>
      </c>
      <c r="L282" s="19" t="s">
        <v>7977</v>
      </c>
      <c r="M282" s="18"/>
      <c r="N282" s="19"/>
      <c r="O282" s="19"/>
      <c r="P282" s="19"/>
      <c r="Q282" s="18"/>
      <c r="R282" s="18"/>
      <c r="S282" s="18"/>
      <c r="T282" s="18"/>
    </row>
    <row r="283" spans="1:20" hidden="1" x14ac:dyDescent="0.25">
      <c r="A283" s="18">
        <v>502</v>
      </c>
      <c r="B283" s="18"/>
      <c r="C283" s="18" t="s">
        <v>6800</v>
      </c>
      <c r="D283" s="18" t="s">
        <v>1898</v>
      </c>
      <c r="E283" s="18">
        <v>3</v>
      </c>
      <c r="F283" s="18"/>
      <c r="G283" s="18"/>
      <c r="H283" s="21"/>
      <c r="I283" s="18"/>
      <c r="J283" s="19"/>
      <c r="K283" s="19"/>
      <c r="L283" s="19"/>
      <c r="M283" s="18"/>
      <c r="N283" s="19"/>
      <c r="O283" s="19"/>
      <c r="P283" s="19"/>
      <c r="Q283" s="18"/>
      <c r="R283" s="18"/>
      <c r="S283" s="18"/>
      <c r="T283" s="18"/>
    </row>
    <row r="284" spans="1:20" hidden="1" x14ac:dyDescent="0.25">
      <c r="A284" s="18">
        <v>226</v>
      </c>
      <c r="B284" s="18" t="s">
        <v>7830</v>
      </c>
      <c r="C284" s="18" t="s">
        <v>628</v>
      </c>
      <c r="D284" s="18" t="s">
        <v>72</v>
      </c>
      <c r="E284" s="18">
        <v>1</v>
      </c>
      <c r="F284" s="18"/>
      <c r="G284" s="20">
        <v>45307</v>
      </c>
      <c r="H284" s="21">
        <v>1</v>
      </c>
      <c r="I284" s="18">
        <v>12</v>
      </c>
      <c r="J284" s="19" t="s">
        <v>11</v>
      </c>
      <c r="K284" s="19" t="s">
        <v>11</v>
      </c>
      <c r="L284" s="19" t="s">
        <v>7977</v>
      </c>
      <c r="M284" s="18"/>
      <c r="N284" s="19"/>
      <c r="O284" s="19"/>
      <c r="P284" s="19"/>
      <c r="Q284" s="18"/>
      <c r="R284" s="18"/>
      <c r="S284" s="19"/>
      <c r="T284" s="18"/>
    </row>
    <row r="285" spans="1:20" hidden="1" x14ac:dyDescent="0.25">
      <c r="A285" s="18">
        <v>986</v>
      </c>
      <c r="B285" s="18"/>
      <c r="C285" s="18" t="s">
        <v>6800</v>
      </c>
      <c r="D285" s="18" t="s">
        <v>153</v>
      </c>
      <c r="E285" s="18">
        <v>2</v>
      </c>
      <c r="F285" s="18"/>
      <c r="G285" s="20">
        <v>45345</v>
      </c>
      <c r="H285" s="21">
        <v>1</v>
      </c>
      <c r="I285" s="18">
        <v>41</v>
      </c>
      <c r="J285" s="19" t="s">
        <v>11</v>
      </c>
      <c r="K285" s="19" t="s">
        <v>11</v>
      </c>
      <c r="L285" s="19" t="s">
        <v>8021</v>
      </c>
      <c r="M285" s="18"/>
      <c r="N285" s="19"/>
      <c r="O285" s="19"/>
      <c r="P285" s="19"/>
      <c r="Q285" s="18"/>
      <c r="R285" s="18"/>
      <c r="S285" s="18" t="s">
        <v>8390</v>
      </c>
      <c r="T285" s="18"/>
    </row>
    <row r="286" spans="1:20" hidden="1" x14ac:dyDescent="0.25">
      <c r="A286" s="18">
        <v>160</v>
      </c>
      <c r="B286" s="18" t="s">
        <v>573</v>
      </c>
      <c r="C286" s="18" t="s">
        <v>755</v>
      </c>
      <c r="D286" s="18" t="s">
        <v>810</v>
      </c>
      <c r="E286" s="18">
        <v>1</v>
      </c>
      <c r="F286" s="18"/>
      <c r="G286" s="20">
        <v>45303</v>
      </c>
      <c r="H286" s="21">
        <v>1</v>
      </c>
      <c r="I286" s="18">
        <v>15</v>
      </c>
      <c r="J286" s="19" t="s">
        <v>11</v>
      </c>
      <c r="K286" s="19" t="s">
        <v>11</v>
      </c>
      <c r="L286" s="19" t="s">
        <v>7977</v>
      </c>
      <c r="M286" s="18"/>
      <c r="N286" s="19"/>
      <c r="O286" s="19"/>
      <c r="P286" s="19"/>
      <c r="Q286" s="18"/>
      <c r="R286" s="18"/>
      <c r="S286" s="19"/>
      <c r="T286" s="18"/>
    </row>
    <row r="287" spans="1:20" hidden="1" x14ac:dyDescent="0.25">
      <c r="A287" s="18">
        <v>350</v>
      </c>
      <c r="B287" s="18" t="s">
        <v>47</v>
      </c>
      <c r="C287" s="18" t="s">
        <v>1399</v>
      </c>
      <c r="D287" s="18" t="s">
        <v>1400</v>
      </c>
      <c r="E287" s="18">
        <v>1</v>
      </c>
      <c r="F287" s="20">
        <v>45224</v>
      </c>
      <c r="G287" s="20">
        <v>45239</v>
      </c>
      <c r="H287" s="21">
        <v>2</v>
      </c>
      <c r="I287" s="18">
        <v>5</v>
      </c>
      <c r="J287" s="19" t="s">
        <v>11</v>
      </c>
      <c r="K287" s="19" t="s">
        <v>11</v>
      </c>
      <c r="L287" s="19" t="s">
        <v>7977</v>
      </c>
      <c r="M287" s="18"/>
      <c r="N287" s="19" t="s">
        <v>11</v>
      </c>
      <c r="O287" s="19"/>
      <c r="P287" s="19"/>
      <c r="Q287" s="18"/>
      <c r="R287" s="18"/>
      <c r="S287" s="19"/>
      <c r="T287" s="18"/>
    </row>
    <row r="288" spans="1:20" hidden="1" x14ac:dyDescent="0.25">
      <c r="A288" s="18">
        <v>349</v>
      </c>
      <c r="B288" s="18" t="s">
        <v>7974</v>
      </c>
      <c r="C288" s="18" t="s">
        <v>6800</v>
      </c>
      <c r="D288" s="18" t="s">
        <v>1396</v>
      </c>
      <c r="E288" s="18">
        <v>1</v>
      </c>
      <c r="F288" s="18"/>
      <c r="G288" s="20">
        <v>45224</v>
      </c>
      <c r="H288" s="21">
        <v>1</v>
      </c>
      <c r="I288" s="18">
        <v>5</v>
      </c>
      <c r="J288" s="19" t="s">
        <v>11</v>
      </c>
      <c r="K288" s="19" t="s">
        <v>11</v>
      </c>
      <c r="L288" s="19" t="s">
        <v>7977</v>
      </c>
      <c r="M288" s="18"/>
      <c r="N288" s="19" t="s">
        <v>11</v>
      </c>
      <c r="O288" s="19"/>
      <c r="P288" s="19"/>
      <c r="Q288" s="18"/>
      <c r="R288" s="18"/>
      <c r="S288" s="18"/>
      <c r="T288" s="18"/>
    </row>
    <row r="289" spans="1:20" hidden="1" x14ac:dyDescent="0.25">
      <c r="A289" s="18">
        <v>97</v>
      </c>
      <c r="B289" s="18" t="s">
        <v>109</v>
      </c>
      <c r="C289" s="18" t="s">
        <v>340</v>
      </c>
      <c r="D289" s="18" t="s">
        <v>617</v>
      </c>
      <c r="E289" s="18">
        <v>2</v>
      </c>
      <c r="F289" s="18"/>
      <c r="G289" s="20">
        <v>45331</v>
      </c>
      <c r="H289" s="21">
        <v>1</v>
      </c>
      <c r="I289" s="18">
        <v>20</v>
      </c>
      <c r="J289" s="19" t="s">
        <v>11</v>
      </c>
      <c r="K289" s="19" t="s">
        <v>11</v>
      </c>
      <c r="L289" s="19" t="s">
        <v>7977</v>
      </c>
      <c r="M289" s="18"/>
      <c r="N289" s="19"/>
      <c r="O289" s="19"/>
      <c r="P289" s="19"/>
      <c r="Q289" s="18"/>
      <c r="R289" s="18"/>
      <c r="S289" s="19"/>
      <c r="T289" s="18"/>
    </row>
    <row r="290" spans="1:20" hidden="1" x14ac:dyDescent="0.25">
      <c r="A290" s="18">
        <v>57</v>
      </c>
      <c r="B290" s="18" t="s">
        <v>125</v>
      </c>
      <c r="C290" s="18" t="s">
        <v>317</v>
      </c>
      <c r="D290" s="18" t="s">
        <v>155</v>
      </c>
      <c r="E290" s="18">
        <v>2</v>
      </c>
      <c r="F290" s="18"/>
      <c r="G290" s="20">
        <v>45315</v>
      </c>
      <c r="H290" s="21">
        <v>1</v>
      </c>
      <c r="I290" s="18">
        <v>14</v>
      </c>
      <c r="J290" s="19" t="s">
        <v>11</v>
      </c>
      <c r="K290" s="19" t="s">
        <v>11</v>
      </c>
      <c r="L290" s="19" t="s">
        <v>11</v>
      </c>
      <c r="M290" s="18"/>
      <c r="N290" s="19" t="s">
        <v>7977</v>
      </c>
      <c r="O290" s="19"/>
      <c r="P290" s="19"/>
      <c r="Q290" s="18"/>
      <c r="R290" s="18"/>
      <c r="S290" s="19"/>
      <c r="T290" s="18"/>
    </row>
    <row r="291" spans="1:20" hidden="1" x14ac:dyDescent="0.25">
      <c r="A291" s="18">
        <v>380</v>
      </c>
      <c r="B291" s="18" t="s">
        <v>317</v>
      </c>
      <c r="C291" s="18" t="s">
        <v>1501</v>
      </c>
      <c r="D291" s="18" t="s">
        <v>1498</v>
      </c>
      <c r="E291" s="18">
        <v>2</v>
      </c>
      <c r="F291" s="18"/>
      <c r="G291" s="20">
        <v>45226</v>
      </c>
      <c r="H291" s="21">
        <v>1</v>
      </c>
      <c r="I291" s="18">
        <v>20</v>
      </c>
      <c r="J291" s="19" t="s">
        <v>7977</v>
      </c>
      <c r="K291" s="19" t="s">
        <v>7977</v>
      </c>
      <c r="L291" s="19" t="s">
        <v>11</v>
      </c>
      <c r="M291" s="18"/>
      <c r="N291" s="19"/>
      <c r="O291" s="19"/>
      <c r="P291" s="19"/>
      <c r="Q291" s="18"/>
      <c r="R291" s="18"/>
      <c r="S291" s="18"/>
      <c r="T291" s="18"/>
    </row>
    <row r="292" spans="1:20" hidden="1" x14ac:dyDescent="0.25">
      <c r="A292" s="18">
        <v>285</v>
      </c>
      <c r="B292" s="18" t="s">
        <v>7830</v>
      </c>
      <c r="C292" s="18" t="s">
        <v>622</v>
      </c>
      <c r="D292" s="18" t="s">
        <v>226</v>
      </c>
      <c r="E292" s="18">
        <v>2</v>
      </c>
      <c r="F292" s="18"/>
      <c r="G292" s="20">
        <v>45258</v>
      </c>
      <c r="H292" s="21">
        <v>1</v>
      </c>
      <c r="I292" s="18">
        <v>28</v>
      </c>
      <c r="J292" s="19" t="s">
        <v>11</v>
      </c>
      <c r="K292" s="19" t="s">
        <v>11</v>
      </c>
      <c r="L292" s="19" t="s">
        <v>7977</v>
      </c>
      <c r="M292" s="18"/>
      <c r="N292" s="19"/>
      <c r="O292" s="19"/>
      <c r="P292" s="19"/>
      <c r="Q292" s="18"/>
      <c r="R292" s="18"/>
      <c r="S292" s="18"/>
      <c r="T292" s="18"/>
    </row>
    <row r="293" spans="1:20" hidden="1" x14ac:dyDescent="0.25">
      <c r="A293" s="18">
        <v>334</v>
      </c>
      <c r="B293" s="18" t="s">
        <v>125</v>
      </c>
      <c r="C293" s="18" t="s">
        <v>732</v>
      </c>
      <c r="D293" s="18" t="s">
        <v>1348</v>
      </c>
      <c r="E293" s="18">
        <v>2</v>
      </c>
      <c r="F293" s="18"/>
      <c r="G293" s="20">
        <v>45324</v>
      </c>
      <c r="H293" s="21">
        <v>1</v>
      </c>
      <c r="I293" s="18">
        <v>48</v>
      </c>
      <c r="J293" s="19" t="s">
        <v>11</v>
      </c>
      <c r="K293" s="19" t="s">
        <v>7977</v>
      </c>
      <c r="L293" s="19" t="s">
        <v>11</v>
      </c>
      <c r="M293" s="18"/>
      <c r="N293" s="19"/>
      <c r="O293" s="19"/>
      <c r="P293" s="19"/>
      <c r="Q293" s="18"/>
      <c r="R293" s="18"/>
      <c r="S293" s="18"/>
      <c r="T293" s="18"/>
    </row>
    <row r="294" spans="1:20" hidden="1" x14ac:dyDescent="0.25">
      <c r="A294" s="18">
        <v>208</v>
      </c>
      <c r="B294" s="18" t="s">
        <v>7830</v>
      </c>
      <c r="C294" s="18" t="s">
        <v>960</v>
      </c>
      <c r="D294" s="18" t="s">
        <v>86</v>
      </c>
      <c r="E294" s="18">
        <v>2</v>
      </c>
      <c r="F294" s="18"/>
      <c r="G294" s="20">
        <v>45252</v>
      </c>
      <c r="H294" s="21">
        <v>1</v>
      </c>
      <c r="I294" s="18">
        <v>23</v>
      </c>
      <c r="J294" s="19" t="s">
        <v>11</v>
      </c>
      <c r="K294" s="19" t="s">
        <v>7977</v>
      </c>
      <c r="L294" s="19" t="s">
        <v>7977</v>
      </c>
      <c r="M294" s="18"/>
      <c r="N294" s="19"/>
      <c r="O294" s="19"/>
      <c r="P294" s="19"/>
      <c r="Q294" s="18"/>
      <c r="R294" s="18"/>
      <c r="S294" s="19"/>
      <c r="T294" s="18"/>
    </row>
    <row r="295" spans="1:20" hidden="1" x14ac:dyDescent="0.25">
      <c r="A295" s="18">
        <v>225</v>
      </c>
      <c r="B295" s="18"/>
      <c r="C295" s="18" t="s">
        <v>6800</v>
      </c>
      <c r="D295" s="18" t="s">
        <v>1014</v>
      </c>
      <c r="E295" s="18">
        <v>1</v>
      </c>
      <c r="F295" s="18"/>
      <c r="G295" s="20">
        <v>45231</v>
      </c>
      <c r="H295" s="21">
        <v>1</v>
      </c>
      <c r="I295" s="18">
        <v>13</v>
      </c>
      <c r="J295" s="19" t="s">
        <v>11</v>
      </c>
      <c r="K295" s="19" t="s">
        <v>11</v>
      </c>
      <c r="L295" s="19" t="s">
        <v>7977</v>
      </c>
      <c r="M295" s="18"/>
      <c r="N295" s="19" t="s">
        <v>11</v>
      </c>
      <c r="O295" s="19"/>
      <c r="P295" s="19"/>
      <c r="Q295" s="18"/>
      <c r="R295" s="18"/>
      <c r="S295" s="18"/>
      <c r="T295" s="18"/>
    </row>
    <row r="296" spans="1:20" hidden="1" x14ac:dyDescent="0.25">
      <c r="A296" s="18">
        <v>232</v>
      </c>
      <c r="B296" s="18" t="s">
        <v>7829</v>
      </c>
      <c r="C296" s="18" t="s">
        <v>1017</v>
      </c>
      <c r="D296" s="18" t="s">
        <v>1037</v>
      </c>
      <c r="E296" s="18">
        <v>1</v>
      </c>
      <c r="F296" s="18"/>
      <c r="G296" s="20">
        <v>45231</v>
      </c>
      <c r="H296" s="21">
        <v>1</v>
      </c>
      <c r="I296" s="18">
        <v>20</v>
      </c>
      <c r="J296" s="19" t="s">
        <v>11</v>
      </c>
      <c r="K296" s="19" t="s">
        <v>11</v>
      </c>
      <c r="L296" s="19" t="s">
        <v>7977</v>
      </c>
      <c r="M296" s="18"/>
      <c r="N296" s="19"/>
      <c r="O296" s="19"/>
      <c r="P296" s="19"/>
      <c r="Q296" s="18"/>
      <c r="R296" s="18"/>
      <c r="S296" s="19"/>
      <c r="T296" s="18"/>
    </row>
    <row r="297" spans="1:20" x14ac:dyDescent="0.25">
      <c r="A297" s="18">
        <v>337</v>
      </c>
      <c r="B297" s="18"/>
      <c r="C297" s="18" t="s">
        <v>6800</v>
      </c>
      <c r="D297" s="18" t="s">
        <v>1358</v>
      </c>
      <c r="E297" s="18">
        <v>2</v>
      </c>
      <c r="F297" s="18"/>
      <c r="G297" s="20">
        <v>45600</v>
      </c>
      <c r="H297" s="21">
        <v>1</v>
      </c>
      <c r="I297" s="18">
        <v>24</v>
      </c>
      <c r="J297" s="19" t="s">
        <v>11</v>
      </c>
      <c r="K297" s="19" t="s">
        <v>11</v>
      </c>
      <c r="L297" s="19" t="s">
        <v>7977</v>
      </c>
      <c r="M297" s="18"/>
      <c r="N297" s="19"/>
      <c r="O297" s="19"/>
      <c r="P297" s="19"/>
      <c r="Q297" s="18"/>
      <c r="R297" s="18"/>
      <c r="S297" s="18"/>
      <c r="T297" s="18"/>
    </row>
    <row r="298" spans="1:20" x14ac:dyDescent="0.25">
      <c r="A298" s="18">
        <v>213</v>
      </c>
      <c r="B298" s="18" t="s">
        <v>109</v>
      </c>
      <c r="C298" s="18" t="s">
        <v>681</v>
      </c>
      <c r="D298" s="18" t="s">
        <v>93</v>
      </c>
      <c r="E298" s="18">
        <v>2</v>
      </c>
      <c r="F298" s="18"/>
      <c r="G298" s="20">
        <v>45600</v>
      </c>
      <c r="H298" s="21">
        <v>1</v>
      </c>
      <c r="I298" s="18">
        <v>37</v>
      </c>
      <c r="J298" s="19" t="s">
        <v>7977</v>
      </c>
      <c r="K298" s="19" t="s">
        <v>7977</v>
      </c>
      <c r="L298" s="19" t="s">
        <v>11</v>
      </c>
      <c r="M298" s="18"/>
      <c r="N298" s="19"/>
      <c r="O298" s="19"/>
      <c r="P298" s="19"/>
      <c r="Q298" s="18"/>
      <c r="R298" s="18"/>
      <c r="S298" s="19"/>
      <c r="T298" s="18"/>
    </row>
    <row r="299" spans="1:20" x14ac:dyDescent="0.25">
      <c r="A299" s="18">
        <v>198</v>
      </c>
      <c r="B299" s="18" t="s">
        <v>7834</v>
      </c>
      <c r="C299" s="18" t="s">
        <v>681</v>
      </c>
      <c r="D299" s="18" t="s">
        <v>92</v>
      </c>
      <c r="E299" s="18">
        <v>2</v>
      </c>
      <c r="F299" s="18"/>
      <c r="G299" s="20">
        <v>45278</v>
      </c>
      <c r="H299" s="21">
        <v>1</v>
      </c>
      <c r="I299" s="18">
        <v>6</v>
      </c>
      <c r="J299" s="19" t="s">
        <v>11</v>
      </c>
      <c r="K299" s="19" t="s">
        <v>11</v>
      </c>
      <c r="L299" s="19" t="s">
        <v>7977</v>
      </c>
      <c r="M299" s="18"/>
      <c r="N299" s="19"/>
      <c r="O299" s="18"/>
      <c r="P299" s="19"/>
      <c r="Q299" s="18"/>
      <c r="R299" s="18"/>
      <c r="S299" s="19"/>
      <c r="T299" s="18"/>
    </row>
    <row r="300" spans="1:20" ht="45" hidden="1" x14ac:dyDescent="0.25">
      <c r="A300" s="18">
        <v>202</v>
      </c>
      <c r="B300" s="18" t="s">
        <v>7835</v>
      </c>
      <c r="C300" s="18" t="s">
        <v>942</v>
      </c>
      <c r="D300" s="18" t="s">
        <v>939</v>
      </c>
      <c r="E300" s="18">
        <v>1</v>
      </c>
      <c r="F300" s="18"/>
      <c r="G300" s="20">
        <v>45224</v>
      </c>
      <c r="H300" s="21">
        <v>1</v>
      </c>
      <c r="I300" s="18">
        <v>19</v>
      </c>
      <c r="J300" s="19" t="s">
        <v>7977</v>
      </c>
      <c r="K300" s="19" t="s">
        <v>7977</v>
      </c>
      <c r="L300" s="19" t="s">
        <v>11</v>
      </c>
      <c r="M300" s="18"/>
      <c r="N300" s="19" t="s">
        <v>7977</v>
      </c>
      <c r="O300" s="19"/>
      <c r="P300" s="19"/>
      <c r="Q300" s="18"/>
      <c r="R300" s="18"/>
      <c r="S300" s="19" t="s">
        <v>7997</v>
      </c>
      <c r="T300" s="18"/>
    </row>
    <row r="301" spans="1:20" hidden="1" x14ac:dyDescent="0.25">
      <c r="A301" s="18">
        <v>846</v>
      </c>
      <c r="B301" s="18" t="s">
        <v>125</v>
      </c>
      <c r="C301" s="18" t="s">
        <v>2996</v>
      </c>
      <c r="D301" s="18" t="s">
        <v>2993</v>
      </c>
      <c r="E301" s="18">
        <v>2</v>
      </c>
      <c r="F301" s="18"/>
      <c r="G301" s="20">
        <v>45341</v>
      </c>
      <c r="H301" s="21">
        <v>1</v>
      </c>
      <c r="I301" s="18">
        <v>32</v>
      </c>
      <c r="J301" s="19" t="s">
        <v>11</v>
      </c>
      <c r="K301" s="19" t="s">
        <v>7977</v>
      </c>
      <c r="L301" s="19" t="s">
        <v>7977</v>
      </c>
      <c r="M301" s="18"/>
      <c r="N301" s="19"/>
      <c r="O301" s="19"/>
      <c r="P301" s="19"/>
      <c r="Q301" s="18"/>
      <c r="R301" s="18"/>
      <c r="S301" s="18"/>
      <c r="T301" s="18"/>
    </row>
    <row r="302" spans="1:20" hidden="1" x14ac:dyDescent="0.25">
      <c r="A302" s="18">
        <v>374</v>
      </c>
      <c r="B302" s="18"/>
      <c r="C302" s="18" t="s">
        <v>6800</v>
      </c>
      <c r="D302" s="18" t="s">
        <v>1479</v>
      </c>
      <c r="E302" s="18">
        <v>1</v>
      </c>
      <c r="F302" s="18"/>
      <c r="G302" s="20">
        <v>45236</v>
      </c>
      <c r="H302" s="21">
        <v>1</v>
      </c>
      <c r="I302" s="18">
        <v>8</v>
      </c>
      <c r="J302" s="19" t="s">
        <v>11</v>
      </c>
      <c r="K302" s="19" t="s">
        <v>11</v>
      </c>
      <c r="L302" s="19" t="s">
        <v>7977</v>
      </c>
      <c r="M302" s="18"/>
      <c r="N302" s="19"/>
      <c r="O302" s="19"/>
      <c r="P302" s="19"/>
      <c r="Q302" s="18"/>
      <c r="R302" s="18"/>
      <c r="S302" s="18"/>
      <c r="T302" s="18"/>
    </row>
    <row r="303" spans="1:20" hidden="1" x14ac:dyDescent="0.25">
      <c r="A303" s="18">
        <v>49</v>
      </c>
      <c r="B303" s="18" t="s">
        <v>317</v>
      </c>
      <c r="C303" s="18" t="s">
        <v>475</v>
      </c>
      <c r="D303" s="18" t="s">
        <v>472</v>
      </c>
      <c r="E303" s="18">
        <v>2</v>
      </c>
      <c r="F303" s="18"/>
      <c r="G303" s="20">
        <v>45224</v>
      </c>
      <c r="H303" s="21">
        <v>1</v>
      </c>
      <c r="I303" s="18">
        <v>11</v>
      </c>
      <c r="J303" s="19" t="s">
        <v>11</v>
      </c>
      <c r="K303" s="19" t="s">
        <v>11</v>
      </c>
      <c r="L303" s="19" t="s">
        <v>7977</v>
      </c>
      <c r="M303" s="18"/>
      <c r="N303" s="19" t="s">
        <v>11</v>
      </c>
      <c r="O303" s="19"/>
      <c r="P303" s="19"/>
      <c r="Q303" s="18"/>
      <c r="R303" s="18"/>
      <c r="S303" s="19"/>
      <c r="T303" s="18"/>
    </row>
    <row r="304" spans="1:20" hidden="1" x14ac:dyDescent="0.25">
      <c r="A304" s="18">
        <v>261</v>
      </c>
      <c r="B304" s="18" t="s">
        <v>7833</v>
      </c>
      <c r="C304" s="18" t="s">
        <v>1122</v>
      </c>
      <c r="D304" s="18" t="s">
        <v>18</v>
      </c>
      <c r="E304" s="18">
        <v>2</v>
      </c>
      <c r="F304" s="18"/>
      <c r="G304" s="20">
        <v>45271</v>
      </c>
      <c r="H304" s="21">
        <v>1</v>
      </c>
      <c r="I304" s="18">
        <v>20</v>
      </c>
      <c r="J304" s="19" t="s">
        <v>11</v>
      </c>
      <c r="K304" s="19" t="s">
        <v>11</v>
      </c>
      <c r="L304" s="19" t="s">
        <v>7977</v>
      </c>
      <c r="M304" s="18"/>
      <c r="N304" s="19"/>
      <c r="O304" s="19"/>
      <c r="P304" s="19"/>
      <c r="Q304" s="18"/>
      <c r="R304" s="18"/>
      <c r="S304" s="19"/>
      <c r="T304" s="18"/>
    </row>
    <row r="305" spans="1:20" hidden="1" x14ac:dyDescent="0.25">
      <c r="A305" s="18">
        <v>22</v>
      </c>
      <c r="B305" s="18" t="s">
        <v>7829</v>
      </c>
      <c r="C305" s="18" t="s">
        <v>393</v>
      </c>
      <c r="D305" s="18" t="s">
        <v>40</v>
      </c>
      <c r="E305" s="18">
        <v>2</v>
      </c>
      <c r="F305" s="18"/>
      <c r="G305" s="20">
        <v>45265</v>
      </c>
      <c r="H305" s="21">
        <v>1</v>
      </c>
      <c r="I305" s="18">
        <v>50</v>
      </c>
      <c r="J305" s="19" t="s">
        <v>7977</v>
      </c>
      <c r="K305" s="19" t="s">
        <v>7977</v>
      </c>
      <c r="L305" s="19" t="s">
        <v>11</v>
      </c>
      <c r="M305" s="18"/>
      <c r="N305" s="19"/>
      <c r="O305" s="19"/>
      <c r="P305" s="19"/>
      <c r="Q305" s="18"/>
      <c r="R305" s="18"/>
      <c r="S305" s="19"/>
      <c r="T305" s="18"/>
    </row>
    <row r="306" spans="1:20" hidden="1" x14ac:dyDescent="0.25">
      <c r="A306" s="18">
        <v>320</v>
      </c>
      <c r="B306" s="18"/>
      <c r="C306" s="18" t="s">
        <v>6800</v>
      </c>
      <c r="D306" s="18" t="s">
        <v>43</v>
      </c>
      <c r="E306" s="18">
        <v>2</v>
      </c>
      <c r="F306" s="18"/>
      <c r="G306" s="20">
        <v>45476</v>
      </c>
      <c r="H306" s="21">
        <v>1</v>
      </c>
      <c r="I306" s="18">
        <v>30</v>
      </c>
      <c r="J306" s="19" t="s">
        <v>11</v>
      </c>
      <c r="K306" s="19" t="s">
        <v>11</v>
      </c>
      <c r="L306" s="19" t="s">
        <v>7977</v>
      </c>
      <c r="M306" s="18"/>
      <c r="N306" s="19"/>
      <c r="O306" s="19"/>
      <c r="P306" s="19"/>
      <c r="Q306" s="18"/>
      <c r="R306" s="18"/>
      <c r="S306" s="18"/>
      <c r="T306" s="18"/>
    </row>
    <row r="307" spans="1:20" hidden="1" x14ac:dyDescent="0.25">
      <c r="A307" s="18">
        <v>134</v>
      </c>
      <c r="B307" s="18" t="s">
        <v>125</v>
      </c>
      <c r="C307" s="18" t="s">
        <v>732</v>
      </c>
      <c r="D307" s="18" t="s">
        <v>729</v>
      </c>
      <c r="E307" s="18">
        <v>2</v>
      </c>
      <c r="F307" s="18"/>
      <c r="G307" s="20">
        <v>45307</v>
      </c>
      <c r="H307" s="21">
        <v>1</v>
      </c>
      <c r="I307" s="18">
        <v>69</v>
      </c>
      <c r="J307" s="19" t="s">
        <v>11</v>
      </c>
      <c r="K307" s="19" t="s">
        <v>7977</v>
      </c>
      <c r="L307" s="19" t="s">
        <v>11</v>
      </c>
      <c r="M307" s="18"/>
      <c r="N307" s="19"/>
      <c r="O307" s="19"/>
      <c r="P307" s="19"/>
      <c r="Q307" s="18"/>
      <c r="R307" s="18"/>
      <c r="S307" s="19"/>
      <c r="T307" s="18"/>
    </row>
    <row r="308" spans="1:20" hidden="1" x14ac:dyDescent="0.25">
      <c r="A308" s="18">
        <v>289</v>
      </c>
      <c r="B308" s="18" t="s">
        <v>317</v>
      </c>
      <c r="C308" s="18" t="s">
        <v>490</v>
      </c>
      <c r="D308" s="18" t="s">
        <v>1207</v>
      </c>
      <c r="E308" s="18">
        <v>2</v>
      </c>
      <c r="F308" s="18"/>
      <c r="G308" s="20">
        <v>45476</v>
      </c>
      <c r="H308" s="21">
        <v>1</v>
      </c>
      <c r="I308" s="18">
        <v>30</v>
      </c>
      <c r="J308" s="19" t="s">
        <v>11</v>
      </c>
      <c r="K308" s="19" t="s">
        <v>11</v>
      </c>
      <c r="L308" s="19" t="s">
        <v>7977</v>
      </c>
      <c r="M308" s="18"/>
      <c r="N308" s="19"/>
      <c r="O308" s="19"/>
      <c r="P308" s="19"/>
      <c r="Q308" s="18"/>
      <c r="R308" s="18"/>
      <c r="S308" s="18"/>
      <c r="T308" s="18"/>
    </row>
    <row r="309" spans="1:20" hidden="1" x14ac:dyDescent="0.25">
      <c r="A309" s="18">
        <v>1642</v>
      </c>
      <c r="B309" s="18"/>
      <c r="C309" s="18" t="s">
        <v>6800</v>
      </c>
      <c r="D309" s="18" t="s">
        <v>5596</v>
      </c>
      <c r="E309" s="18">
        <v>2</v>
      </c>
      <c r="F309" s="18"/>
      <c r="G309" s="20">
        <v>45235</v>
      </c>
      <c r="H309" s="21">
        <v>1</v>
      </c>
      <c r="I309" s="18">
        <v>50</v>
      </c>
      <c r="J309" s="19" t="s">
        <v>7977</v>
      </c>
      <c r="K309" s="19" t="s">
        <v>7977</v>
      </c>
      <c r="L309" s="19" t="s">
        <v>11</v>
      </c>
      <c r="M309" s="18"/>
      <c r="N309" s="19"/>
      <c r="O309" s="19"/>
      <c r="P309" s="19"/>
      <c r="Q309" s="18"/>
      <c r="R309" s="18"/>
      <c r="S309" s="18"/>
      <c r="T309" s="18"/>
    </row>
    <row r="310" spans="1:20" hidden="1" x14ac:dyDescent="0.25">
      <c r="A310" s="18">
        <v>904</v>
      </c>
      <c r="B310" s="18"/>
      <c r="C310" s="18" t="s">
        <v>6800</v>
      </c>
      <c r="D310" s="18" t="s">
        <v>8381</v>
      </c>
      <c r="E310" s="18">
        <v>2</v>
      </c>
      <c r="F310" s="18"/>
      <c r="G310" s="20">
        <v>45320</v>
      </c>
      <c r="H310" s="21">
        <v>1</v>
      </c>
      <c r="I310" s="18">
        <v>10</v>
      </c>
      <c r="J310" s="19" t="s">
        <v>11</v>
      </c>
      <c r="K310" s="19" t="s">
        <v>11</v>
      </c>
      <c r="L310" s="19" t="s">
        <v>7977</v>
      </c>
      <c r="M310" s="18"/>
      <c r="N310" s="19"/>
      <c r="O310" s="19"/>
      <c r="P310" s="19"/>
      <c r="Q310" s="18"/>
      <c r="R310" s="18"/>
      <c r="S310" s="18"/>
      <c r="T310" s="18"/>
    </row>
    <row r="311" spans="1:20" hidden="1" x14ac:dyDescent="0.25">
      <c r="A311" s="18">
        <v>733</v>
      </c>
      <c r="B311" s="18" t="s">
        <v>7830</v>
      </c>
      <c r="C311" s="18" t="s">
        <v>1628</v>
      </c>
      <c r="D311" s="18" t="s">
        <v>2623</v>
      </c>
      <c r="E311" s="18">
        <v>1</v>
      </c>
      <c r="F311" s="18"/>
      <c r="G311" s="20">
        <v>45231</v>
      </c>
      <c r="H311" s="21">
        <v>1</v>
      </c>
      <c r="I311" s="18">
        <v>18</v>
      </c>
      <c r="J311" s="19" t="s">
        <v>11</v>
      </c>
      <c r="K311" s="19" t="s">
        <v>7977</v>
      </c>
      <c r="L311" s="19" t="s">
        <v>7977</v>
      </c>
      <c r="M311" s="18"/>
      <c r="N311" s="19" t="s">
        <v>11</v>
      </c>
      <c r="O311" s="19"/>
      <c r="P311" s="19"/>
      <c r="Q311" s="18"/>
      <c r="R311" s="18"/>
      <c r="S311" s="19"/>
      <c r="T311" s="18"/>
    </row>
    <row r="312" spans="1:20" hidden="1" x14ac:dyDescent="0.25">
      <c r="A312" s="18">
        <v>832</v>
      </c>
      <c r="B312" s="18"/>
      <c r="C312" s="18" t="s">
        <v>6800</v>
      </c>
      <c r="D312" s="18" t="s">
        <v>2946</v>
      </c>
      <c r="E312" s="18">
        <v>1</v>
      </c>
      <c r="F312" s="18"/>
      <c r="G312" s="20">
        <v>45329</v>
      </c>
      <c r="H312" s="21">
        <v>1</v>
      </c>
      <c r="I312" s="18">
        <v>10</v>
      </c>
      <c r="J312" s="19" t="s">
        <v>11</v>
      </c>
      <c r="K312" s="19" t="s">
        <v>7977</v>
      </c>
      <c r="L312" s="19" t="s">
        <v>7977</v>
      </c>
      <c r="M312" s="18"/>
      <c r="N312" s="19"/>
      <c r="O312" s="19"/>
      <c r="P312" s="19"/>
      <c r="Q312" s="18"/>
      <c r="R312" s="18"/>
      <c r="S312" s="18"/>
      <c r="T312" s="18"/>
    </row>
    <row r="313" spans="1:20" hidden="1" x14ac:dyDescent="0.25">
      <c r="A313" s="18">
        <v>341</v>
      </c>
      <c r="B313" s="18" t="s">
        <v>7829</v>
      </c>
      <c r="C313" s="18" t="s">
        <v>1372</v>
      </c>
      <c r="D313" s="18" t="s">
        <v>1369</v>
      </c>
      <c r="E313" s="18">
        <v>2</v>
      </c>
      <c r="F313" s="18"/>
      <c r="G313" s="20">
        <v>45316</v>
      </c>
      <c r="H313" s="21"/>
      <c r="I313" s="18">
        <f>42+37</f>
        <v>79</v>
      </c>
      <c r="J313" s="19" t="s">
        <v>11</v>
      </c>
      <c r="K313" s="19" t="s">
        <v>7977</v>
      </c>
      <c r="L313" s="19" t="s">
        <v>11</v>
      </c>
      <c r="M313" s="18"/>
      <c r="N313" s="19"/>
      <c r="O313" s="19"/>
      <c r="P313" s="19"/>
      <c r="Q313" s="18"/>
      <c r="R313" s="18"/>
      <c r="S313" s="18"/>
      <c r="T313" s="18"/>
    </row>
    <row r="314" spans="1:20" hidden="1" x14ac:dyDescent="0.25">
      <c r="A314" s="18">
        <v>114</v>
      </c>
      <c r="B314" s="18" t="s">
        <v>573</v>
      </c>
      <c r="C314" s="18" t="s">
        <v>669</v>
      </c>
      <c r="D314" s="18" t="s">
        <v>666</v>
      </c>
      <c r="E314" s="18">
        <v>2</v>
      </c>
      <c r="F314" s="18"/>
      <c r="G314" s="20">
        <v>45553</v>
      </c>
      <c r="H314" s="21">
        <v>1</v>
      </c>
      <c r="I314" s="18">
        <v>43</v>
      </c>
      <c r="J314" s="19" t="s">
        <v>11</v>
      </c>
      <c r="K314" s="19" t="s">
        <v>7977</v>
      </c>
      <c r="L314" s="19" t="s">
        <v>7977</v>
      </c>
      <c r="M314" s="18"/>
      <c r="N314" s="19"/>
      <c r="O314" s="19"/>
      <c r="P314" s="19"/>
      <c r="Q314" s="18"/>
      <c r="R314" s="18"/>
      <c r="S314" s="18"/>
      <c r="T314" s="18"/>
    </row>
    <row r="315" spans="1:20" hidden="1" x14ac:dyDescent="0.25">
      <c r="A315" s="18">
        <v>251</v>
      </c>
      <c r="B315" s="18" t="s">
        <v>293</v>
      </c>
      <c r="C315" s="18" t="s">
        <v>1095</v>
      </c>
      <c r="D315" s="18" t="s">
        <v>211</v>
      </c>
      <c r="E315" s="18">
        <v>2</v>
      </c>
      <c r="F315" s="18"/>
      <c r="G315" s="20">
        <v>45461</v>
      </c>
      <c r="H315" s="21">
        <v>1</v>
      </c>
      <c r="I315" s="18">
        <v>10</v>
      </c>
      <c r="J315" s="19" t="s">
        <v>11</v>
      </c>
      <c r="K315" s="19" t="s">
        <v>11</v>
      </c>
      <c r="L315" s="19" t="s">
        <v>7977</v>
      </c>
      <c r="M315" s="18"/>
      <c r="N315" s="19"/>
      <c r="O315" s="19"/>
      <c r="P315" s="19"/>
      <c r="Q315" s="18"/>
      <c r="R315" s="18"/>
      <c r="S315" s="18"/>
      <c r="T315" s="18"/>
    </row>
    <row r="316" spans="1:20" hidden="1" x14ac:dyDescent="0.25">
      <c r="A316" s="18">
        <v>412</v>
      </c>
      <c r="B316" s="18" t="s">
        <v>7835</v>
      </c>
      <c r="C316" s="18" t="s">
        <v>456</v>
      </c>
      <c r="D316" s="18" t="s">
        <v>1612</v>
      </c>
      <c r="E316" s="18">
        <v>1</v>
      </c>
      <c r="F316" s="18"/>
      <c r="G316" s="20">
        <v>45296</v>
      </c>
      <c r="H316" s="21">
        <v>1</v>
      </c>
      <c r="I316" s="18">
        <v>6</v>
      </c>
      <c r="J316" s="19" t="s">
        <v>11</v>
      </c>
      <c r="K316" s="19" t="s">
        <v>11</v>
      </c>
      <c r="L316" s="19" t="s">
        <v>7977</v>
      </c>
      <c r="M316" s="18"/>
      <c r="N316" s="19"/>
      <c r="O316" s="19"/>
      <c r="P316" s="19"/>
      <c r="Q316" s="18"/>
      <c r="R316" s="18"/>
      <c r="S316" s="19"/>
      <c r="T316" s="18"/>
    </row>
    <row r="317" spans="1:20" hidden="1" x14ac:dyDescent="0.25">
      <c r="A317" s="18">
        <v>387</v>
      </c>
      <c r="B317" s="18" t="s">
        <v>7974</v>
      </c>
      <c r="C317" s="18" t="s">
        <v>1527</v>
      </c>
      <c r="D317" s="18" t="s">
        <v>1524</v>
      </c>
      <c r="E317" s="18">
        <v>1</v>
      </c>
      <c r="F317" s="18"/>
      <c r="G317" s="20">
        <v>45224</v>
      </c>
      <c r="H317" s="21">
        <v>1</v>
      </c>
      <c r="I317" s="18">
        <v>4</v>
      </c>
      <c r="J317" s="19" t="s">
        <v>11</v>
      </c>
      <c r="K317" s="19" t="s">
        <v>11</v>
      </c>
      <c r="L317" s="19" t="s">
        <v>7977</v>
      </c>
      <c r="M317" s="18"/>
      <c r="N317" s="19" t="s">
        <v>11</v>
      </c>
      <c r="O317" s="19"/>
      <c r="P317" s="19"/>
      <c r="Q317" s="18"/>
      <c r="R317" s="18"/>
      <c r="S317" s="19"/>
      <c r="T317" s="18"/>
    </row>
    <row r="318" spans="1:20" hidden="1" x14ac:dyDescent="0.25">
      <c r="A318" s="18">
        <v>41</v>
      </c>
      <c r="B318" s="18" t="s">
        <v>317</v>
      </c>
      <c r="C318" s="18" t="s">
        <v>328</v>
      </c>
      <c r="D318" s="18" t="s">
        <v>196</v>
      </c>
      <c r="E318" s="18">
        <v>3</v>
      </c>
      <c r="F318" s="18"/>
      <c r="G318" s="20">
        <v>45303</v>
      </c>
      <c r="H318" s="21">
        <v>1</v>
      </c>
      <c r="I318" s="18">
        <v>52</v>
      </c>
      <c r="J318" s="19" t="s">
        <v>7990</v>
      </c>
      <c r="K318" s="19" t="s">
        <v>7977</v>
      </c>
      <c r="L318" s="19" t="s">
        <v>11</v>
      </c>
      <c r="M318" s="18"/>
      <c r="N318" s="19"/>
      <c r="O318" s="19"/>
      <c r="P318" s="19"/>
      <c r="Q318" s="18"/>
      <c r="R318" s="18"/>
      <c r="S318" s="18"/>
      <c r="T318" s="18"/>
    </row>
    <row r="319" spans="1:20" hidden="1" x14ac:dyDescent="0.25">
      <c r="A319" s="18">
        <v>278</v>
      </c>
      <c r="B319" s="18" t="s">
        <v>47</v>
      </c>
      <c r="C319" s="18" t="s">
        <v>1174</v>
      </c>
      <c r="D319" s="18" t="s">
        <v>1171</v>
      </c>
      <c r="E319" s="18">
        <v>1</v>
      </c>
      <c r="F319" s="18"/>
      <c r="G319" s="20">
        <v>45237</v>
      </c>
      <c r="H319" s="21">
        <v>1</v>
      </c>
      <c r="I319" s="18">
        <v>14</v>
      </c>
      <c r="J319" s="19" t="s">
        <v>11</v>
      </c>
      <c r="K319" s="19" t="s">
        <v>11</v>
      </c>
      <c r="L319" s="19" t="s">
        <v>7977</v>
      </c>
      <c r="M319" s="18"/>
      <c r="N319" s="19" t="s">
        <v>11</v>
      </c>
      <c r="O319" s="19"/>
      <c r="P319" s="19"/>
      <c r="Q319" s="18"/>
      <c r="R319" s="18"/>
      <c r="S319" s="19"/>
      <c r="T319" s="18"/>
    </row>
    <row r="320" spans="1:20" ht="45" hidden="1" x14ac:dyDescent="0.25">
      <c r="A320" s="18">
        <v>28</v>
      </c>
      <c r="B320" s="18" t="s">
        <v>317</v>
      </c>
      <c r="C320" s="18" t="s">
        <v>410</v>
      </c>
      <c r="D320" s="18" t="s">
        <v>7842</v>
      </c>
      <c r="E320" s="18">
        <v>1</v>
      </c>
      <c r="F320" s="18"/>
      <c r="G320" s="20">
        <v>45219</v>
      </c>
      <c r="H320" s="21">
        <v>1</v>
      </c>
      <c r="I320" s="18">
        <v>14</v>
      </c>
      <c r="J320" s="19" t="s">
        <v>11</v>
      </c>
      <c r="K320" s="19" t="s">
        <v>7977</v>
      </c>
      <c r="L320" s="19" t="s">
        <v>11</v>
      </c>
      <c r="M320" s="18"/>
      <c r="N320" s="19" t="s">
        <v>7977</v>
      </c>
      <c r="O320" s="19" t="s">
        <v>7977</v>
      </c>
      <c r="P320" s="19" t="s">
        <v>11</v>
      </c>
      <c r="Q320" s="18"/>
      <c r="R320" s="18"/>
      <c r="S320" s="19" t="s">
        <v>7984</v>
      </c>
      <c r="T320" s="18"/>
    </row>
    <row r="321" spans="1:20" hidden="1" x14ac:dyDescent="0.25">
      <c r="A321" s="18">
        <v>287</v>
      </c>
      <c r="B321" s="18" t="s">
        <v>573</v>
      </c>
      <c r="C321" s="18" t="s">
        <v>1202</v>
      </c>
      <c r="D321" s="18" t="s">
        <v>50</v>
      </c>
      <c r="E321" s="18">
        <v>2</v>
      </c>
      <c r="F321" s="18"/>
      <c r="G321" s="20">
        <v>45239</v>
      </c>
      <c r="H321" s="21">
        <v>1</v>
      </c>
      <c r="I321" s="18">
        <v>12</v>
      </c>
      <c r="J321" s="19" t="s">
        <v>7977</v>
      </c>
      <c r="K321" s="19" t="s">
        <v>7977</v>
      </c>
      <c r="L321" s="19" t="s">
        <v>11</v>
      </c>
      <c r="M321" s="18"/>
      <c r="N321" s="19"/>
      <c r="O321" s="19"/>
      <c r="P321" s="19"/>
      <c r="Q321" s="18"/>
      <c r="R321" s="18"/>
      <c r="S321" s="19"/>
      <c r="T321" s="18"/>
    </row>
    <row r="322" spans="1:20" hidden="1" x14ac:dyDescent="0.25">
      <c r="A322" s="18">
        <v>389</v>
      </c>
      <c r="B322" s="18"/>
      <c r="C322" s="18" t="s">
        <v>6800</v>
      </c>
      <c r="D322" s="18" t="s">
        <v>1531</v>
      </c>
      <c r="E322" s="18">
        <v>1</v>
      </c>
      <c r="F322" s="18"/>
      <c r="G322" s="18"/>
      <c r="H322" s="21"/>
      <c r="I322" s="18"/>
      <c r="J322" s="19"/>
      <c r="K322" s="19"/>
      <c r="L322" s="19"/>
      <c r="M322" s="18"/>
      <c r="N322" s="19"/>
      <c r="O322" s="19"/>
      <c r="P322" s="19"/>
      <c r="Q322" s="18"/>
      <c r="R322" s="18"/>
      <c r="S322" s="18"/>
      <c r="T322" s="18"/>
    </row>
    <row r="323" spans="1:20" hidden="1" x14ac:dyDescent="0.25">
      <c r="A323" s="18">
        <v>277</v>
      </c>
      <c r="B323" s="18" t="s">
        <v>293</v>
      </c>
      <c r="C323" s="18" t="s">
        <v>1170</v>
      </c>
      <c r="D323" s="18" t="s">
        <v>223</v>
      </c>
      <c r="E323" s="18">
        <v>2</v>
      </c>
      <c r="F323" s="18"/>
      <c r="G323" s="20">
        <v>45535</v>
      </c>
      <c r="H323" s="21">
        <v>1</v>
      </c>
      <c r="I323" s="18">
        <v>82</v>
      </c>
      <c r="J323" s="19" t="s">
        <v>7977</v>
      </c>
      <c r="K323" s="19" t="s">
        <v>7977</v>
      </c>
      <c r="L323" s="19" t="s">
        <v>7977</v>
      </c>
      <c r="M323" s="18"/>
      <c r="N323" s="19"/>
      <c r="O323" s="19"/>
      <c r="P323" s="19"/>
      <c r="Q323" s="18"/>
      <c r="R323" s="18"/>
      <c r="S323" s="18" t="s">
        <v>8423</v>
      </c>
      <c r="T323" s="18"/>
    </row>
    <row r="324" spans="1:20" hidden="1" x14ac:dyDescent="0.25">
      <c r="A324" s="18">
        <v>744</v>
      </c>
      <c r="B324" s="18"/>
      <c r="C324" s="18" t="s">
        <v>6800</v>
      </c>
      <c r="D324" s="18" t="s">
        <v>48</v>
      </c>
      <c r="E324" s="18">
        <v>1</v>
      </c>
      <c r="F324" s="18"/>
      <c r="G324" s="20">
        <v>45239</v>
      </c>
      <c r="H324" s="21">
        <v>1</v>
      </c>
      <c r="I324" s="18">
        <v>12</v>
      </c>
      <c r="J324" s="19" t="s">
        <v>11</v>
      </c>
      <c r="K324" s="19" t="s">
        <v>11</v>
      </c>
      <c r="L324" s="19" t="s">
        <v>7977</v>
      </c>
      <c r="M324" s="18"/>
      <c r="N324" s="19" t="s">
        <v>11</v>
      </c>
      <c r="O324" s="19"/>
      <c r="P324" s="19"/>
      <c r="Q324" s="18"/>
      <c r="R324" s="18"/>
      <c r="S324" s="18"/>
      <c r="T324" s="18"/>
    </row>
    <row r="325" spans="1:20" hidden="1" x14ac:dyDescent="0.25">
      <c r="A325" s="18">
        <v>436</v>
      </c>
      <c r="B325" s="18"/>
      <c r="C325" s="18" t="s">
        <v>6800</v>
      </c>
      <c r="D325" s="18" t="s">
        <v>1687</v>
      </c>
      <c r="E325" s="18">
        <v>2</v>
      </c>
      <c r="F325" s="18"/>
      <c r="G325" s="18"/>
      <c r="H325" s="21"/>
      <c r="I325" s="18"/>
      <c r="J325" s="19"/>
      <c r="K325" s="19"/>
      <c r="L325" s="19"/>
      <c r="M325" s="18"/>
      <c r="N325" s="19"/>
      <c r="O325" s="19"/>
      <c r="P325" s="19"/>
      <c r="Q325" s="18"/>
      <c r="R325" s="18"/>
      <c r="S325" s="18"/>
      <c r="T325" s="18"/>
    </row>
    <row r="326" spans="1:20" hidden="1" x14ac:dyDescent="0.25">
      <c r="A326" s="18">
        <v>162</v>
      </c>
      <c r="B326" s="18" t="s">
        <v>47</v>
      </c>
      <c r="C326" s="18" t="s">
        <v>426</v>
      </c>
      <c r="D326" s="18" t="s">
        <v>53</v>
      </c>
      <c r="E326" s="18">
        <v>2</v>
      </c>
      <c r="F326" s="18"/>
      <c r="G326" s="20">
        <v>45237</v>
      </c>
      <c r="H326" s="21">
        <v>1</v>
      </c>
      <c r="I326" s="18">
        <v>39</v>
      </c>
      <c r="J326" s="19" t="s">
        <v>7977</v>
      </c>
      <c r="K326" s="19" t="s">
        <v>7977</v>
      </c>
      <c r="L326" s="19" t="s">
        <v>11</v>
      </c>
      <c r="M326" s="18"/>
      <c r="N326" s="19"/>
      <c r="O326" s="19"/>
      <c r="P326" s="19"/>
      <c r="Q326" s="18"/>
      <c r="R326" s="18"/>
      <c r="S326" s="18"/>
      <c r="T326" s="18"/>
    </row>
    <row r="327" spans="1:20" hidden="1" x14ac:dyDescent="0.25">
      <c r="A327" s="18">
        <v>154</v>
      </c>
      <c r="B327" s="18"/>
      <c r="C327" s="18" t="s">
        <v>6800</v>
      </c>
      <c r="D327" s="18" t="s">
        <v>793</v>
      </c>
      <c r="E327" s="18">
        <v>3</v>
      </c>
      <c r="F327" s="18"/>
      <c r="G327" s="20">
        <v>45239</v>
      </c>
      <c r="H327" s="21">
        <v>1</v>
      </c>
      <c r="I327" s="18">
        <v>25</v>
      </c>
      <c r="J327" s="19" t="s">
        <v>11</v>
      </c>
      <c r="K327" s="19" t="s">
        <v>11</v>
      </c>
      <c r="L327" s="19" t="s">
        <v>11</v>
      </c>
      <c r="M327" s="18"/>
      <c r="N327" s="19"/>
      <c r="O327" s="19"/>
      <c r="P327" s="19"/>
      <c r="Q327" s="18"/>
      <c r="R327" s="18"/>
      <c r="S327" s="18" t="s">
        <v>8015</v>
      </c>
      <c r="T327" s="18"/>
    </row>
    <row r="328" spans="1:20" hidden="1" x14ac:dyDescent="0.25">
      <c r="A328" s="18">
        <v>153</v>
      </c>
      <c r="B328" s="18" t="s">
        <v>47</v>
      </c>
      <c r="C328" s="18" t="s">
        <v>426</v>
      </c>
      <c r="D328" s="18" t="s">
        <v>52</v>
      </c>
      <c r="E328" s="18">
        <v>2</v>
      </c>
      <c r="F328" s="18"/>
      <c r="G328" s="20">
        <v>45237</v>
      </c>
      <c r="H328" s="21">
        <v>1</v>
      </c>
      <c r="I328" s="18">
        <v>11</v>
      </c>
      <c r="J328" s="19" t="s">
        <v>11</v>
      </c>
      <c r="K328" s="19" t="s">
        <v>11</v>
      </c>
      <c r="L328" s="19" t="s">
        <v>7977</v>
      </c>
      <c r="M328" s="18"/>
      <c r="N328" s="19"/>
      <c r="O328" s="19"/>
      <c r="P328" s="19"/>
      <c r="Q328" s="18"/>
      <c r="R328" s="18"/>
      <c r="S328" s="19"/>
      <c r="T328" s="18"/>
    </row>
    <row r="329" spans="1:20" hidden="1" x14ac:dyDescent="0.25">
      <c r="A329" s="18">
        <v>295</v>
      </c>
      <c r="B329" s="18" t="s">
        <v>7832</v>
      </c>
      <c r="C329" s="18" t="s">
        <v>1228</v>
      </c>
      <c r="D329" s="18" t="s">
        <v>141</v>
      </c>
      <c r="E329" s="18">
        <v>3</v>
      </c>
      <c r="F329" s="18"/>
      <c r="G329" s="20">
        <v>45236</v>
      </c>
      <c r="H329" s="21">
        <v>1</v>
      </c>
      <c r="I329" s="18">
        <v>14</v>
      </c>
      <c r="J329" s="19" t="s">
        <v>7977</v>
      </c>
      <c r="K329" s="19" t="s">
        <v>7977</v>
      </c>
      <c r="L329" s="19" t="s">
        <v>11</v>
      </c>
      <c r="M329" s="18"/>
      <c r="N329" s="19"/>
      <c r="O329" s="19"/>
      <c r="P329" s="19"/>
      <c r="Q329" s="18"/>
      <c r="R329" s="18"/>
      <c r="S329" s="18"/>
      <c r="T329" s="18"/>
    </row>
    <row r="330" spans="1:20" hidden="1" x14ac:dyDescent="0.25">
      <c r="A330" s="18">
        <v>2981</v>
      </c>
      <c r="B330" s="18"/>
      <c r="C330" s="18"/>
      <c r="D330" s="18" t="s">
        <v>8421</v>
      </c>
      <c r="E330" s="18">
        <v>2</v>
      </c>
      <c r="F330" s="18"/>
      <c r="G330" s="20">
        <v>45482</v>
      </c>
      <c r="H330" s="21">
        <v>1</v>
      </c>
      <c r="I330" s="18">
        <v>42</v>
      </c>
      <c r="J330" s="19" t="s">
        <v>11</v>
      </c>
      <c r="K330" s="19" t="s">
        <v>11</v>
      </c>
      <c r="L330" s="19" t="s">
        <v>7977</v>
      </c>
      <c r="M330" s="18"/>
      <c r="N330" s="19"/>
      <c r="O330" s="19"/>
      <c r="P330" s="19"/>
      <c r="Q330" s="18"/>
      <c r="R330" s="18"/>
      <c r="S330" s="18"/>
      <c r="T330" s="18"/>
    </row>
    <row r="331" spans="1:20" hidden="1" x14ac:dyDescent="0.25">
      <c r="A331" s="18">
        <v>373</v>
      </c>
      <c r="B331" s="18"/>
      <c r="C331" s="18" t="s">
        <v>6800</v>
      </c>
      <c r="D331" s="18" t="s">
        <v>8383</v>
      </c>
      <c r="E331" s="18">
        <v>2</v>
      </c>
      <c r="F331" s="18"/>
      <c r="G331" s="20">
        <v>45337</v>
      </c>
      <c r="H331" s="21">
        <v>1</v>
      </c>
      <c r="I331" s="18">
        <v>50</v>
      </c>
      <c r="J331" s="19" t="s">
        <v>11</v>
      </c>
      <c r="K331" s="19" t="s">
        <v>7977</v>
      </c>
      <c r="L331" s="19" t="s">
        <v>7977</v>
      </c>
      <c r="M331" s="18"/>
      <c r="N331" s="19"/>
      <c r="O331" s="19"/>
      <c r="P331" s="19"/>
      <c r="Q331" s="18"/>
      <c r="R331" s="18"/>
      <c r="S331" s="18"/>
      <c r="T331" s="18"/>
    </row>
    <row r="332" spans="1:20" hidden="1" x14ac:dyDescent="0.25">
      <c r="A332" s="18">
        <v>658</v>
      </c>
      <c r="B332" s="18" t="s">
        <v>156</v>
      </c>
      <c r="C332" s="18" t="s">
        <v>2385</v>
      </c>
      <c r="D332" s="18" t="s">
        <v>58</v>
      </c>
      <c r="E332" s="18">
        <v>2</v>
      </c>
      <c r="F332" s="18"/>
      <c r="G332" s="20">
        <v>45237</v>
      </c>
      <c r="H332" s="21">
        <v>1</v>
      </c>
      <c r="I332" s="18">
        <v>55</v>
      </c>
      <c r="J332" s="19" t="s">
        <v>11</v>
      </c>
      <c r="K332" s="19" t="s">
        <v>11</v>
      </c>
      <c r="L332" s="19" t="s">
        <v>11</v>
      </c>
      <c r="M332" s="18"/>
      <c r="N332" s="19"/>
      <c r="O332" s="19"/>
      <c r="P332" s="19"/>
      <c r="Q332" s="18" t="s">
        <v>8012</v>
      </c>
      <c r="R332" s="18"/>
      <c r="S332" s="18" t="s">
        <v>8013</v>
      </c>
      <c r="T332" s="18"/>
    </row>
    <row r="333" spans="1:20" hidden="1" x14ac:dyDescent="0.25">
      <c r="A333" s="18">
        <v>1095</v>
      </c>
      <c r="B333" s="18"/>
      <c r="C333" s="18" t="s">
        <v>6800</v>
      </c>
      <c r="D333" s="18" t="s">
        <v>3809</v>
      </c>
      <c r="E333" s="18">
        <v>3</v>
      </c>
      <c r="F333" s="18"/>
      <c r="G333" s="20">
        <v>45324</v>
      </c>
      <c r="H333" s="21">
        <v>1</v>
      </c>
      <c r="I333" s="18">
        <v>27</v>
      </c>
      <c r="J333" s="19" t="s">
        <v>11</v>
      </c>
      <c r="K333" s="19" t="s">
        <v>7977</v>
      </c>
      <c r="L333" s="19" t="s">
        <v>7977</v>
      </c>
      <c r="M333" s="18"/>
      <c r="N333" s="19"/>
      <c r="O333" s="19"/>
      <c r="P333" s="19"/>
      <c r="Q333" s="18"/>
      <c r="R333" s="18"/>
      <c r="S333" s="18"/>
      <c r="T333" s="18"/>
    </row>
    <row r="334" spans="1:20" hidden="1" x14ac:dyDescent="0.25">
      <c r="A334" s="18">
        <v>1971</v>
      </c>
      <c r="B334" s="18"/>
      <c r="C334" s="18" t="s">
        <v>6800</v>
      </c>
      <c r="D334" s="18" t="s">
        <v>6660</v>
      </c>
      <c r="E334" s="18">
        <v>1</v>
      </c>
      <c r="F334" s="18"/>
      <c r="G334" s="20">
        <v>45272</v>
      </c>
      <c r="H334" s="21">
        <v>1</v>
      </c>
      <c r="I334" s="18">
        <v>10</v>
      </c>
      <c r="J334" s="19" t="s">
        <v>11</v>
      </c>
      <c r="K334" s="19" t="s">
        <v>11</v>
      </c>
      <c r="L334" s="19" t="s">
        <v>7977</v>
      </c>
      <c r="M334" s="18"/>
      <c r="N334" s="19"/>
      <c r="O334" s="19"/>
      <c r="P334" s="19"/>
      <c r="Q334" s="18"/>
      <c r="R334" s="18"/>
      <c r="S334" s="18"/>
      <c r="T334" s="18"/>
    </row>
    <row r="335" spans="1:20" hidden="1" x14ac:dyDescent="0.25">
      <c r="A335" s="18">
        <v>34</v>
      </c>
      <c r="B335" s="18" t="s">
        <v>47</v>
      </c>
      <c r="C335" s="18" t="s">
        <v>426</v>
      </c>
      <c r="D335" s="18" t="s">
        <v>427</v>
      </c>
      <c r="E335" s="18">
        <v>2</v>
      </c>
      <c r="F335" s="18"/>
      <c r="G335" s="20">
        <v>45237</v>
      </c>
      <c r="H335" s="21">
        <v>1</v>
      </c>
      <c r="I335" s="18">
        <v>23</v>
      </c>
      <c r="J335" s="19" t="s">
        <v>11</v>
      </c>
      <c r="K335" s="19" t="s">
        <v>11</v>
      </c>
      <c r="L335" s="19" t="s">
        <v>7977</v>
      </c>
      <c r="M335" s="18"/>
      <c r="N335" s="19" t="s">
        <v>11</v>
      </c>
      <c r="O335" s="19"/>
      <c r="P335" s="19"/>
      <c r="Q335" s="18"/>
      <c r="R335" s="18"/>
      <c r="S335" s="18"/>
      <c r="T335" s="18"/>
    </row>
    <row r="336" spans="1:20" hidden="1" x14ac:dyDescent="0.25">
      <c r="A336" s="18">
        <v>652</v>
      </c>
      <c r="B336" s="18" t="s">
        <v>7974</v>
      </c>
      <c r="C336" s="18" t="s">
        <v>6800</v>
      </c>
      <c r="D336" s="18" t="s">
        <v>2364</v>
      </c>
      <c r="E336" s="18">
        <v>2</v>
      </c>
      <c r="F336" s="18"/>
      <c r="G336" s="20">
        <v>45225</v>
      </c>
      <c r="H336" s="21">
        <v>1</v>
      </c>
      <c r="I336" s="18">
        <v>30</v>
      </c>
      <c r="J336" s="19" t="s">
        <v>7977</v>
      </c>
      <c r="K336" s="19" t="s">
        <v>7977</v>
      </c>
      <c r="L336" s="19" t="s">
        <v>11</v>
      </c>
      <c r="M336" s="18"/>
      <c r="N336" s="19"/>
      <c r="O336" s="19"/>
      <c r="P336" s="19"/>
      <c r="Q336" s="18"/>
      <c r="R336" s="18"/>
      <c r="S336" s="18"/>
      <c r="T336" s="18"/>
    </row>
    <row r="337" spans="1:20" hidden="1" x14ac:dyDescent="0.25">
      <c r="A337" s="18">
        <v>2115</v>
      </c>
      <c r="B337" s="18"/>
      <c r="C337" s="18" t="s">
        <v>6800</v>
      </c>
      <c r="D337" s="18" t="s">
        <v>7130</v>
      </c>
      <c r="E337" s="18">
        <v>2</v>
      </c>
      <c r="F337" s="18"/>
      <c r="G337" s="20">
        <v>45580</v>
      </c>
      <c r="H337" s="21">
        <v>1</v>
      </c>
      <c r="I337" s="18">
        <v>42</v>
      </c>
      <c r="J337" s="19" t="s">
        <v>11</v>
      </c>
      <c r="K337" s="19" t="s">
        <v>7977</v>
      </c>
      <c r="L337" s="19" t="s">
        <v>8021</v>
      </c>
      <c r="M337" s="18"/>
      <c r="N337" s="19"/>
      <c r="O337" s="19"/>
      <c r="P337" s="19"/>
      <c r="Q337" s="18"/>
      <c r="R337" s="18"/>
      <c r="S337" s="18"/>
      <c r="T337" s="18"/>
    </row>
    <row r="338" spans="1:20" hidden="1" x14ac:dyDescent="0.25">
      <c r="A338" s="18">
        <v>448</v>
      </c>
      <c r="B338" s="18"/>
      <c r="C338" s="18" t="s">
        <v>6800</v>
      </c>
      <c r="D338" s="18" t="s">
        <v>291</v>
      </c>
      <c r="E338" s="18">
        <v>1</v>
      </c>
      <c r="F338" s="18"/>
      <c r="G338" s="20">
        <v>45579</v>
      </c>
      <c r="H338" s="21">
        <v>1</v>
      </c>
      <c r="I338" s="18">
        <v>8</v>
      </c>
      <c r="J338" s="19" t="s">
        <v>11</v>
      </c>
      <c r="K338" s="19" t="s">
        <v>11</v>
      </c>
      <c r="L338" s="19" t="s">
        <v>7977</v>
      </c>
      <c r="M338" s="18"/>
      <c r="N338" s="19"/>
      <c r="O338" s="19"/>
      <c r="P338" s="19"/>
      <c r="Q338" s="18"/>
      <c r="R338" s="18" t="s">
        <v>317</v>
      </c>
      <c r="S338" s="18"/>
      <c r="T338" s="18"/>
    </row>
    <row r="339" spans="1:20" hidden="1" x14ac:dyDescent="0.25">
      <c r="A339" s="18">
        <v>442</v>
      </c>
      <c r="B339" s="18"/>
      <c r="C339" s="18" t="s">
        <v>6800</v>
      </c>
      <c r="D339" s="18" t="s">
        <v>192</v>
      </c>
      <c r="E339" s="18">
        <v>2</v>
      </c>
      <c r="F339" s="18"/>
      <c r="G339" s="20">
        <v>45344</v>
      </c>
      <c r="H339" s="21">
        <v>1</v>
      </c>
      <c r="I339" s="18">
        <v>6</v>
      </c>
      <c r="J339" s="19" t="s">
        <v>11</v>
      </c>
      <c r="K339" s="19" t="s">
        <v>11</v>
      </c>
      <c r="L339" s="19" t="s">
        <v>7977</v>
      </c>
      <c r="M339" s="18"/>
      <c r="N339" s="19"/>
      <c r="O339" s="19"/>
      <c r="P339" s="19"/>
      <c r="Q339" s="18"/>
      <c r="R339" s="18"/>
      <c r="S339" s="18"/>
      <c r="T339" s="18"/>
    </row>
    <row r="340" spans="1:20" hidden="1" x14ac:dyDescent="0.25">
      <c r="A340" s="18">
        <v>438</v>
      </c>
      <c r="B340" s="18" t="s">
        <v>317</v>
      </c>
      <c r="C340" s="18" t="s">
        <v>334</v>
      </c>
      <c r="D340" s="18" t="s">
        <v>1693</v>
      </c>
      <c r="E340" s="18">
        <v>2</v>
      </c>
      <c r="F340" s="18"/>
      <c r="G340" s="20">
        <v>45341</v>
      </c>
      <c r="H340" s="21">
        <v>1</v>
      </c>
      <c r="I340" s="18">
        <v>54</v>
      </c>
      <c r="J340" s="19" t="s">
        <v>11</v>
      </c>
      <c r="K340" s="19" t="s">
        <v>7977</v>
      </c>
      <c r="L340" s="19" t="s">
        <v>7977</v>
      </c>
      <c r="M340" s="18"/>
      <c r="N340" s="19"/>
      <c r="O340" s="19"/>
      <c r="P340" s="19"/>
      <c r="Q340" s="18"/>
      <c r="R340" s="18"/>
      <c r="S340" s="18"/>
      <c r="T340" s="18"/>
    </row>
    <row r="341" spans="1:20" hidden="1" x14ac:dyDescent="0.25">
      <c r="A341" s="18">
        <v>172</v>
      </c>
      <c r="B341" s="18" t="s">
        <v>7835</v>
      </c>
      <c r="C341" s="18" t="s">
        <v>315</v>
      </c>
      <c r="D341" s="18" t="s">
        <v>846</v>
      </c>
      <c r="E341" s="18">
        <v>2</v>
      </c>
      <c r="F341" s="18"/>
      <c r="G341" s="20">
        <v>45536</v>
      </c>
      <c r="H341" s="21">
        <v>1</v>
      </c>
      <c r="I341" s="18">
        <v>26</v>
      </c>
      <c r="J341" s="19" t="s">
        <v>7977</v>
      </c>
      <c r="K341" s="19" t="s">
        <v>7977</v>
      </c>
      <c r="L341" s="19" t="s">
        <v>8021</v>
      </c>
      <c r="M341" s="18"/>
      <c r="N341" s="19"/>
      <c r="O341" s="19"/>
      <c r="P341" s="19"/>
      <c r="Q341" s="18"/>
      <c r="R341" s="18"/>
      <c r="S341" s="18"/>
      <c r="T341" s="18"/>
    </row>
    <row r="342" spans="1:20" hidden="1" x14ac:dyDescent="0.25">
      <c r="A342" s="18">
        <v>636</v>
      </c>
      <c r="B342" s="18"/>
      <c r="C342" s="18" t="s">
        <v>6800</v>
      </c>
      <c r="D342" s="18" t="s">
        <v>2316</v>
      </c>
      <c r="E342" s="18">
        <v>2</v>
      </c>
      <c r="F342" s="18"/>
      <c r="G342" s="18"/>
      <c r="H342" s="21"/>
      <c r="I342" s="18"/>
      <c r="J342" s="19"/>
      <c r="K342" s="19"/>
      <c r="L342" s="19"/>
      <c r="M342" s="18"/>
      <c r="N342" s="19"/>
      <c r="O342" s="19"/>
      <c r="P342" s="19"/>
      <c r="Q342" s="18"/>
      <c r="R342" s="18"/>
      <c r="S342" s="18"/>
      <c r="T342" s="18"/>
    </row>
    <row r="343" spans="1:20" hidden="1" x14ac:dyDescent="0.25">
      <c r="A343" s="18">
        <v>171</v>
      </c>
      <c r="B343" s="18" t="s">
        <v>7835</v>
      </c>
      <c r="C343" s="18" t="s">
        <v>836</v>
      </c>
      <c r="D343" s="18" t="s">
        <v>843</v>
      </c>
      <c r="E343" s="18">
        <v>1</v>
      </c>
      <c r="F343" s="18"/>
      <c r="G343" s="20">
        <v>45306</v>
      </c>
      <c r="H343" s="21">
        <v>1</v>
      </c>
      <c r="I343" s="18">
        <v>8</v>
      </c>
      <c r="J343" s="19" t="s">
        <v>11</v>
      </c>
      <c r="K343" s="19" t="s">
        <v>11</v>
      </c>
      <c r="L343" s="19" t="s">
        <v>7977</v>
      </c>
      <c r="M343" s="18"/>
      <c r="N343" s="19"/>
      <c r="O343" s="19"/>
      <c r="P343" s="19"/>
      <c r="Q343" s="18"/>
      <c r="R343" s="18"/>
      <c r="S343" s="19"/>
      <c r="T343" s="18"/>
    </row>
    <row r="344" spans="1:20" hidden="1" x14ac:dyDescent="0.25">
      <c r="A344" s="18">
        <v>150</v>
      </c>
      <c r="B344" s="18" t="s">
        <v>7829</v>
      </c>
      <c r="C344" s="18" t="s">
        <v>785</v>
      </c>
      <c r="D344" s="18" t="s">
        <v>782</v>
      </c>
      <c r="E344" s="18">
        <v>2</v>
      </c>
      <c r="F344" s="18"/>
      <c r="G344" s="20">
        <v>45230</v>
      </c>
      <c r="H344" s="21">
        <v>1</v>
      </c>
      <c r="I344" s="18">
        <v>30</v>
      </c>
      <c r="J344" s="19" t="s">
        <v>11</v>
      </c>
      <c r="K344" s="19" t="s">
        <v>11</v>
      </c>
      <c r="L344" s="19" t="s">
        <v>7977</v>
      </c>
      <c r="M344" s="18"/>
      <c r="N344" s="19" t="s">
        <v>11</v>
      </c>
      <c r="O344" s="19" t="s">
        <v>7977</v>
      </c>
      <c r="P344" s="19" t="s">
        <v>11</v>
      </c>
      <c r="Q344" s="18"/>
      <c r="R344" s="18"/>
      <c r="S344" s="19"/>
      <c r="T344" s="18"/>
    </row>
    <row r="345" spans="1:20" hidden="1" x14ac:dyDescent="0.25">
      <c r="A345" s="18">
        <v>399</v>
      </c>
      <c r="B345" s="18"/>
      <c r="C345" s="18" t="s">
        <v>6800</v>
      </c>
      <c r="D345" s="18" t="s">
        <v>1567</v>
      </c>
      <c r="E345" s="18">
        <v>2</v>
      </c>
      <c r="F345" s="18"/>
      <c r="G345" s="20">
        <v>45272</v>
      </c>
      <c r="H345" s="21">
        <v>1</v>
      </c>
      <c r="I345" s="18">
        <v>36</v>
      </c>
      <c r="J345" s="19" t="s">
        <v>11</v>
      </c>
      <c r="K345" s="19" t="s">
        <v>7977</v>
      </c>
      <c r="L345" s="19" t="s">
        <v>11</v>
      </c>
      <c r="M345" s="18"/>
      <c r="N345" s="19"/>
      <c r="O345" s="19"/>
      <c r="P345" s="19"/>
      <c r="Q345" s="18"/>
      <c r="R345" s="18"/>
      <c r="S345" s="18"/>
      <c r="T345" s="18"/>
    </row>
    <row r="346" spans="1:20" hidden="1" x14ac:dyDescent="0.25">
      <c r="A346" s="18">
        <v>431</v>
      </c>
      <c r="B346" s="18"/>
      <c r="C346" s="18" t="s">
        <v>6800</v>
      </c>
      <c r="D346" s="18" t="s">
        <v>255</v>
      </c>
      <c r="E346" s="18">
        <v>3</v>
      </c>
      <c r="F346" s="18"/>
      <c r="G346" s="20">
        <v>45257</v>
      </c>
      <c r="H346" s="21">
        <v>1</v>
      </c>
      <c r="I346" s="18">
        <v>52</v>
      </c>
      <c r="J346" s="19" t="s">
        <v>11</v>
      </c>
      <c r="K346" s="19" t="s">
        <v>11</v>
      </c>
      <c r="L346" s="19" t="s">
        <v>11</v>
      </c>
      <c r="M346" s="18"/>
      <c r="N346" s="19"/>
      <c r="O346" s="19"/>
      <c r="P346" s="19"/>
      <c r="Q346" s="18"/>
      <c r="R346" s="18"/>
      <c r="S346" s="18" t="s">
        <v>8029</v>
      </c>
      <c r="T346" s="18"/>
    </row>
    <row r="347" spans="1:20" hidden="1" x14ac:dyDescent="0.25">
      <c r="A347" s="18">
        <v>271</v>
      </c>
      <c r="B347" s="18" t="s">
        <v>317</v>
      </c>
      <c r="C347" s="18" t="s">
        <v>1151</v>
      </c>
      <c r="D347" s="18" t="s">
        <v>220</v>
      </c>
      <c r="E347" s="18">
        <v>2</v>
      </c>
      <c r="F347" s="18"/>
      <c r="G347" s="20">
        <v>45331</v>
      </c>
      <c r="H347" s="21">
        <v>1</v>
      </c>
      <c r="I347" s="18">
        <v>18</v>
      </c>
      <c r="J347" s="19" t="s">
        <v>11</v>
      </c>
      <c r="K347" s="19" t="s">
        <v>11</v>
      </c>
      <c r="L347" s="19" t="s">
        <v>7977</v>
      </c>
      <c r="M347" s="18"/>
      <c r="N347" s="19"/>
      <c r="O347" s="19"/>
      <c r="P347" s="19"/>
      <c r="Q347" s="18"/>
      <c r="R347" s="18"/>
      <c r="S347" s="19"/>
      <c r="T347" s="18"/>
    </row>
    <row r="348" spans="1:20" hidden="1" x14ac:dyDescent="0.25">
      <c r="A348" s="18">
        <v>759</v>
      </c>
      <c r="B348" s="18" t="s">
        <v>7832</v>
      </c>
      <c r="C348" s="18" t="s">
        <v>1913</v>
      </c>
      <c r="D348" s="18" t="s">
        <v>129</v>
      </c>
      <c r="E348" s="18">
        <v>3</v>
      </c>
      <c r="F348" s="18"/>
      <c r="G348" s="18"/>
      <c r="H348" s="21"/>
      <c r="I348" s="18"/>
      <c r="J348" s="19"/>
      <c r="K348" s="19"/>
      <c r="L348" s="19"/>
      <c r="M348" s="18"/>
      <c r="N348" s="19"/>
      <c r="O348" s="19"/>
      <c r="P348" s="19"/>
      <c r="Q348" s="18"/>
      <c r="R348" s="18"/>
      <c r="S348" s="18"/>
      <c r="T348" s="18"/>
    </row>
    <row r="349" spans="1:20" hidden="1" x14ac:dyDescent="0.25">
      <c r="A349" s="18">
        <v>72</v>
      </c>
      <c r="B349" s="18" t="s">
        <v>109</v>
      </c>
      <c r="C349" s="18" t="s">
        <v>340</v>
      </c>
      <c r="D349" s="18" t="s">
        <v>544</v>
      </c>
      <c r="E349" s="18">
        <v>3</v>
      </c>
      <c r="F349" s="18"/>
      <c r="G349" s="20">
        <v>45309</v>
      </c>
      <c r="H349" s="21">
        <v>1</v>
      </c>
      <c r="I349" s="18">
        <v>16</v>
      </c>
      <c r="J349" s="19" t="s">
        <v>11</v>
      </c>
      <c r="K349" s="19" t="s">
        <v>11</v>
      </c>
      <c r="L349" s="19" t="s">
        <v>7977</v>
      </c>
      <c r="M349" s="18"/>
      <c r="N349" s="19"/>
      <c r="O349" s="19"/>
      <c r="P349" s="19"/>
      <c r="Q349" s="18"/>
      <c r="R349" s="18"/>
      <c r="S349" s="18"/>
      <c r="T349" s="18"/>
    </row>
    <row r="350" spans="1:20" hidden="1" x14ac:dyDescent="0.25">
      <c r="A350" s="18">
        <v>29</v>
      </c>
      <c r="B350" s="18" t="s">
        <v>61</v>
      </c>
      <c r="C350" s="18" t="s">
        <v>414</v>
      </c>
      <c r="D350" s="18" t="s">
        <v>411</v>
      </c>
      <c r="E350" s="18">
        <v>2</v>
      </c>
      <c r="F350" s="18"/>
      <c r="G350" s="20">
        <v>45302</v>
      </c>
      <c r="H350" s="21">
        <v>1</v>
      </c>
      <c r="I350" s="18">
        <v>36</v>
      </c>
      <c r="J350" s="19" t="s">
        <v>11</v>
      </c>
      <c r="K350" s="19" t="s">
        <v>7977</v>
      </c>
      <c r="L350" s="19" t="s">
        <v>11</v>
      </c>
      <c r="M350" s="18"/>
      <c r="N350" s="19"/>
      <c r="O350" s="19"/>
      <c r="P350" s="19"/>
      <c r="Q350" s="18"/>
      <c r="R350" s="18"/>
      <c r="S350" s="18"/>
      <c r="T350" s="18"/>
    </row>
    <row r="351" spans="1:20" hidden="1" x14ac:dyDescent="0.25">
      <c r="A351" s="18">
        <v>115</v>
      </c>
      <c r="B351" s="18" t="s">
        <v>109</v>
      </c>
      <c r="C351" s="18" t="s">
        <v>340</v>
      </c>
      <c r="D351" s="18" t="s">
        <v>670</v>
      </c>
      <c r="E351" s="18">
        <v>3</v>
      </c>
      <c r="F351" s="18"/>
      <c r="G351" s="18"/>
      <c r="H351" s="21"/>
      <c r="I351" s="18"/>
      <c r="J351" s="19"/>
      <c r="K351" s="19"/>
      <c r="L351" s="19"/>
      <c r="M351" s="18"/>
      <c r="N351" s="19"/>
      <c r="O351" s="19"/>
      <c r="P351" s="19"/>
      <c r="Q351" s="18"/>
      <c r="R351" s="18"/>
      <c r="S351" s="18"/>
      <c r="T351" s="18"/>
    </row>
    <row r="352" spans="1:20" hidden="1" x14ac:dyDescent="0.25">
      <c r="A352" s="18">
        <v>241</v>
      </c>
      <c r="B352" s="18"/>
      <c r="C352" s="18" t="s">
        <v>6800</v>
      </c>
      <c r="D352" s="18" t="s">
        <v>1062</v>
      </c>
      <c r="E352" s="18">
        <v>2</v>
      </c>
      <c r="F352" s="18"/>
      <c r="G352" s="20">
        <v>45469</v>
      </c>
      <c r="H352" s="21">
        <v>1</v>
      </c>
      <c r="I352" s="18">
        <v>20</v>
      </c>
      <c r="J352" s="19" t="s">
        <v>7977</v>
      </c>
      <c r="K352" s="19" t="s">
        <v>7977</v>
      </c>
      <c r="L352" s="19" t="s">
        <v>11</v>
      </c>
      <c r="M352" s="18"/>
      <c r="N352" s="19"/>
      <c r="O352" s="19"/>
      <c r="P352" s="19"/>
      <c r="Q352" s="18"/>
      <c r="R352" s="18"/>
      <c r="S352" s="18"/>
      <c r="T352" s="18"/>
    </row>
    <row r="353" spans="1:20" hidden="1" x14ac:dyDescent="0.25">
      <c r="A353" s="18">
        <v>543</v>
      </c>
      <c r="B353" s="18" t="s">
        <v>7830</v>
      </c>
      <c r="C353" s="18" t="s">
        <v>658</v>
      </c>
      <c r="D353" s="18" t="s">
        <v>68</v>
      </c>
      <c r="E353" s="18">
        <v>1</v>
      </c>
      <c r="F353" s="18"/>
      <c r="G353" s="20">
        <v>45313</v>
      </c>
      <c r="H353" s="21">
        <v>1</v>
      </c>
      <c r="I353" s="18">
        <v>16</v>
      </c>
      <c r="J353" s="19" t="s">
        <v>11</v>
      </c>
      <c r="K353" s="19" t="s">
        <v>11</v>
      </c>
      <c r="L353" s="19" t="s">
        <v>7977</v>
      </c>
      <c r="M353" s="18"/>
      <c r="N353" s="19"/>
      <c r="O353" s="19"/>
      <c r="P353" s="19"/>
      <c r="Q353" s="18"/>
      <c r="R353" s="18"/>
      <c r="S353" s="19"/>
      <c r="T353" s="18"/>
    </row>
    <row r="354" spans="1:20" hidden="1" x14ac:dyDescent="0.25">
      <c r="A354" s="18">
        <v>2013</v>
      </c>
      <c r="B354" s="18" t="s">
        <v>7835</v>
      </c>
      <c r="C354" s="18" t="s">
        <v>6800</v>
      </c>
      <c r="D354" s="18" t="s">
        <v>6797</v>
      </c>
      <c r="E354" s="18">
        <v>2</v>
      </c>
      <c r="F354" s="18"/>
      <c r="G354" s="20">
        <v>45329</v>
      </c>
      <c r="H354" s="21">
        <v>1</v>
      </c>
      <c r="I354" s="18">
        <v>71</v>
      </c>
      <c r="J354" s="19" t="s">
        <v>7977</v>
      </c>
      <c r="K354" s="19" t="s">
        <v>7977</v>
      </c>
      <c r="L354" s="19" t="s">
        <v>11</v>
      </c>
      <c r="M354" s="18"/>
      <c r="N354" s="19"/>
      <c r="O354" s="19"/>
      <c r="P354" s="19"/>
      <c r="Q354" s="18"/>
      <c r="R354" s="18"/>
      <c r="S354" s="18" t="s">
        <v>8387</v>
      </c>
      <c r="T354" s="18"/>
    </row>
    <row r="355" spans="1:20" hidden="1" x14ac:dyDescent="0.25">
      <c r="A355" s="18">
        <v>355</v>
      </c>
      <c r="B355" s="18" t="s">
        <v>7832</v>
      </c>
      <c r="C355" s="18" t="s">
        <v>1421</v>
      </c>
      <c r="D355" s="18" t="s">
        <v>1418</v>
      </c>
      <c r="E355" s="18">
        <v>2</v>
      </c>
      <c r="F355" s="18"/>
      <c r="G355" s="18"/>
      <c r="H355" s="21"/>
      <c r="I355" s="18"/>
      <c r="J355" s="19"/>
      <c r="K355" s="19"/>
      <c r="L355" s="19"/>
      <c r="M355" s="18"/>
      <c r="N355" s="19"/>
      <c r="O355" s="19"/>
      <c r="P355" s="19"/>
      <c r="Q355" s="18"/>
      <c r="R355" s="18"/>
      <c r="S355" s="18"/>
      <c r="T355" s="18"/>
    </row>
    <row r="356" spans="1:20" hidden="1" x14ac:dyDescent="0.25">
      <c r="A356" s="18">
        <v>348</v>
      </c>
      <c r="B356" s="18" t="s">
        <v>7974</v>
      </c>
      <c r="C356" s="18" t="s">
        <v>1395</v>
      </c>
      <c r="D356" s="18" t="s">
        <v>242</v>
      </c>
      <c r="E356" s="18">
        <v>2</v>
      </c>
      <c r="F356" s="18"/>
      <c r="G356" s="20">
        <v>45365</v>
      </c>
      <c r="H356" s="21">
        <v>1</v>
      </c>
      <c r="I356" s="18">
        <v>14</v>
      </c>
      <c r="J356" s="19" t="s">
        <v>11</v>
      </c>
      <c r="K356" s="19" t="s">
        <v>11</v>
      </c>
      <c r="L356" s="19" t="s">
        <v>7977</v>
      </c>
      <c r="M356" s="18"/>
      <c r="N356" s="19"/>
      <c r="O356" s="19"/>
      <c r="P356" s="19"/>
      <c r="Q356" s="18"/>
      <c r="R356" s="18"/>
      <c r="S356" s="18"/>
      <c r="T356" s="18"/>
    </row>
    <row r="357" spans="1:20" hidden="1" x14ac:dyDescent="0.25">
      <c r="A357" s="18">
        <v>642</v>
      </c>
      <c r="B357" s="18"/>
      <c r="C357" s="18" t="s">
        <v>6800</v>
      </c>
      <c r="D357" s="18" t="s">
        <v>280</v>
      </c>
      <c r="E357" s="18">
        <v>3</v>
      </c>
      <c r="F357" s="18"/>
      <c r="G357" s="20">
        <v>45252</v>
      </c>
      <c r="H357" s="21">
        <v>1</v>
      </c>
      <c r="I357" s="18">
        <v>57</v>
      </c>
      <c r="J357" s="19" t="s">
        <v>11</v>
      </c>
      <c r="K357" s="19" t="s">
        <v>7977</v>
      </c>
      <c r="L357" s="19" t="s">
        <v>7977</v>
      </c>
      <c r="M357" s="18"/>
      <c r="N357" s="19"/>
      <c r="O357" s="19"/>
      <c r="P357" s="19"/>
      <c r="Q357" s="18"/>
      <c r="R357" s="18"/>
      <c r="S357" s="18"/>
      <c r="T357" s="18"/>
    </row>
    <row r="358" spans="1:20" hidden="1" x14ac:dyDescent="0.25">
      <c r="A358" s="18">
        <v>588</v>
      </c>
      <c r="B358" s="18" t="s">
        <v>7974</v>
      </c>
      <c r="C358" s="18" t="s">
        <v>960</v>
      </c>
      <c r="D358" s="18" t="s">
        <v>274</v>
      </c>
      <c r="E358" s="18">
        <v>3</v>
      </c>
      <c r="F358" s="18"/>
      <c r="G358" s="18"/>
      <c r="H358" s="21"/>
      <c r="I358" s="18"/>
      <c r="J358" s="19"/>
      <c r="K358" s="19"/>
      <c r="L358" s="19"/>
      <c r="M358" s="18"/>
      <c r="N358" s="19"/>
      <c r="O358" s="19"/>
      <c r="P358" s="19"/>
      <c r="Q358" s="18"/>
      <c r="R358" s="18"/>
      <c r="S358" s="18"/>
      <c r="T358" s="18"/>
    </row>
    <row r="359" spans="1:20" hidden="1" x14ac:dyDescent="0.25">
      <c r="A359" s="18">
        <v>362</v>
      </c>
      <c r="B359" s="18" t="s">
        <v>47</v>
      </c>
      <c r="C359" s="18" t="s">
        <v>1443</v>
      </c>
      <c r="D359" s="18" t="s">
        <v>247</v>
      </c>
      <c r="E359" s="18">
        <v>2</v>
      </c>
      <c r="F359" s="18"/>
      <c r="G359" s="20">
        <v>45335</v>
      </c>
      <c r="H359" s="21">
        <v>1</v>
      </c>
      <c r="I359" s="18">
        <v>27</v>
      </c>
      <c r="J359" s="19" t="s">
        <v>11</v>
      </c>
      <c r="K359" s="19" t="s">
        <v>7977</v>
      </c>
      <c r="L359" s="19" t="s">
        <v>7977</v>
      </c>
      <c r="M359" s="18"/>
      <c r="N359" s="19"/>
      <c r="O359" s="19"/>
      <c r="P359" s="19"/>
      <c r="Q359" s="18"/>
      <c r="R359" s="18"/>
      <c r="S359" s="18"/>
      <c r="T359" s="18"/>
    </row>
    <row r="360" spans="1:20" hidden="1" x14ac:dyDescent="0.25">
      <c r="A360" s="18">
        <v>706</v>
      </c>
      <c r="B360" s="18"/>
      <c r="C360" s="18" t="s">
        <v>6800</v>
      </c>
      <c r="D360" s="18" t="s">
        <v>2537</v>
      </c>
      <c r="E360" s="18">
        <v>1</v>
      </c>
      <c r="F360" s="18"/>
      <c r="G360" s="20">
        <v>45330</v>
      </c>
      <c r="H360" s="21">
        <v>1</v>
      </c>
      <c r="I360" s="18">
        <v>45</v>
      </c>
      <c r="J360" s="19" t="s">
        <v>11</v>
      </c>
      <c r="K360" s="19" t="s">
        <v>11</v>
      </c>
      <c r="L360" s="19" t="s">
        <v>7977</v>
      </c>
      <c r="M360" s="18"/>
      <c r="N360" s="19"/>
      <c r="O360" s="19"/>
      <c r="P360" s="19"/>
      <c r="Q360" s="18"/>
      <c r="R360" s="18"/>
      <c r="S360" s="18"/>
      <c r="T360" s="18"/>
    </row>
    <row r="361" spans="1:20" hidden="1" x14ac:dyDescent="0.25">
      <c r="A361" s="18">
        <v>1166</v>
      </c>
      <c r="B361" s="18"/>
      <c r="C361" s="18" t="s">
        <v>6800</v>
      </c>
      <c r="D361" s="18" t="s">
        <v>4036</v>
      </c>
      <c r="E361" s="18">
        <v>2</v>
      </c>
      <c r="F361" s="18"/>
      <c r="G361" s="18"/>
      <c r="H361" s="21"/>
      <c r="I361" s="18"/>
      <c r="J361" s="19"/>
      <c r="K361" s="19"/>
      <c r="L361" s="19"/>
      <c r="M361" s="18"/>
      <c r="N361" s="19"/>
      <c r="O361" s="19"/>
      <c r="P361" s="19"/>
      <c r="Q361" s="18"/>
      <c r="R361" s="18"/>
      <c r="S361" s="18"/>
      <c r="T361" s="18"/>
    </row>
    <row r="362" spans="1:20" hidden="1" x14ac:dyDescent="0.25">
      <c r="A362" s="18">
        <v>622</v>
      </c>
      <c r="B362" s="18"/>
      <c r="C362" s="18" t="s">
        <v>6800</v>
      </c>
      <c r="D362" s="18" t="s">
        <v>2272</v>
      </c>
      <c r="E362" s="18">
        <v>2</v>
      </c>
      <c r="F362" s="18"/>
      <c r="G362" s="20">
        <v>45226</v>
      </c>
      <c r="H362" s="21">
        <v>1</v>
      </c>
      <c r="I362" s="18">
        <v>40</v>
      </c>
      <c r="J362" s="19" t="s">
        <v>11</v>
      </c>
      <c r="K362" s="19" t="s">
        <v>7977</v>
      </c>
      <c r="L362" s="19" t="s">
        <v>11</v>
      </c>
      <c r="M362" s="18"/>
      <c r="N362" s="19"/>
      <c r="O362" s="19"/>
      <c r="P362" s="19"/>
      <c r="Q362" s="18"/>
      <c r="R362" s="18"/>
      <c r="S362" s="18" t="s">
        <v>8007</v>
      </c>
      <c r="T362" s="18"/>
    </row>
    <row r="363" spans="1:20" hidden="1" x14ac:dyDescent="0.25">
      <c r="A363" s="18">
        <v>211</v>
      </c>
      <c r="B363" s="18" t="s">
        <v>7830</v>
      </c>
      <c r="C363" s="18" t="s">
        <v>969</v>
      </c>
      <c r="D363" s="18" t="s">
        <v>966</v>
      </c>
      <c r="E363" s="18">
        <v>2</v>
      </c>
      <c r="F363" s="18"/>
      <c r="G363" s="20">
        <v>45252</v>
      </c>
      <c r="H363" s="21">
        <v>1</v>
      </c>
      <c r="I363" s="18">
        <v>42</v>
      </c>
      <c r="J363" s="19" t="s">
        <v>11</v>
      </c>
      <c r="K363" s="19" t="s">
        <v>7977</v>
      </c>
      <c r="L363" s="19" t="s">
        <v>8021</v>
      </c>
      <c r="M363" s="18"/>
      <c r="N363" s="19"/>
      <c r="O363" s="19"/>
      <c r="P363" s="19"/>
      <c r="Q363" s="18"/>
      <c r="R363" s="18"/>
      <c r="S363" s="19"/>
      <c r="T363" s="18"/>
    </row>
    <row r="364" spans="1:20" hidden="1" x14ac:dyDescent="0.25">
      <c r="A364" s="18">
        <v>1943</v>
      </c>
      <c r="B364" s="18"/>
      <c r="C364" s="18" t="s">
        <v>6800</v>
      </c>
      <c r="D364" s="18" t="s">
        <v>6569</v>
      </c>
      <c r="E364" s="18">
        <v>2</v>
      </c>
      <c r="F364" s="18"/>
      <c r="G364" s="20">
        <v>45316</v>
      </c>
      <c r="H364" s="21">
        <v>1</v>
      </c>
      <c r="I364" s="18">
        <v>30</v>
      </c>
      <c r="J364" s="19" t="s">
        <v>11</v>
      </c>
      <c r="K364" s="19" t="s">
        <v>11</v>
      </c>
      <c r="L364" s="19" t="s">
        <v>7977</v>
      </c>
      <c r="M364" s="18"/>
      <c r="N364" s="19"/>
      <c r="O364" s="19"/>
      <c r="P364" s="19"/>
      <c r="Q364" s="18"/>
      <c r="R364" s="18"/>
      <c r="S364" s="18"/>
      <c r="T364" s="18"/>
    </row>
    <row r="365" spans="1:20" hidden="1" x14ac:dyDescent="0.25">
      <c r="A365" s="18">
        <v>237</v>
      </c>
      <c r="B365" s="18" t="s">
        <v>573</v>
      </c>
      <c r="C365" s="18" t="s">
        <v>573</v>
      </c>
      <c r="D365" s="18" t="s">
        <v>1050</v>
      </c>
      <c r="E365" s="18">
        <v>1</v>
      </c>
      <c r="F365" s="18"/>
      <c r="G365" s="20">
        <v>45295</v>
      </c>
      <c r="H365" s="21">
        <v>1</v>
      </c>
      <c r="I365" s="18">
        <v>9</v>
      </c>
      <c r="J365" s="19" t="s">
        <v>11</v>
      </c>
      <c r="K365" s="19" t="s">
        <v>11</v>
      </c>
      <c r="L365" s="19" t="s">
        <v>7977</v>
      </c>
      <c r="M365" s="18"/>
      <c r="N365" s="19"/>
      <c r="O365" s="19"/>
      <c r="P365" s="19"/>
      <c r="Q365" s="18"/>
      <c r="R365" s="18"/>
      <c r="S365" s="19"/>
      <c r="T365" s="18"/>
    </row>
    <row r="366" spans="1:20" hidden="1" x14ac:dyDescent="0.25">
      <c r="A366" s="18">
        <v>450</v>
      </c>
      <c r="B366" s="18"/>
      <c r="C366" s="18" t="s">
        <v>6800</v>
      </c>
      <c r="D366" s="18" t="s">
        <v>1728</v>
      </c>
      <c r="E366" s="18">
        <v>2</v>
      </c>
      <c r="F366" s="18"/>
      <c r="G366" s="20">
        <v>45259</v>
      </c>
      <c r="H366" s="21">
        <v>1</v>
      </c>
      <c r="I366" s="18">
        <v>63</v>
      </c>
      <c r="J366" s="19" t="s">
        <v>7977</v>
      </c>
      <c r="K366" s="19" t="s">
        <v>7977</v>
      </c>
      <c r="L366" s="19" t="s">
        <v>11</v>
      </c>
      <c r="M366" s="18"/>
      <c r="N366" s="19"/>
      <c r="O366" s="19"/>
      <c r="P366" s="19"/>
      <c r="Q366" s="18"/>
      <c r="R366" s="18"/>
      <c r="S366" s="18"/>
      <c r="T366" s="18"/>
    </row>
    <row r="367" spans="1:20" hidden="1" x14ac:dyDescent="0.25">
      <c r="A367" s="18">
        <v>740</v>
      </c>
      <c r="B367" s="18"/>
      <c r="C367" s="18" t="s">
        <v>6800</v>
      </c>
      <c r="D367" s="18" t="s">
        <v>2646</v>
      </c>
      <c r="E367" s="18">
        <v>2</v>
      </c>
      <c r="F367" s="18"/>
      <c r="G367" s="20">
        <v>45278</v>
      </c>
      <c r="H367" s="21">
        <v>1</v>
      </c>
      <c r="I367" s="18">
        <v>29</v>
      </c>
      <c r="J367" s="19" t="s">
        <v>11</v>
      </c>
      <c r="K367" s="19" t="s">
        <v>11</v>
      </c>
      <c r="L367" s="19" t="s">
        <v>7977</v>
      </c>
      <c r="M367" s="18"/>
      <c r="N367" s="19"/>
      <c r="O367" s="19"/>
      <c r="P367" s="19"/>
      <c r="Q367" s="18"/>
      <c r="R367" s="18"/>
      <c r="S367" s="18"/>
      <c r="T367" s="18"/>
    </row>
    <row r="368" spans="1:20" hidden="1" x14ac:dyDescent="0.25">
      <c r="A368" s="18">
        <v>91</v>
      </c>
      <c r="B368" s="18" t="s">
        <v>109</v>
      </c>
      <c r="C368" s="18" t="s">
        <v>340</v>
      </c>
      <c r="D368" s="18" t="s">
        <v>100</v>
      </c>
      <c r="E368" s="18">
        <v>2</v>
      </c>
      <c r="F368" s="18"/>
      <c r="G368" s="20">
        <v>45281</v>
      </c>
      <c r="H368" s="21">
        <v>1</v>
      </c>
      <c r="I368" s="18">
        <v>32</v>
      </c>
      <c r="J368" s="19" t="s">
        <v>11</v>
      </c>
      <c r="K368" s="19" t="s">
        <v>7977</v>
      </c>
      <c r="L368" s="19" t="s">
        <v>7977</v>
      </c>
      <c r="M368" s="18"/>
      <c r="N368" s="19"/>
      <c r="O368" s="19"/>
      <c r="P368" s="19"/>
      <c r="Q368" s="18"/>
      <c r="R368" s="18"/>
      <c r="S368" s="19"/>
      <c r="T368" s="18"/>
    </row>
    <row r="369" spans="1:20" hidden="1" x14ac:dyDescent="0.25">
      <c r="A369" s="18">
        <v>394</v>
      </c>
      <c r="B369" s="18" t="s">
        <v>7829</v>
      </c>
      <c r="C369" s="18" t="s">
        <v>1551</v>
      </c>
      <c r="D369" s="18" t="s">
        <v>1548</v>
      </c>
      <c r="E369" s="18">
        <v>2</v>
      </c>
      <c r="F369" s="18"/>
      <c r="G369" s="20">
        <v>45231</v>
      </c>
      <c r="H369" s="21">
        <v>1</v>
      </c>
      <c r="I369" s="18">
        <v>29</v>
      </c>
      <c r="J369" s="19" t="s">
        <v>11</v>
      </c>
      <c r="K369" s="19" t="s">
        <v>7977</v>
      </c>
      <c r="L369" s="19" t="s">
        <v>7977</v>
      </c>
      <c r="M369" s="18"/>
      <c r="N369" s="19"/>
      <c r="O369" s="19"/>
      <c r="P369" s="19"/>
      <c r="Q369" s="18"/>
      <c r="R369" s="18"/>
      <c r="S369" s="18"/>
      <c r="T369" s="18"/>
    </row>
    <row r="370" spans="1:20" hidden="1" x14ac:dyDescent="0.25">
      <c r="A370" s="18">
        <v>739</v>
      </c>
      <c r="B370" s="18" t="s">
        <v>7829</v>
      </c>
      <c r="C370" s="18" t="s">
        <v>577</v>
      </c>
      <c r="D370" s="18" t="s">
        <v>2643</v>
      </c>
      <c r="E370" s="18">
        <v>2</v>
      </c>
      <c r="F370" s="18"/>
      <c r="G370" s="20">
        <v>45230</v>
      </c>
      <c r="H370" s="21">
        <v>1</v>
      </c>
      <c r="I370" s="18">
        <v>39</v>
      </c>
      <c r="J370" s="19" t="s">
        <v>7977</v>
      </c>
      <c r="K370" s="19" t="s">
        <v>7977</v>
      </c>
      <c r="L370" s="19" t="s">
        <v>11</v>
      </c>
      <c r="M370" s="18"/>
      <c r="N370" s="19"/>
      <c r="O370" s="19"/>
      <c r="P370" s="19"/>
      <c r="Q370" s="18"/>
      <c r="R370" s="18"/>
      <c r="S370" s="18"/>
      <c r="T370" s="18"/>
    </row>
    <row r="371" spans="1:20" hidden="1" x14ac:dyDescent="0.25">
      <c r="A371" s="18">
        <v>210</v>
      </c>
      <c r="B371" s="18" t="s">
        <v>7833</v>
      </c>
      <c r="C371" s="18" t="s">
        <v>957</v>
      </c>
      <c r="D371" s="18" t="s">
        <v>122</v>
      </c>
      <c r="E371" s="18">
        <v>2</v>
      </c>
      <c r="F371" s="18"/>
      <c r="G371" s="20">
        <v>45275</v>
      </c>
      <c r="H371" s="21">
        <v>1</v>
      </c>
      <c r="I371" s="18">
        <v>31</v>
      </c>
      <c r="J371" s="19" t="s">
        <v>11</v>
      </c>
      <c r="K371" s="19" t="s">
        <v>11</v>
      </c>
      <c r="L371" s="19" t="s">
        <v>7977</v>
      </c>
      <c r="M371" s="18"/>
      <c r="N371" s="19"/>
      <c r="O371" s="19"/>
      <c r="P371" s="19"/>
      <c r="Q371" s="18"/>
      <c r="R371" s="18"/>
      <c r="S371" s="19"/>
      <c r="T371" s="18"/>
    </row>
    <row r="372" spans="1:20" hidden="1" x14ac:dyDescent="0.25">
      <c r="A372" s="18">
        <v>207</v>
      </c>
      <c r="B372" s="18" t="s">
        <v>7833</v>
      </c>
      <c r="C372" s="18" t="s">
        <v>957</v>
      </c>
      <c r="D372" s="18" t="s">
        <v>20</v>
      </c>
      <c r="E372" s="18">
        <v>2</v>
      </c>
      <c r="F372" s="18"/>
      <c r="G372" s="20">
        <v>45462</v>
      </c>
      <c r="H372" s="21">
        <v>1</v>
      </c>
      <c r="I372" s="18">
        <v>15</v>
      </c>
      <c r="J372" s="19" t="s">
        <v>11</v>
      </c>
      <c r="K372" s="19" t="s">
        <v>11</v>
      </c>
      <c r="L372" s="19" t="s">
        <v>7977</v>
      </c>
      <c r="M372" s="18"/>
      <c r="N372" s="19"/>
      <c r="O372" s="19"/>
      <c r="P372" s="19"/>
      <c r="Q372" s="18"/>
      <c r="R372" s="18"/>
      <c r="S372" s="19"/>
      <c r="T372" s="18"/>
    </row>
    <row r="373" spans="1:20" hidden="1" x14ac:dyDescent="0.25">
      <c r="A373" s="18">
        <v>338</v>
      </c>
      <c r="B373" s="18" t="s">
        <v>7835</v>
      </c>
      <c r="C373" s="18" t="s">
        <v>1363</v>
      </c>
      <c r="D373" s="18" t="s">
        <v>108</v>
      </c>
      <c r="E373" s="18">
        <v>1</v>
      </c>
      <c r="F373" s="18"/>
      <c r="G373" s="20">
        <v>45553</v>
      </c>
      <c r="H373" s="21">
        <v>1</v>
      </c>
      <c r="I373" s="18">
        <v>17</v>
      </c>
      <c r="J373" s="19" t="s">
        <v>11</v>
      </c>
      <c r="K373" s="19" t="s">
        <v>7977</v>
      </c>
      <c r="L373" s="19" t="s">
        <v>11</v>
      </c>
      <c r="M373" s="18"/>
      <c r="N373" s="19" t="s">
        <v>7977</v>
      </c>
      <c r="O373" s="19"/>
      <c r="P373" s="19"/>
      <c r="Q373" s="18"/>
      <c r="R373" s="18"/>
      <c r="S373" s="19"/>
      <c r="T373" s="18"/>
    </row>
    <row r="374" spans="1:20" hidden="1" x14ac:dyDescent="0.25">
      <c r="A374" s="18">
        <v>1220</v>
      </c>
      <c r="B374" s="18"/>
      <c r="C374" s="18" t="s">
        <v>6800</v>
      </c>
      <c r="D374" s="18" t="s">
        <v>4213</v>
      </c>
      <c r="E374" s="18">
        <v>3</v>
      </c>
      <c r="F374" s="18"/>
      <c r="G374" s="20">
        <v>45282</v>
      </c>
      <c r="H374" s="21">
        <v>1</v>
      </c>
      <c r="I374" s="18">
        <v>18</v>
      </c>
      <c r="J374" s="19" t="s">
        <v>11</v>
      </c>
      <c r="K374" s="19" t="s">
        <v>7977</v>
      </c>
      <c r="L374" s="19" t="s">
        <v>7977</v>
      </c>
      <c r="M374" s="18"/>
      <c r="N374" s="19"/>
      <c r="O374" s="19"/>
      <c r="P374" s="19"/>
      <c r="Q374" s="18"/>
      <c r="R374" s="18"/>
      <c r="S374" s="18"/>
      <c r="T374" s="18"/>
    </row>
    <row r="375" spans="1:20" hidden="1" x14ac:dyDescent="0.25">
      <c r="A375" s="18">
        <v>250</v>
      </c>
      <c r="B375" s="18"/>
      <c r="C375" s="18" t="s">
        <v>6800</v>
      </c>
      <c r="D375" s="18" t="s">
        <v>210</v>
      </c>
      <c r="E375" s="18">
        <v>2</v>
      </c>
      <c r="F375" s="18"/>
      <c r="G375" s="20">
        <v>45244</v>
      </c>
      <c r="H375" s="21">
        <v>1</v>
      </c>
      <c r="I375" s="18">
        <v>33</v>
      </c>
      <c r="J375" s="19" t="s">
        <v>11</v>
      </c>
      <c r="K375" s="19" t="s">
        <v>7977</v>
      </c>
      <c r="L375" s="19" t="s">
        <v>11</v>
      </c>
      <c r="M375" s="18"/>
      <c r="N375" s="19"/>
      <c r="O375" s="19"/>
      <c r="P375" s="19"/>
      <c r="Q375" s="18"/>
      <c r="R375" s="18"/>
      <c r="S375" s="18"/>
      <c r="T375" s="18"/>
    </row>
    <row r="376" spans="1:20" hidden="1" x14ac:dyDescent="0.25">
      <c r="A376" s="18">
        <v>204</v>
      </c>
      <c r="B376" s="18" t="s">
        <v>317</v>
      </c>
      <c r="C376" s="18" t="s">
        <v>948</v>
      </c>
      <c r="D376" s="18" t="s">
        <v>945</v>
      </c>
      <c r="E376" s="18">
        <v>2</v>
      </c>
      <c r="F376" s="18"/>
      <c r="G376" s="20">
        <v>45483</v>
      </c>
      <c r="H376" s="21">
        <v>1</v>
      </c>
      <c r="I376" s="18">
        <v>30</v>
      </c>
      <c r="J376" s="19" t="s">
        <v>7977</v>
      </c>
      <c r="K376" s="19" t="s">
        <v>7977</v>
      </c>
      <c r="L376" s="19" t="s">
        <v>11</v>
      </c>
      <c r="M376" s="18"/>
      <c r="N376" s="19"/>
      <c r="O376" s="19"/>
      <c r="P376" s="19"/>
      <c r="Q376" s="18"/>
      <c r="R376" s="18"/>
      <c r="S376" s="18"/>
      <c r="T376" s="18"/>
    </row>
    <row r="377" spans="1:20" hidden="1" x14ac:dyDescent="0.25">
      <c r="A377" s="18">
        <v>315</v>
      </c>
      <c r="B377" s="18" t="s">
        <v>47</v>
      </c>
      <c r="C377" s="18" t="s">
        <v>1290</v>
      </c>
      <c r="D377" s="18" t="s">
        <v>1287</v>
      </c>
      <c r="E377" s="18">
        <v>3</v>
      </c>
      <c r="F377" s="18"/>
      <c r="G377" s="20">
        <v>45323</v>
      </c>
      <c r="H377" s="21">
        <v>1</v>
      </c>
      <c r="I377" s="18">
        <v>60</v>
      </c>
      <c r="J377" s="19" t="s">
        <v>7977</v>
      </c>
      <c r="K377" s="19" t="s">
        <v>7977</v>
      </c>
      <c r="L377" s="19" t="s">
        <v>11</v>
      </c>
      <c r="M377" s="18"/>
      <c r="N377" s="19"/>
      <c r="O377" s="19"/>
      <c r="P377" s="19"/>
      <c r="Q377" s="18"/>
      <c r="R377" s="18"/>
      <c r="S377" s="18"/>
      <c r="T377" s="18"/>
    </row>
    <row r="378" spans="1:20" hidden="1" x14ac:dyDescent="0.25">
      <c r="A378" s="18">
        <v>1448</v>
      </c>
      <c r="B378" s="18" t="s">
        <v>7830</v>
      </c>
      <c r="C378" s="18" t="s">
        <v>628</v>
      </c>
      <c r="D378" s="18" t="s">
        <v>4961</v>
      </c>
      <c r="E378" s="18">
        <v>2</v>
      </c>
      <c r="F378" s="18"/>
      <c r="G378" s="20">
        <v>45322</v>
      </c>
      <c r="H378" s="21">
        <v>1</v>
      </c>
      <c r="I378" s="18">
        <v>10</v>
      </c>
      <c r="J378" s="19" t="s">
        <v>11</v>
      </c>
      <c r="K378" s="19" t="s">
        <v>11</v>
      </c>
      <c r="L378" s="19" t="s">
        <v>7977</v>
      </c>
      <c r="M378" s="18"/>
      <c r="N378" s="19"/>
      <c r="O378" s="19"/>
      <c r="P378" s="19"/>
      <c r="Q378" s="18"/>
      <c r="R378" s="18"/>
      <c r="S378" s="18"/>
      <c r="T378" s="18"/>
    </row>
    <row r="379" spans="1:20" hidden="1" x14ac:dyDescent="0.25">
      <c r="A379" s="18">
        <v>38</v>
      </c>
      <c r="B379" s="18" t="s">
        <v>316</v>
      </c>
      <c r="C379" s="18" t="s">
        <v>316</v>
      </c>
      <c r="D379" s="18" t="s">
        <v>440</v>
      </c>
      <c r="E379" s="18">
        <v>2</v>
      </c>
      <c r="F379" s="18"/>
      <c r="G379" s="20">
        <v>45306</v>
      </c>
      <c r="H379" s="21">
        <v>1</v>
      </c>
      <c r="I379" s="18">
        <v>19</v>
      </c>
      <c r="J379" s="19" t="s">
        <v>11</v>
      </c>
      <c r="K379" s="19" t="s">
        <v>11</v>
      </c>
      <c r="L379" s="19" t="s">
        <v>7977</v>
      </c>
      <c r="M379" s="18"/>
      <c r="N379" s="19"/>
      <c r="O379" s="19"/>
      <c r="P379" s="19"/>
      <c r="Q379" s="18"/>
      <c r="R379" s="18"/>
      <c r="S379" s="18"/>
      <c r="T379" s="18"/>
    </row>
    <row r="380" spans="1:20" hidden="1" x14ac:dyDescent="0.25">
      <c r="A380" s="18">
        <v>138</v>
      </c>
      <c r="B380" s="18" t="s">
        <v>573</v>
      </c>
      <c r="C380" s="18" t="s">
        <v>745</v>
      </c>
      <c r="D380" s="18" t="s">
        <v>742</v>
      </c>
      <c r="E380" s="18">
        <v>2</v>
      </c>
      <c r="F380" s="18"/>
      <c r="G380" s="20">
        <v>45539</v>
      </c>
      <c r="H380" s="21">
        <v>1</v>
      </c>
      <c r="I380" s="18">
        <v>24</v>
      </c>
      <c r="J380" s="19" t="s">
        <v>11</v>
      </c>
      <c r="K380" s="19" t="s">
        <v>11</v>
      </c>
      <c r="L380" s="19" t="s">
        <v>7977</v>
      </c>
      <c r="M380" s="18"/>
      <c r="N380" s="19"/>
      <c r="O380" s="19"/>
      <c r="P380" s="19"/>
      <c r="Q380" s="18"/>
      <c r="R380" s="18"/>
      <c r="S380" s="19"/>
      <c r="T380" s="18"/>
    </row>
    <row r="381" spans="1:20" hidden="1" x14ac:dyDescent="0.25">
      <c r="A381" s="18">
        <v>108</v>
      </c>
      <c r="B381" s="18" t="s">
        <v>7830</v>
      </c>
      <c r="C381" s="18" t="s">
        <v>650</v>
      </c>
      <c r="D381" s="18" t="s">
        <v>647</v>
      </c>
      <c r="E381" s="18">
        <v>1</v>
      </c>
      <c r="F381" s="18"/>
      <c r="G381" s="20">
        <v>45260</v>
      </c>
      <c r="H381" s="21">
        <v>1</v>
      </c>
      <c r="I381" s="18">
        <v>13</v>
      </c>
      <c r="J381" s="19" t="s">
        <v>11</v>
      </c>
      <c r="K381" s="19" t="s">
        <v>11</v>
      </c>
      <c r="L381" s="19" t="s">
        <v>7977</v>
      </c>
      <c r="M381" s="18"/>
      <c r="N381" s="19"/>
      <c r="O381" s="19"/>
      <c r="P381" s="19"/>
      <c r="Q381" s="18"/>
      <c r="R381" s="18"/>
      <c r="S381" s="19"/>
      <c r="T381" s="18"/>
    </row>
    <row r="382" spans="1:20" hidden="1" x14ac:dyDescent="0.25">
      <c r="A382" s="18">
        <v>426</v>
      </c>
      <c r="B382" s="18"/>
      <c r="C382" s="18" t="s">
        <v>6800</v>
      </c>
      <c r="D382" s="18" t="s">
        <v>253</v>
      </c>
      <c r="E382" s="18">
        <v>2</v>
      </c>
      <c r="F382" s="18"/>
      <c r="G382" s="20">
        <v>45266</v>
      </c>
      <c r="H382" s="21">
        <v>1</v>
      </c>
      <c r="I382" s="18">
        <v>24</v>
      </c>
      <c r="J382" s="19" t="s">
        <v>11</v>
      </c>
      <c r="K382" s="19" t="s">
        <v>7977</v>
      </c>
      <c r="L382" s="19" t="s">
        <v>7977</v>
      </c>
      <c r="M382" s="18"/>
      <c r="N382" s="19"/>
      <c r="O382" s="19"/>
      <c r="P382" s="19"/>
      <c r="Q382" s="18"/>
      <c r="R382" s="18"/>
      <c r="S382" s="18"/>
      <c r="T382" s="18"/>
    </row>
    <row r="383" spans="1:20" hidden="1" x14ac:dyDescent="0.25">
      <c r="A383" s="18">
        <v>525</v>
      </c>
      <c r="B383" s="18" t="s">
        <v>7974</v>
      </c>
      <c r="C383" s="18" t="s">
        <v>1976</v>
      </c>
      <c r="D383" s="18" t="s">
        <v>1973</v>
      </c>
      <c r="E383" s="18">
        <v>2</v>
      </c>
      <c r="F383" s="18"/>
      <c r="G383" s="20">
        <v>45335</v>
      </c>
      <c r="H383" s="21">
        <v>1</v>
      </c>
      <c r="I383" s="18">
        <v>57</v>
      </c>
      <c r="J383" s="19" t="s">
        <v>7977</v>
      </c>
      <c r="K383" s="19" t="s">
        <v>7977</v>
      </c>
      <c r="L383" s="19" t="s">
        <v>11</v>
      </c>
      <c r="M383" s="18"/>
      <c r="N383" s="19"/>
      <c r="O383" s="19"/>
      <c r="P383" s="19"/>
      <c r="Q383" s="18"/>
      <c r="R383" s="18"/>
      <c r="S383" s="18"/>
      <c r="T383" s="18"/>
    </row>
    <row r="384" spans="1:20" hidden="1" x14ac:dyDescent="0.25">
      <c r="A384" s="18">
        <v>219</v>
      </c>
      <c r="B384" s="18" t="s">
        <v>7974</v>
      </c>
      <c r="C384" s="18" t="s">
        <v>6800</v>
      </c>
      <c r="D384" s="18" t="s">
        <v>991</v>
      </c>
      <c r="E384" s="18">
        <v>1</v>
      </c>
      <c r="F384" s="18"/>
      <c r="G384" s="20">
        <v>45224</v>
      </c>
      <c r="H384" s="21">
        <v>1</v>
      </c>
      <c r="I384" s="18">
        <v>9</v>
      </c>
      <c r="J384" s="19" t="s">
        <v>11</v>
      </c>
      <c r="K384" s="19" t="s">
        <v>11</v>
      </c>
      <c r="L384" s="19" t="s">
        <v>7977</v>
      </c>
      <c r="M384" s="18"/>
      <c r="N384" s="19" t="s">
        <v>11</v>
      </c>
      <c r="O384" s="19"/>
      <c r="P384" s="19"/>
      <c r="Q384" s="18"/>
      <c r="R384" s="18"/>
      <c r="S384" s="18"/>
      <c r="T384" s="18"/>
    </row>
    <row r="385" spans="1:20" hidden="1" x14ac:dyDescent="0.25">
      <c r="A385" s="18">
        <v>217</v>
      </c>
      <c r="B385" s="18" t="s">
        <v>317</v>
      </c>
      <c r="C385" s="18" t="s">
        <v>986</v>
      </c>
      <c r="D385" s="18" t="s">
        <v>190</v>
      </c>
      <c r="E385" s="18">
        <v>1</v>
      </c>
      <c r="F385" s="18"/>
      <c r="G385" s="20">
        <v>45224</v>
      </c>
      <c r="H385" s="21">
        <v>1</v>
      </c>
      <c r="I385" s="18">
        <v>5</v>
      </c>
      <c r="J385" s="19" t="s">
        <v>11</v>
      </c>
      <c r="K385" s="19" t="s">
        <v>11</v>
      </c>
      <c r="L385" s="19" t="s">
        <v>7977</v>
      </c>
      <c r="M385" s="18"/>
      <c r="N385" s="19" t="s">
        <v>11</v>
      </c>
      <c r="O385" s="18" t="s">
        <v>11</v>
      </c>
      <c r="P385" s="19" t="s">
        <v>11</v>
      </c>
      <c r="Q385" s="18"/>
      <c r="R385" s="18"/>
      <c r="S385" s="19"/>
      <c r="T385" s="18"/>
    </row>
    <row r="386" spans="1:20" hidden="1" x14ac:dyDescent="0.25">
      <c r="A386" s="18">
        <v>11</v>
      </c>
      <c r="B386" s="18" t="s">
        <v>293</v>
      </c>
      <c r="C386" s="18" t="s">
        <v>359</v>
      </c>
      <c r="D386" s="18" t="s">
        <v>187</v>
      </c>
      <c r="E386" s="18">
        <v>2</v>
      </c>
      <c r="F386" s="18"/>
      <c r="G386" s="20">
        <v>45299</v>
      </c>
      <c r="H386" s="21">
        <v>1</v>
      </c>
      <c r="I386" s="18">
        <v>45</v>
      </c>
      <c r="J386" s="19" t="s">
        <v>7990</v>
      </c>
      <c r="K386" s="19" t="s">
        <v>7977</v>
      </c>
      <c r="L386" s="19" t="s">
        <v>11</v>
      </c>
      <c r="M386" s="18"/>
      <c r="N386" s="19"/>
      <c r="O386" s="19"/>
      <c r="P386" s="19"/>
      <c r="Q386" s="18"/>
      <c r="R386" s="18"/>
      <c r="S386" s="19"/>
      <c r="T386" s="18"/>
    </row>
    <row r="387" spans="1:20" hidden="1" x14ac:dyDescent="0.25">
      <c r="A387" s="18">
        <v>105</v>
      </c>
      <c r="B387" s="18" t="s">
        <v>7830</v>
      </c>
      <c r="C387" s="18" t="s">
        <v>641</v>
      </c>
      <c r="D387" s="18" t="s">
        <v>80</v>
      </c>
      <c r="E387" s="18">
        <v>2</v>
      </c>
      <c r="F387" s="18"/>
      <c r="G387" s="20">
        <v>45250</v>
      </c>
      <c r="H387" s="21">
        <v>1</v>
      </c>
      <c r="I387" s="18">
        <v>36</v>
      </c>
      <c r="J387" s="19" t="s">
        <v>11</v>
      </c>
      <c r="K387" s="19" t="s">
        <v>11</v>
      </c>
      <c r="L387" s="19" t="s">
        <v>7977</v>
      </c>
      <c r="M387" s="18"/>
      <c r="N387" s="19"/>
      <c r="O387" s="19"/>
      <c r="P387" s="19"/>
      <c r="Q387" s="18"/>
      <c r="R387" s="18"/>
      <c r="S387" s="19"/>
      <c r="T387" s="18"/>
    </row>
    <row r="388" spans="1:20" hidden="1" x14ac:dyDescent="0.25">
      <c r="A388" s="18">
        <v>106</v>
      </c>
      <c r="B388" s="18"/>
      <c r="C388" s="18" t="s">
        <v>6800</v>
      </c>
      <c r="D388" s="18" t="s">
        <v>642</v>
      </c>
      <c r="E388" s="18">
        <v>2</v>
      </c>
      <c r="F388" s="18"/>
      <c r="G388" s="20">
        <v>45247</v>
      </c>
      <c r="H388" s="21">
        <v>1</v>
      </c>
      <c r="I388" s="18">
        <v>23</v>
      </c>
      <c r="J388" s="19" t="s">
        <v>7977</v>
      </c>
      <c r="K388" s="19" t="s">
        <v>7977</v>
      </c>
      <c r="L388" s="19" t="s">
        <v>11</v>
      </c>
      <c r="M388" s="18"/>
      <c r="N388" s="19"/>
      <c r="O388" s="19"/>
      <c r="P388" s="19"/>
      <c r="Q388" s="18"/>
      <c r="R388" s="18"/>
      <c r="S388" s="18"/>
      <c r="T388" s="18"/>
    </row>
    <row r="389" spans="1:20" hidden="1" x14ac:dyDescent="0.25">
      <c r="A389" s="18">
        <v>1009</v>
      </c>
      <c r="B389" s="18"/>
      <c r="C389" s="18" t="s">
        <v>6800</v>
      </c>
      <c r="D389" s="18" t="s">
        <v>3533</v>
      </c>
      <c r="E389" s="18">
        <v>1</v>
      </c>
      <c r="F389" s="18"/>
      <c r="G389" s="18"/>
      <c r="H389" s="21"/>
      <c r="I389" s="18"/>
      <c r="J389" s="19"/>
      <c r="K389" s="19"/>
      <c r="L389" s="19"/>
      <c r="M389" s="18"/>
      <c r="N389" s="19"/>
      <c r="O389" s="19"/>
      <c r="P389" s="19"/>
      <c r="Q389" s="18"/>
      <c r="R389" s="18"/>
      <c r="S389" s="18"/>
      <c r="T389" s="18"/>
    </row>
    <row r="390" spans="1:20" hidden="1" x14ac:dyDescent="0.25">
      <c r="A390" s="18">
        <v>77</v>
      </c>
      <c r="B390" s="18"/>
      <c r="C390" s="18" t="s">
        <v>6800</v>
      </c>
      <c r="D390" s="18" t="s">
        <v>36</v>
      </c>
      <c r="E390" s="18">
        <v>2</v>
      </c>
      <c r="F390" s="18"/>
      <c r="G390" s="20">
        <v>45265</v>
      </c>
      <c r="H390" s="21">
        <v>1</v>
      </c>
      <c r="I390" s="18">
        <v>21</v>
      </c>
      <c r="J390" s="19" t="s">
        <v>11</v>
      </c>
      <c r="K390" s="19" t="s">
        <v>7977</v>
      </c>
      <c r="L390" s="19" t="s">
        <v>7977</v>
      </c>
      <c r="M390" s="18"/>
      <c r="N390" s="19"/>
      <c r="O390" s="19"/>
      <c r="P390" s="19"/>
      <c r="Q390" s="18"/>
      <c r="R390" s="18"/>
      <c r="S390" s="18"/>
      <c r="T390" s="18"/>
    </row>
    <row r="391" spans="1:20" hidden="1" x14ac:dyDescent="0.25">
      <c r="A391" s="18">
        <v>377</v>
      </c>
      <c r="B391" s="18" t="s">
        <v>109</v>
      </c>
      <c r="C391" s="18" t="s">
        <v>681</v>
      </c>
      <c r="D391" s="18" t="s">
        <v>99</v>
      </c>
      <c r="E391" s="18">
        <v>2</v>
      </c>
      <c r="F391" s="18"/>
      <c r="G391" s="20">
        <v>45454</v>
      </c>
      <c r="H391" s="21">
        <v>1</v>
      </c>
      <c r="I391" s="18">
        <v>45</v>
      </c>
      <c r="J391" s="19" t="s">
        <v>7977</v>
      </c>
      <c r="K391" s="19" t="s">
        <v>7977</v>
      </c>
      <c r="L391" s="19" t="s">
        <v>11</v>
      </c>
      <c r="M391" s="18"/>
      <c r="N391" s="19"/>
      <c r="O391" s="19"/>
      <c r="P391" s="19"/>
      <c r="Q391" s="18"/>
      <c r="R391" s="18"/>
      <c r="S391" s="18"/>
      <c r="T391" s="18"/>
    </row>
    <row r="392" spans="1:20" hidden="1" x14ac:dyDescent="0.25">
      <c r="A392" s="18">
        <v>216</v>
      </c>
      <c r="B392" s="18"/>
      <c r="C392" s="18"/>
      <c r="D392" s="18" t="s">
        <v>39</v>
      </c>
      <c r="E392" s="18">
        <v>2</v>
      </c>
      <c r="F392" s="18"/>
      <c r="G392" s="20">
        <v>45453</v>
      </c>
      <c r="H392" s="21">
        <v>1</v>
      </c>
      <c r="I392" s="18">
        <v>15</v>
      </c>
      <c r="J392" s="19" t="s">
        <v>11</v>
      </c>
      <c r="K392" s="19" t="s">
        <v>11</v>
      </c>
      <c r="L392" s="19" t="s">
        <v>7977</v>
      </c>
      <c r="M392" s="18"/>
      <c r="N392" s="19"/>
      <c r="O392" s="19"/>
      <c r="P392" s="19"/>
      <c r="Q392" s="18"/>
      <c r="R392" s="18"/>
      <c r="S392" s="18"/>
      <c r="T392" s="18"/>
    </row>
    <row r="393" spans="1:20" hidden="1" x14ac:dyDescent="0.25">
      <c r="A393" s="18">
        <v>40</v>
      </c>
      <c r="B393" s="18" t="s">
        <v>30</v>
      </c>
      <c r="C393" s="18" t="s">
        <v>445</v>
      </c>
      <c r="D393" s="18" t="s">
        <v>38</v>
      </c>
      <c r="E393" s="18">
        <v>2</v>
      </c>
      <c r="F393" s="20">
        <v>45328</v>
      </c>
      <c r="G393" s="20">
        <v>45453</v>
      </c>
      <c r="H393" s="21">
        <v>1</v>
      </c>
      <c r="I393" s="18">
        <v>60</v>
      </c>
      <c r="J393" s="19" t="s">
        <v>11</v>
      </c>
      <c r="K393" s="19" t="s">
        <v>7977</v>
      </c>
      <c r="L393" s="19" t="s">
        <v>8021</v>
      </c>
      <c r="M393" s="18"/>
      <c r="N393" s="19"/>
      <c r="O393" s="19"/>
      <c r="P393" s="19"/>
      <c r="Q393" s="18"/>
      <c r="R393" s="18"/>
      <c r="S393" s="19"/>
      <c r="T393" s="18"/>
    </row>
    <row r="394" spans="1:20" hidden="1" x14ac:dyDescent="0.25">
      <c r="A394" s="18">
        <v>39</v>
      </c>
      <c r="B394" s="18" t="s">
        <v>7832</v>
      </c>
      <c r="C394" s="18" t="s">
        <v>445</v>
      </c>
      <c r="D394" s="18" t="s">
        <v>37</v>
      </c>
      <c r="E394" s="18">
        <v>2</v>
      </c>
      <c r="F394" s="18"/>
      <c r="G394" s="20">
        <v>45306</v>
      </c>
      <c r="H394" s="21">
        <v>1</v>
      </c>
      <c r="I394" s="18">
        <v>22</v>
      </c>
      <c r="J394" s="19" t="s">
        <v>11</v>
      </c>
      <c r="K394" s="19" t="s">
        <v>11</v>
      </c>
      <c r="L394" s="19" t="s">
        <v>7977</v>
      </c>
      <c r="M394" s="18"/>
      <c r="N394" s="19"/>
      <c r="O394" s="19"/>
      <c r="P394" s="19"/>
      <c r="Q394" s="18"/>
      <c r="R394" s="18"/>
      <c r="S394" s="19"/>
      <c r="T394" s="18"/>
    </row>
    <row r="395" spans="1:20" hidden="1" x14ac:dyDescent="0.25">
      <c r="A395" s="18">
        <v>518</v>
      </c>
      <c r="B395" s="18" t="s">
        <v>109</v>
      </c>
      <c r="C395" s="18" t="s">
        <v>681</v>
      </c>
      <c r="D395" s="18" t="s">
        <v>1949</v>
      </c>
      <c r="E395" s="18">
        <v>2</v>
      </c>
      <c r="F395" s="18"/>
      <c r="G395" s="20">
        <v>45280</v>
      </c>
      <c r="H395" s="21">
        <v>1</v>
      </c>
      <c r="I395" s="18">
        <v>50</v>
      </c>
      <c r="J395" s="19" t="s">
        <v>7977</v>
      </c>
      <c r="K395" s="19" t="s">
        <v>7977</v>
      </c>
      <c r="L395" s="19" t="s">
        <v>11</v>
      </c>
      <c r="M395" s="18"/>
      <c r="N395" s="19"/>
      <c r="O395" s="19"/>
      <c r="P395" s="19"/>
      <c r="Q395" s="18"/>
      <c r="R395" s="18"/>
      <c r="S395" s="18"/>
      <c r="T395" s="18"/>
    </row>
    <row r="396" spans="1:20" hidden="1" x14ac:dyDescent="0.25">
      <c r="A396" s="18">
        <v>322</v>
      </c>
      <c r="B396" s="18" t="s">
        <v>109</v>
      </c>
      <c r="C396" s="18" t="s">
        <v>1314</v>
      </c>
      <c r="D396" s="18" t="s">
        <v>94</v>
      </c>
      <c r="E396" s="18">
        <v>2</v>
      </c>
      <c r="F396" s="18"/>
      <c r="G396" s="20">
        <v>45278</v>
      </c>
      <c r="H396" s="21">
        <v>1</v>
      </c>
      <c r="I396" s="18">
        <v>10</v>
      </c>
      <c r="J396" s="19" t="s">
        <v>11</v>
      </c>
      <c r="K396" s="19" t="s">
        <v>11</v>
      </c>
      <c r="L396" s="19" t="s">
        <v>7977</v>
      </c>
      <c r="M396" s="18"/>
      <c r="N396" s="19"/>
      <c r="O396" s="19"/>
      <c r="P396" s="19"/>
      <c r="Q396" s="18"/>
      <c r="R396" s="18"/>
      <c r="S396" s="18"/>
      <c r="T396" s="18"/>
    </row>
    <row r="397" spans="1:20" hidden="1" x14ac:dyDescent="0.25">
      <c r="A397" s="18">
        <v>270</v>
      </c>
      <c r="B397" s="18"/>
      <c r="C397" s="18" t="s">
        <v>6800</v>
      </c>
      <c r="D397" s="18" t="s">
        <v>219</v>
      </c>
      <c r="E397" s="18">
        <v>1</v>
      </c>
      <c r="F397" s="18"/>
      <c r="G397" s="20">
        <v>45237</v>
      </c>
      <c r="H397" s="21">
        <v>1</v>
      </c>
      <c r="I397" s="18">
        <v>29</v>
      </c>
      <c r="J397" s="19" t="s">
        <v>11</v>
      </c>
      <c r="K397" s="19" t="s">
        <v>7977</v>
      </c>
      <c r="L397" s="19" t="s">
        <v>11</v>
      </c>
      <c r="M397" s="18"/>
      <c r="N397" s="19"/>
      <c r="O397" s="19"/>
      <c r="P397" s="19"/>
      <c r="Q397" s="18"/>
      <c r="R397" s="18"/>
      <c r="S397" s="18" t="s">
        <v>8014</v>
      </c>
      <c r="T397" s="18"/>
    </row>
    <row r="398" spans="1:20" hidden="1" x14ac:dyDescent="0.25">
      <c r="A398" s="18">
        <v>133</v>
      </c>
      <c r="B398" s="18" t="s">
        <v>7833</v>
      </c>
      <c r="C398" s="18" t="s">
        <v>728</v>
      </c>
      <c r="D398" s="18" t="s">
        <v>13</v>
      </c>
      <c r="E398" s="18">
        <v>2</v>
      </c>
      <c r="F398" s="18"/>
      <c r="G398" s="20">
        <v>45230</v>
      </c>
      <c r="H398" s="21">
        <v>1</v>
      </c>
      <c r="I398" s="18">
        <v>19</v>
      </c>
      <c r="J398" s="19" t="s">
        <v>11</v>
      </c>
      <c r="K398" s="19" t="s">
        <v>7977</v>
      </c>
      <c r="L398" s="19" t="s">
        <v>7977</v>
      </c>
      <c r="M398" s="18"/>
      <c r="N398" s="19"/>
      <c r="O398" s="19"/>
      <c r="P398" s="19"/>
      <c r="Q398" s="18"/>
      <c r="R398" s="18"/>
      <c r="S398" s="19"/>
      <c r="T398" s="18"/>
    </row>
    <row r="399" spans="1:20" hidden="1" x14ac:dyDescent="0.25">
      <c r="A399" s="18">
        <v>70</v>
      </c>
      <c r="B399" s="18" t="s">
        <v>7834</v>
      </c>
      <c r="C399" s="18" t="s">
        <v>540</v>
      </c>
      <c r="D399" s="18" t="s">
        <v>88</v>
      </c>
      <c r="E399" s="18">
        <v>1</v>
      </c>
      <c r="F399" s="18"/>
      <c r="G399" s="20">
        <v>45251</v>
      </c>
      <c r="H399" s="21">
        <v>1</v>
      </c>
      <c r="I399" s="18">
        <v>12</v>
      </c>
      <c r="J399" s="19" t="s">
        <v>11</v>
      </c>
      <c r="K399" s="19" t="s">
        <v>11</v>
      </c>
      <c r="L399" s="19" t="s">
        <v>7977</v>
      </c>
      <c r="M399" s="18"/>
      <c r="N399" s="19"/>
      <c r="O399" s="18"/>
      <c r="P399" s="19"/>
      <c r="Q399" s="18"/>
      <c r="R399" s="18"/>
      <c r="S399" s="19"/>
      <c r="T399" s="18"/>
    </row>
    <row r="400" spans="1:20" hidden="1" x14ac:dyDescent="0.25">
      <c r="A400" s="18">
        <v>457</v>
      </c>
      <c r="B400" s="18"/>
      <c r="C400" s="18" t="s">
        <v>6800</v>
      </c>
      <c r="D400" s="18" t="s">
        <v>1750</v>
      </c>
      <c r="E400" s="18">
        <v>2</v>
      </c>
      <c r="F400" s="18"/>
      <c r="G400" s="20">
        <v>45337</v>
      </c>
      <c r="H400" s="21"/>
      <c r="I400" s="18">
        <v>23</v>
      </c>
      <c r="J400" s="19" t="s">
        <v>11</v>
      </c>
      <c r="K400" s="19" t="s">
        <v>7977</v>
      </c>
      <c r="L400" s="19" t="s">
        <v>11</v>
      </c>
      <c r="M400" s="18"/>
      <c r="N400" s="19" t="s">
        <v>7977</v>
      </c>
      <c r="O400" s="19"/>
      <c r="P400" s="19"/>
      <c r="Q400" s="18"/>
      <c r="R400" s="18"/>
      <c r="S400" s="18"/>
      <c r="T400" s="18"/>
    </row>
    <row r="401" spans="1:20" hidden="1" x14ac:dyDescent="0.25">
      <c r="A401" s="18">
        <v>1430</v>
      </c>
      <c r="B401" s="18"/>
      <c r="C401" s="18" t="s">
        <v>6800</v>
      </c>
      <c r="D401" s="18" t="s">
        <v>8382</v>
      </c>
      <c r="E401" s="18">
        <v>2</v>
      </c>
      <c r="F401" s="18"/>
      <c r="G401" s="18"/>
      <c r="H401" s="21"/>
      <c r="I401" s="18"/>
      <c r="J401" s="19"/>
      <c r="K401" s="19"/>
      <c r="L401" s="19"/>
      <c r="M401" s="18"/>
      <c r="N401" s="19"/>
      <c r="O401" s="19"/>
      <c r="P401" s="19"/>
      <c r="Q401" s="18"/>
      <c r="R401" s="18"/>
      <c r="S401" s="18"/>
      <c r="T401" s="18"/>
    </row>
    <row r="402" spans="1:20" hidden="1" x14ac:dyDescent="0.25">
      <c r="A402" s="18">
        <v>787</v>
      </c>
      <c r="B402" s="18" t="s">
        <v>7834</v>
      </c>
      <c r="C402" s="18" t="s">
        <v>2801</v>
      </c>
      <c r="D402" s="18" t="s">
        <v>2798</v>
      </c>
      <c r="E402" s="18">
        <v>2</v>
      </c>
      <c r="F402" s="18"/>
      <c r="G402" s="20">
        <v>45274</v>
      </c>
      <c r="H402" s="21">
        <v>1</v>
      </c>
      <c r="I402" s="18">
        <v>36</v>
      </c>
      <c r="J402" s="19" t="s">
        <v>7977</v>
      </c>
      <c r="K402" s="19" t="s">
        <v>7977</v>
      </c>
      <c r="L402" s="19" t="s">
        <v>11</v>
      </c>
      <c r="M402" s="18"/>
      <c r="N402" s="19"/>
      <c r="O402" s="18"/>
      <c r="P402" s="19"/>
      <c r="Q402" s="18"/>
      <c r="R402" s="18"/>
      <c r="S402" s="18"/>
      <c r="T402" s="18"/>
    </row>
    <row r="403" spans="1:20" hidden="1" x14ac:dyDescent="0.25">
      <c r="A403" s="18">
        <v>853</v>
      </c>
      <c r="B403" s="18" t="s">
        <v>7829</v>
      </c>
      <c r="C403" s="18" t="s">
        <v>3020</v>
      </c>
      <c r="D403" s="18" t="s">
        <v>3017</v>
      </c>
      <c r="E403" s="18">
        <v>2</v>
      </c>
      <c r="F403" s="18"/>
      <c r="G403" s="20">
        <v>45336</v>
      </c>
      <c r="H403" s="21">
        <v>1</v>
      </c>
      <c r="I403" s="18">
        <v>59</v>
      </c>
      <c r="J403" s="19" t="s">
        <v>11</v>
      </c>
      <c r="K403" s="19" t="s">
        <v>7977</v>
      </c>
      <c r="L403" s="19" t="s">
        <v>11</v>
      </c>
      <c r="M403" s="18"/>
      <c r="N403" s="19"/>
      <c r="O403" s="19"/>
      <c r="P403" s="19"/>
      <c r="Q403" s="18"/>
      <c r="R403" s="18"/>
      <c r="S403" s="18"/>
      <c r="T403" s="18"/>
    </row>
    <row r="404" spans="1:20" hidden="1" x14ac:dyDescent="0.25">
      <c r="A404" s="18">
        <v>1011</v>
      </c>
      <c r="B404" s="18"/>
      <c r="C404" s="18" t="s">
        <v>6800</v>
      </c>
      <c r="D404" s="18" t="s">
        <v>3540</v>
      </c>
      <c r="E404" s="18">
        <v>2</v>
      </c>
      <c r="F404" s="18"/>
      <c r="G404" s="20">
        <v>45446</v>
      </c>
      <c r="H404" s="21">
        <v>1</v>
      </c>
      <c r="I404" s="18">
        <v>65</v>
      </c>
      <c r="J404" s="19" t="s">
        <v>7990</v>
      </c>
      <c r="K404" s="19" t="s">
        <v>7977</v>
      </c>
      <c r="L404" s="19" t="s">
        <v>11</v>
      </c>
      <c r="M404" s="18"/>
      <c r="N404" s="19"/>
      <c r="O404" s="19"/>
      <c r="P404" s="19"/>
      <c r="Q404" s="18"/>
      <c r="R404" s="18"/>
      <c r="S404" s="18"/>
      <c r="T404" s="18"/>
    </row>
    <row r="405" spans="1:20" hidden="1" x14ac:dyDescent="0.25">
      <c r="A405" s="18">
        <v>815</v>
      </c>
      <c r="B405" s="18" t="s">
        <v>7974</v>
      </c>
      <c r="C405" s="18" t="s">
        <v>2896</v>
      </c>
      <c r="D405" s="18" t="s">
        <v>2893</v>
      </c>
      <c r="E405" s="18">
        <v>3</v>
      </c>
      <c r="F405" s="18"/>
      <c r="G405" s="20">
        <v>45330</v>
      </c>
      <c r="H405" s="21">
        <v>1</v>
      </c>
      <c r="I405" s="18">
        <v>38</v>
      </c>
      <c r="J405" s="19" t="s">
        <v>11</v>
      </c>
      <c r="K405" s="19" t="s">
        <v>11</v>
      </c>
      <c r="L405" s="19" t="s">
        <v>7977</v>
      </c>
      <c r="M405" s="18"/>
      <c r="N405" s="19"/>
      <c r="O405" s="19"/>
      <c r="P405" s="19"/>
      <c r="Q405" s="18"/>
      <c r="R405" s="18"/>
      <c r="S405" s="18"/>
      <c r="T405" s="18"/>
    </row>
    <row r="406" spans="1:20" hidden="1" x14ac:dyDescent="0.25">
      <c r="A406" s="18">
        <v>312</v>
      </c>
      <c r="B406" s="18" t="s">
        <v>109</v>
      </c>
      <c r="C406" s="18" t="s">
        <v>681</v>
      </c>
      <c r="D406" s="18" t="s">
        <v>1277</v>
      </c>
      <c r="E406" s="18">
        <v>3</v>
      </c>
      <c r="F406" s="18"/>
      <c r="G406" s="18"/>
      <c r="H406" s="21"/>
      <c r="I406" s="18"/>
      <c r="J406" s="19"/>
      <c r="K406" s="19"/>
      <c r="L406" s="19"/>
      <c r="M406" s="18"/>
      <c r="N406" s="19"/>
      <c r="O406" s="19"/>
      <c r="P406" s="19"/>
      <c r="Q406" s="18"/>
      <c r="R406" s="18"/>
      <c r="S406" s="18"/>
      <c r="T406" s="18"/>
    </row>
    <row r="407" spans="1:20" hidden="1" x14ac:dyDescent="0.25">
      <c r="A407" s="18">
        <v>881</v>
      </c>
      <c r="B407" s="18"/>
      <c r="C407" s="18" t="s">
        <v>6800</v>
      </c>
      <c r="D407" s="18" t="s">
        <v>3108</v>
      </c>
      <c r="E407" s="18">
        <v>2</v>
      </c>
      <c r="F407" s="18"/>
      <c r="G407" s="20">
        <v>45446</v>
      </c>
      <c r="H407" s="21">
        <v>1</v>
      </c>
      <c r="I407" s="18">
        <v>27</v>
      </c>
      <c r="J407" s="19" t="s">
        <v>7990</v>
      </c>
      <c r="K407" s="19" t="s">
        <v>7977</v>
      </c>
      <c r="L407" s="19" t="s">
        <v>11</v>
      </c>
      <c r="M407" s="18"/>
      <c r="N407" s="19" t="s">
        <v>11</v>
      </c>
      <c r="O407" s="19"/>
      <c r="P407" s="19"/>
      <c r="Q407" s="18"/>
      <c r="R407" s="18"/>
      <c r="S407" s="18"/>
      <c r="T407" s="18"/>
    </row>
    <row r="408" spans="1:20" hidden="1" x14ac:dyDescent="0.25">
      <c r="A408" s="18">
        <v>103</v>
      </c>
      <c r="B408" s="18" t="s">
        <v>7830</v>
      </c>
      <c r="C408" s="18" t="s">
        <v>634</v>
      </c>
      <c r="D408" s="18" t="s">
        <v>24</v>
      </c>
      <c r="E408" s="18">
        <v>2</v>
      </c>
      <c r="F408" s="18"/>
      <c r="G408" s="20">
        <v>45294</v>
      </c>
      <c r="H408" s="21">
        <v>1</v>
      </c>
      <c r="I408" s="18">
        <v>17</v>
      </c>
      <c r="J408" s="19" t="s">
        <v>11</v>
      </c>
      <c r="K408" s="19" t="s">
        <v>11</v>
      </c>
      <c r="L408" s="19" t="s">
        <v>7977</v>
      </c>
      <c r="M408" s="18"/>
      <c r="N408" s="19"/>
      <c r="O408" s="19"/>
      <c r="P408" s="19"/>
      <c r="Q408" s="18"/>
      <c r="R408" s="18"/>
      <c r="S408" s="18"/>
      <c r="T408" s="18"/>
    </row>
    <row r="409" spans="1:20" hidden="1" x14ac:dyDescent="0.25">
      <c r="A409" s="18">
        <v>199</v>
      </c>
      <c r="B409" s="18" t="s">
        <v>7830</v>
      </c>
      <c r="C409" s="18" t="s">
        <v>628</v>
      </c>
      <c r="D409" s="18" t="s">
        <v>27</v>
      </c>
      <c r="E409" s="18">
        <v>2</v>
      </c>
      <c r="F409" s="18"/>
      <c r="G409" s="20">
        <v>45331</v>
      </c>
      <c r="H409" s="21">
        <v>1</v>
      </c>
      <c r="I409" s="18">
        <v>8</v>
      </c>
      <c r="J409" s="19" t="s">
        <v>11</v>
      </c>
      <c r="K409" s="19" t="s">
        <v>11</v>
      </c>
      <c r="L409" s="19" t="s">
        <v>7977</v>
      </c>
      <c r="M409" s="18"/>
      <c r="N409" s="19"/>
      <c r="O409" s="19"/>
      <c r="P409" s="19"/>
      <c r="Q409" s="18"/>
      <c r="R409" s="18"/>
      <c r="S409" s="19"/>
      <c r="T409" s="18"/>
    </row>
    <row r="410" spans="1:20" hidden="1" x14ac:dyDescent="0.25">
      <c r="A410" s="18">
        <v>144</v>
      </c>
      <c r="B410" s="18"/>
      <c r="C410" s="18" t="s">
        <v>6800</v>
      </c>
      <c r="D410" s="18" t="s">
        <v>761</v>
      </c>
      <c r="E410" s="18">
        <v>1</v>
      </c>
      <c r="F410" s="18"/>
      <c r="G410" s="20">
        <v>45243</v>
      </c>
      <c r="H410" s="21">
        <v>1</v>
      </c>
      <c r="I410" s="18">
        <v>27</v>
      </c>
      <c r="J410" s="19" t="s">
        <v>11</v>
      </c>
      <c r="K410" s="19" t="s">
        <v>11</v>
      </c>
      <c r="L410" s="19" t="s">
        <v>11</v>
      </c>
      <c r="M410" s="18"/>
      <c r="N410" s="19"/>
      <c r="O410" s="19"/>
      <c r="P410" s="19"/>
      <c r="Q410" s="18"/>
      <c r="R410" s="18"/>
      <c r="S410" s="18" t="s">
        <v>8017</v>
      </c>
      <c r="T410" s="18"/>
    </row>
    <row r="411" spans="1:20" hidden="1" x14ac:dyDescent="0.25">
      <c r="A411" s="18">
        <v>145</v>
      </c>
      <c r="B411" s="18"/>
      <c r="C411" s="18" t="s">
        <v>6800</v>
      </c>
      <c r="D411" s="18" t="s">
        <v>764</v>
      </c>
      <c r="E411" s="18">
        <v>1</v>
      </c>
      <c r="F411" s="18"/>
      <c r="G411" s="20">
        <v>45243</v>
      </c>
      <c r="H411" s="21">
        <v>1</v>
      </c>
      <c r="I411" s="18">
        <v>25</v>
      </c>
      <c r="J411" s="19" t="s">
        <v>7977</v>
      </c>
      <c r="K411" s="19" t="s">
        <v>7977</v>
      </c>
      <c r="L411" s="19" t="s">
        <v>11</v>
      </c>
      <c r="M411" s="18"/>
      <c r="N411" s="19"/>
      <c r="O411" s="19"/>
      <c r="P411" s="19"/>
      <c r="Q411" s="18"/>
      <c r="R411" s="18"/>
      <c r="S411" s="18"/>
      <c r="T411" s="18"/>
    </row>
    <row r="412" spans="1:20" hidden="1" x14ac:dyDescent="0.25">
      <c r="A412" s="18">
        <v>257</v>
      </c>
      <c r="B412" s="18"/>
      <c r="C412" s="18" t="s">
        <v>6800</v>
      </c>
      <c r="D412" s="18" t="s">
        <v>299</v>
      </c>
      <c r="E412" s="18">
        <v>1</v>
      </c>
      <c r="F412" s="18"/>
      <c r="G412" s="20">
        <v>45266</v>
      </c>
      <c r="H412" s="21">
        <v>1</v>
      </c>
      <c r="I412" s="18">
        <v>15</v>
      </c>
      <c r="J412" s="19" t="s">
        <v>11</v>
      </c>
      <c r="K412" s="19" t="s">
        <v>7977</v>
      </c>
      <c r="L412" s="19" t="s">
        <v>11</v>
      </c>
      <c r="M412" s="18"/>
      <c r="N412" s="19"/>
      <c r="O412" s="19"/>
      <c r="P412" s="19"/>
      <c r="Q412" s="18"/>
      <c r="R412" s="18"/>
      <c r="S412" s="18" t="s">
        <v>8031</v>
      </c>
      <c r="T412" s="18"/>
    </row>
    <row r="413" spans="1:20" hidden="1" x14ac:dyDescent="0.25">
      <c r="A413" s="18">
        <v>124</v>
      </c>
      <c r="B413" s="18" t="s">
        <v>7830</v>
      </c>
      <c r="C413" s="18" t="s">
        <v>698</v>
      </c>
      <c r="D413" s="18" t="s">
        <v>82</v>
      </c>
      <c r="E413" s="18">
        <v>3</v>
      </c>
      <c r="F413" s="18"/>
      <c r="G413" s="18"/>
      <c r="H413" s="21"/>
      <c r="I413" s="18"/>
      <c r="J413" s="19"/>
      <c r="K413" s="19"/>
      <c r="L413" s="19"/>
      <c r="M413" s="18"/>
      <c r="N413" s="19"/>
      <c r="O413" s="19"/>
      <c r="P413" s="19"/>
      <c r="Q413" s="18"/>
      <c r="R413" s="18"/>
      <c r="S413" s="18"/>
      <c r="T413" s="18"/>
    </row>
    <row r="414" spans="1:20" hidden="1" x14ac:dyDescent="0.25">
      <c r="A414" s="18">
        <v>107</v>
      </c>
      <c r="B414" s="18"/>
      <c r="C414" s="18" t="s">
        <v>6800</v>
      </c>
      <c r="D414" s="18" t="s">
        <v>22</v>
      </c>
      <c r="E414" s="18">
        <v>2</v>
      </c>
      <c r="F414" s="18"/>
      <c r="G414" s="20">
        <v>45338</v>
      </c>
      <c r="H414" s="21">
        <v>1</v>
      </c>
      <c r="I414" s="18">
        <v>9</v>
      </c>
      <c r="J414" s="19" t="s">
        <v>11</v>
      </c>
      <c r="K414" s="19" t="s">
        <v>11</v>
      </c>
      <c r="L414" s="19"/>
      <c r="M414" s="18"/>
      <c r="N414" s="19"/>
      <c r="O414" s="19"/>
      <c r="P414" s="19"/>
      <c r="Q414" s="18"/>
      <c r="R414" s="18"/>
      <c r="S414" s="18"/>
      <c r="T414" s="18"/>
    </row>
    <row r="415" spans="1:20" hidden="1" x14ac:dyDescent="0.25">
      <c r="A415" s="18">
        <v>102</v>
      </c>
      <c r="B415" s="18" t="s">
        <v>7830</v>
      </c>
      <c r="C415" s="18" t="s">
        <v>634</v>
      </c>
      <c r="D415" s="18" t="s">
        <v>23</v>
      </c>
      <c r="E415" s="18">
        <v>2</v>
      </c>
      <c r="F415" s="18"/>
      <c r="G415" s="20">
        <v>45244</v>
      </c>
      <c r="H415" s="21">
        <v>1</v>
      </c>
      <c r="I415" s="18">
        <v>21</v>
      </c>
      <c r="J415" s="19" t="s">
        <v>11</v>
      </c>
      <c r="K415" s="19" t="s">
        <v>11</v>
      </c>
      <c r="L415" s="19" t="s">
        <v>7977</v>
      </c>
      <c r="M415" s="18"/>
      <c r="N415" s="19"/>
      <c r="O415" s="19"/>
      <c r="P415" s="19"/>
      <c r="Q415" s="18"/>
      <c r="R415" s="18"/>
      <c r="S415" s="19"/>
      <c r="T415" s="18"/>
    </row>
    <row r="416" spans="1:20" ht="30" hidden="1" x14ac:dyDescent="0.25">
      <c r="A416" s="18">
        <v>94</v>
      </c>
      <c r="B416" s="18" t="s">
        <v>573</v>
      </c>
      <c r="C416" s="18" t="s">
        <v>608</v>
      </c>
      <c r="D416" s="18" t="s">
        <v>605</v>
      </c>
      <c r="E416" s="18">
        <v>1</v>
      </c>
      <c r="F416" s="20">
        <v>45231</v>
      </c>
      <c r="G416" s="20">
        <v>45243</v>
      </c>
      <c r="H416" s="21">
        <v>2</v>
      </c>
      <c r="I416" s="18">
        <v>38</v>
      </c>
      <c r="J416" s="19" t="s">
        <v>11</v>
      </c>
      <c r="K416" s="19" t="s">
        <v>11</v>
      </c>
      <c r="L416" s="19" t="s">
        <v>11</v>
      </c>
      <c r="M416" s="18"/>
      <c r="N416" s="19" t="s">
        <v>7977</v>
      </c>
      <c r="O416" s="19"/>
      <c r="P416" s="19"/>
      <c r="Q416" s="18"/>
      <c r="R416" s="18"/>
      <c r="S416" s="19" t="s">
        <v>8008</v>
      </c>
      <c r="T416" s="18"/>
    </row>
    <row r="417" spans="1:20" hidden="1" x14ac:dyDescent="0.25">
      <c r="A417" s="18">
        <v>173</v>
      </c>
      <c r="B417" s="18"/>
      <c r="C417" s="18" t="s">
        <v>6800</v>
      </c>
      <c r="D417" s="18" t="s">
        <v>849</v>
      </c>
      <c r="E417" s="18">
        <v>2</v>
      </c>
      <c r="F417" s="18"/>
      <c r="G417" s="20">
        <v>45258</v>
      </c>
      <c r="H417" s="21">
        <v>1</v>
      </c>
      <c r="I417" s="18">
        <v>34</v>
      </c>
      <c r="J417" s="19" t="s">
        <v>11</v>
      </c>
      <c r="K417" s="19" t="s">
        <v>11</v>
      </c>
      <c r="L417" s="19" t="s">
        <v>7977</v>
      </c>
      <c r="M417" s="18"/>
      <c r="N417" s="19"/>
      <c r="O417" s="19"/>
      <c r="P417" s="19"/>
      <c r="Q417" s="18"/>
      <c r="R417" s="18"/>
      <c r="S417" s="18"/>
      <c r="T417" s="18"/>
    </row>
    <row r="418" spans="1:20" hidden="1" x14ac:dyDescent="0.25">
      <c r="A418" s="18">
        <v>704</v>
      </c>
      <c r="B418" s="18" t="s">
        <v>7829</v>
      </c>
      <c r="C418" s="18" t="s">
        <v>426</v>
      </c>
      <c r="D418" s="18" t="s">
        <v>47</v>
      </c>
      <c r="E418" s="18">
        <v>1</v>
      </c>
      <c r="F418" s="18"/>
      <c r="G418" s="20">
        <v>45236</v>
      </c>
      <c r="H418" s="21">
        <v>1</v>
      </c>
      <c r="I418" s="18">
        <v>5</v>
      </c>
      <c r="J418" s="19" t="s">
        <v>11</v>
      </c>
      <c r="K418" s="19" t="s">
        <v>11</v>
      </c>
      <c r="L418" s="19" t="s">
        <v>7977</v>
      </c>
      <c r="M418" s="18"/>
      <c r="N418" s="19" t="s">
        <v>11</v>
      </c>
      <c r="O418" s="19"/>
      <c r="P418" s="19"/>
      <c r="Q418" s="18"/>
      <c r="R418" s="18"/>
      <c r="S418" s="19"/>
      <c r="T418" s="18"/>
    </row>
    <row r="419" spans="1:20" hidden="1" x14ac:dyDescent="0.25">
      <c r="A419" s="18">
        <v>714</v>
      </c>
      <c r="B419" s="18"/>
      <c r="C419" s="18" t="s">
        <v>6800</v>
      </c>
      <c r="D419" s="18" t="s">
        <v>2561</v>
      </c>
      <c r="E419" s="18">
        <v>2</v>
      </c>
      <c r="F419" s="18"/>
      <c r="G419" s="20">
        <v>45280</v>
      </c>
      <c r="H419" s="21">
        <v>1</v>
      </c>
      <c r="I419" s="18">
        <v>6</v>
      </c>
      <c r="J419" s="19" t="s">
        <v>11</v>
      </c>
      <c r="K419" s="19" t="s">
        <v>11</v>
      </c>
      <c r="L419" s="19" t="s">
        <v>7977</v>
      </c>
      <c r="M419" s="18"/>
      <c r="N419" s="19"/>
      <c r="O419" s="19"/>
      <c r="P419" s="19"/>
      <c r="Q419" s="18"/>
      <c r="R419" s="18"/>
      <c r="S419" s="18"/>
      <c r="T419" s="18"/>
    </row>
    <row r="420" spans="1:20" hidden="1" x14ac:dyDescent="0.25">
      <c r="A420" s="18">
        <v>309</v>
      </c>
      <c r="B420" s="18" t="s">
        <v>109</v>
      </c>
      <c r="C420" s="18" t="s">
        <v>681</v>
      </c>
      <c r="D420" s="18" t="s">
        <v>107</v>
      </c>
      <c r="E420" s="18">
        <v>2</v>
      </c>
      <c r="F420" s="18"/>
      <c r="G420" s="20">
        <v>45280</v>
      </c>
      <c r="H420" s="21">
        <v>1</v>
      </c>
      <c r="I420" s="18">
        <v>36</v>
      </c>
      <c r="J420" s="19" t="s">
        <v>11</v>
      </c>
      <c r="K420" s="19" t="s">
        <v>11</v>
      </c>
      <c r="L420" s="19" t="s">
        <v>7977</v>
      </c>
      <c r="M420" s="18"/>
      <c r="N420" s="19"/>
      <c r="O420" s="19"/>
      <c r="P420" s="19"/>
      <c r="Q420" s="18"/>
      <c r="R420" s="18"/>
      <c r="S420" s="18"/>
      <c r="T420" s="18"/>
    </row>
    <row r="421" spans="1:20" hidden="1" x14ac:dyDescent="0.25">
      <c r="A421" s="18">
        <v>188</v>
      </c>
      <c r="B421" s="18"/>
      <c r="C421" s="18" t="s">
        <v>6800</v>
      </c>
      <c r="D421" s="18" t="s">
        <v>897</v>
      </c>
      <c r="E421" s="18">
        <v>3</v>
      </c>
      <c r="F421" s="18"/>
      <c r="G421" s="20">
        <v>45279</v>
      </c>
      <c r="H421" s="21">
        <v>1</v>
      </c>
      <c r="I421" s="18">
        <v>54</v>
      </c>
      <c r="J421" s="19" t="s">
        <v>7977</v>
      </c>
      <c r="K421" s="19" t="s">
        <v>7977</v>
      </c>
      <c r="L421" s="19" t="s">
        <v>11</v>
      </c>
      <c r="M421" s="18"/>
      <c r="N421" s="19"/>
      <c r="O421" s="19"/>
      <c r="P421" s="19"/>
      <c r="Q421" s="18"/>
      <c r="R421" s="18"/>
      <c r="S421" s="18"/>
      <c r="T421" s="18"/>
    </row>
    <row r="422" spans="1:20" hidden="1" x14ac:dyDescent="0.25">
      <c r="A422" s="18">
        <v>123</v>
      </c>
      <c r="B422" s="18"/>
      <c r="C422" s="18" t="s">
        <v>6800</v>
      </c>
      <c r="D422" s="18" t="s">
        <v>693</v>
      </c>
      <c r="E422" s="18">
        <v>3</v>
      </c>
      <c r="F422" s="18"/>
      <c r="G422" s="20">
        <v>45279</v>
      </c>
      <c r="H422" s="21">
        <v>1</v>
      </c>
      <c r="I422" s="18">
        <v>13</v>
      </c>
      <c r="J422" s="19" t="s">
        <v>11</v>
      </c>
      <c r="K422" s="19" t="s">
        <v>11</v>
      </c>
      <c r="L422" s="19" t="s">
        <v>11</v>
      </c>
      <c r="M422" s="18"/>
      <c r="N422" s="19"/>
      <c r="O422" s="19"/>
      <c r="P422" s="19"/>
      <c r="Q422" s="18"/>
      <c r="R422" s="18"/>
      <c r="S422" s="18"/>
      <c r="T422" s="18"/>
    </row>
    <row r="423" spans="1:20" hidden="1" x14ac:dyDescent="0.25">
      <c r="A423" s="18">
        <v>122</v>
      </c>
      <c r="B423" s="18" t="s">
        <v>317</v>
      </c>
      <c r="C423" s="18" t="s">
        <v>464</v>
      </c>
      <c r="D423" s="18" t="s">
        <v>690</v>
      </c>
      <c r="E423" s="18">
        <v>2</v>
      </c>
      <c r="F423" s="18"/>
      <c r="G423" s="20">
        <v>45279</v>
      </c>
      <c r="H423" s="21">
        <v>1</v>
      </c>
      <c r="I423" s="18">
        <v>10</v>
      </c>
      <c r="J423" s="19" t="s">
        <v>11</v>
      </c>
      <c r="K423" s="19" t="s">
        <v>11</v>
      </c>
      <c r="L423" s="19" t="s">
        <v>7977</v>
      </c>
      <c r="M423" s="18"/>
      <c r="N423" s="19"/>
      <c r="O423" s="19"/>
      <c r="P423" s="19"/>
      <c r="Q423" s="18"/>
      <c r="R423" s="18"/>
      <c r="S423" s="18"/>
      <c r="T423" s="18"/>
    </row>
    <row r="424" spans="1:20" hidden="1" x14ac:dyDescent="0.25">
      <c r="A424" s="18">
        <v>121</v>
      </c>
      <c r="B424" s="18" t="s">
        <v>293</v>
      </c>
      <c r="C424" s="18" t="s">
        <v>681</v>
      </c>
      <c r="D424" s="18" t="s">
        <v>89</v>
      </c>
      <c r="E424" s="18">
        <v>1</v>
      </c>
      <c r="F424" s="18"/>
      <c r="G424" s="20">
        <v>45279</v>
      </c>
      <c r="H424" s="21">
        <v>1</v>
      </c>
      <c r="I424" s="18">
        <v>11</v>
      </c>
      <c r="J424" s="19" t="s">
        <v>11</v>
      </c>
      <c r="K424" s="19" t="s">
        <v>11</v>
      </c>
      <c r="L424" s="19" t="s">
        <v>7977</v>
      </c>
      <c r="M424" s="18"/>
      <c r="N424" s="19"/>
      <c r="O424" s="19"/>
      <c r="P424" s="19"/>
      <c r="Q424" s="18"/>
      <c r="R424" s="18"/>
      <c r="S424" s="19"/>
      <c r="T424" s="18"/>
    </row>
    <row r="425" spans="1:20" hidden="1" x14ac:dyDescent="0.25">
      <c r="A425" s="18">
        <v>227</v>
      </c>
      <c r="B425" s="18" t="s">
        <v>7829</v>
      </c>
      <c r="C425" s="18" t="s">
        <v>1023</v>
      </c>
      <c r="D425" s="18" t="s">
        <v>1020</v>
      </c>
      <c r="E425" s="18">
        <v>2</v>
      </c>
      <c r="F425" s="18"/>
      <c r="G425" s="20">
        <v>45365</v>
      </c>
      <c r="H425" s="21">
        <v>1</v>
      </c>
      <c r="I425" s="18">
        <v>38</v>
      </c>
      <c r="J425" s="19" t="s">
        <v>11</v>
      </c>
      <c r="K425" s="19" t="s">
        <v>7977</v>
      </c>
      <c r="L425" s="19" t="s">
        <v>8021</v>
      </c>
      <c r="M425" s="18"/>
      <c r="N425" s="19"/>
      <c r="O425" s="19"/>
      <c r="P425" s="19"/>
      <c r="Q425" s="18"/>
      <c r="R425" s="18"/>
      <c r="S425" s="18"/>
      <c r="T425" s="18"/>
    </row>
    <row r="426" spans="1:20" hidden="1" x14ac:dyDescent="0.25">
      <c r="A426" s="18">
        <v>224</v>
      </c>
      <c r="B426" s="18" t="s">
        <v>7829</v>
      </c>
      <c r="C426" s="18" t="s">
        <v>1013</v>
      </c>
      <c r="D426" s="18" t="s">
        <v>1010</v>
      </c>
      <c r="E426" s="18">
        <v>3</v>
      </c>
      <c r="F426" s="18"/>
      <c r="G426" s="18"/>
      <c r="H426" s="21"/>
      <c r="I426" s="18"/>
      <c r="J426" s="19"/>
      <c r="K426" s="19"/>
      <c r="L426" s="19"/>
      <c r="M426" s="18"/>
      <c r="N426" s="19"/>
      <c r="O426" s="19"/>
      <c r="P426" s="19"/>
      <c r="Q426" s="18"/>
      <c r="R426" s="18"/>
      <c r="S426" s="18"/>
      <c r="T426" s="18"/>
    </row>
    <row r="427" spans="1:20" hidden="1" x14ac:dyDescent="0.25">
      <c r="A427" s="18">
        <v>110</v>
      </c>
      <c r="B427" s="18" t="s">
        <v>7830</v>
      </c>
      <c r="C427" s="18" t="s">
        <v>658</v>
      </c>
      <c r="D427" s="18" t="s">
        <v>655</v>
      </c>
      <c r="E427" s="18">
        <v>1</v>
      </c>
      <c r="F427" s="18"/>
      <c r="G427" s="20">
        <v>45260</v>
      </c>
      <c r="H427" s="21">
        <v>1</v>
      </c>
      <c r="I427" s="18">
        <v>20</v>
      </c>
      <c r="J427" s="19" t="s">
        <v>11</v>
      </c>
      <c r="K427" s="19" t="s">
        <v>11</v>
      </c>
      <c r="L427" s="19" t="s">
        <v>7977</v>
      </c>
      <c r="M427" s="18"/>
      <c r="N427" s="19" t="s">
        <v>11</v>
      </c>
      <c r="O427" s="19"/>
      <c r="P427" s="19"/>
      <c r="Q427" s="18"/>
      <c r="R427" s="18"/>
      <c r="S427" s="19"/>
      <c r="T427" s="18"/>
    </row>
    <row r="428" spans="1:20" hidden="1" x14ac:dyDescent="0.25">
      <c r="A428" s="18">
        <v>844</v>
      </c>
      <c r="B428" s="18" t="s">
        <v>293</v>
      </c>
      <c r="C428" s="18" t="s">
        <v>2988</v>
      </c>
      <c r="D428" s="18" t="s">
        <v>182</v>
      </c>
      <c r="E428" s="18">
        <v>1</v>
      </c>
      <c r="F428" s="18"/>
      <c r="G428" s="97">
        <v>45324</v>
      </c>
      <c r="H428" s="21">
        <v>1</v>
      </c>
      <c r="I428" s="18">
        <v>14</v>
      </c>
      <c r="J428" s="19" t="s">
        <v>11</v>
      </c>
      <c r="K428" s="19" t="s">
        <v>11</v>
      </c>
      <c r="L428" s="19" t="s">
        <v>7977</v>
      </c>
      <c r="M428" s="18"/>
      <c r="N428" s="19"/>
      <c r="O428" s="19"/>
      <c r="P428" s="19"/>
      <c r="Q428" s="18"/>
      <c r="R428" s="18"/>
      <c r="S428" s="19"/>
      <c r="T428" s="18"/>
    </row>
    <row r="429" spans="1:20" hidden="1" x14ac:dyDescent="0.25">
      <c r="A429" s="18">
        <v>735</v>
      </c>
      <c r="B429" s="18" t="s">
        <v>7829</v>
      </c>
      <c r="C429" s="18" t="s">
        <v>2319</v>
      </c>
      <c r="D429" s="18" t="s">
        <v>2629</v>
      </c>
      <c r="E429" s="18">
        <v>2</v>
      </c>
      <c r="F429" s="18"/>
      <c r="G429" s="20">
        <v>45345</v>
      </c>
      <c r="H429" s="21">
        <v>1</v>
      </c>
      <c r="I429" s="18">
        <v>12</v>
      </c>
      <c r="J429" s="19" t="s">
        <v>11</v>
      </c>
      <c r="K429" s="19" t="s">
        <v>11</v>
      </c>
      <c r="L429" s="19" t="s">
        <v>7977</v>
      </c>
      <c r="M429" s="18"/>
      <c r="N429" s="19"/>
      <c r="O429" s="19"/>
      <c r="P429" s="19"/>
      <c r="Q429" s="18"/>
      <c r="R429" s="18"/>
      <c r="S429" s="18"/>
      <c r="T429" s="18"/>
    </row>
    <row r="430" spans="1:20" hidden="1" x14ac:dyDescent="0.25">
      <c r="A430" s="18">
        <v>561</v>
      </c>
      <c r="B430" s="18" t="s">
        <v>317</v>
      </c>
      <c r="C430" s="18" t="s">
        <v>452</v>
      </c>
      <c r="D430" s="18" t="s">
        <v>2089</v>
      </c>
      <c r="E430" s="18">
        <v>1</v>
      </c>
      <c r="F430" s="18"/>
      <c r="G430" s="20">
        <v>45222</v>
      </c>
      <c r="H430" s="21">
        <v>1</v>
      </c>
      <c r="I430" s="18">
        <v>15</v>
      </c>
      <c r="J430" s="19" t="s">
        <v>11</v>
      </c>
      <c r="K430" s="19" t="s">
        <v>11</v>
      </c>
      <c r="L430" s="19" t="s">
        <v>7977</v>
      </c>
      <c r="M430" s="18"/>
      <c r="N430" s="19" t="s">
        <v>11</v>
      </c>
      <c r="O430" s="19" t="s">
        <v>7977</v>
      </c>
      <c r="P430" s="19" t="s">
        <v>11</v>
      </c>
      <c r="Q430" s="18" t="s">
        <v>7986</v>
      </c>
      <c r="R430" s="18"/>
      <c r="S430" s="18"/>
      <c r="T430" s="18"/>
    </row>
    <row r="431" spans="1:20" hidden="1" x14ac:dyDescent="0.25">
      <c r="A431" s="18">
        <v>2158</v>
      </c>
      <c r="B431" s="18"/>
      <c r="C431" s="18" t="s">
        <v>6800</v>
      </c>
      <c r="D431" s="18" t="s">
        <v>7270</v>
      </c>
      <c r="E431" s="18">
        <v>3</v>
      </c>
      <c r="F431" s="18"/>
      <c r="G431" s="20">
        <v>45314</v>
      </c>
      <c r="H431" s="21">
        <v>1</v>
      </c>
      <c r="I431" s="18">
        <v>49</v>
      </c>
      <c r="J431" s="19" t="s">
        <v>11</v>
      </c>
      <c r="K431" s="19" t="s">
        <v>11</v>
      </c>
      <c r="L431" s="19" t="s">
        <v>7977</v>
      </c>
      <c r="M431" s="18"/>
      <c r="N431" s="19"/>
      <c r="O431" s="19"/>
      <c r="P431" s="19"/>
      <c r="Q431" s="18"/>
      <c r="R431" s="18"/>
      <c r="S431" s="18"/>
      <c r="T431" s="18"/>
    </row>
    <row r="432" spans="1:20" hidden="1" x14ac:dyDescent="0.25">
      <c r="A432" s="18">
        <v>797</v>
      </c>
      <c r="B432" s="18"/>
      <c r="C432" s="18" t="s">
        <v>6800</v>
      </c>
      <c r="D432" s="18" t="s">
        <v>2830</v>
      </c>
      <c r="E432" s="18">
        <v>2</v>
      </c>
      <c r="F432" s="18"/>
      <c r="G432" s="20">
        <v>45272</v>
      </c>
      <c r="H432" s="21">
        <v>1</v>
      </c>
      <c r="I432" s="18">
        <v>14</v>
      </c>
      <c r="J432" s="19" t="s">
        <v>11</v>
      </c>
      <c r="K432" s="19" t="s">
        <v>11</v>
      </c>
      <c r="L432" s="19" t="s">
        <v>7977</v>
      </c>
      <c r="M432" s="18"/>
      <c r="N432" s="19"/>
      <c r="O432" s="19"/>
      <c r="P432" s="19"/>
      <c r="Q432" s="18"/>
      <c r="R432" s="18"/>
      <c r="S432" s="18"/>
      <c r="T432" s="18"/>
    </row>
    <row r="433" spans="1:20" hidden="1" x14ac:dyDescent="0.25">
      <c r="A433" s="18">
        <v>863</v>
      </c>
      <c r="B433" s="18" t="s">
        <v>7830</v>
      </c>
      <c r="C433" s="18" t="s">
        <v>628</v>
      </c>
      <c r="D433" s="18" t="s">
        <v>28</v>
      </c>
      <c r="E433" s="18">
        <v>2</v>
      </c>
      <c r="F433" s="18"/>
      <c r="G433" s="20">
        <v>45334</v>
      </c>
      <c r="H433" s="21">
        <v>1</v>
      </c>
      <c r="I433" s="18">
        <v>27</v>
      </c>
      <c r="J433" s="19" t="s">
        <v>11</v>
      </c>
      <c r="K433" s="19" t="s">
        <v>7977</v>
      </c>
      <c r="L433" s="19" t="s">
        <v>7977</v>
      </c>
      <c r="M433" s="18"/>
      <c r="N433" s="19"/>
      <c r="O433" s="19"/>
      <c r="P433" s="19"/>
      <c r="Q433" s="18"/>
      <c r="R433" s="18"/>
      <c r="S433" s="18"/>
      <c r="T433" s="18"/>
    </row>
    <row r="434" spans="1:20" hidden="1" x14ac:dyDescent="0.25">
      <c r="A434" s="18">
        <v>269</v>
      </c>
      <c r="B434" s="18" t="s">
        <v>7834</v>
      </c>
      <c r="C434" s="18" t="s">
        <v>1145</v>
      </c>
      <c r="D434" s="18" t="s">
        <v>124</v>
      </c>
      <c r="E434" s="18">
        <v>3</v>
      </c>
      <c r="F434" s="18"/>
      <c r="G434" s="20">
        <v>45275</v>
      </c>
      <c r="H434" s="21">
        <v>1</v>
      </c>
      <c r="I434" s="18">
        <v>96</v>
      </c>
      <c r="J434" s="19" t="s">
        <v>7977</v>
      </c>
      <c r="K434" s="19" t="s">
        <v>7977</v>
      </c>
      <c r="L434" s="19" t="s">
        <v>11</v>
      </c>
      <c r="M434" s="18"/>
      <c r="N434" s="19"/>
      <c r="O434" s="18"/>
      <c r="P434" s="19"/>
      <c r="Q434" s="18"/>
      <c r="R434" s="18"/>
      <c r="S434" s="18"/>
      <c r="T434" s="18"/>
    </row>
    <row r="435" spans="1:20" hidden="1" x14ac:dyDescent="0.25">
      <c r="A435" s="18">
        <v>2</v>
      </c>
      <c r="B435" s="18" t="s">
        <v>573</v>
      </c>
      <c r="C435" s="18" t="s">
        <v>331</v>
      </c>
      <c r="D435" s="18" t="s">
        <v>117</v>
      </c>
      <c r="E435" s="18">
        <v>2</v>
      </c>
      <c r="F435" s="18"/>
      <c r="G435" s="20">
        <v>45297</v>
      </c>
      <c r="H435" s="21">
        <v>1</v>
      </c>
      <c r="I435" s="18">
        <v>17</v>
      </c>
      <c r="J435" s="19" t="s">
        <v>11</v>
      </c>
      <c r="K435" s="19" t="s">
        <v>11</v>
      </c>
      <c r="L435" s="19" t="s">
        <v>7977</v>
      </c>
      <c r="M435" s="18"/>
      <c r="N435" s="19"/>
      <c r="O435" s="19"/>
      <c r="P435" s="19"/>
      <c r="Q435" s="18"/>
      <c r="R435" s="18"/>
      <c r="S435" s="19"/>
      <c r="T435" s="18"/>
    </row>
    <row r="436" spans="1:20" hidden="1" x14ac:dyDescent="0.25">
      <c r="A436" s="18">
        <v>67</v>
      </c>
      <c r="B436" s="18" t="s">
        <v>61</v>
      </c>
      <c r="C436" s="18" t="s">
        <v>529</v>
      </c>
      <c r="D436" s="18" t="s">
        <v>526</v>
      </c>
      <c r="E436" s="18">
        <v>1</v>
      </c>
      <c r="F436" s="18"/>
      <c r="G436" s="20">
        <v>45219</v>
      </c>
      <c r="H436" s="21">
        <v>1</v>
      </c>
      <c r="I436" s="18">
        <v>30</v>
      </c>
      <c r="J436" s="19" t="s">
        <v>11</v>
      </c>
      <c r="K436" s="19" t="s">
        <v>7977</v>
      </c>
      <c r="L436" s="19" t="s">
        <v>11</v>
      </c>
      <c r="M436" s="18"/>
      <c r="N436" s="19" t="s">
        <v>11</v>
      </c>
      <c r="O436" s="19" t="s">
        <v>7977</v>
      </c>
      <c r="P436" s="19" t="s">
        <v>11</v>
      </c>
      <c r="Q436" s="18" t="s">
        <v>7982</v>
      </c>
      <c r="R436" s="18"/>
      <c r="S436" s="19"/>
      <c r="T436" s="18"/>
    </row>
    <row r="437" spans="1:20" hidden="1" x14ac:dyDescent="0.25">
      <c r="A437" s="18">
        <v>721</v>
      </c>
      <c r="B437" s="18" t="s">
        <v>7833</v>
      </c>
      <c r="C437" s="18" t="s">
        <v>2587</v>
      </c>
      <c r="D437" s="18" t="s">
        <v>2584</v>
      </c>
      <c r="E437" s="18">
        <v>2</v>
      </c>
      <c r="F437" s="18"/>
      <c r="G437" s="20">
        <v>45538</v>
      </c>
      <c r="H437" s="21">
        <v>1</v>
      </c>
      <c r="I437" s="18">
        <v>40</v>
      </c>
      <c r="J437" s="19" t="s">
        <v>7977</v>
      </c>
      <c r="K437" s="19" t="s">
        <v>7977</v>
      </c>
      <c r="L437" s="19" t="s">
        <v>11</v>
      </c>
      <c r="M437" s="18"/>
      <c r="N437" s="19"/>
      <c r="O437" s="19"/>
      <c r="P437" s="19"/>
      <c r="Q437" s="18"/>
      <c r="R437" s="18"/>
      <c r="S437" s="18"/>
      <c r="T437" s="18"/>
    </row>
    <row r="438" spans="1:20" hidden="1" x14ac:dyDescent="0.25">
      <c r="A438" s="18">
        <v>454</v>
      </c>
      <c r="B438" s="18" t="s">
        <v>317</v>
      </c>
      <c r="C438" s="18" t="s">
        <v>328</v>
      </c>
      <c r="D438" s="18" t="s">
        <v>1740</v>
      </c>
      <c r="E438" s="18">
        <v>2</v>
      </c>
      <c r="F438" s="20">
        <v>45226</v>
      </c>
      <c r="G438" s="20">
        <v>45385</v>
      </c>
      <c r="H438" s="21">
        <v>2</v>
      </c>
      <c r="I438" s="18">
        <v>8</v>
      </c>
      <c r="J438" s="19" t="s">
        <v>11</v>
      </c>
      <c r="K438" s="19" t="s">
        <v>11</v>
      </c>
      <c r="L438" s="19" t="s">
        <v>7977</v>
      </c>
      <c r="M438" s="18"/>
      <c r="N438" s="19"/>
      <c r="O438" s="19"/>
      <c r="P438" s="19"/>
      <c r="Q438" s="18"/>
      <c r="R438" s="18"/>
      <c r="S438" s="18"/>
      <c r="T438" s="18"/>
    </row>
    <row r="439" spans="1:20" hidden="1" x14ac:dyDescent="0.25">
      <c r="A439" s="18">
        <v>18</v>
      </c>
      <c r="B439" s="18"/>
      <c r="C439" s="18" t="s">
        <v>6800</v>
      </c>
      <c r="D439" s="18" t="s">
        <v>378</v>
      </c>
      <c r="E439" s="18">
        <v>2</v>
      </c>
      <c r="F439" s="18"/>
      <c r="G439" s="20">
        <v>45338</v>
      </c>
      <c r="H439" s="21">
        <v>1</v>
      </c>
      <c r="I439" s="18">
        <v>13</v>
      </c>
      <c r="J439" s="19" t="s">
        <v>11</v>
      </c>
      <c r="K439" s="19" t="s">
        <v>11</v>
      </c>
      <c r="L439" s="19" t="s">
        <v>7977</v>
      </c>
      <c r="M439" s="18"/>
      <c r="N439" s="19"/>
      <c r="O439" s="19"/>
      <c r="P439" s="19"/>
      <c r="Q439" s="18"/>
      <c r="R439" s="18"/>
      <c r="S439" s="18"/>
      <c r="T439" s="18"/>
    </row>
    <row r="440" spans="1:20" hidden="1" x14ac:dyDescent="0.25">
      <c r="A440" s="18">
        <v>259</v>
      </c>
      <c r="B440" s="18"/>
      <c r="C440" s="18" t="s">
        <v>6800</v>
      </c>
      <c r="D440" s="18" t="s">
        <v>215</v>
      </c>
      <c r="E440" s="18">
        <v>2</v>
      </c>
      <c r="F440" s="20">
        <v>45324</v>
      </c>
      <c r="G440" s="20">
        <v>45385</v>
      </c>
      <c r="H440" s="21">
        <v>2</v>
      </c>
      <c r="I440" s="18">
        <v>21</v>
      </c>
      <c r="J440" s="19" t="s">
        <v>11</v>
      </c>
      <c r="K440" s="19" t="s">
        <v>7977</v>
      </c>
      <c r="L440" s="19" t="s">
        <v>7977</v>
      </c>
      <c r="M440" s="18"/>
      <c r="N440" s="19"/>
      <c r="O440" s="19"/>
      <c r="P440" s="19"/>
      <c r="Q440" s="18"/>
      <c r="R440" s="18"/>
      <c r="S440" s="18"/>
      <c r="T440" s="18"/>
    </row>
    <row r="441" spans="1:20" hidden="1" x14ac:dyDescent="0.25">
      <c r="A441" s="18">
        <v>16</v>
      </c>
      <c r="B441" s="18" t="s">
        <v>293</v>
      </c>
      <c r="C441" s="18" t="s">
        <v>372</v>
      </c>
      <c r="D441" s="18" t="s">
        <v>306</v>
      </c>
      <c r="E441" s="18">
        <v>2</v>
      </c>
      <c r="F441" s="18"/>
      <c r="G441" s="20">
        <v>45300</v>
      </c>
      <c r="H441" s="21">
        <v>1</v>
      </c>
      <c r="I441" s="18">
        <v>20</v>
      </c>
      <c r="J441" s="19" t="s">
        <v>11</v>
      </c>
      <c r="K441" s="19" t="s">
        <v>11</v>
      </c>
      <c r="L441" s="19" t="s">
        <v>7977</v>
      </c>
      <c r="M441" s="18"/>
      <c r="N441" s="19"/>
      <c r="O441" s="19"/>
      <c r="P441" s="19"/>
      <c r="Q441" s="18"/>
      <c r="R441" s="18"/>
      <c r="S441" s="18"/>
      <c r="T441" s="18"/>
    </row>
    <row r="442" spans="1:20" hidden="1" x14ac:dyDescent="0.25">
      <c r="A442" s="18">
        <v>15</v>
      </c>
      <c r="B442" s="18" t="s">
        <v>293</v>
      </c>
      <c r="C442" s="18" t="s">
        <v>372</v>
      </c>
      <c r="D442" s="18" t="s">
        <v>305</v>
      </c>
      <c r="E442" s="18">
        <v>2</v>
      </c>
      <c r="F442" s="20">
        <v>45289</v>
      </c>
      <c r="G442" s="20">
        <v>45384</v>
      </c>
      <c r="H442" s="21">
        <v>2</v>
      </c>
      <c r="I442" s="18">
        <v>23</v>
      </c>
      <c r="J442" s="19" t="s">
        <v>11</v>
      </c>
      <c r="K442" s="19" t="s">
        <v>7977</v>
      </c>
      <c r="L442" s="19" t="s">
        <v>7977</v>
      </c>
      <c r="M442" s="18"/>
      <c r="N442" s="19"/>
      <c r="O442" s="19"/>
      <c r="P442" s="19"/>
      <c r="Q442" s="18"/>
      <c r="R442" s="18"/>
      <c r="S442" s="19"/>
      <c r="T442" s="18"/>
    </row>
    <row r="443" spans="1:20" hidden="1" x14ac:dyDescent="0.25">
      <c r="A443" s="18">
        <v>542</v>
      </c>
      <c r="B443" s="18" t="s">
        <v>109</v>
      </c>
      <c r="C443" s="18" t="s">
        <v>2031</v>
      </c>
      <c r="D443" s="18" t="s">
        <v>2028</v>
      </c>
      <c r="E443" s="18">
        <v>2</v>
      </c>
      <c r="F443" s="18"/>
      <c r="G443" s="20">
        <v>45232</v>
      </c>
      <c r="H443" s="21">
        <v>1</v>
      </c>
      <c r="I443" s="18">
        <v>20</v>
      </c>
      <c r="J443" s="19" t="s">
        <v>7977</v>
      </c>
      <c r="K443" s="19" t="s">
        <v>7977</v>
      </c>
      <c r="L443" s="19" t="s">
        <v>11</v>
      </c>
      <c r="M443" s="18"/>
      <c r="N443" s="19"/>
      <c r="O443" s="19"/>
      <c r="P443" s="19"/>
      <c r="Q443" s="18"/>
      <c r="R443" s="18"/>
      <c r="S443" s="18"/>
      <c r="T443" s="18"/>
    </row>
    <row r="444" spans="1:20" hidden="1" x14ac:dyDescent="0.25">
      <c r="A444" s="18"/>
      <c r="B444" s="18"/>
      <c r="C444" s="18" t="s">
        <v>6800</v>
      </c>
      <c r="D444" s="18" t="s">
        <v>7987</v>
      </c>
      <c r="E444" s="18">
        <v>1</v>
      </c>
      <c r="F444" s="18"/>
      <c r="G444" s="18"/>
      <c r="H444" s="21"/>
      <c r="I444" s="18"/>
      <c r="J444" s="19"/>
      <c r="K444" s="19"/>
      <c r="L444" s="19"/>
      <c r="M444" s="18"/>
      <c r="N444" s="19"/>
      <c r="O444" s="19"/>
      <c r="P444" s="19"/>
      <c r="Q444" s="18"/>
      <c r="R444" s="18"/>
      <c r="S444" s="18"/>
      <c r="T444" s="18"/>
    </row>
    <row r="445" spans="1:20" hidden="1" x14ac:dyDescent="0.25">
      <c r="A445" s="18"/>
      <c r="B445" s="18"/>
      <c r="C445" s="18" t="s">
        <v>6800</v>
      </c>
      <c r="D445" s="18" t="s">
        <v>7987</v>
      </c>
      <c r="E445" s="18">
        <v>1</v>
      </c>
      <c r="F445" s="18"/>
      <c r="G445" s="18"/>
      <c r="H445" s="21"/>
      <c r="I445" s="18"/>
      <c r="J445" s="19"/>
      <c r="K445" s="19"/>
      <c r="L445" s="19"/>
      <c r="M445" s="18"/>
      <c r="N445" s="19"/>
      <c r="O445" s="19"/>
      <c r="P445" s="19"/>
      <c r="Q445" s="18"/>
      <c r="R445" s="18"/>
      <c r="S445" s="18"/>
      <c r="T445" s="18"/>
    </row>
    <row r="446" spans="1:20" hidden="1" x14ac:dyDescent="0.25">
      <c r="A446" s="18"/>
      <c r="B446" s="18"/>
      <c r="C446" s="18" t="s">
        <v>6800</v>
      </c>
      <c r="D446" s="18" t="s">
        <v>7987</v>
      </c>
      <c r="E446" s="18">
        <v>1</v>
      </c>
      <c r="F446" s="18"/>
      <c r="G446" s="18"/>
      <c r="H446" s="21"/>
      <c r="I446" s="18"/>
      <c r="J446" s="19"/>
      <c r="K446" s="19"/>
      <c r="L446" s="19"/>
      <c r="M446" s="18"/>
      <c r="N446" s="19"/>
      <c r="O446" s="19"/>
      <c r="P446" s="19"/>
      <c r="Q446" s="18"/>
      <c r="R446" s="18"/>
      <c r="S446" s="18"/>
      <c r="T446" s="18"/>
    </row>
    <row r="447" spans="1:20" hidden="1" x14ac:dyDescent="0.25">
      <c r="A447" s="18"/>
      <c r="B447" s="18"/>
      <c r="C447" s="18" t="s">
        <v>6800</v>
      </c>
      <c r="D447" s="18" t="s">
        <v>7987</v>
      </c>
      <c r="E447" s="18">
        <v>1</v>
      </c>
      <c r="F447" s="18"/>
      <c r="G447" s="18"/>
      <c r="H447" s="21"/>
      <c r="I447" s="18"/>
      <c r="J447" s="19"/>
      <c r="K447" s="19"/>
      <c r="L447" s="19"/>
      <c r="M447" s="18"/>
      <c r="N447" s="19"/>
      <c r="O447" s="19"/>
      <c r="P447" s="19"/>
      <c r="Q447" s="18"/>
      <c r="R447" s="18"/>
      <c r="S447" s="18"/>
      <c r="T447" s="18"/>
    </row>
    <row r="448" spans="1:20" hidden="1" x14ac:dyDescent="0.25">
      <c r="A448" s="18"/>
      <c r="B448" s="18"/>
      <c r="C448" s="18" t="s">
        <v>6800</v>
      </c>
      <c r="D448" s="18" t="s">
        <v>7987</v>
      </c>
      <c r="E448" s="18">
        <v>1</v>
      </c>
      <c r="F448" s="18"/>
      <c r="G448" s="18"/>
      <c r="H448" s="21"/>
      <c r="I448" s="18"/>
      <c r="J448" s="19"/>
      <c r="K448" s="19"/>
      <c r="L448" s="19"/>
      <c r="M448" s="18"/>
      <c r="N448" s="19"/>
      <c r="O448" s="19"/>
      <c r="P448" s="19"/>
      <c r="Q448" s="18"/>
      <c r="R448" s="18"/>
      <c r="S448" s="18"/>
      <c r="T448" s="18"/>
    </row>
    <row r="449" spans="1:20" hidden="1" x14ac:dyDescent="0.25">
      <c r="A449" s="18"/>
      <c r="B449" s="18"/>
      <c r="C449" s="18" t="s">
        <v>6800</v>
      </c>
      <c r="D449" s="18" t="s">
        <v>7987</v>
      </c>
      <c r="E449" s="18">
        <v>1</v>
      </c>
      <c r="F449" s="18"/>
      <c r="G449" s="18"/>
      <c r="H449" s="21"/>
      <c r="I449" s="18"/>
      <c r="J449" s="19"/>
      <c r="K449" s="19"/>
      <c r="L449" s="19"/>
      <c r="M449" s="18"/>
      <c r="N449" s="19"/>
      <c r="O449" s="19"/>
      <c r="P449" s="19"/>
      <c r="Q449" s="18"/>
      <c r="R449" s="18"/>
      <c r="S449" s="18"/>
      <c r="T449" s="18"/>
    </row>
    <row r="450" spans="1:20" hidden="1" x14ac:dyDescent="0.25">
      <c r="A450" s="18"/>
      <c r="B450" s="18"/>
      <c r="C450" s="18" t="s">
        <v>6800</v>
      </c>
      <c r="D450" s="18" t="s">
        <v>7987</v>
      </c>
      <c r="E450" s="18">
        <v>1</v>
      </c>
      <c r="F450" s="18"/>
      <c r="G450" s="18"/>
      <c r="H450" s="21"/>
      <c r="I450" s="18"/>
      <c r="J450" s="19"/>
      <c r="K450" s="19"/>
      <c r="L450" s="19"/>
      <c r="M450" s="18"/>
      <c r="N450" s="19"/>
      <c r="O450" s="19"/>
      <c r="P450" s="19"/>
      <c r="Q450" s="18"/>
      <c r="R450" s="18"/>
      <c r="S450" s="18"/>
      <c r="T450" s="18"/>
    </row>
    <row r="451" spans="1:20" hidden="1" x14ac:dyDescent="0.25">
      <c r="A451" s="18"/>
      <c r="B451" s="18"/>
      <c r="C451" s="18" t="s">
        <v>6800</v>
      </c>
      <c r="D451" s="18" t="s">
        <v>7987</v>
      </c>
      <c r="E451" s="18">
        <v>1</v>
      </c>
      <c r="F451" s="18"/>
      <c r="G451" s="18"/>
      <c r="H451" s="21"/>
      <c r="I451" s="18"/>
      <c r="J451" s="19"/>
      <c r="K451" s="19"/>
      <c r="L451" s="19"/>
      <c r="M451" s="18"/>
      <c r="N451" s="19"/>
      <c r="O451" s="19"/>
      <c r="P451" s="19"/>
      <c r="Q451" s="18"/>
      <c r="R451" s="18"/>
      <c r="S451" s="18"/>
      <c r="T451" s="18"/>
    </row>
    <row r="452" spans="1:20" hidden="1" x14ac:dyDescent="0.25">
      <c r="A452" s="18"/>
      <c r="B452" s="18"/>
      <c r="C452" s="18" t="s">
        <v>6800</v>
      </c>
      <c r="D452" s="18" t="s">
        <v>7987</v>
      </c>
      <c r="E452" s="18">
        <v>1</v>
      </c>
      <c r="F452" s="18"/>
      <c r="G452" s="18"/>
      <c r="H452" s="21"/>
      <c r="I452" s="18"/>
      <c r="J452" s="19"/>
      <c r="K452" s="19"/>
      <c r="L452" s="19"/>
      <c r="M452" s="18"/>
      <c r="N452" s="19"/>
      <c r="O452" s="19"/>
      <c r="P452" s="19"/>
      <c r="Q452" s="18"/>
      <c r="R452" s="18"/>
      <c r="S452" s="18"/>
      <c r="T452" s="18"/>
    </row>
    <row r="453" spans="1:20" hidden="1" x14ac:dyDescent="0.25">
      <c r="A453" s="18"/>
      <c r="B453" s="18"/>
      <c r="C453" s="18" t="s">
        <v>6800</v>
      </c>
      <c r="D453" s="18" t="s">
        <v>7987</v>
      </c>
      <c r="E453" s="18">
        <v>1</v>
      </c>
      <c r="F453" s="18"/>
      <c r="G453" s="18"/>
      <c r="H453" s="21"/>
      <c r="I453" s="18"/>
      <c r="J453" s="19"/>
      <c r="K453" s="19"/>
      <c r="L453" s="19"/>
      <c r="M453" s="18"/>
      <c r="N453" s="19"/>
      <c r="O453" s="19"/>
      <c r="P453" s="19"/>
      <c r="Q453" s="18"/>
      <c r="R453" s="18"/>
      <c r="S453" s="18"/>
      <c r="T453" s="18"/>
    </row>
    <row r="461" spans="1:20" x14ac:dyDescent="0.25">
      <c r="I461" s="23"/>
    </row>
    <row r="462" spans="1:20" x14ac:dyDescent="0.25">
      <c r="I462" s="23"/>
    </row>
  </sheetData>
  <autoFilter ref="A1:T453" xr:uid="{6F354664-4BFD-437E-A464-C6B136E8EEF8}">
    <filterColumn colId="3">
      <filters>
        <filter val="House Robber"/>
        <filter val="House Robber II"/>
        <filter val="House Robber III"/>
      </filters>
    </filterColumn>
    <sortState xmlns:xlrd2="http://schemas.microsoft.com/office/spreadsheetml/2017/richdata2" ref="A2:T453">
      <sortCondition descending="1" ref="D1:D453"/>
    </sortState>
  </autoFilter>
  <conditionalFormatting sqref="E2:E453">
    <cfRule type="cellIs" dxfId="13" priority="5" operator="equal">
      <formula>3</formula>
    </cfRule>
    <cfRule type="cellIs" dxfId="12" priority="6" operator="equal">
      <formula>2</formula>
    </cfRule>
    <cfRule type="cellIs" dxfId="11" priority="7" operator="equal">
      <formula>1</formula>
    </cfRule>
  </conditionalFormatting>
  <conditionalFormatting sqref="J2:J453">
    <cfRule type="cellIs" dxfId="10" priority="2" operator="equal">
      <formula>"Y (with hints)"</formula>
    </cfRule>
    <cfRule type="cellIs" dxfId="9" priority="3" operator="equal">
      <formula>"Y"</formula>
    </cfRule>
    <cfRule type="cellIs" dxfId="8" priority="4" operator="equal">
      <formula>"N"</formula>
    </cfRule>
  </conditionalFormatting>
  <conditionalFormatting sqref="A1:A1048576">
    <cfRule type="duplicateValues" dxfId="7" priority="1"/>
  </conditionalFormatting>
  <dataValidations count="3">
    <dataValidation type="list" allowBlank="1" showInputMessage="1" showErrorMessage="1" sqref="O201:O280 O13:O125 O128 O282:O289 O130:O199 K2:K453 N2:N453 P2:P453 O292:O453" xr:uid="{1DE78EE1-81F2-4BD2-9DAF-D627BCA446F7}">
      <formula1>"Y, N"</formula1>
    </dataValidation>
    <dataValidation type="list" allowBlank="1" showInputMessage="1" showErrorMessage="1" sqref="J2:J453" xr:uid="{A713FCA1-1643-4DE4-913A-D28882A03FE0}">
      <formula1>"Y, Y (with hints), N"</formula1>
    </dataValidation>
    <dataValidation type="list" allowBlank="1" showInputMessage="1" showErrorMessage="1" sqref="L2:L453" xr:uid="{9EAF2E6A-80C2-4551-93ED-FB5A6AA0A0BB}">
      <formula1>"Y, N, Maybe"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CA198-0495-4E5A-8944-A8B1CD7F7CD6}">
  <sheetPr codeName="Sheet3" filterMode="1"/>
  <dimension ref="A1:AO440"/>
  <sheetViews>
    <sheetView showGridLines="0" workbookViewId="0">
      <pane ySplit="3" topLeftCell="A260" activePane="bottomLeft" state="frozen"/>
      <selection pane="bottomLeft" activeCell="C336" sqref="C336"/>
    </sheetView>
  </sheetViews>
  <sheetFormatPr defaultColWidth="9.140625" defaultRowHeight="15" x14ac:dyDescent="0.25"/>
  <cols>
    <col min="1" max="1" width="9.7109375" style="25" bestFit="1" customWidth="1"/>
    <col min="2" max="2" width="11.42578125" style="25" bestFit="1" customWidth="1"/>
    <col min="3" max="3" width="11" style="25" customWidth="1"/>
    <col min="4" max="4" width="11" style="25" hidden="1" customWidth="1"/>
    <col min="5" max="20" width="11" style="25" customWidth="1"/>
    <col min="21" max="21" width="9.140625" style="25"/>
    <col min="22" max="22" width="5.42578125" style="25" bestFit="1" customWidth="1"/>
    <col min="23" max="23" width="7.7109375" style="25" bestFit="1" customWidth="1"/>
    <col min="24" max="24" width="12.140625" style="25" bestFit="1" customWidth="1"/>
    <col min="25" max="25" width="17" style="25" bestFit="1" customWidth="1"/>
    <col min="26" max="26" width="11.140625" style="25" bestFit="1" customWidth="1"/>
    <col min="27" max="27" width="5.42578125" style="25" bestFit="1" customWidth="1"/>
    <col min="28" max="28" width="7.7109375" style="25" bestFit="1" customWidth="1"/>
    <col min="29" max="29" width="12.140625" style="25" bestFit="1" customWidth="1"/>
    <col min="30" max="30" width="17" style="25" bestFit="1" customWidth="1"/>
    <col min="31" max="31" width="11.140625" style="25" bestFit="1" customWidth="1"/>
    <col min="32" max="32" width="5.42578125" style="25" bestFit="1" customWidth="1"/>
    <col min="33" max="33" width="7.7109375" style="25" bestFit="1" customWidth="1"/>
    <col min="34" max="34" width="12.140625" style="25" bestFit="1" customWidth="1"/>
    <col min="35" max="35" width="17" style="25" bestFit="1" customWidth="1"/>
    <col min="36" max="36" width="11.140625" style="25" bestFit="1" customWidth="1"/>
    <col min="37" max="37" width="5.42578125" style="25" bestFit="1" customWidth="1"/>
    <col min="38" max="38" width="7.7109375" style="25" bestFit="1" customWidth="1"/>
    <col min="39" max="39" width="12.140625" style="25" bestFit="1" customWidth="1"/>
    <col min="40" max="40" width="17" style="25" bestFit="1" customWidth="1"/>
    <col min="41" max="41" width="11.140625" style="25" bestFit="1" customWidth="1"/>
    <col min="42" max="16384" width="9.140625" style="25"/>
  </cols>
  <sheetData>
    <row r="1" spans="1:41" ht="15.75" thickBot="1" x14ac:dyDescent="0.3">
      <c r="A1" s="106"/>
    </row>
    <row r="2" spans="1:41" x14ac:dyDescent="0.25">
      <c r="B2" s="38"/>
      <c r="C2" s="30"/>
      <c r="D2" s="44"/>
      <c r="E2" s="44"/>
      <c r="F2" s="123" t="s">
        <v>8006</v>
      </c>
      <c r="G2" s="124"/>
      <c r="H2" s="125"/>
      <c r="I2" s="123" t="s">
        <v>10</v>
      </c>
      <c r="J2" s="124"/>
      <c r="K2" s="124"/>
      <c r="L2" s="125"/>
      <c r="M2" s="123" t="s">
        <v>14</v>
      </c>
      <c r="N2" s="124"/>
      <c r="O2" s="124"/>
      <c r="P2" s="125"/>
      <c r="Q2" s="124" t="s">
        <v>45</v>
      </c>
      <c r="R2" s="124"/>
      <c r="S2" s="124"/>
      <c r="T2" s="125"/>
      <c r="V2" s="115" t="s">
        <v>10</v>
      </c>
      <c r="W2" s="116"/>
      <c r="X2" s="116"/>
      <c r="Y2" s="116"/>
      <c r="Z2" s="117"/>
      <c r="AA2" s="115" t="s">
        <v>14</v>
      </c>
      <c r="AB2" s="116"/>
      <c r="AC2" s="116"/>
      <c r="AD2" s="116"/>
      <c r="AE2" s="117"/>
      <c r="AF2" s="115" t="s">
        <v>45</v>
      </c>
      <c r="AG2" s="116"/>
      <c r="AH2" s="116"/>
      <c r="AI2" s="116"/>
      <c r="AJ2" s="117"/>
      <c r="AK2" s="115" t="s">
        <v>8025</v>
      </c>
      <c r="AL2" s="116"/>
      <c r="AM2" s="116"/>
      <c r="AN2" s="116"/>
      <c r="AO2" s="117"/>
    </row>
    <row r="3" spans="1:41" ht="15.75" thickBot="1" x14ac:dyDescent="0.3">
      <c r="A3" s="60" t="s">
        <v>8028</v>
      </c>
      <c r="B3" s="39"/>
      <c r="C3" s="40"/>
      <c r="D3" s="107"/>
      <c r="E3" s="45" t="s">
        <v>8002</v>
      </c>
      <c r="F3" s="47" t="s">
        <v>8003</v>
      </c>
      <c r="G3" s="42" t="s">
        <v>8004</v>
      </c>
      <c r="H3" s="43" t="s">
        <v>8005</v>
      </c>
      <c r="I3" s="49" t="s">
        <v>8002</v>
      </c>
      <c r="J3" s="41" t="s">
        <v>8003</v>
      </c>
      <c r="K3" s="42" t="s">
        <v>8004</v>
      </c>
      <c r="L3" s="43" t="s">
        <v>8005</v>
      </c>
      <c r="M3" s="49" t="s">
        <v>8002</v>
      </c>
      <c r="N3" s="41" t="s">
        <v>8003</v>
      </c>
      <c r="O3" s="42" t="s">
        <v>8004</v>
      </c>
      <c r="P3" s="43" t="s">
        <v>8005</v>
      </c>
      <c r="Q3" s="46" t="s">
        <v>8002</v>
      </c>
      <c r="R3" s="41" t="s">
        <v>8003</v>
      </c>
      <c r="S3" s="42" t="s">
        <v>8004</v>
      </c>
      <c r="T3" s="43" t="s">
        <v>8005</v>
      </c>
      <c r="V3" s="68" t="s">
        <v>8025</v>
      </c>
      <c r="W3" s="40" t="s">
        <v>8003</v>
      </c>
      <c r="X3" s="40" t="s">
        <v>8026</v>
      </c>
      <c r="Y3" s="40" t="s">
        <v>8027</v>
      </c>
      <c r="Z3" s="69" t="s">
        <v>8024</v>
      </c>
      <c r="AA3" s="68" t="s">
        <v>8025</v>
      </c>
      <c r="AB3" s="40" t="s">
        <v>8003</v>
      </c>
      <c r="AC3" s="40" t="s">
        <v>8026</v>
      </c>
      <c r="AD3" s="40" t="s">
        <v>8027</v>
      </c>
      <c r="AE3" s="69" t="s">
        <v>8024</v>
      </c>
      <c r="AF3" s="68" t="s">
        <v>8025</v>
      </c>
      <c r="AG3" s="40" t="s">
        <v>8003</v>
      </c>
      <c r="AH3" s="40" t="s">
        <v>8026</v>
      </c>
      <c r="AI3" s="40" t="s">
        <v>8027</v>
      </c>
      <c r="AJ3" s="69" t="s">
        <v>8024</v>
      </c>
      <c r="AK3" s="68" t="s">
        <v>8025</v>
      </c>
      <c r="AL3" s="40" t="s">
        <v>8003</v>
      </c>
      <c r="AM3" s="40" t="s">
        <v>8026</v>
      </c>
      <c r="AN3" s="40" t="s">
        <v>8027</v>
      </c>
      <c r="AO3" s="69" t="s">
        <v>8024</v>
      </c>
    </row>
    <row r="4" spans="1:41" x14ac:dyDescent="0.25">
      <c r="A4" s="121">
        <v>0</v>
      </c>
      <c r="B4" s="28">
        <f t="shared" ref="B4:B11" si="0">C4</f>
        <v>45219</v>
      </c>
      <c r="C4" s="29">
        <v>45219</v>
      </c>
      <c r="D4" s="108" t="b">
        <f ca="1">C4&lt;=TODAY()</f>
        <v>1</v>
      </c>
      <c r="E4" s="50">
        <f t="shared" ref="E4:E11" si="1">SUM(F4:H4)</f>
        <v>3</v>
      </c>
      <c r="F4" s="38">
        <f>COUNTIFS(Tracker!G:G,Daily!C4, Tracker!J:J,"Y")</f>
        <v>3</v>
      </c>
      <c r="G4" s="30">
        <f>COUNTIFS(Tracker!G:G,Daily!C4, Tracker!J:J,"Y (with hints)")</f>
        <v>0</v>
      </c>
      <c r="H4" s="31">
        <f>COUNTIFS(Tracker!G:G,Daily!C4, Tracker!J:J,"N")</f>
        <v>0</v>
      </c>
      <c r="I4" s="53">
        <f t="shared" ref="I4:I11" si="2">SUM(J4:L4)</f>
        <v>2</v>
      </c>
      <c r="J4" s="30">
        <f>COUNTIFS(Tracker!G:G,Daily!C4, Tracker!J:J,"Y",Tracker!E:E,1)</f>
        <v>2</v>
      </c>
      <c r="K4" s="30">
        <f>COUNTIFS(Tracker!G:G,Daily!C4, Tracker!J:J,"Y (with hints)",Tracker!E:E,1)</f>
        <v>0</v>
      </c>
      <c r="L4" s="31">
        <f>COUNTIFS(Tracker!G:G,Daily!C4, Tracker!J:J,"N",Tracker!E:E,1)</f>
        <v>0</v>
      </c>
      <c r="M4" s="53">
        <f t="shared" ref="M4:M11" si="3">SUM(N4:P4)</f>
        <v>1</v>
      </c>
      <c r="N4" s="30">
        <f>COUNTIFS(Tracker!G:G,Daily!C4, Tracker!J:J,"Y",Tracker!E:E,2)</f>
        <v>1</v>
      </c>
      <c r="O4" s="30">
        <f>COUNTIFS(Tracker!G:G,Daily!C4, Tracker!J:J,"Y (with hints)",Tracker!E:E,2)</f>
        <v>0</v>
      </c>
      <c r="P4" s="31">
        <f>COUNTIFS(Tracker!G:G,Daily!C4, Tracker!J:J,"N",Tracker!E:E,2)</f>
        <v>0</v>
      </c>
      <c r="Q4" s="56">
        <f t="shared" ref="Q4:Q11" si="4">SUM(R4:T4)</f>
        <v>0</v>
      </c>
      <c r="R4" s="30">
        <f>COUNTIFS(Tracker!G:G,Daily!C4, Tracker!J:J,"Y",Tracker!E:E,3)</f>
        <v>0</v>
      </c>
      <c r="S4" s="30">
        <f>COUNTIFS(Tracker!G:G,Daily!C4, Tracker!J:J,"Y (with hints)",Tracker!E:E,3)</f>
        <v>0</v>
      </c>
      <c r="T4" s="31">
        <f>COUNTIFS(Tracker!G:G,Daily!C4, Tracker!J:J,"N",Tracker!E:E,3)</f>
        <v>0</v>
      </c>
      <c r="V4" s="65">
        <f>I4</f>
        <v>2</v>
      </c>
      <c r="W4" s="66">
        <f>J4</f>
        <v>2</v>
      </c>
      <c r="X4" s="67">
        <f>W4/V4</f>
        <v>1</v>
      </c>
      <c r="Y4" s="82">
        <f>AVERAGEIFS(Tracker!I:I, Tracker!E:E, 1, Tracker!G:G, "&lt;="&amp;Daily!C4, Tracker!J:J, "Y")</f>
        <v>22</v>
      </c>
      <c r="Z4" s="83">
        <f>COUNTIFS(Tracker!E:E, 1, Tracker!G:G, "&lt;="&amp;Daily!C4, Tracker!L:L, "N") / V4</f>
        <v>0</v>
      </c>
      <c r="AA4" s="65">
        <f>M4</f>
        <v>1</v>
      </c>
      <c r="AB4" s="66">
        <f>N4</f>
        <v>1</v>
      </c>
      <c r="AC4" s="67">
        <f>AB4/AA4</f>
        <v>1</v>
      </c>
      <c r="AD4" s="82">
        <f>AVERAGEIFS(Tracker!I:I, Tracker!E:E, 2, Tracker!G:G, "&lt;="&amp;Daily!C4, Tracker!J:J, "Y")</f>
        <v>54</v>
      </c>
      <c r="AE4" s="83">
        <f>COUNTIFS(Tracker!E:E, 2, Tracker!G:G, "&lt;="&amp;Daily!C4, Tracker!L:L, "N") / AA4</f>
        <v>0</v>
      </c>
      <c r="AF4" s="65">
        <f>Q4</f>
        <v>0</v>
      </c>
      <c r="AG4" s="66">
        <f>R4</f>
        <v>0</v>
      </c>
      <c r="AH4" s="67">
        <f>IFERROR(AG4/AF4, 0)</f>
        <v>0</v>
      </c>
      <c r="AI4" s="82">
        <f>IFERROR(AVERAGEIFS(Tracker!I:I, Tracker!E:E, 3, Tracker!G:G, "&lt;="&amp;Daily!C4, Tracker!J:J, "Y"), 0)</f>
        <v>0</v>
      </c>
      <c r="AJ4" s="83">
        <f>IFERROR(COUNTIFS(Tracker!E:E, 3, Tracker!G:G, "&lt;="&amp;Daily!C4, Tracker!L:L, "N") / AF4,  0)</f>
        <v>0</v>
      </c>
      <c r="AK4" s="65">
        <f t="shared" ref="AK4:AK35" si="5">V4+AA4+AF4</f>
        <v>3</v>
      </c>
      <c r="AL4" s="66">
        <f t="shared" ref="AL4:AL35" si="6">W4+AB4+AG4</f>
        <v>3</v>
      </c>
      <c r="AM4" s="67">
        <f>IFERROR(AL4/AK4, 0)</f>
        <v>1</v>
      </c>
      <c r="AN4" s="82">
        <f>IFERROR(AVERAGEIFS(Tracker!I:I,  Tracker!G:G, "&lt;="&amp;Daily!C4, Tracker!J:J, "Y"), 0)</f>
        <v>32.666666666666664</v>
      </c>
      <c r="AO4" s="83">
        <f>IFERROR(COUNTIFS(Tracker!G:G, "&lt;="&amp;Daily!C4, Tracker!L:L, "N") / AK4,  0)</f>
        <v>0</v>
      </c>
    </row>
    <row r="5" spans="1:41" x14ac:dyDescent="0.25">
      <c r="A5" s="121"/>
      <c r="B5" s="32">
        <f t="shared" si="0"/>
        <v>45220</v>
      </c>
      <c r="C5" s="27">
        <v>45220</v>
      </c>
      <c r="D5" s="109" t="b">
        <f t="shared" ref="D5:D68" ca="1" si="7">C5&lt;=TODAY()</f>
        <v>1</v>
      </c>
      <c r="E5" s="51">
        <f t="shared" si="1"/>
        <v>0</v>
      </c>
      <c r="F5" s="48">
        <f>COUNTIFS(Tracker!G:G,Daily!C5, Tracker!J:J,"Y")</f>
        <v>0</v>
      </c>
      <c r="G5" s="26">
        <f>COUNTIFS(Tracker!G:G,Daily!C5, Tracker!J:J,"Y (with hints)")</f>
        <v>0</v>
      </c>
      <c r="H5" s="33">
        <f>COUNTIFS(Tracker!G:G,Daily!C5, Tracker!J:J,"N")</f>
        <v>0</v>
      </c>
      <c r="I5" s="54">
        <f t="shared" si="2"/>
        <v>0</v>
      </c>
      <c r="J5" s="26">
        <f>COUNTIFS(Tracker!G:G,Daily!C5, Tracker!J:J,"Y",Tracker!E:E,1)</f>
        <v>0</v>
      </c>
      <c r="K5" s="26">
        <f>COUNTIFS(Tracker!G:G,Daily!C5, Tracker!J:J,"Y (with hints)",Tracker!E:E,1)</f>
        <v>0</v>
      </c>
      <c r="L5" s="33">
        <f>COUNTIFS(Tracker!G:G,Daily!C5, Tracker!J:J,"N",Tracker!E:E,1)</f>
        <v>0</v>
      </c>
      <c r="M5" s="54">
        <f t="shared" si="3"/>
        <v>0</v>
      </c>
      <c r="N5" s="26">
        <f>COUNTIFS(Tracker!G:G,Daily!C5, Tracker!J:J,"Y",Tracker!E:E,2)</f>
        <v>0</v>
      </c>
      <c r="O5" s="26">
        <f>COUNTIFS(Tracker!G:G,Daily!C5, Tracker!J:J,"Y (with hints)",Tracker!E:E,2)</f>
        <v>0</v>
      </c>
      <c r="P5" s="33">
        <f>COUNTIFS(Tracker!G:G,Daily!C5, Tracker!J:J,"N",Tracker!E:E,2)</f>
        <v>0</v>
      </c>
      <c r="Q5" s="57">
        <f t="shared" si="4"/>
        <v>0</v>
      </c>
      <c r="R5" s="26">
        <f>COUNTIFS(Tracker!G:G,Daily!C5, Tracker!J:J,"Y",Tracker!E:E,3)</f>
        <v>0</v>
      </c>
      <c r="S5" s="26">
        <f>COUNTIFS(Tracker!G:G,Daily!C5, Tracker!J:J,"Y (with hints)",Tracker!E:E,3)</f>
        <v>0</v>
      </c>
      <c r="T5" s="33">
        <f>COUNTIFS(Tracker!G:G,Daily!C5, Tracker!J:J,"N",Tracker!E:E,3)</f>
        <v>0</v>
      </c>
      <c r="V5" s="48">
        <f>V4+I5</f>
        <v>2</v>
      </c>
      <c r="W5" s="26">
        <f>W4+J5</f>
        <v>2</v>
      </c>
      <c r="X5" s="62">
        <f>W5/V5</f>
        <v>1</v>
      </c>
      <c r="Y5" s="74">
        <f>AVERAGEIFS(Tracker!I:I, Tracker!E:E, 1, Tracker!G:G, "&lt;="&amp;Daily!C5, Tracker!J:J, "Y")</f>
        <v>22</v>
      </c>
      <c r="Z5" s="77">
        <f>COUNTIFS(Tracker!E:E, 1, Tracker!G:G, "&lt;="&amp;Daily!C5, Tracker!L:L, "N") / V5</f>
        <v>0</v>
      </c>
      <c r="AA5" s="48">
        <f t="shared" ref="AA5:AA36" si="8">AA4+M5</f>
        <v>1</v>
      </c>
      <c r="AB5" s="26">
        <f t="shared" ref="AB5:AB36" si="9">AB4+N5</f>
        <v>1</v>
      </c>
      <c r="AC5" s="62">
        <f>AB5/AA5</f>
        <v>1</v>
      </c>
      <c r="AD5" s="74">
        <f>AVERAGEIFS(Tracker!I:I, Tracker!E:E, 2, Tracker!G:G, "&lt;="&amp;Daily!C5, Tracker!J:J, "Y")</f>
        <v>54</v>
      </c>
      <c r="AE5" s="77">
        <f>COUNTIFS(Tracker!E:E, 2, Tracker!G:G, "&lt;="&amp;Daily!C5, Tracker!L:L, "N") / AA5</f>
        <v>0</v>
      </c>
      <c r="AF5" s="48">
        <f t="shared" ref="AF5:AF36" si="10">AF4+Q5</f>
        <v>0</v>
      </c>
      <c r="AG5" s="26">
        <f t="shared" ref="AG5:AG36" si="11">AG4+R5</f>
        <v>0</v>
      </c>
      <c r="AH5" s="62">
        <f t="shared" ref="AH5:AH68" si="12">IFERROR(AG5/AF5, 0)</f>
        <v>0</v>
      </c>
      <c r="AI5" s="74">
        <f>IFERROR(AVERAGEIFS(Tracker!I:I, Tracker!E:E, 3, Tracker!G:G, "&lt;="&amp;Daily!C5, Tracker!J:J, "Y"), 0)</f>
        <v>0</v>
      </c>
      <c r="AJ5" s="77">
        <f>IFERROR(COUNTIFS(Tracker!E:E, 3, Tracker!G:G, "&lt;="&amp;Daily!C5, Tracker!L:L, "N") / AF5,  0)</f>
        <v>0</v>
      </c>
      <c r="AK5" s="48">
        <f t="shared" si="5"/>
        <v>3</v>
      </c>
      <c r="AL5" s="26">
        <f t="shared" si="6"/>
        <v>3</v>
      </c>
      <c r="AM5" s="62">
        <f t="shared" ref="AM5:AM68" si="13">IFERROR(AL5/AK5, 0)</f>
        <v>1</v>
      </c>
      <c r="AN5" s="74">
        <f>IFERROR(AVERAGEIFS(Tracker!I:I,  Tracker!G:G, "&lt;="&amp;Daily!C5, Tracker!J:J, "Y"), 0)</f>
        <v>32.666666666666664</v>
      </c>
      <c r="AO5" s="77">
        <f>IFERROR(COUNTIFS(Tracker!G:G, "&lt;="&amp;Daily!C5, Tracker!L:L, "N") / AK5,  0)</f>
        <v>0</v>
      </c>
    </row>
    <row r="6" spans="1:41" ht="15.75" thickBot="1" x14ac:dyDescent="0.3">
      <c r="A6" s="122"/>
      <c r="B6" s="34">
        <f t="shared" si="0"/>
        <v>45221</v>
      </c>
      <c r="C6" s="35">
        <v>45221</v>
      </c>
      <c r="D6" s="110" t="b">
        <f t="shared" ca="1" si="7"/>
        <v>1</v>
      </c>
      <c r="E6" s="52">
        <f t="shared" si="1"/>
        <v>0</v>
      </c>
      <c r="F6" s="39">
        <f>COUNTIFS(Tracker!G:G,Daily!C6, Tracker!J:J,"Y")</f>
        <v>0</v>
      </c>
      <c r="G6" s="36">
        <f>COUNTIFS(Tracker!G:G,Daily!C6, Tracker!J:J,"Y (with hints)")</f>
        <v>0</v>
      </c>
      <c r="H6" s="37">
        <f>COUNTIFS(Tracker!G:G,Daily!C6, Tracker!J:J,"N")</f>
        <v>0</v>
      </c>
      <c r="I6" s="55">
        <f t="shared" si="2"/>
        <v>0</v>
      </c>
      <c r="J6" s="36">
        <f>COUNTIFS(Tracker!G:G,Daily!C6, Tracker!J:J,"Y",Tracker!E:E,1)</f>
        <v>0</v>
      </c>
      <c r="K6" s="36">
        <f>COUNTIFS(Tracker!G:G,Daily!C6, Tracker!J:J,"Y (with hints)",Tracker!E:E,1)</f>
        <v>0</v>
      </c>
      <c r="L6" s="37">
        <f>COUNTIFS(Tracker!G:G,Daily!C6, Tracker!J:J,"N",Tracker!E:E,1)</f>
        <v>0</v>
      </c>
      <c r="M6" s="55">
        <f t="shared" si="3"/>
        <v>0</v>
      </c>
      <c r="N6" s="36">
        <f>COUNTIFS(Tracker!G:G,Daily!C6, Tracker!J:J,"Y",Tracker!E:E,2)</f>
        <v>0</v>
      </c>
      <c r="O6" s="36">
        <f>COUNTIFS(Tracker!G:G,Daily!C6, Tracker!J:J,"Y (with hints)",Tracker!E:E,2)</f>
        <v>0</v>
      </c>
      <c r="P6" s="37">
        <f>COUNTIFS(Tracker!G:G,Daily!C6, Tracker!J:J,"N",Tracker!E:E,2)</f>
        <v>0</v>
      </c>
      <c r="Q6" s="58">
        <f t="shared" si="4"/>
        <v>0</v>
      </c>
      <c r="R6" s="36">
        <f>COUNTIFS(Tracker!G:G,Daily!C6, Tracker!J:J,"Y",Tracker!E:E,3)</f>
        <v>0</v>
      </c>
      <c r="S6" s="36">
        <f>COUNTIFS(Tracker!G:G,Daily!C6, Tracker!J:J,"Y (with hints)",Tracker!E:E,3)</f>
        <v>0</v>
      </c>
      <c r="T6" s="37">
        <f>COUNTIFS(Tracker!G:G,Daily!C6, Tracker!J:J,"N",Tracker!E:E,3)</f>
        <v>0</v>
      </c>
      <c r="V6" s="70">
        <f t="shared" ref="V6:V41" si="14">V5+I6</f>
        <v>2</v>
      </c>
      <c r="W6" s="71">
        <f t="shared" ref="W6:W41" si="15">W5+J6</f>
        <v>2</v>
      </c>
      <c r="X6" s="72">
        <f t="shared" ref="X6:X41" si="16">W6/V6</f>
        <v>1</v>
      </c>
      <c r="Y6" s="80">
        <f>AVERAGEIFS(Tracker!I:I, Tracker!E:E, 1, Tracker!G:G, "&lt;="&amp;Daily!C6, Tracker!J:J, "Y")</f>
        <v>22</v>
      </c>
      <c r="Z6" s="81">
        <f>COUNTIFS(Tracker!E:E, 1, Tracker!G:G, "&lt;="&amp;Daily!C6, Tracker!L:L, "N") / V6</f>
        <v>0</v>
      </c>
      <c r="AA6" s="70">
        <f t="shared" si="8"/>
        <v>1</v>
      </c>
      <c r="AB6" s="71">
        <f t="shared" si="9"/>
        <v>1</v>
      </c>
      <c r="AC6" s="72">
        <f t="shared" ref="AC6:AC69" si="17">AB6/AA6</f>
        <v>1</v>
      </c>
      <c r="AD6" s="80">
        <f>AVERAGEIFS(Tracker!I:I, Tracker!E:E, 2, Tracker!G:G, "&lt;="&amp;Daily!C6, Tracker!J:J, "Y")</f>
        <v>54</v>
      </c>
      <c r="AE6" s="81">
        <f>COUNTIFS(Tracker!E:E, 2, Tracker!G:G, "&lt;="&amp;Daily!C6, Tracker!L:L, "N") / AA6</f>
        <v>0</v>
      </c>
      <c r="AF6" s="70">
        <f t="shared" si="10"/>
        <v>0</v>
      </c>
      <c r="AG6" s="71">
        <f t="shared" si="11"/>
        <v>0</v>
      </c>
      <c r="AH6" s="72">
        <f t="shared" si="12"/>
        <v>0</v>
      </c>
      <c r="AI6" s="80">
        <f>IFERROR(AVERAGEIFS(Tracker!I:I, Tracker!E:E, 3, Tracker!G:G, "&lt;="&amp;Daily!C6, Tracker!J:J, "Y"), 0)</f>
        <v>0</v>
      </c>
      <c r="AJ6" s="81">
        <f>IFERROR(COUNTIFS(Tracker!E:E, 3, Tracker!G:G, "&lt;="&amp;Daily!C6, Tracker!L:L, "N") / AF6,  0)</f>
        <v>0</v>
      </c>
      <c r="AK6" s="70">
        <f t="shared" si="5"/>
        <v>3</v>
      </c>
      <c r="AL6" s="71">
        <f t="shared" si="6"/>
        <v>3</v>
      </c>
      <c r="AM6" s="72">
        <f t="shared" si="13"/>
        <v>1</v>
      </c>
      <c r="AN6" s="80">
        <f>IFERROR(AVERAGEIFS(Tracker!I:I,  Tracker!G:G, "&lt;="&amp;Daily!C6, Tracker!J:J, "Y"), 0)</f>
        <v>32.666666666666664</v>
      </c>
      <c r="AO6" s="81">
        <f>IFERROR(COUNTIFS(Tracker!G:G, "&lt;="&amp;Daily!C6, Tracker!L:L, "N") / AK6,  0)</f>
        <v>0</v>
      </c>
    </row>
    <row r="7" spans="1:41" x14ac:dyDescent="0.25">
      <c r="A7" s="118">
        <v>1</v>
      </c>
      <c r="B7" s="28">
        <f t="shared" si="0"/>
        <v>45222</v>
      </c>
      <c r="C7" s="29">
        <v>45222</v>
      </c>
      <c r="D7" s="108" t="b">
        <f t="shared" ca="1" si="7"/>
        <v>1</v>
      </c>
      <c r="E7" s="50">
        <f t="shared" si="1"/>
        <v>5</v>
      </c>
      <c r="F7" s="38">
        <f>COUNTIFS(Tracker!G:G,Daily!C7, Tracker!J:J,"Y")</f>
        <v>5</v>
      </c>
      <c r="G7" s="30">
        <f>COUNTIFS(Tracker!G:G,Daily!C7, Tracker!J:J,"Y (with hints)")</f>
        <v>0</v>
      </c>
      <c r="H7" s="31">
        <f>COUNTIFS(Tracker!G:G,Daily!C7, Tracker!J:J,"N")</f>
        <v>0</v>
      </c>
      <c r="I7" s="53">
        <f t="shared" si="2"/>
        <v>5</v>
      </c>
      <c r="J7" s="30">
        <f>COUNTIFS(Tracker!G:G,Daily!C7, Tracker!J:J,"Y",Tracker!E:E,1)</f>
        <v>5</v>
      </c>
      <c r="K7" s="30">
        <f>COUNTIFS(Tracker!G:G,Daily!C7, Tracker!J:J,"Y (with hints)",Tracker!E:E,1)</f>
        <v>0</v>
      </c>
      <c r="L7" s="31">
        <f>COUNTIFS(Tracker!G:G,Daily!C7, Tracker!J:J,"N",Tracker!E:E,1)</f>
        <v>0</v>
      </c>
      <c r="M7" s="53">
        <f t="shared" si="3"/>
        <v>0</v>
      </c>
      <c r="N7" s="30">
        <f>COUNTIFS(Tracker!G:G,Daily!C7, Tracker!J:J,"Y",Tracker!E:E,2)</f>
        <v>0</v>
      </c>
      <c r="O7" s="30">
        <f>COUNTIFS(Tracker!G:G,Daily!C7, Tracker!J:J,"Y (with hints)",Tracker!E:E,2)</f>
        <v>0</v>
      </c>
      <c r="P7" s="31">
        <f>COUNTIFS(Tracker!G:G,Daily!C7, Tracker!J:J,"N",Tracker!E:E,2)</f>
        <v>0</v>
      </c>
      <c r="Q7" s="56">
        <f t="shared" si="4"/>
        <v>0</v>
      </c>
      <c r="R7" s="30">
        <f>COUNTIFS(Tracker!G:G,Daily!C7, Tracker!J:J,"Y",Tracker!E:E,3)</f>
        <v>0</v>
      </c>
      <c r="S7" s="30">
        <f>COUNTIFS(Tracker!G:G,Daily!C7, Tracker!J:J,"Y (with hints)",Tracker!E:E,3)</f>
        <v>0</v>
      </c>
      <c r="T7" s="31">
        <f>COUNTIFS(Tracker!G:G,Daily!C7, Tracker!J:J,"N",Tracker!E:E,3)</f>
        <v>0</v>
      </c>
      <c r="V7" s="38">
        <f t="shared" si="14"/>
        <v>7</v>
      </c>
      <c r="W7" s="30">
        <f t="shared" si="15"/>
        <v>7</v>
      </c>
      <c r="X7" s="73">
        <f t="shared" si="16"/>
        <v>1</v>
      </c>
      <c r="Y7" s="75">
        <f>AVERAGEIFS(Tracker!I:I, Tracker!E:E, 1, Tracker!G:G, "&lt;="&amp;Daily!C7, Tracker!J:J, "Y")</f>
        <v>15.714285714285714</v>
      </c>
      <c r="Z7" s="76">
        <f>COUNTIFS(Tracker!E:E, 1, Tracker!G:G, "&lt;="&amp;Daily!C7, Tracker!L:L, "N") / V7</f>
        <v>0.5714285714285714</v>
      </c>
      <c r="AA7" s="38">
        <f t="shared" si="8"/>
        <v>1</v>
      </c>
      <c r="AB7" s="30">
        <f t="shared" si="9"/>
        <v>1</v>
      </c>
      <c r="AC7" s="73">
        <f t="shared" si="17"/>
        <v>1</v>
      </c>
      <c r="AD7" s="75">
        <f>AVERAGEIFS(Tracker!I:I, Tracker!E:E, 2, Tracker!G:G, "&lt;="&amp;Daily!C7, Tracker!J:J, "Y")</f>
        <v>54</v>
      </c>
      <c r="AE7" s="76">
        <f>COUNTIFS(Tracker!E:E, 2, Tracker!G:G, "&lt;="&amp;Daily!C7, Tracker!L:L, "N") / AA7</f>
        <v>0</v>
      </c>
      <c r="AF7" s="38">
        <f t="shared" si="10"/>
        <v>0</v>
      </c>
      <c r="AG7" s="30">
        <f t="shared" si="11"/>
        <v>0</v>
      </c>
      <c r="AH7" s="73">
        <f t="shared" si="12"/>
        <v>0</v>
      </c>
      <c r="AI7" s="75">
        <f>IFERROR(AVERAGEIFS(Tracker!I:I, Tracker!E:E, 3, Tracker!G:G, "&lt;="&amp;Daily!C7, Tracker!J:J, "Y"), 0)</f>
        <v>0</v>
      </c>
      <c r="AJ7" s="76">
        <f>IFERROR(COUNTIFS(Tracker!E:E, 3, Tracker!G:G, "&lt;="&amp;Daily!C7, Tracker!L:L, "N") / AF7,  0)</f>
        <v>0</v>
      </c>
      <c r="AK7" s="38">
        <f t="shared" si="5"/>
        <v>8</v>
      </c>
      <c r="AL7" s="30">
        <f t="shared" si="6"/>
        <v>8</v>
      </c>
      <c r="AM7" s="73">
        <f t="shared" si="13"/>
        <v>1</v>
      </c>
      <c r="AN7" s="75">
        <f>IFERROR(AVERAGEIFS(Tracker!I:I,  Tracker!G:G, "&lt;="&amp;Daily!C7, Tracker!J:J, "Y"), 0)</f>
        <v>20.5</v>
      </c>
      <c r="AO7" s="76">
        <f>IFERROR(COUNTIFS(Tracker!G:G, "&lt;="&amp;Daily!C7, Tracker!L:L, "N") / AK7,  0)</f>
        <v>0.5</v>
      </c>
    </row>
    <row r="8" spans="1:41" x14ac:dyDescent="0.25">
      <c r="A8" s="119"/>
      <c r="B8" s="32">
        <f t="shared" si="0"/>
        <v>45223</v>
      </c>
      <c r="C8" s="27">
        <v>45223</v>
      </c>
      <c r="D8" s="109" t="b">
        <f t="shared" ca="1" si="7"/>
        <v>1</v>
      </c>
      <c r="E8" s="51">
        <f t="shared" si="1"/>
        <v>7</v>
      </c>
      <c r="F8" s="48">
        <f>COUNTIFS(Tracker!G:G,Daily!C8, Tracker!J:J,"Y")</f>
        <v>6</v>
      </c>
      <c r="G8" s="26">
        <f>COUNTIFS(Tracker!G:G,Daily!C8, Tracker!J:J,"Y (with hints)")</f>
        <v>1</v>
      </c>
      <c r="H8" s="33">
        <f>COUNTIFS(Tracker!G:G,Daily!C8, Tracker!J:J,"N")</f>
        <v>0</v>
      </c>
      <c r="I8" s="54">
        <f t="shared" si="2"/>
        <v>4</v>
      </c>
      <c r="J8" s="26">
        <f>COUNTIFS(Tracker!G:G,Daily!C8, Tracker!J:J,"Y",Tracker!E:E,1)</f>
        <v>4</v>
      </c>
      <c r="K8" s="26">
        <f>COUNTIFS(Tracker!G:G,Daily!C8, Tracker!J:J,"Y (with hints)",Tracker!E:E,1)</f>
        <v>0</v>
      </c>
      <c r="L8" s="33">
        <f>COUNTIFS(Tracker!G:G,Daily!C8, Tracker!J:J,"N",Tracker!E:E,1)</f>
        <v>0</v>
      </c>
      <c r="M8" s="54">
        <f t="shared" si="3"/>
        <v>3</v>
      </c>
      <c r="N8" s="26">
        <f>COUNTIFS(Tracker!G:G,Daily!C8, Tracker!J:J,"Y",Tracker!E:E,2)</f>
        <v>2</v>
      </c>
      <c r="O8" s="26">
        <f>COUNTIFS(Tracker!G:G,Daily!C8, Tracker!J:J,"Y (with hints)",Tracker!E:E,2)</f>
        <v>1</v>
      </c>
      <c r="P8" s="33">
        <f>COUNTIFS(Tracker!G:G,Daily!C8, Tracker!J:J,"N",Tracker!E:E,2)</f>
        <v>0</v>
      </c>
      <c r="Q8" s="57">
        <f t="shared" si="4"/>
        <v>0</v>
      </c>
      <c r="R8" s="26">
        <f>COUNTIFS(Tracker!G:G,Daily!C8, Tracker!J:J,"Y",Tracker!E:E,3)</f>
        <v>0</v>
      </c>
      <c r="S8" s="26">
        <f>COUNTIFS(Tracker!G:G,Daily!C8, Tracker!J:J,"Y (with hints)",Tracker!E:E,3)</f>
        <v>0</v>
      </c>
      <c r="T8" s="33">
        <f>COUNTIFS(Tracker!G:G,Daily!C8, Tracker!J:J,"N",Tracker!E:E,3)</f>
        <v>0</v>
      </c>
      <c r="V8" s="48">
        <f t="shared" si="14"/>
        <v>11</v>
      </c>
      <c r="W8" s="26">
        <f t="shared" si="15"/>
        <v>11</v>
      </c>
      <c r="X8" s="62">
        <f t="shared" si="16"/>
        <v>1</v>
      </c>
      <c r="Y8" s="74">
        <f>AVERAGEIFS(Tracker!I:I, Tracker!E:E, 1, Tracker!G:G, "&lt;="&amp;Daily!C8, Tracker!J:J, "Y")</f>
        <v>15.909090909090908</v>
      </c>
      <c r="Z8" s="77">
        <f>COUNTIFS(Tracker!E:E, 1, Tracker!G:G, "&lt;="&amp;Daily!C8, Tracker!L:L, "N") / V8</f>
        <v>0.63636363636363635</v>
      </c>
      <c r="AA8" s="48">
        <f t="shared" si="8"/>
        <v>4</v>
      </c>
      <c r="AB8" s="26">
        <f t="shared" si="9"/>
        <v>3</v>
      </c>
      <c r="AC8" s="62">
        <f t="shared" si="17"/>
        <v>0.75</v>
      </c>
      <c r="AD8" s="74">
        <f>AVERAGEIFS(Tracker!I:I, Tracker!E:E, 2, Tracker!G:G, "&lt;="&amp;Daily!C8, Tracker!J:J, "Y")</f>
        <v>35.333333333333336</v>
      </c>
      <c r="AE8" s="77">
        <f>COUNTIFS(Tracker!E:E, 2, Tracker!G:G, "&lt;="&amp;Daily!C8, Tracker!L:L, "N") / AA8</f>
        <v>0</v>
      </c>
      <c r="AF8" s="48">
        <f t="shared" si="10"/>
        <v>0</v>
      </c>
      <c r="AG8" s="26">
        <f t="shared" si="11"/>
        <v>0</v>
      </c>
      <c r="AH8" s="62">
        <f t="shared" si="12"/>
        <v>0</v>
      </c>
      <c r="AI8" s="74">
        <f>IFERROR(AVERAGEIFS(Tracker!I:I, Tracker!E:E, 3, Tracker!G:G, "&lt;="&amp;Daily!C8, Tracker!J:J, "Y"), 0)</f>
        <v>0</v>
      </c>
      <c r="AJ8" s="77">
        <f>IFERROR(COUNTIFS(Tracker!E:E, 3, Tracker!G:G, "&lt;="&amp;Daily!C8, Tracker!L:L, "N") / AF8,  0)</f>
        <v>0</v>
      </c>
      <c r="AK8" s="48">
        <f t="shared" si="5"/>
        <v>15</v>
      </c>
      <c r="AL8" s="26">
        <f t="shared" si="6"/>
        <v>14</v>
      </c>
      <c r="AM8" s="62">
        <f t="shared" si="13"/>
        <v>0.93333333333333335</v>
      </c>
      <c r="AN8" s="74">
        <f>IFERROR(AVERAGEIFS(Tracker!I:I,  Tracker!G:G, "&lt;="&amp;Daily!C8, Tracker!J:J, "Y"), 0)</f>
        <v>20.071428571428573</v>
      </c>
      <c r="AO8" s="77">
        <f>IFERROR(COUNTIFS(Tracker!G:G, "&lt;="&amp;Daily!C8, Tracker!L:L, "N") / AK8,  0)</f>
        <v>0.46666666666666667</v>
      </c>
    </row>
    <row r="9" spans="1:41" x14ac:dyDescent="0.25">
      <c r="A9" s="119"/>
      <c r="B9" s="32">
        <f t="shared" si="0"/>
        <v>45224</v>
      </c>
      <c r="C9" s="27">
        <v>45224</v>
      </c>
      <c r="D9" s="109" t="b">
        <f t="shared" ca="1" si="7"/>
        <v>1</v>
      </c>
      <c r="E9" s="51">
        <f t="shared" si="1"/>
        <v>11</v>
      </c>
      <c r="F9" s="48">
        <f>COUNTIFS(Tracker!G:G,Daily!C9, Tracker!J:J,"Y")</f>
        <v>9</v>
      </c>
      <c r="G9" s="26">
        <f>COUNTIFS(Tracker!G:G,Daily!C9, Tracker!J:J,"Y (with hints)")</f>
        <v>0</v>
      </c>
      <c r="H9" s="33">
        <f>COUNTIFS(Tracker!G:G,Daily!C9, Tracker!J:J,"N")</f>
        <v>2</v>
      </c>
      <c r="I9" s="54">
        <f t="shared" si="2"/>
        <v>9</v>
      </c>
      <c r="J9" s="26">
        <f>COUNTIFS(Tracker!G:G,Daily!C9, Tracker!J:J,"Y",Tracker!E:E,1)</f>
        <v>7</v>
      </c>
      <c r="K9" s="26">
        <f>COUNTIFS(Tracker!G:G,Daily!C9, Tracker!J:J,"Y (with hints)",Tracker!E:E,1)</f>
        <v>0</v>
      </c>
      <c r="L9" s="33">
        <f>COUNTIFS(Tracker!G:G,Daily!C9, Tracker!J:J,"N",Tracker!E:E,1)</f>
        <v>2</v>
      </c>
      <c r="M9" s="54">
        <f t="shared" si="3"/>
        <v>2</v>
      </c>
      <c r="N9" s="26">
        <f>COUNTIFS(Tracker!G:G,Daily!C9, Tracker!J:J,"Y",Tracker!E:E,2)</f>
        <v>2</v>
      </c>
      <c r="O9" s="26">
        <f>COUNTIFS(Tracker!G:G,Daily!C9, Tracker!J:J,"Y (with hints)",Tracker!E:E,2)</f>
        <v>0</v>
      </c>
      <c r="P9" s="33">
        <f>COUNTIFS(Tracker!G:G,Daily!C9, Tracker!J:J,"N",Tracker!E:E,2)</f>
        <v>0</v>
      </c>
      <c r="Q9" s="57">
        <f t="shared" si="4"/>
        <v>0</v>
      </c>
      <c r="R9" s="26">
        <f>COUNTIFS(Tracker!G:G,Daily!C9, Tracker!J:J,"Y",Tracker!E:E,3)</f>
        <v>0</v>
      </c>
      <c r="S9" s="26">
        <f>COUNTIFS(Tracker!G:G,Daily!C9, Tracker!J:J,"Y (with hints)",Tracker!E:E,3)</f>
        <v>0</v>
      </c>
      <c r="T9" s="33">
        <f>COUNTIFS(Tracker!G:G,Daily!C9, Tracker!J:J,"N",Tracker!E:E,3)</f>
        <v>0</v>
      </c>
      <c r="V9" s="48">
        <f t="shared" si="14"/>
        <v>20</v>
      </c>
      <c r="W9" s="26">
        <f t="shared" si="15"/>
        <v>18</v>
      </c>
      <c r="X9" s="62">
        <f t="shared" si="16"/>
        <v>0.9</v>
      </c>
      <c r="Y9" s="74">
        <f>AVERAGEIFS(Tracker!I:I, Tracker!E:E, 1, Tracker!G:G, "&lt;="&amp;Daily!C9, Tracker!J:J, "Y")</f>
        <v>13.055555555555555</v>
      </c>
      <c r="Z9" s="77">
        <f>COUNTIFS(Tracker!E:E, 1, Tracker!G:G, "&lt;="&amp;Daily!C9, Tracker!L:L, "N") / V9</f>
        <v>0.6</v>
      </c>
      <c r="AA9" s="48">
        <f t="shared" si="8"/>
        <v>6</v>
      </c>
      <c r="AB9" s="26">
        <f t="shared" si="9"/>
        <v>5</v>
      </c>
      <c r="AC9" s="62">
        <f t="shared" si="17"/>
        <v>0.83333333333333337</v>
      </c>
      <c r="AD9" s="74">
        <f>AVERAGEIFS(Tracker!I:I, Tracker!E:E, 2, Tracker!G:G, "&lt;="&amp;Daily!C9, Tracker!J:J, "Y")</f>
        <v>27.4</v>
      </c>
      <c r="AE9" s="77">
        <f>COUNTIFS(Tracker!E:E, 2, Tracker!G:G, "&lt;="&amp;Daily!C9, Tracker!L:L, "N") / AA9</f>
        <v>0.33333333333333331</v>
      </c>
      <c r="AF9" s="48">
        <f t="shared" si="10"/>
        <v>0</v>
      </c>
      <c r="AG9" s="26">
        <f t="shared" si="11"/>
        <v>0</v>
      </c>
      <c r="AH9" s="62">
        <f t="shared" si="12"/>
        <v>0</v>
      </c>
      <c r="AI9" s="74">
        <f>IFERROR(AVERAGEIFS(Tracker!I:I, Tracker!E:E, 3, Tracker!G:G, "&lt;="&amp;Daily!C9, Tracker!J:J, "Y"), 0)</f>
        <v>0</v>
      </c>
      <c r="AJ9" s="77">
        <f>IFERROR(COUNTIFS(Tracker!E:E, 3, Tracker!G:G, "&lt;="&amp;Daily!C9, Tracker!L:L, "N") / AF9,  0)</f>
        <v>0</v>
      </c>
      <c r="AK9" s="48">
        <f t="shared" si="5"/>
        <v>26</v>
      </c>
      <c r="AL9" s="26">
        <f t="shared" si="6"/>
        <v>23</v>
      </c>
      <c r="AM9" s="62">
        <f t="shared" si="13"/>
        <v>0.88461538461538458</v>
      </c>
      <c r="AN9" s="74">
        <f>IFERROR(AVERAGEIFS(Tracker!I:I,  Tracker!G:G, "&lt;="&amp;Daily!C9, Tracker!J:J, "Y"), 0)</f>
        <v>16.173913043478262</v>
      </c>
      <c r="AO9" s="77">
        <f>IFERROR(COUNTIFS(Tracker!G:G, "&lt;="&amp;Daily!C9, Tracker!L:L, "N") / AK9,  0)</f>
        <v>0.53846153846153844</v>
      </c>
    </row>
    <row r="10" spans="1:41" x14ac:dyDescent="0.25">
      <c r="A10" s="119"/>
      <c r="B10" s="32">
        <f t="shared" si="0"/>
        <v>45225</v>
      </c>
      <c r="C10" s="27">
        <v>45225</v>
      </c>
      <c r="D10" s="109" t="b">
        <f t="shared" ca="1" si="7"/>
        <v>1</v>
      </c>
      <c r="E10" s="51">
        <f t="shared" si="1"/>
        <v>3</v>
      </c>
      <c r="F10" s="48">
        <f>COUNTIFS(Tracker!G:G,Daily!C10, Tracker!J:J,"Y")</f>
        <v>2</v>
      </c>
      <c r="G10" s="26">
        <f>COUNTIFS(Tracker!G:G,Daily!C10, Tracker!J:J,"Y (with hints)")</f>
        <v>0</v>
      </c>
      <c r="H10" s="33">
        <f>COUNTIFS(Tracker!G:G,Daily!C10, Tracker!J:J,"N")</f>
        <v>1</v>
      </c>
      <c r="I10" s="54">
        <f t="shared" si="2"/>
        <v>1</v>
      </c>
      <c r="J10" s="26">
        <f>COUNTIFS(Tracker!G:G,Daily!C10, Tracker!J:J,"Y",Tracker!E:E,1)</f>
        <v>1</v>
      </c>
      <c r="K10" s="26">
        <f>COUNTIFS(Tracker!G:G,Daily!C10, Tracker!J:J,"Y (with hints)",Tracker!E:E,1)</f>
        <v>0</v>
      </c>
      <c r="L10" s="33">
        <f>COUNTIFS(Tracker!G:G,Daily!C10, Tracker!J:J,"N",Tracker!E:E,1)</f>
        <v>0</v>
      </c>
      <c r="M10" s="54">
        <f t="shared" si="3"/>
        <v>2</v>
      </c>
      <c r="N10" s="26">
        <f>COUNTIFS(Tracker!G:G,Daily!C10, Tracker!J:J,"Y",Tracker!E:E,2)</f>
        <v>1</v>
      </c>
      <c r="O10" s="26">
        <f>COUNTIFS(Tracker!G:G,Daily!C10, Tracker!J:J,"Y (with hints)",Tracker!E:E,2)</f>
        <v>0</v>
      </c>
      <c r="P10" s="33">
        <f>COUNTIFS(Tracker!G:G,Daily!C10, Tracker!J:J,"N",Tracker!E:E,2)</f>
        <v>1</v>
      </c>
      <c r="Q10" s="57">
        <f t="shared" si="4"/>
        <v>0</v>
      </c>
      <c r="R10" s="26">
        <f>COUNTIFS(Tracker!G:G,Daily!C10, Tracker!J:J,"Y",Tracker!E:E,3)</f>
        <v>0</v>
      </c>
      <c r="S10" s="26">
        <f>COUNTIFS(Tracker!G:G,Daily!C10, Tracker!J:J,"Y (with hints)",Tracker!E:E,3)</f>
        <v>0</v>
      </c>
      <c r="T10" s="33">
        <f>COUNTIFS(Tracker!G:G,Daily!C10, Tracker!J:J,"N",Tracker!E:E,3)</f>
        <v>0</v>
      </c>
      <c r="V10" s="48">
        <f t="shared" si="14"/>
        <v>21</v>
      </c>
      <c r="W10" s="26">
        <f t="shared" si="15"/>
        <v>19</v>
      </c>
      <c r="X10" s="62">
        <f t="shared" si="16"/>
        <v>0.90476190476190477</v>
      </c>
      <c r="Y10" s="74">
        <f>AVERAGEIFS(Tracker!I:I, Tracker!E:E, 1, Tracker!G:G, "&lt;="&amp;Daily!C10, Tracker!J:J, "Y")</f>
        <v>12.526315789473685</v>
      </c>
      <c r="Z10" s="77">
        <f>COUNTIFS(Tracker!E:E, 1, Tracker!G:G, "&lt;="&amp;Daily!C10, Tracker!L:L, "N") / V10</f>
        <v>0.61904761904761907</v>
      </c>
      <c r="AA10" s="48">
        <f t="shared" si="8"/>
        <v>8</v>
      </c>
      <c r="AB10" s="26">
        <f t="shared" si="9"/>
        <v>6</v>
      </c>
      <c r="AC10" s="62">
        <f t="shared" si="17"/>
        <v>0.75</v>
      </c>
      <c r="AD10" s="74">
        <f>AVERAGEIFS(Tracker!I:I, Tracker!E:E, 2, Tracker!G:G, "&lt;="&amp;Daily!C10, Tracker!J:J, "Y")</f>
        <v>28.666666666666668</v>
      </c>
      <c r="AE10" s="77">
        <f>COUNTIFS(Tracker!E:E, 2, Tracker!G:G, "&lt;="&amp;Daily!C10, Tracker!L:L, "N") / AA10</f>
        <v>0.25</v>
      </c>
      <c r="AF10" s="48">
        <f t="shared" si="10"/>
        <v>0</v>
      </c>
      <c r="AG10" s="26">
        <f t="shared" si="11"/>
        <v>0</v>
      </c>
      <c r="AH10" s="62">
        <f t="shared" si="12"/>
        <v>0</v>
      </c>
      <c r="AI10" s="74">
        <f>IFERROR(AVERAGEIFS(Tracker!I:I, Tracker!E:E, 3, Tracker!G:G, "&lt;="&amp;Daily!C10, Tracker!J:J, "Y"), 0)</f>
        <v>0</v>
      </c>
      <c r="AJ10" s="77">
        <f>IFERROR(COUNTIFS(Tracker!E:E, 3, Tracker!G:G, "&lt;="&amp;Daily!C10, Tracker!L:L, "N") / AF10,  0)</f>
        <v>0</v>
      </c>
      <c r="AK10" s="48">
        <f t="shared" si="5"/>
        <v>29</v>
      </c>
      <c r="AL10" s="26">
        <f t="shared" si="6"/>
        <v>25</v>
      </c>
      <c r="AM10" s="62">
        <f t="shared" si="13"/>
        <v>0.86206896551724133</v>
      </c>
      <c r="AN10" s="74">
        <f>IFERROR(AVERAGEIFS(Tracker!I:I,  Tracker!G:G, "&lt;="&amp;Daily!C10, Tracker!J:J, "Y"), 0)</f>
        <v>16.399999999999999</v>
      </c>
      <c r="AO10" s="77">
        <f>IFERROR(COUNTIFS(Tracker!G:G, "&lt;="&amp;Daily!C10, Tracker!L:L, "N") / AK10,  0)</f>
        <v>0.51724137931034486</v>
      </c>
    </row>
    <row r="11" spans="1:41" x14ac:dyDescent="0.25">
      <c r="A11" s="119"/>
      <c r="B11" s="32">
        <f t="shared" si="0"/>
        <v>45226</v>
      </c>
      <c r="C11" s="27">
        <v>45226</v>
      </c>
      <c r="D11" s="109" t="b">
        <f t="shared" ca="1" si="7"/>
        <v>1</v>
      </c>
      <c r="E11" s="51">
        <f t="shared" si="1"/>
        <v>4</v>
      </c>
      <c r="F11" s="48">
        <f>COUNTIFS(Tracker!G:G,Daily!C11, Tracker!J:J,"Y")</f>
        <v>3</v>
      </c>
      <c r="G11" s="26">
        <f>COUNTIFS(Tracker!G:G,Daily!C11, Tracker!J:J,"Y (with hints)")</f>
        <v>0</v>
      </c>
      <c r="H11" s="33">
        <f>COUNTIFS(Tracker!G:G,Daily!C11, Tracker!J:J,"N")</f>
        <v>1</v>
      </c>
      <c r="I11" s="54">
        <f t="shared" si="2"/>
        <v>0</v>
      </c>
      <c r="J11" s="26">
        <f>COUNTIFS(Tracker!G:G,Daily!C11, Tracker!J:J,"Y",Tracker!E:E,1)</f>
        <v>0</v>
      </c>
      <c r="K11" s="26">
        <f>COUNTIFS(Tracker!G:G,Daily!C11, Tracker!J:J,"Y (with hints)",Tracker!E:E,1)</f>
        <v>0</v>
      </c>
      <c r="L11" s="33">
        <f>COUNTIFS(Tracker!G:G,Daily!C11, Tracker!J:J,"N",Tracker!E:E,1)</f>
        <v>0</v>
      </c>
      <c r="M11" s="54">
        <f t="shared" si="3"/>
        <v>4</v>
      </c>
      <c r="N11" s="26">
        <f>COUNTIFS(Tracker!G:G,Daily!C11, Tracker!J:J,"Y",Tracker!E:E,2)</f>
        <v>3</v>
      </c>
      <c r="O11" s="26">
        <f>COUNTIFS(Tracker!G:G,Daily!C11, Tracker!J:J,"Y (with hints)",Tracker!E:E,2)</f>
        <v>0</v>
      </c>
      <c r="P11" s="33">
        <f>COUNTIFS(Tracker!G:G,Daily!C11, Tracker!J:J,"N",Tracker!E:E,2)</f>
        <v>1</v>
      </c>
      <c r="Q11" s="57">
        <f t="shared" si="4"/>
        <v>0</v>
      </c>
      <c r="R11" s="26">
        <f>COUNTIFS(Tracker!G:G,Daily!C11, Tracker!J:J,"Y",Tracker!E:E,3)</f>
        <v>0</v>
      </c>
      <c r="S11" s="26">
        <f>COUNTIFS(Tracker!G:G,Daily!C11, Tracker!J:J,"Y (with hints)",Tracker!E:E,3)</f>
        <v>0</v>
      </c>
      <c r="T11" s="33">
        <f>COUNTIFS(Tracker!G:G,Daily!C11, Tracker!J:J,"N",Tracker!E:E,3)</f>
        <v>0</v>
      </c>
      <c r="V11" s="48">
        <f t="shared" si="14"/>
        <v>21</v>
      </c>
      <c r="W11" s="26">
        <f t="shared" si="15"/>
        <v>19</v>
      </c>
      <c r="X11" s="62">
        <f t="shared" si="16"/>
        <v>0.90476190476190477</v>
      </c>
      <c r="Y11" s="74">
        <f>AVERAGEIFS(Tracker!I:I, Tracker!E:E, 1, Tracker!G:G, "&lt;="&amp;Daily!C11, Tracker!J:J, "Y")</f>
        <v>12.526315789473685</v>
      </c>
      <c r="Z11" s="77">
        <f>COUNTIFS(Tracker!E:E, 1, Tracker!G:G, "&lt;="&amp;Daily!C11, Tracker!L:L, "N") / V11</f>
        <v>0.61904761904761907</v>
      </c>
      <c r="AA11" s="48">
        <f t="shared" si="8"/>
        <v>12</v>
      </c>
      <c r="AB11" s="26">
        <f t="shared" si="9"/>
        <v>9</v>
      </c>
      <c r="AC11" s="62">
        <f t="shared" si="17"/>
        <v>0.75</v>
      </c>
      <c r="AD11" s="74">
        <f>AVERAGEIFS(Tracker!I:I, Tracker!E:E, 2, Tracker!G:G, "&lt;="&amp;Daily!C11, Tracker!J:J, "Y")</f>
        <v>29.666666666666668</v>
      </c>
      <c r="AE11" s="77">
        <f>COUNTIFS(Tracker!E:E, 2, Tracker!G:G, "&lt;="&amp;Daily!C11, Tracker!L:L, "N") / AA11</f>
        <v>0.33333333333333331</v>
      </c>
      <c r="AF11" s="48">
        <f t="shared" si="10"/>
        <v>0</v>
      </c>
      <c r="AG11" s="26">
        <f t="shared" si="11"/>
        <v>0</v>
      </c>
      <c r="AH11" s="62">
        <f t="shared" si="12"/>
        <v>0</v>
      </c>
      <c r="AI11" s="74">
        <f>IFERROR(AVERAGEIFS(Tracker!I:I, Tracker!E:E, 3, Tracker!G:G, "&lt;="&amp;Daily!C11, Tracker!J:J, "Y"), 0)</f>
        <v>0</v>
      </c>
      <c r="AJ11" s="77">
        <f>IFERROR(COUNTIFS(Tracker!E:E, 3, Tracker!G:G, "&lt;="&amp;Daily!C11, Tracker!L:L, "N") / AF11,  0)</f>
        <v>0</v>
      </c>
      <c r="AK11" s="48">
        <f t="shared" si="5"/>
        <v>33</v>
      </c>
      <c r="AL11" s="26">
        <f t="shared" si="6"/>
        <v>28</v>
      </c>
      <c r="AM11" s="62">
        <f t="shared" si="13"/>
        <v>0.84848484848484851</v>
      </c>
      <c r="AN11" s="74">
        <f>IFERROR(AVERAGEIFS(Tracker!I:I,  Tracker!G:G, "&lt;="&amp;Daily!C11, Tracker!J:J, "Y"), 0)</f>
        <v>18.035714285714285</v>
      </c>
      <c r="AO11" s="77">
        <f>IFERROR(COUNTIFS(Tracker!G:G, "&lt;="&amp;Daily!C11, Tracker!L:L, "N") / AK11,  0)</f>
        <v>0.51515151515151514</v>
      </c>
    </row>
    <row r="12" spans="1:41" x14ac:dyDescent="0.25">
      <c r="A12" s="119"/>
      <c r="B12" s="32">
        <f t="shared" ref="B12:B23" si="18">C12</f>
        <v>45227</v>
      </c>
      <c r="C12" s="27">
        <v>45227</v>
      </c>
      <c r="D12" s="109" t="b">
        <f t="shared" ca="1" si="7"/>
        <v>1</v>
      </c>
      <c r="E12" s="51">
        <f t="shared" ref="E12:E23" si="19">SUM(F12:H12)</f>
        <v>0</v>
      </c>
      <c r="F12" s="48">
        <f>COUNTIFS(Tracker!G:G,Daily!C12, Tracker!J:J,"Y")</f>
        <v>0</v>
      </c>
      <c r="G12" s="26">
        <f>COUNTIFS(Tracker!G:G,Daily!C12, Tracker!J:J,"Y (with hints)")</f>
        <v>0</v>
      </c>
      <c r="H12" s="33">
        <f>COUNTIFS(Tracker!G:G,Daily!C12, Tracker!J:J,"N")</f>
        <v>0</v>
      </c>
      <c r="I12" s="54">
        <f t="shared" ref="I12:I23" si="20">SUM(J12:L12)</f>
        <v>0</v>
      </c>
      <c r="J12" s="26">
        <f>COUNTIFS(Tracker!G:G,Daily!C12, Tracker!J:J,"Y",Tracker!E:E,1)</f>
        <v>0</v>
      </c>
      <c r="K12" s="26">
        <f>COUNTIFS(Tracker!G:G,Daily!C12, Tracker!J:J,"Y (with hints)",Tracker!E:E,1)</f>
        <v>0</v>
      </c>
      <c r="L12" s="33">
        <f>COUNTIFS(Tracker!G:G,Daily!C12, Tracker!J:J,"N",Tracker!E:E,1)</f>
        <v>0</v>
      </c>
      <c r="M12" s="54">
        <f t="shared" ref="M12:M23" si="21">SUM(N12:P12)</f>
        <v>0</v>
      </c>
      <c r="N12" s="26">
        <f>COUNTIFS(Tracker!G:G,Daily!C12, Tracker!J:J,"Y",Tracker!E:E,2)</f>
        <v>0</v>
      </c>
      <c r="O12" s="26">
        <f>COUNTIFS(Tracker!G:G,Daily!C12, Tracker!J:J,"Y (with hints)",Tracker!E:E,2)</f>
        <v>0</v>
      </c>
      <c r="P12" s="33">
        <f>COUNTIFS(Tracker!G:G,Daily!C12, Tracker!J:J,"N",Tracker!E:E,2)</f>
        <v>0</v>
      </c>
      <c r="Q12" s="57">
        <f t="shared" ref="Q12:Q23" si="22">SUM(R12:T12)</f>
        <v>0</v>
      </c>
      <c r="R12" s="26">
        <f>COUNTIFS(Tracker!G:G,Daily!C12, Tracker!J:J,"Y",Tracker!E:E,3)</f>
        <v>0</v>
      </c>
      <c r="S12" s="26">
        <f>COUNTIFS(Tracker!G:G,Daily!C12, Tracker!J:J,"Y (with hints)",Tracker!E:E,3)</f>
        <v>0</v>
      </c>
      <c r="T12" s="33">
        <f>COUNTIFS(Tracker!G:G,Daily!C12, Tracker!J:J,"N",Tracker!E:E,3)</f>
        <v>0</v>
      </c>
      <c r="V12" s="48">
        <f t="shared" si="14"/>
        <v>21</v>
      </c>
      <c r="W12" s="26">
        <f t="shared" si="15"/>
        <v>19</v>
      </c>
      <c r="X12" s="62">
        <f t="shared" si="16"/>
        <v>0.90476190476190477</v>
      </c>
      <c r="Y12" s="74">
        <f>AVERAGEIFS(Tracker!I:I, Tracker!E:E, 1, Tracker!G:G, "&lt;="&amp;Daily!C12, Tracker!J:J, "Y")</f>
        <v>12.526315789473685</v>
      </c>
      <c r="Z12" s="77">
        <f>COUNTIFS(Tracker!E:E, 1, Tracker!G:G, "&lt;="&amp;Daily!C12, Tracker!L:L, "N") / V12</f>
        <v>0.61904761904761907</v>
      </c>
      <c r="AA12" s="48">
        <f t="shared" si="8"/>
        <v>12</v>
      </c>
      <c r="AB12" s="26">
        <f t="shared" si="9"/>
        <v>9</v>
      </c>
      <c r="AC12" s="62">
        <f t="shared" si="17"/>
        <v>0.75</v>
      </c>
      <c r="AD12" s="74">
        <f>AVERAGEIFS(Tracker!I:I, Tracker!E:E, 2, Tracker!G:G, "&lt;="&amp;Daily!C12, Tracker!J:J, "Y")</f>
        <v>29.666666666666668</v>
      </c>
      <c r="AE12" s="77">
        <f>COUNTIFS(Tracker!E:E, 2, Tracker!G:G, "&lt;="&amp;Daily!C12, Tracker!L:L, "N") / AA12</f>
        <v>0.33333333333333331</v>
      </c>
      <c r="AF12" s="48">
        <f t="shared" si="10"/>
        <v>0</v>
      </c>
      <c r="AG12" s="26">
        <f t="shared" si="11"/>
        <v>0</v>
      </c>
      <c r="AH12" s="62">
        <f t="shared" si="12"/>
        <v>0</v>
      </c>
      <c r="AI12" s="74">
        <f>IFERROR(AVERAGEIFS(Tracker!I:I, Tracker!E:E, 3, Tracker!G:G, "&lt;="&amp;Daily!C12, Tracker!J:J, "Y"), 0)</f>
        <v>0</v>
      </c>
      <c r="AJ12" s="77">
        <f>IFERROR(COUNTIFS(Tracker!E:E, 3, Tracker!G:G, "&lt;="&amp;Daily!C12, Tracker!L:L, "N") / AF12,  0)</f>
        <v>0</v>
      </c>
      <c r="AK12" s="48">
        <f t="shared" si="5"/>
        <v>33</v>
      </c>
      <c r="AL12" s="26">
        <f t="shared" si="6"/>
        <v>28</v>
      </c>
      <c r="AM12" s="62">
        <f t="shared" si="13"/>
        <v>0.84848484848484851</v>
      </c>
      <c r="AN12" s="74">
        <f>IFERROR(AVERAGEIFS(Tracker!I:I,  Tracker!G:G, "&lt;="&amp;Daily!C12, Tracker!J:J, "Y"), 0)</f>
        <v>18.035714285714285</v>
      </c>
      <c r="AO12" s="77">
        <f>IFERROR(COUNTIFS(Tracker!G:G, "&lt;="&amp;Daily!C12, Tracker!L:L, "N") / AK12,  0)</f>
        <v>0.51515151515151514</v>
      </c>
    </row>
    <row r="13" spans="1:41" ht="15.75" thickBot="1" x14ac:dyDescent="0.3">
      <c r="A13" s="120"/>
      <c r="B13" s="34">
        <f t="shared" si="18"/>
        <v>45228</v>
      </c>
      <c r="C13" s="35">
        <v>45228</v>
      </c>
      <c r="D13" s="110" t="b">
        <f t="shared" ca="1" si="7"/>
        <v>1</v>
      </c>
      <c r="E13" s="52">
        <f t="shared" si="19"/>
        <v>0</v>
      </c>
      <c r="F13" s="39">
        <f>COUNTIFS(Tracker!G:G,Daily!C13, Tracker!J:J,"Y")</f>
        <v>0</v>
      </c>
      <c r="G13" s="36">
        <f>COUNTIFS(Tracker!G:G,Daily!C13, Tracker!J:J,"Y (with hints)")</f>
        <v>0</v>
      </c>
      <c r="H13" s="37">
        <f>COUNTIFS(Tracker!G:G,Daily!C13, Tracker!J:J,"N")</f>
        <v>0</v>
      </c>
      <c r="I13" s="55">
        <f t="shared" si="20"/>
        <v>0</v>
      </c>
      <c r="J13" s="36">
        <f>COUNTIFS(Tracker!G:G,Daily!C13, Tracker!J:J,"Y",Tracker!E:E,1)</f>
        <v>0</v>
      </c>
      <c r="K13" s="36">
        <f>COUNTIFS(Tracker!G:G,Daily!C13, Tracker!J:J,"Y (with hints)",Tracker!E:E,1)</f>
        <v>0</v>
      </c>
      <c r="L13" s="37">
        <f>COUNTIFS(Tracker!G:G,Daily!C13, Tracker!J:J,"N",Tracker!E:E,1)</f>
        <v>0</v>
      </c>
      <c r="M13" s="55">
        <f t="shared" si="21"/>
        <v>0</v>
      </c>
      <c r="N13" s="36">
        <f>COUNTIFS(Tracker!G:G,Daily!C13, Tracker!J:J,"Y",Tracker!E:E,2)</f>
        <v>0</v>
      </c>
      <c r="O13" s="36">
        <f>COUNTIFS(Tracker!G:G,Daily!C13, Tracker!J:J,"Y (with hints)",Tracker!E:E,2)</f>
        <v>0</v>
      </c>
      <c r="P13" s="37">
        <f>COUNTIFS(Tracker!G:G,Daily!C13, Tracker!J:J,"N",Tracker!E:E,2)</f>
        <v>0</v>
      </c>
      <c r="Q13" s="58">
        <f t="shared" si="22"/>
        <v>0</v>
      </c>
      <c r="R13" s="36">
        <f>COUNTIFS(Tracker!G:G,Daily!C13, Tracker!J:J,"Y",Tracker!E:E,3)</f>
        <v>0</v>
      </c>
      <c r="S13" s="36">
        <f>COUNTIFS(Tracker!G:G,Daily!C13, Tracker!J:J,"Y (with hints)",Tracker!E:E,3)</f>
        <v>0</v>
      </c>
      <c r="T13" s="37">
        <f>COUNTIFS(Tracker!G:G,Daily!C13, Tracker!J:J,"N",Tracker!E:E,3)</f>
        <v>0</v>
      </c>
      <c r="V13" s="39">
        <f t="shared" si="14"/>
        <v>21</v>
      </c>
      <c r="W13" s="36">
        <f t="shared" si="15"/>
        <v>19</v>
      </c>
      <c r="X13" s="64">
        <f t="shared" si="16"/>
        <v>0.90476190476190477</v>
      </c>
      <c r="Y13" s="78">
        <f>AVERAGEIFS(Tracker!I:I, Tracker!E:E, 1, Tracker!G:G, "&lt;="&amp;Daily!C13, Tracker!J:J, "Y")</f>
        <v>12.526315789473685</v>
      </c>
      <c r="Z13" s="79">
        <f>COUNTIFS(Tracker!E:E, 1, Tracker!G:G, "&lt;="&amp;Daily!C13, Tracker!L:L, "N") / V13</f>
        <v>0.61904761904761907</v>
      </c>
      <c r="AA13" s="39">
        <f t="shared" si="8"/>
        <v>12</v>
      </c>
      <c r="AB13" s="36">
        <f t="shared" si="9"/>
        <v>9</v>
      </c>
      <c r="AC13" s="64">
        <f t="shared" si="17"/>
        <v>0.75</v>
      </c>
      <c r="AD13" s="78">
        <f>AVERAGEIFS(Tracker!I:I, Tracker!E:E, 2, Tracker!G:G, "&lt;="&amp;Daily!C13, Tracker!J:J, "Y")</f>
        <v>29.666666666666668</v>
      </c>
      <c r="AE13" s="79">
        <f>COUNTIFS(Tracker!E:E, 2, Tracker!G:G, "&lt;="&amp;Daily!C13, Tracker!L:L, "N") / AA13</f>
        <v>0.33333333333333331</v>
      </c>
      <c r="AF13" s="39">
        <f t="shared" si="10"/>
        <v>0</v>
      </c>
      <c r="AG13" s="36">
        <f t="shared" si="11"/>
        <v>0</v>
      </c>
      <c r="AH13" s="64">
        <f t="shared" si="12"/>
        <v>0</v>
      </c>
      <c r="AI13" s="78">
        <f>IFERROR(AVERAGEIFS(Tracker!I:I, Tracker!E:E, 3, Tracker!G:G, "&lt;="&amp;Daily!C13, Tracker!J:J, "Y"), 0)</f>
        <v>0</v>
      </c>
      <c r="AJ13" s="79">
        <f>IFERROR(COUNTIFS(Tracker!E:E, 3, Tracker!G:G, "&lt;="&amp;Daily!C13, Tracker!L:L, "N") / AF13,  0)</f>
        <v>0</v>
      </c>
      <c r="AK13" s="39">
        <f t="shared" si="5"/>
        <v>33</v>
      </c>
      <c r="AL13" s="36">
        <f t="shared" si="6"/>
        <v>28</v>
      </c>
      <c r="AM13" s="64">
        <f t="shared" si="13"/>
        <v>0.84848484848484851</v>
      </c>
      <c r="AN13" s="78">
        <f>IFERROR(AVERAGEIFS(Tracker!I:I,  Tracker!G:G, "&lt;="&amp;Daily!C13, Tracker!J:J, "Y"), 0)</f>
        <v>18.035714285714285</v>
      </c>
      <c r="AO13" s="79">
        <f>IFERROR(COUNTIFS(Tracker!G:G, "&lt;="&amp;Daily!C13, Tracker!L:L, "N") / AK13,  0)</f>
        <v>0.51515151515151514</v>
      </c>
    </row>
    <row r="14" spans="1:41" x14ac:dyDescent="0.25">
      <c r="A14" s="118">
        <v>2</v>
      </c>
      <c r="B14" s="28">
        <f t="shared" si="18"/>
        <v>45229</v>
      </c>
      <c r="C14" s="85">
        <f>C7+7</f>
        <v>45229</v>
      </c>
      <c r="D14" s="111" t="b">
        <f t="shared" ca="1" si="7"/>
        <v>1</v>
      </c>
      <c r="E14" s="50">
        <f t="shared" si="19"/>
        <v>3</v>
      </c>
      <c r="F14" s="38">
        <f>COUNTIFS(Tracker!G:G,Daily!C14, Tracker!J:J,"Y")</f>
        <v>1</v>
      </c>
      <c r="G14" s="30">
        <f>COUNTIFS(Tracker!G:G,Daily!C14, Tracker!J:J,"Y (with hints)")</f>
        <v>0</v>
      </c>
      <c r="H14" s="31">
        <f>COUNTIFS(Tracker!G:G,Daily!C14, Tracker!J:J,"N")</f>
        <v>2</v>
      </c>
      <c r="I14" s="53">
        <f t="shared" si="20"/>
        <v>1</v>
      </c>
      <c r="J14" s="30">
        <f>COUNTIFS(Tracker!G:G,Daily!C14, Tracker!J:J,"Y",Tracker!E:E,1)</f>
        <v>1</v>
      </c>
      <c r="K14" s="30">
        <f>COUNTIFS(Tracker!G:G,Daily!C14, Tracker!J:J,"Y (with hints)",Tracker!E:E,1)</f>
        <v>0</v>
      </c>
      <c r="L14" s="31">
        <f>COUNTIFS(Tracker!G:G,Daily!C14, Tracker!J:J,"N",Tracker!E:E,1)</f>
        <v>0</v>
      </c>
      <c r="M14" s="53">
        <f t="shared" si="21"/>
        <v>2</v>
      </c>
      <c r="N14" s="30">
        <f>COUNTIFS(Tracker!G:G,Daily!C14, Tracker!J:J,"Y",Tracker!E:E,2)</f>
        <v>0</v>
      </c>
      <c r="O14" s="30">
        <f>COUNTIFS(Tracker!G:G,Daily!C14, Tracker!J:J,"Y (with hints)",Tracker!E:E,2)</f>
        <v>0</v>
      </c>
      <c r="P14" s="31">
        <f>COUNTIFS(Tracker!G:G,Daily!C14, Tracker!J:J,"N",Tracker!E:E,2)</f>
        <v>2</v>
      </c>
      <c r="Q14" s="56">
        <f t="shared" si="22"/>
        <v>0</v>
      </c>
      <c r="R14" s="30">
        <f>COUNTIFS(Tracker!G:G,Daily!C14, Tracker!J:J,"Y",Tracker!E:E,3)</f>
        <v>0</v>
      </c>
      <c r="S14" s="30">
        <f>COUNTIFS(Tracker!G:G,Daily!C14, Tracker!J:J,"Y (with hints)",Tracker!E:E,3)</f>
        <v>0</v>
      </c>
      <c r="T14" s="31">
        <f>COUNTIFS(Tracker!G:G,Daily!C14, Tracker!J:J,"N",Tracker!E:E,3)</f>
        <v>0</v>
      </c>
      <c r="V14" s="38">
        <f t="shared" si="14"/>
        <v>22</v>
      </c>
      <c r="W14" s="30">
        <f t="shared" si="15"/>
        <v>20</v>
      </c>
      <c r="X14" s="73">
        <f t="shared" si="16"/>
        <v>0.90909090909090906</v>
      </c>
      <c r="Y14" s="75">
        <f>AVERAGEIFS(Tracker!I:I, Tracker!E:E, 1, Tracker!G:G, "&lt;="&amp;Daily!C14, Tracker!J:J, "Y")</f>
        <v>12.6</v>
      </c>
      <c r="Z14" s="76">
        <f>COUNTIFS(Tracker!E:E, 1, Tracker!G:G, "&lt;="&amp;Daily!C14, Tracker!L:L, "N") / V14</f>
        <v>0.63636363636363635</v>
      </c>
      <c r="AA14" s="38">
        <f t="shared" si="8"/>
        <v>14</v>
      </c>
      <c r="AB14" s="30">
        <f t="shared" si="9"/>
        <v>9</v>
      </c>
      <c r="AC14" s="73">
        <f t="shared" si="17"/>
        <v>0.6428571428571429</v>
      </c>
      <c r="AD14" s="75">
        <f>AVERAGEIFS(Tracker!I:I, Tracker!E:E, 2, Tracker!G:G, "&lt;="&amp;Daily!C14, Tracker!J:J, "Y")</f>
        <v>29.666666666666668</v>
      </c>
      <c r="AE14" s="76">
        <f>COUNTIFS(Tracker!E:E, 2, Tracker!G:G, "&lt;="&amp;Daily!C14, Tracker!L:L, "N") / AA14</f>
        <v>0.2857142857142857</v>
      </c>
      <c r="AF14" s="38">
        <f t="shared" si="10"/>
        <v>0</v>
      </c>
      <c r="AG14" s="30">
        <f t="shared" si="11"/>
        <v>0</v>
      </c>
      <c r="AH14" s="73">
        <f t="shared" si="12"/>
        <v>0</v>
      </c>
      <c r="AI14" s="75">
        <f>IFERROR(AVERAGEIFS(Tracker!I:I, Tracker!E:E, 3, Tracker!G:G, "&lt;="&amp;Daily!C14, Tracker!J:J, "Y"), 0)</f>
        <v>0</v>
      </c>
      <c r="AJ14" s="76">
        <f>IFERROR(COUNTIFS(Tracker!E:E, 3, Tracker!G:G, "&lt;="&amp;Daily!C14, Tracker!L:L, "N") / AF14,  0)</f>
        <v>0</v>
      </c>
      <c r="AK14" s="38">
        <f t="shared" si="5"/>
        <v>36</v>
      </c>
      <c r="AL14" s="30">
        <f t="shared" si="6"/>
        <v>29</v>
      </c>
      <c r="AM14" s="73">
        <f t="shared" si="13"/>
        <v>0.80555555555555558</v>
      </c>
      <c r="AN14" s="75">
        <f>IFERROR(AVERAGEIFS(Tracker!I:I,  Tracker!G:G, "&lt;="&amp;Daily!C14, Tracker!J:J, "Y"), 0)</f>
        <v>17.896551724137932</v>
      </c>
      <c r="AO14" s="76">
        <f>IFERROR(COUNTIFS(Tracker!G:G, "&lt;="&amp;Daily!C14, Tracker!L:L, "N") / AK14,  0)</f>
        <v>0.5</v>
      </c>
    </row>
    <row r="15" spans="1:41" x14ac:dyDescent="0.25">
      <c r="A15" s="119"/>
      <c r="B15" s="32">
        <f t="shared" si="18"/>
        <v>45230</v>
      </c>
      <c r="C15" s="84">
        <f t="shared" ref="C15:C78" si="23">C8+7</f>
        <v>45230</v>
      </c>
      <c r="D15" s="112" t="b">
        <f t="shared" ca="1" si="7"/>
        <v>1</v>
      </c>
      <c r="E15" s="51">
        <f t="shared" si="19"/>
        <v>3</v>
      </c>
      <c r="F15" s="48">
        <f>COUNTIFS(Tracker!G:G,Daily!C15, Tracker!J:J,"Y")</f>
        <v>2</v>
      </c>
      <c r="G15" s="26">
        <f>COUNTIFS(Tracker!G:G,Daily!C15, Tracker!J:J,"Y (with hints)")</f>
        <v>0</v>
      </c>
      <c r="H15" s="33">
        <f>COUNTIFS(Tracker!G:G,Daily!C15, Tracker!J:J,"N")</f>
        <v>1</v>
      </c>
      <c r="I15" s="54">
        <f t="shared" si="20"/>
        <v>0</v>
      </c>
      <c r="J15" s="26">
        <f>COUNTIFS(Tracker!G:G,Daily!C15, Tracker!J:J,"Y",Tracker!E:E,1)</f>
        <v>0</v>
      </c>
      <c r="K15" s="26">
        <f>COUNTIFS(Tracker!G:G,Daily!C15, Tracker!J:J,"Y (with hints)",Tracker!E:E,1)</f>
        <v>0</v>
      </c>
      <c r="L15" s="33">
        <f>COUNTIFS(Tracker!G:G,Daily!C15, Tracker!J:J,"N",Tracker!E:E,1)</f>
        <v>0</v>
      </c>
      <c r="M15" s="54">
        <f t="shared" si="21"/>
        <v>3</v>
      </c>
      <c r="N15" s="26">
        <f>COUNTIFS(Tracker!G:G,Daily!C15, Tracker!J:J,"Y",Tracker!E:E,2)</f>
        <v>2</v>
      </c>
      <c r="O15" s="26">
        <f>COUNTIFS(Tracker!G:G,Daily!C15, Tracker!J:J,"Y (with hints)",Tracker!E:E,2)</f>
        <v>0</v>
      </c>
      <c r="P15" s="33">
        <f>COUNTIFS(Tracker!G:G,Daily!C15, Tracker!J:J,"N",Tracker!E:E,2)</f>
        <v>1</v>
      </c>
      <c r="Q15" s="57">
        <f t="shared" si="22"/>
        <v>0</v>
      </c>
      <c r="R15" s="26">
        <f>COUNTIFS(Tracker!G:G,Daily!C15, Tracker!J:J,"Y",Tracker!E:E,3)</f>
        <v>0</v>
      </c>
      <c r="S15" s="26">
        <f>COUNTIFS(Tracker!G:G,Daily!C15, Tracker!J:J,"Y (with hints)",Tracker!E:E,3)</f>
        <v>0</v>
      </c>
      <c r="T15" s="33">
        <f>COUNTIFS(Tracker!G:G,Daily!C15, Tracker!J:J,"N",Tracker!E:E,3)</f>
        <v>0</v>
      </c>
      <c r="V15" s="48">
        <f t="shared" si="14"/>
        <v>22</v>
      </c>
      <c r="W15" s="26">
        <f t="shared" si="15"/>
        <v>20</v>
      </c>
      <c r="X15" s="62">
        <f t="shared" si="16"/>
        <v>0.90909090909090906</v>
      </c>
      <c r="Y15" s="74">
        <f>AVERAGEIFS(Tracker!I:I, Tracker!E:E, 1, Tracker!G:G, "&lt;="&amp;Daily!C15, Tracker!J:J, "Y")</f>
        <v>12.6</v>
      </c>
      <c r="Z15" s="77">
        <f>COUNTIFS(Tracker!E:E, 1, Tracker!G:G, "&lt;="&amp;Daily!C15, Tracker!L:L, "N") / V15</f>
        <v>0.63636363636363635</v>
      </c>
      <c r="AA15" s="48">
        <f t="shared" si="8"/>
        <v>17</v>
      </c>
      <c r="AB15" s="26">
        <f t="shared" si="9"/>
        <v>11</v>
      </c>
      <c r="AC15" s="62">
        <f t="shared" si="17"/>
        <v>0.6470588235294118</v>
      </c>
      <c r="AD15" s="74">
        <f>AVERAGEIFS(Tracker!I:I, Tracker!E:E, 2, Tracker!G:G, "&lt;="&amp;Daily!C15, Tracker!J:J, "Y")</f>
        <v>28.727272727272727</v>
      </c>
      <c r="AE15" s="77">
        <f>COUNTIFS(Tracker!E:E, 2, Tracker!G:G, "&lt;="&amp;Daily!C15, Tracker!L:L, "N") / AA15</f>
        <v>0.35294117647058826</v>
      </c>
      <c r="AF15" s="48">
        <f t="shared" si="10"/>
        <v>0</v>
      </c>
      <c r="AG15" s="26">
        <f t="shared" si="11"/>
        <v>0</v>
      </c>
      <c r="AH15" s="62">
        <f t="shared" si="12"/>
        <v>0</v>
      </c>
      <c r="AI15" s="74">
        <f>IFERROR(AVERAGEIFS(Tracker!I:I, Tracker!E:E, 3, Tracker!G:G, "&lt;="&amp;Daily!C15, Tracker!J:J, "Y"), 0)</f>
        <v>0</v>
      </c>
      <c r="AJ15" s="77">
        <f>IFERROR(COUNTIFS(Tracker!E:E, 3, Tracker!G:G, "&lt;="&amp;Daily!C15, Tracker!L:L, "N") / AF15,  0)</f>
        <v>0</v>
      </c>
      <c r="AK15" s="48">
        <f t="shared" si="5"/>
        <v>39</v>
      </c>
      <c r="AL15" s="26">
        <f t="shared" si="6"/>
        <v>31</v>
      </c>
      <c r="AM15" s="62">
        <f t="shared" si="13"/>
        <v>0.79487179487179482</v>
      </c>
      <c r="AN15" s="74">
        <f>IFERROR(AVERAGEIFS(Tracker!I:I,  Tracker!G:G, "&lt;="&amp;Daily!C15, Tracker!J:J, "Y"), 0)</f>
        <v>18.322580645161292</v>
      </c>
      <c r="AO15" s="77">
        <f>IFERROR(COUNTIFS(Tracker!G:G, "&lt;="&amp;Daily!C15, Tracker!L:L, "N") / AK15,  0)</f>
        <v>0.51282051282051277</v>
      </c>
    </row>
    <row r="16" spans="1:41" x14ac:dyDescent="0.25">
      <c r="A16" s="119"/>
      <c r="B16" s="32">
        <f t="shared" si="18"/>
        <v>45231</v>
      </c>
      <c r="C16" s="84">
        <f t="shared" si="23"/>
        <v>45231</v>
      </c>
      <c r="D16" s="112" t="b">
        <f t="shared" ca="1" si="7"/>
        <v>1</v>
      </c>
      <c r="E16" s="51">
        <f t="shared" si="19"/>
        <v>5</v>
      </c>
      <c r="F16" s="48">
        <f>COUNTIFS(Tracker!G:G,Daily!C16, Tracker!J:J,"Y")</f>
        <v>4</v>
      </c>
      <c r="G16" s="26">
        <f>COUNTIFS(Tracker!G:G,Daily!C16, Tracker!J:J,"Y (with hints)")</f>
        <v>0</v>
      </c>
      <c r="H16" s="33">
        <f>COUNTIFS(Tracker!G:G,Daily!C16, Tracker!J:J,"N")</f>
        <v>1</v>
      </c>
      <c r="I16" s="54">
        <f t="shared" si="20"/>
        <v>3</v>
      </c>
      <c r="J16" s="26">
        <f>COUNTIFS(Tracker!G:G,Daily!C16, Tracker!J:J,"Y",Tracker!E:E,1)</f>
        <v>3</v>
      </c>
      <c r="K16" s="26">
        <f>COUNTIFS(Tracker!G:G,Daily!C16, Tracker!J:J,"Y (with hints)",Tracker!E:E,1)</f>
        <v>0</v>
      </c>
      <c r="L16" s="33">
        <f>COUNTIFS(Tracker!G:G,Daily!C16, Tracker!J:J,"N",Tracker!E:E,1)</f>
        <v>0</v>
      </c>
      <c r="M16" s="54">
        <f t="shared" si="21"/>
        <v>2</v>
      </c>
      <c r="N16" s="26">
        <f>COUNTIFS(Tracker!G:G,Daily!C16, Tracker!J:J,"Y",Tracker!E:E,2)</f>
        <v>1</v>
      </c>
      <c r="O16" s="26">
        <f>COUNTIFS(Tracker!G:G,Daily!C16, Tracker!J:J,"Y (with hints)",Tracker!E:E,2)</f>
        <v>0</v>
      </c>
      <c r="P16" s="33">
        <f>COUNTIFS(Tracker!G:G,Daily!C16, Tracker!J:J,"N",Tracker!E:E,2)</f>
        <v>1</v>
      </c>
      <c r="Q16" s="57">
        <f t="shared" si="22"/>
        <v>0</v>
      </c>
      <c r="R16" s="26">
        <f>COUNTIFS(Tracker!G:G,Daily!C16, Tracker!J:J,"Y",Tracker!E:E,3)</f>
        <v>0</v>
      </c>
      <c r="S16" s="26">
        <f>COUNTIFS(Tracker!G:G,Daily!C16, Tracker!J:J,"Y (with hints)",Tracker!E:E,3)</f>
        <v>0</v>
      </c>
      <c r="T16" s="33">
        <f>COUNTIFS(Tracker!G:G,Daily!C16, Tracker!J:J,"N",Tracker!E:E,3)</f>
        <v>0</v>
      </c>
      <c r="V16" s="48">
        <f t="shared" si="14"/>
        <v>25</v>
      </c>
      <c r="W16" s="26">
        <f t="shared" si="15"/>
        <v>23</v>
      </c>
      <c r="X16" s="62">
        <f t="shared" si="16"/>
        <v>0.92</v>
      </c>
      <c r="Y16" s="74">
        <f>AVERAGEIFS(Tracker!I:I, Tracker!E:E, 1, Tracker!G:G, "&lt;="&amp;Daily!C16, Tracker!J:J, "Y")</f>
        <v>13.173913043478262</v>
      </c>
      <c r="Z16" s="77">
        <f>COUNTIFS(Tracker!E:E, 1, Tracker!G:G, "&lt;="&amp;Daily!C16, Tracker!L:L, "N") / V16</f>
        <v>0.68</v>
      </c>
      <c r="AA16" s="48">
        <f t="shared" si="8"/>
        <v>19</v>
      </c>
      <c r="AB16" s="26">
        <f t="shared" si="9"/>
        <v>12</v>
      </c>
      <c r="AC16" s="62">
        <f t="shared" si="17"/>
        <v>0.63157894736842102</v>
      </c>
      <c r="AD16" s="74">
        <f>AVERAGEIFS(Tracker!I:I, Tracker!E:E, 2, Tracker!G:G, "&lt;="&amp;Daily!C16, Tracker!J:J, "Y")</f>
        <v>28.75</v>
      </c>
      <c r="AE16" s="77">
        <f>COUNTIFS(Tracker!E:E, 2, Tracker!G:G, "&lt;="&amp;Daily!C16, Tracker!L:L, "N") / AA16</f>
        <v>0.36842105263157893</v>
      </c>
      <c r="AF16" s="48">
        <f t="shared" si="10"/>
        <v>0</v>
      </c>
      <c r="AG16" s="26">
        <f t="shared" si="11"/>
        <v>0</v>
      </c>
      <c r="AH16" s="62">
        <f t="shared" si="12"/>
        <v>0</v>
      </c>
      <c r="AI16" s="74">
        <f>IFERROR(AVERAGEIFS(Tracker!I:I, Tracker!E:E, 3, Tracker!G:G, "&lt;="&amp;Daily!C16, Tracker!J:J, "Y"), 0)</f>
        <v>0</v>
      </c>
      <c r="AJ16" s="77">
        <f>IFERROR(COUNTIFS(Tracker!E:E, 3, Tracker!G:G, "&lt;="&amp;Daily!C16, Tracker!L:L, "N") / AF16,  0)</f>
        <v>0</v>
      </c>
      <c r="AK16" s="48">
        <f t="shared" si="5"/>
        <v>44</v>
      </c>
      <c r="AL16" s="26">
        <f t="shared" si="6"/>
        <v>35</v>
      </c>
      <c r="AM16" s="62">
        <f t="shared" si="13"/>
        <v>0.79545454545454541</v>
      </c>
      <c r="AN16" s="74">
        <f>IFERROR(AVERAGEIFS(Tracker!I:I,  Tracker!G:G, "&lt;="&amp;Daily!C16, Tracker!J:J, "Y"), 0)</f>
        <v>18.514285714285716</v>
      </c>
      <c r="AO16" s="77">
        <f>IFERROR(COUNTIFS(Tracker!G:G, "&lt;="&amp;Daily!C16, Tracker!L:L, "N") / AK16,  0)</f>
        <v>0.54545454545454541</v>
      </c>
    </row>
    <row r="17" spans="1:41" x14ac:dyDescent="0.25">
      <c r="A17" s="119"/>
      <c r="B17" s="32">
        <f t="shared" si="18"/>
        <v>45232</v>
      </c>
      <c r="C17" s="84">
        <f t="shared" si="23"/>
        <v>45232</v>
      </c>
      <c r="D17" s="112" t="b">
        <f t="shared" ca="1" si="7"/>
        <v>1</v>
      </c>
      <c r="E17" s="51">
        <f t="shared" si="19"/>
        <v>7</v>
      </c>
      <c r="F17" s="48">
        <f>COUNTIFS(Tracker!G:G,Daily!C17, Tracker!J:J,"Y")</f>
        <v>5</v>
      </c>
      <c r="G17" s="26">
        <f>COUNTIFS(Tracker!G:G,Daily!C17, Tracker!J:J,"Y (with hints)")</f>
        <v>1</v>
      </c>
      <c r="H17" s="33">
        <f>COUNTIFS(Tracker!G:G,Daily!C17, Tracker!J:J,"N")</f>
        <v>1</v>
      </c>
      <c r="I17" s="54">
        <f t="shared" si="20"/>
        <v>3</v>
      </c>
      <c r="J17" s="26">
        <f>COUNTIFS(Tracker!G:G,Daily!C17, Tracker!J:J,"Y",Tracker!E:E,1)</f>
        <v>2</v>
      </c>
      <c r="K17" s="26">
        <f>COUNTIFS(Tracker!G:G,Daily!C17, Tracker!J:J,"Y (with hints)",Tracker!E:E,1)</f>
        <v>1</v>
      </c>
      <c r="L17" s="33">
        <f>COUNTIFS(Tracker!G:G,Daily!C17, Tracker!J:J,"N",Tracker!E:E,1)</f>
        <v>0</v>
      </c>
      <c r="M17" s="54">
        <f t="shared" si="21"/>
        <v>4</v>
      </c>
      <c r="N17" s="26">
        <f>COUNTIFS(Tracker!G:G,Daily!C17, Tracker!J:J,"Y",Tracker!E:E,2)</f>
        <v>3</v>
      </c>
      <c r="O17" s="26">
        <f>COUNTIFS(Tracker!G:G,Daily!C17, Tracker!J:J,"Y (with hints)",Tracker!E:E,2)</f>
        <v>0</v>
      </c>
      <c r="P17" s="33">
        <f>COUNTIFS(Tracker!G:G,Daily!C17, Tracker!J:J,"N",Tracker!E:E,2)</f>
        <v>1</v>
      </c>
      <c r="Q17" s="57">
        <f t="shared" si="22"/>
        <v>0</v>
      </c>
      <c r="R17" s="26">
        <f>COUNTIFS(Tracker!G:G,Daily!C17, Tracker!J:J,"Y",Tracker!E:E,3)</f>
        <v>0</v>
      </c>
      <c r="S17" s="26">
        <f>COUNTIFS(Tracker!G:G,Daily!C17, Tracker!J:J,"Y (with hints)",Tracker!E:E,3)</f>
        <v>0</v>
      </c>
      <c r="T17" s="33">
        <f>COUNTIFS(Tracker!G:G,Daily!C17, Tracker!J:J,"N",Tracker!E:E,3)</f>
        <v>0</v>
      </c>
      <c r="V17" s="48">
        <f t="shared" si="14"/>
        <v>28</v>
      </c>
      <c r="W17" s="26">
        <f t="shared" si="15"/>
        <v>25</v>
      </c>
      <c r="X17" s="62">
        <f t="shared" si="16"/>
        <v>0.8928571428571429</v>
      </c>
      <c r="Y17" s="74">
        <f>AVERAGEIFS(Tracker!I:I, Tracker!E:E, 1, Tracker!G:G, "&lt;="&amp;Daily!C17, Tracker!J:J, "Y")</f>
        <v>13.08</v>
      </c>
      <c r="Z17" s="77">
        <f>COUNTIFS(Tracker!E:E, 1, Tracker!G:G, "&lt;="&amp;Daily!C17, Tracker!L:L, "N") / V17</f>
        <v>0.6785714285714286</v>
      </c>
      <c r="AA17" s="48">
        <f t="shared" si="8"/>
        <v>23</v>
      </c>
      <c r="AB17" s="26">
        <f t="shared" si="9"/>
        <v>15</v>
      </c>
      <c r="AC17" s="62">
        <f t="shared" si="17"/>
        <v>0.65217391304347827</v>
      </c>
      <c r="AD17" s="74">
        <f>AVERAGEIFS(Tracker!I:I, Tracker!E:E, 2, Tracker!G:G, "&lt;="&amp;Daily!C17, Tracker!J:J, "Y")</f>
        <v>24.866666666666667</v>
      </c>
      <c r="AE17" s="77">
        <f>COUNTIFS(Tracker!E:E, 2, Tracker!G:G, "&lt;="&amp;Daily!C17, Tracker!L:L, "N") / AA17</f>
        <v>0.43478260869565216</v>
      </c>
      <c r="AF17" s="48">
        <f t="shared" si="10"/>
        <v>0</v>
      </c>
      <c r="AG17" s="26">
        <f t="shared" si="11"/>
        <v>0</v>
      </c>
      <c r="AH17" s="62">
        <f t="shared" si="12"/>
        <v>0</v>
      </c>
      <c r="AI17" s="74">
        <f>IFERROR(AVERAGEIFS(Tracker!I:I, Tracker!E:E, 3, Tracker!G:G, "&lt;="&amp;Daily!C17, Tracker!J:J, "Y"), 0)</f>
        <v>0</v>
      </c>
      <c r="AJ17" s="77">
        <f>IFERROR(COUNTIFS(Tracker!E:E, 3, Tracker!G:G, "&lt;="&amp;Daily!C17, Tracker!L:L, "N") / AF17,  0)</f>
        <v>0</v>
      </c>
      <c r="AK17" s="48">
        <f t="shared" si="5"/>
        <v>51</v>
      </c>
      <c r="AL17" s="26">
        <f t="shared" si="6"/>
        <v>40</v>
      </c>
      <c r="AM17" s="62">
        <f t="shared" si="13"/>
        <v>0.78431372549019607</v>
      </c>
      <c r="AN17" s="74">
        <f>IFERROR(AVERAGEIFS(Tracker!I:I,  Tracker!G:G, "&lt;="&amp;Daily!C17, Tracker!J:J, "Y"), 0)</f>
        <v>17.5</v>
      </c>
      <c r="AO17" s="77">
        <f>IFERROR(COUNTIFS(Tracker!G:G, "&lt;="&amp;Daily!C17, Tracker!L:L, "N") / AK17,  0)</f>
        <v>0.56862745098039214</v>
      </c>
    </row>
    <row r="18" spans="1:41" x14ac:dyDescent="0.25">
      <c r="A18" s="119"/>
      <c r="B18" s="32">
        <f t="shared" si="18"/>
        <v>45233</v>
      </c>
      <c r="C18" s="27">
        <f t="shared" si="23"/>
        <v>45233</v>
      </c>
      <c r="D18" s="109" t="b">
        <f t="shared" ca="1" si="7"/>
        <v>1</v>
      </c>
      <c r="E18" s="51">
        <f t="shared" si="19"/>
        <v>4</v>
      </c>
      <c r="F18" s="48">
        <f>COUNTIFS(Tracker!G:G,Daily!C18, Tracker!J:J,"Y")</f>
        <v>3</v>
      </c>
      <c r="G18" s="26">
        <f>COUNTIFS(Tracker!G:G,Daily!C18, Tracker!J:J,"Y (with hints)")</f>
        <v>1</v>
      </c>
      <c r="H18" s="33">
        <f>COUNTIFS(Tracker!G:G,Daily!C18, Tracker!J:J,"N")</f>
        <v>0</v>
      </c>
      <c r="I18" s="54">
        <f t="shared" si="20"/>
        <v>0</v>
      </c>
      <c r="J18" s="26">
        <f>COUNTIFS(Tracker!G:G,Daily!C18, Tracker!J:J,"Y",Tracker!E:E,1)</f>
        <v>0</v>
      </c>
      <c r="K18" s="26">
        <f>COUNTIFS(Tracker!G:G,Daily!C18, Tracker!J:J,"Y (with hints)",Tracker!E:E,1)</f>
        <v>0</v>
      </c>
      <c r="L18" s="33">
        <f>COUNTIFS(Tracker!G:G,Daily!C18, Tracker!J:J,"N",Tracker!E:E,1)</f>
        <v>0</v>
      </c>
      <c r="M18" s="54">
        <f t="shared" si="21"/>
        <v>4</v>
      </c>
      <c r="N18" s="26">
        <f>COUNTIFS(Tracker!G:G,Daily!C18, Tracker!J:J,"Y",Tracker!E:E,2)</f>
        <v>3</v>
      </c>
      <c r="O18" s="26">
        <f>COUNTIFS(Tracker!G:G,Daily!C18, Tracker!J:J,"Y (with hints)",Tracker!E:E,2)</f>
        <v>1</v>
      </c>
      <c r="P18" s="33">
        <f>COUNTIFS(Tracker!G:G,Daily!C18, Tracker!J:J,"N",Tracker!E:E,2)</f>
        <v>0</v>
      </c>
      <c r="Q18" s="57">
        <f t="shared" si="22"/>
        <v>0</v>
      </c>
      <c r="R18" s="26">
        <f>COUNTIFS(Tracker!G:G,Daily!C18, Tracker!J:J,"Y",Tracker!E:E,3)</f>
        <v>0</v>
      </c>
      <c r="S18" s="26">
        <f>COUNTIFS(Tracker!G:G,Daily!C18, Tracker!J:J,"Y (with hints)",Tracker!E:E,3)</f>
        <v>0</v>
      </c>
      <c r="T18" s="33">
        <f>COUNTIFS(Tracker!G:G,Daily!C18, Tracker!J:J,"N",Tracker!E:E,3)</f>
        <v>0</v>
      </c>
      <c r="V18" s="48">
        <f t="shared" si="14"/>
        <v>28</v>
      </c>
      <c r="W18" s="26">
        <f t="shared" si="15"/>
        <v>25</v>
      </c>
      <c r="X18" s="62">
        <f t="shared" si="16"/>
        <v>0.8928571428571429</v>
      </c>
      <c r="Y18" s="74">
        <f>AVERAGEIFS(Tracker!I:I, Tracker!E:E, 1, Tracker!G:G, "&lt;="&amp;Daily!C18, Tracker!J:J, "Y")</f>
        <v>13.08</v>
      </c>
      <c r="Z18" s="77">
        <f>COUNTIFS(Tracker!E:E, 1, Tracker!G:G, "&lt;="&amp;Daily!C18, Tracker!L:L, "N") / V18</f>
        <v>0.6785714285714286</v>
      </c>
      <c r="AA18" s="48">
        <f t="shared" si="8"/>
        <v>27</v>
      </c>
      <c r="AB18" s="26">
        <f t="shared" si="9"/>
        <v>18</v>
      </c>
      <c r="AC18" s="62">
        <f t="shared" si="17"/>
        <v>0.66666666666666663</v>
      </c>
      <c r="AD18" s="74">
        <f>AVERAGEIFS(Tracker!I:I, Tracker!E:E, 2, Tracker!G:G, "&lt;="&amp;Daily!C18, Tracker!J:J, "Y")</f>
        <v>24.222222222222221</v>
      </c>
      <c r="AE18" s="77">
        <f>COUNTIFS(Tracker!E:E, 2, Tracker!G:G, "&lt;="&amp;Daily!C18, Tracker!L:L, "N") / AA18</f>
        <v>0.44444444444444442</v>
      </c>
      <c r="AF18" s="48">
        <f t="shared" si="10"/>
        <v>0</v>
      </c>
      <c r="AG18" s="26">
        <f t="shared" si="11"/>
        <v>0</v>
      </c>
      <c r="AH18" s="62">
        <f t="shared" si="12"/>
        <v>0</v>
      </c>
      <c r="AI18" s="74">
        <f>IFERROR(AVERAGEIFS(Tracker!I:I, Tracker!E:E, 3, Tracker!G:G, "&lt;="&amp;Daily!C18, Tracker!J:J, "Y"), 0)</f>
        <v>0</v>
      </c>
      <c r="AJ18" s="77">
        <f>IFERROR(COUNTIFS(Tracker!E:E, 3, Tracker!G:G, "&lt;="&amp;Daily!C18, Tracker!L:L, "N") / AF18,  0)</f>
        <v>0</v>
      </c>
      <c r="AK18" s="48">
        <f t="shared" si="5"/>
        <v>55</v>
      </c>
      <c r="AL18" s="26">
        <f t="shared" si="6"/>
        <v>43</v>
      </c>
      <c r="AM18" s="62">
        <f t="shared" si="13"/>
        <v>0.78181818181818186</v>
      </c>
      <c r="AN18" s="74">
        <f>IFERROR(AVERAGEIFS(Tracker!I:I,  Tracker!G:G, "&lt;="&amp;Daily!C18, Tracker!J:J, "Y"), 0)</f>
        <v>17.744186046511629</v>
      </c>
      <c r="AO18" s="77">
        <f>IFERROR(COUNTIFS(Tracker!G:G, "&lt;="&amp;Daily!C18, Tracker!L:L, "N") / AK18,  0)</f>
        <v>0.5636363636363636</v>
      </c>
    </row>
    <row r="19" spans="1:41" x14ac:dyDescent="0.25">
      <c r="A19" s="119"/>
      <c r="B19" s="32">
        <f t="shared" si="18"/>
        <v>45234</v>
      </c>
      <c r="C19" s="27">
        <f t="shared" si="23"/>
        <v>45234</v>
      </c>
      <c r="D19" s="109" t="b">
        <f t="shared" ca="1" si="7"/>
        <v>1</v>
      </c>
      <c r="E19" s="51">
        <f t="shared" si="19"/>
        <v>0</v>
      </c>
      <c r="F19" s="48">
        <f>COUNTIFS(Tracker!G:G,Daily!C19, Tracker!J:J,"Y")</f>
        <v>0</v>
      </c>
      <c r="G19" s="26">
        <f>COUNTIFS(Tracker!G:G,Daily!C19, Tracker!J:J,"Y (with hints)")</f>
        <v>0</v>
      </c>
      <c r="H19" s="33">
        <f>COUNTIFS(Tracker!G:G,Daily!C19, Tracker!J:J,"N")</f>
        <v>0</v>
      </c>
      <c r="I19" s="54">
        <f t="shared" si="20"/>
        <v>0</v>
      </c>
      <c r="J19" s="26">
        <f>COUNTIFS(Tracker!G:G,Daily!C19, Tracker!J:J,"Y",Tracker!E:E,1)</f>
        <v>0</v>
      </c>
      <c r="K19" s="26">
        <f>COUNTIFS(Tracker!G:G,Daily!C19, Tracker!J:J,"Y (with hints)",Tracker!E:E,1)</f>
        <v>0</v>
      </c>
      <c r="L19" s="33">
        <f>COUNTIFS(Tracker!G:G,Daily!C19, Tracker!J:J,"N",Tracker!E:E,1)</f>
        <v>0</v>
      </c>
      <c r="M19" s="54">
        <f t="shared" si="21"/>
        <v>0</v>
      </c>
      <c r="N19" s="26">
        <f>COUNTIFS(Tracker!G:G,Daily!C19, Tracker!J:J,"Y",Tracker!E:E,2)</f>
        <v>0</v>
      </c>
      <c r="O19" s="26">
        <f>COUNTIFS(Tracker!G:G,Daily!C19, Tracker!J:J,"Y (with hints)",Tracker!E:E,2)</f>
        <v>0</v>
      </c>
      <c r="P19" s="33">
        <f>COUNTIFS(Tracker!G:G,Daily!C19, Tracker!J:J,"N",Tracker!E:E,2)</f>
        <v>0</v>
      </c>
      <c r="Q19" s="57">
        <f t="shared" si="22"/>
        <v>0</v>
      </c>
      <c r="R19" s="26">
        <f>COUNTIFS(Tracker!G:G,Daily!C19, Tracker!J:J,"Y",Tracker!E:E,3)</f>
        <v>0</v>
      </c>
      <c r="S19" s="26">
        <f>COUNTIFS(Tracker!G:G,Daily!C19, Tracker!J:J,"Y (with hints)",Tracker!E:E,3)</f>
        <v>0</v>
      </c>
      <c r="T19" s="33">
        <f>COUNTIFS(Tracker!G:G,Daily!C19, Tracker!J:J,"N",Tracker!E:E,3)</f>
        <v>0</v>
      </c>
      <c r="V19" s="48">
        <f t="shared" si="14"/>
        <v>28</v>
      </c>
      <c r="W19" s="26">
        <f t="shared" si="15"/>
        <v>25</v>
      </c>
      <c r="X19" s="62">
        <f t="shared" si="16"/>
        <v>0.8928571428571429</v>
      </c>
      <c r="Y19" s="74">
        <f>AVERAGEIFS(Tracker!I:I, Tracker!E:E, 1, Tracker!G:G, "&lt;="&amp;Daily!C19, Tracker!J:J, "Y")</f>
        <v>13.08</v>
      </c>
      <c r="Z19" s="77">
        <f>COUNTIFS(Tracker!E:E, 1, Tracker!G:G, "&lt;="&amp;Daily!C19, Tracker!L:L, "N") / V19</f>
        <v>0.6785714285714286</v>
      </c>
      <c r="AA19" s="48">
        <f t="shared" si="8"/>
        <v>27</v>
      </c>
      <c r="AB19" s="26">
        <f t="shared" si="9"/>
        <v>18</v>
      </c>
      <c r="AC19" s="62">
        <f t="shared" si="17"/>
        <v>0.66666666666666663</v>
      </c>
      <c r="AD19" s="74">
        <f>AVERAGEIFS(Tracker!I:I, Tracker!E:E, 2, Tracker!G:G, "&lt;="&amp;Daily!C19, Tracker!J:J, "Y")</f>
        <v>24.222222222222221</v>
      </c>
      <c r="AE19" s="77">
        <f>COUNTIFS(Tracker!E:E, 2, Tracker!G:G, "&lt;="&amp;Daily!C19, Tracker!L:L, "N") / AA19</f>
        <v>0.44444444444444442</v>
      </c>
      <c r="AF19" s="48">
        <f t="shared" si="10"/>
        <v>0</v>
      </c>
      <c r="AG19" s="26">
        <f t="shared" si="11"/>
        <v>0</v>
      </c>
      <c r="AH19" s="62">
        <f t="shared" si="12"/>
        <v>0</v>
      </c>
      <c r="AI19" s="74">
        <f>IFERROR(AVERAGEIFS(Tracker!I:I, Tracker!E:E, 3, Tracker!G:G, "&lt;="&amp;Daily!C19, Tracker!J:J, "Y"), 0)</f>
        <v>0</v>
      </c>
      <c r="AJ19" s="77">
        <f>IFERROR(COUNTIFS(Tracker!E:E, 3, Tracker!G:G, "&lt;="&amp;Daily!C19, Tracker!L:L, "N") / AF19,  0)</f>
        <v>0</v>
      </c>
      <c r="AK19" s="48">
        <f t="shared" si="5"/>
        <v>55</v>
      </c>
      <c r="AL19" s="26">
        <f t="shared" si="6"/>
        <v>43</v>
      </c>
      <c r="AM19" s="62">
        <f t="shared" si="13"/>
        <v>0.78181818181818186</v>
      </c>
      <c r="AN19" s="74">
        <f>IFERROR(AVERAGEIFS(Tracker!I:I,  Tracker!G:G, "&lt;="&amp;Daily!C19, Tracker!J:J, "Y"), 0)</f>
        <v>17.744186046511629</v>
      </c>
      <c r="AO19" s="77">
        <f>IFERROR(COUNTIFS(Tracker!G:G, "&lt;="&amp;Daily!C19, Tracker!L:L, "N") / AK19,  0)</f>
        <v>0.5636363636363636</v>
      </c>
    </row>
    <row r="20" spans="1:41" ht="15.75" thickBot="1" x14ac:dyDescent="0.3">
      <c r="A20" s="120"/>
      <c r="B20" s="34">
        <f t="shared" si="18"/>
        <v>45235</v>
      </c>
      <c r="C20" s="35">
        <f t="shared" si="23"/>
        <v>45235</v>
      </c>
      <c r="D20" s="110" t="b">
        <f t="shared" ca="1" si="7"/>
        <v>1</v>
      </c>
      <c r="E20" s="52">
        <f t="shared" si="19"/>
        <v>1</v>
      </c>
      <c r="F20" s="39">
        <f>COUNTIFS(Tracker!G:G,Daily!C20, Tracker!J:J,"Y")</f>
        <v>0</v>
      </c>
      <c r="G20" s="36">
        <f>COUNTIFS(Tracker!G:G,Daily!C20, Tracker!J:J,"Y (with hints)")</f>
        <v>0</v>
      </c>
      <c r="H20" s="37">
        <f>COUNTIFS(Tracker!G:G,Daily!C20, Tracker!J:J,"N")</f>
        <v>1</v>
      </c>
      <c r="I20" s="55">
        <f t="shared" si="20"/>
        <v>0</v>
      </c>
      <c r="J20" s="36">
        <f>COUNTIFS(Tracker!G:G,Daily!C20, Tracker!J:J,"Y",Tracker!E:E,1)</f>
        <v>0</v>
      </c>
      <c r="K20" s="36">
        <f>COUNTIFS(Tracker!G:G,Daily!C20, Tracker!J:J,"Y (with hints)",Tracker!E:E,1)</f>
        <v>0</v>
      </c>
      <c r="L20" s="37">
        <f>COUNTIFS(Tracker!G:G,Daily!C20, Tracker!J:J,"N",Tracker!E:E,1)</f>
        <v>0</v>
      </c>
      <c r="M20" s="55">
        <f t="shared" si="21"/>
        <v>1</v>
      </c>
      <c r="N20" s="36">
        <f>COUNTIFS(Tracker!G:G,Daily!C20, Tracker!J:J,"Y",Tracker!E:E,2)</f>
        <v>0</v>
      </c>
      <c r="O20" s="36">
        <f>COUNTIFS(Tracker!G:G,Daily!C20, Tracker!J:J,"Y (with hints)",Tracker!E:E,2)</f>
        <v>0</v>
      </c>
      <c r="P20" s="37">
        <f>COUNTIFS(Tracker!G:G,Daily!C20, Tracker!J:J,"N",Tracker!E:E,2)</f>
        <v>1</v>
      </c>
      <c r="Q20" s="58">
        <f t="shared" si="22"/>
        <v>0</v>
      </c>
      <c r="R20" s="36">
        <f>COUNTIFS(Tracker!G:G,Daily!C20, Tracker!J:J,"Y",Tracker!E:E,3)</f>
        <v>0</v>
      </c>
      <c r="S20" s="36">
        <f>COUNTIFS(Tracker!G:G,Daily!C20, Tracker!J:J,"Y (with hints)",Tracker!E:E,3)</f>
        <v>0</v>
      </c>
      <c r="T20" s="37">
        <f>COUNTIFS(Tracker!G:G,Daily!C20, Tracker!J:J,"N",Tracker!E:E,3)</f>
        <v>0</v>
      </c>
      <c r="V20" s="39">
        <f t="shared" si="14"/>
        <v>28</v>
      </c>
      <c r="W20" s="36">
        <f t="shared" si="15"/>
        <v>25</v>
      </c>
      <c r="X20" s="64">
        <f t="shared" si="16"/>
        <v>0.8928571428571429</v>
      </c>
      <c r="Y20" s="78">
        <f>AVERAGEIFS(Tracker!I:I, Tracker!E:E, 1, Tracker!G:G, "&lt;="&amp;Daily!C20, Tracker!J:J, "Y")</f>
        <v>13.08</v>
      </c>
      <c r="Z20" s="79">
        <f>COUNTIFS(Tracker!E:E, 1, Tracker!G:G, "&lt;="&amp;Daily!C20, Tracker!L:L, "N") / V20</f>
        <v>0.6785714285714286</v>
      </c>
      <c r="AA20" s="39">
        <f t="shared" si="8"/>
        <v>28</v>
      </c>
      <c r="AB20" s="36">
        <f t="shared" si="9"/>
        <v>18</v>
      </c>
      <c r="AC20" s="64">
        <f t="shared" si="17"/>
        <v>0.6428571428571429</v>
      </c>
      <c r="AD20" s="78">
        <f>AVERAGEIFS(Tracker!I:I, Tracker!E:E, 2, Tracker!G:G, "&lt;="&amp;Daily!C20, Tracker!J:J, "Y")</f>
        <v>24.222222222222221</v>
      </c>
      <c r="AE20" s="79">
        <f>COUNTIFS(Tracker!E:E, 2, Tracker!G:G, "&lt;="&amp;Daily!C20, Tracker!L:L, "N") / AA20</f>
        <v>0.42857142857142855</v>
      </c>
      <c r="AF20" s="39">
        <f t="shared" si="10"/>
        <v>0</v>
      </c>
      <c r="AG20" s="36">
        <f t="shared" si="11"/>
        <v>0</v>
      </c>
      <c r="AH20" s="64">
        <f t="shared" si="12"/>
        <v>0</v>
      </c>
      <c r="AI20" s="78">
        <f>IFERROR(AVERAGEIFS(Tracker!I:I, Tracker!E:E, 3, Tracker!G:G, "&lt;="&amp;Daily!C20, Tracker!J:J, "Y"), 0)</f>
        <v>0</v>
      </c>
      <c r="AJ20" s="79">
        <f>IFERROR(COUNTIFS(Tracker!E:E, 3, Tracker!G:G, "&lt;="&amp;Daily!C20, Tracker!L:L, "N") / AF20,  0)</f>
        <v>0</v>
      </c>
      <c r="AK20" s="39">
        <f t="shared" si="5"/>
        <v>56</v>
      </c>
      <c r="AL20" s="36">
        <f t="shared" si="6"/>
        <v>43</v>
      </c>
      <c r="AM20" s="64">
        <f t="shared" si="13"/>
        <v>0.7678571428571429</v>
      </c>
      <c r="AN20" s="78">
        <f>IFERROR(AVERAGEIFS(Tracker!I:I,  Tracker!G:G, "&lt;="&amp;Daily!C20, Tracker!J:J, "Y"), 0)</f>
        <v>17.744186046511629</v>
      </c>
      <c r="AO20" s="79">
        <f>IFERROR(COUNTIFS(Tracker!G:G, "&lt;="&amp;Daily!C20, Tracker!L:L, "N") / AK20,  0)</f>
        <v>0.5535714285714286</v>
      </c>
    </row>
    <row r="21" spans="1:41" x14ac:dyDescent="0.25">
      <c r="A21" s="118">
        <v>3</v>
      </c>
      <c r="B21" s="28">
        <f t="shared" si="18"/>
        <v>45236</v>
      </c>
      <c r="C21" s="29">
        <f t="shared" si="23"/>
        <v>45236</v>
      </c>
      <c r="D21" s="108" t="b">
        <f t="shared" ca="1" si="7"/>
        <v>1</v>
      </c>
      <c r="E21" s="50">
        <f t="shared" si="19"/>
        <v>4</v>
      </c>
      <c r="F21" s="38">
        <f>COUNTIFS(Tracker!G:G,Daily!C21, Tracker!J:J,"Y")</f>
        <v>3</v>
      </c>
      <c r="G21" s="30">
        <f>COUNTIFS(Tracker!G:G,Daily!C21, Tracker!J:J,"Y (with hints)")</f>
        <v>0</v>
      </c>
      <c r="H21" s="31">
        <f>COUNTIFS(Tracker!G:G,Daily!C21, Tracker!J:J,"N")</f>
        <v>1</v>
      </c>
      <c r="I21" s="53">
        <f t="shared" si="20"/>
        <v>3</v>
      </c>
      <c r="J21" s="30">
        <f>COUNTIFS(Tracker!G:G,Daily!C21, Tracker!J:J,"Y",Tracker!E:E,1)</f>
        <v>3</v>
      </c>
      <c r="K21" s="30">
        <f>COUNTIFS(Tracker!G:G,Daily!C21, Tracker!J:J,"Y (with hints)",Tracker!E:E,1)</f>
        <v>0</v>
      </c>
      <c r="L21" s="31">
        <f>COUNTIFS(Tracker!G:G,Daily!C21, Tracker!J:J,"N",Tracker!E:E,1)</f>
        <v>0</v>
      </c>
      <c r="M21" s="53">
        <f t="shared" si="21"/>
        <v>0</v>
      </c>
      <c r="N21" s="30">
        <f>COUNTIFS(Tracker!G:G,Daily!C21, Tracker!J:J,"Y",Tracker!E:E,2)</f>
        <v>0</v>
      </c>
      <c r="O21" s="30">
        <f>COUNTIFS(Tracker!G:G,Daily!C21, Tracker!J:J,"Y (with hints)",Tracker!E:E,2)</f>
        <v>0</v>
      </c>
      <c r="P21" s="31">
        <f>COUNTIFS(Tracker!G:G,Daily!C21, Tracker!J:J,"N",Tracker!E:E,2)</f>
        <v>0</v>
      </c>
      <c r="Q21" s="56">
        <f t="shared" si="22"/>
        <v>1</v>
      </c>
      <c r="R21" s="30">
        <f>COUNTIFS(Tracker!G:G,Daily!C21, Tracker!J:J,"Y",Tracker!E:E,3)</f>
        <v>0</v>
      </c>
      <c r="S21" s="30">
        <f>COUNTIFS(Tracker!G:G,Daily!C21, Tracker!J:J,"Y (with hints)",Tracker!E:E,3)</f>
        <v>0</v>
      </c>
      <c r="T21" s="31">
        <f>COUNTIFS(Tracker!G:G,Daily!C21, Tracker!J:J,"N",Tracker!E:E,3)</f>
        <v>1</v>
      </c>
      <c r="V21" s="38">
        <f t="shared" si="14"/>
        <v>31</v>
      </c>
      <c r="W21" s="30">
        <f t="shared" si="15"/>
        <v>28</v>
      </c>
      <c r="X21" s="73">
        <f t="shared" si="16"/>
        <v>0.90322580645161288</v>
      </c>
      <c r="Y21" s="75">
        <f>AVERAGEIFS(Tracker!I:I, Tracker!E:E, 1, Tracker!G:G, "&lt;="&amp;Daily!C21, Tracker!J:J, "Y")</f>
        <v>12.714285714285714</v>
      </c>
      <c r="Z21" s="76">
        <f>COUNTIFS(Tracker!E:E, 1, Tracker!G:G, "&lt;="&amp;Daily!C21, Tracker!L:L, "N") / V21</f>
        <v>0.70967741935483875</v>
      </c>
      <c r="AA21" s="38">
        <f t="shared" si="8"/>
        <v>28</v>
      </c>
      <c r="AB21" s="30">
        <f t="shared" si="9"/>
        <v>18</v>
      </c>
      <c r="AC21" s="73">
        <f t="shared" si="17"/>
        <v>0.6428571428571429</v>
      </c>
      <c r="AD21" s="75">
        <f>AVERAGEIFS(Tracker!I:I, Tracker!E:E, 2, Tracker!G:G, "&lt;="&amp;Daily!C21, Tracker!J:J, "Y")</f>
        <v>24.222222222222221</v>
      </c>
      <c r="AE21" s="76">
        <f>COUNTIFS(Tracker!E:E, 2, Tracker!G:G, "&lt;="&amp;Daily!C21, Tracker!L:L, "N") / AA21</f>
        <v>0.42857142857142855</v>
      </c>
      <c r="AF21" s="38">
        <f t="shared" si="10"/>
        <v>1</v>
      </c>
      <c r="AG21" s="30">
        <f t="shared" si="11"/>
        <v>0</v>
      </c>
      <c r="AH21" s="73">
        <f t="shared" si="12"/>
        <v>0</v>
      </c>
      <c r="AI21" s="75">
        <f>IFERROR(AVERAGEIFS(Tracker!I:I, Tracker!E:E, 3, Tracker!G:G, "&lt;="&amp;Daily!C21, Tracker!J:J, "Y"), 0)</f>
        <v>0</v>
      </c>
      <c r="AJ21" s="76">
        <f>IFERROR(COUNTIFS(Tracker!E:E, 3, Tracker!G:G, "&lt;="&amp;Daily!C21, Tracker!L:L, "N") / AF21,  0)</f>
        <v>0</v>
      </c>
      <c r="AK21" s="38">
        <f t="shared" si="5"/>
        <v>60</v>
      </c>
      <c r="AL21" s="30">
        <f t="shared" si="6"/>
        <v>46</v>
      </c>
      <c r="AM21" s="73">
        <f t="shared" si="13"/>
        <v>0.76666666666666672</v>
      </c>
      <c r="AN21" s="75">
        <f>IFERROR(AVERAGEIFS(Tracker!I:I,  Tracker!G:G, "&lt;="&amp;Daily!C21, Tracker!J:J, "Y"), 0)</f>
        <v>17.217391304347824</v>
      </c>
      <c r="AO21" s="76">
        <f>IFERROR(COUNTIFS(Tracker!G:G, "&lt;="&amp;Daily!C21, Tracker!L:L, "N") / AK21,  0)</f>
        <v>0.56666666666666665</v>
      </c>
    </row>
    <row r="22" spans="1:41" x14ac:dyDescent="0.25">
      <c r="A22" s="119"/>
      <c r="B22" s="32">
        <f t="shared" si="18"/>
        <v>45237</v>
      </c>
      <c r="C22" s="27">
        <f t="shared" si="23"/>
        <v>45237</v>
      </c>
      <c r="D22" s="109" t="b">
        <f t="shared" ca="1" si="7"/>
        <v>1</v>
      </c>
      <c r="E22" s="51">
        <f t="shared" si="19"/>
        <v>6</v>
      </c>
      <c r="F22" s="48">
        <f>COUNTIFS(Tracker!G:G,Daily!C22, Tracker!J:J,"Y")</f>
        <v>5</v>
      </c>
      <c r="G22" s="26">
        <f>COUNTIFS(Tracker!G:G,Daily!C22, Tracker!J:J,"Y (with hints)")</f>
        <v>0</v>
      </c>
      <c r="H22" s="33">
        <f>COUNTIFS(Tracker!G:G,Daily!C22, Tracker!J:J,"N")</f>
        <v>1</v>
      </c>
      <c r="I22" s="54">
        <f t="shared" si="20"/>
        <v>2</v>
      </c>
      <c r="J22" s="26">
        <f>COUNTIFS(Tracker!G:G,Daily!C22, Tracker!J:J,"Y",Tracker!E:E,1)</f>
        <v>2</v>
      </c>
      <c r="K22" s="26">
        <f>COUNTIFS(Tracker!G:G,Daily!C22, Tracker!J:J,"Y (with hints)",Tracker!E:E,1)</f>
        <v>0</v>
      </c>
      <c r="L22" s="33">
        <f>COUNTIFS(Tracker!G:G,Daily!C22, Tracker!J:J,"N",Tracker!E:E,1)</f>
        <v>0</v>
      </c>
      <c r="M22" s="54">
        <f t="shared" si="21"/>
        <v>4</v>
      </c>
      <c r="N22" s="26">
        <f>COUNTIFS(Tracker!G:G,Daily!C22, Tracker!J:J,"Y",Tracker!E:E,2)</f>
        <v>3</v>
      </c>
      <c r="O22" s="26">
        <f>COUNTIFS(Tracker!G:G,Daily!C22, Tracker!J:J,"Y (with hints)",Tracker!E:E,2)</f>
        <v>0</v>
      </c>
      <c r="P22" s="33">
        <f>COUNTIFS(Tracker!G:G,Daily!C22, Tracker!J:J,"N",Tracker!E:E,2)</f>
        <v>1</v>
      </c>
      <c r="Q22" s="57">
        <f t="shared" si="22"/>
        <v>0</v>
      </c>
      <c r="R22" s="26">
        <f>COUNTIFS(Tracker!G:G,Daily!C22, Tracker!J:J,"Y",Tracker!E:E,3)</f>
        <v>0</v>
      </c>
      <c r="S22" s="26">
        <f>COUNTIFS(Tracker!G:G,Daily!C22, Tracker!J:J,"Y (with hints)",Tracker!E:E,3)</f>
        <v>0</v>
      </c>
      <c r="T22" s="33">
        <f>COUNTIFS(Tracker!G:G,Daily!C22, Tracker!J:J,"N",Tracker!E:E,3)</f>
        <v>0</v>
      </c>
      <c r="V22" s="48">
        <f t="shared" si="14"/>
        <v>33</v>
      </c>
      <c r="W22" s="26">
        <f t="shared" si="15"/>
        <v>30</v>
      </c>
      <c r="X22" s="62">
        <f t="shared" si="16"/>
        <v>0.90909090909090906</v>
      </c>
      <c r="Y22" s="74">
        <f>AVERAGEIFS(Tracker!I:I, Tracker!E:E, 1, Tracker!G:G, "&lt;="&amp;Daily!C22, Tracker!J:J, "Y")</f>
        <v>13.3</v>
      </c>
      <c r="Z22" s="77">
        <f>COUNTIFS(Tracker!E:E, 1, Tracker!G:G, "&lt;="&amp;Daily!C22, Tracker!L:L, "N") / V22</f>
        <v>0.69696969696969702</v>
      </c>
      <c r="AA22" s="48">
        <f t="shared" si="8"/>
        <v>32</v>
      </c>
      <c r="AB22" s="26">
        <f t="shared" si="9"/>
        <v>21</v>
      </c>
      <c r="AC22" s="62">
        <f t="shared" si="17"/>
        <v>0.65625</v>
      </c>
      <c r="AD22" s="74">
        <f>AVERAGEIFS(Tracker!I:I, Tracker!E:E, 2, Tracker!G:G, "&lt;="&amp;Daily!C22, Tracker!J:J, "Y")</f>
        <v>25</v>
      </c>
      <c r="AE22" s="77">
        <f>COUNTIFS(Tracker!E:E, 2, Tracker!G:G, "&lt;="&amp;Daily!C22, Tracker!L:L, "N") / AA22</f>
        <v>0.4375</v>
      </c>
      <c r="AF22" s="48">
        <f t="shared" si="10"/>
        <v>1</v>
      </c>
      <c r="AG22" s="26">
        <f t="shared" si="11"/>
        <v>0</v>
      </c>
      <c r="AH22" s="62">
        <f t="shared" si="12"/>
        <v>0</v>
      </c>
      <c r="AI22" s="74">
        <f>IFERROR(AVERAGEIFS(Tracker!I:I, Tracker!E:E, 3, Tracker!G:G, "&lt;="&amp;Daily!C22, Tracker!J:J, "Y"), 0)</f>
        <v>0</v>
      </c>
      <c r="AJ22" s="77">
        <f>IFERROR(COUNTIFS(Tracker!E:E, 3, Tracker!G:G, "&lt;="&amp;Daily!C22, Tracker!L:L, "N") / AF22,  0)</f>
        <v>0</v>
      </c>
      <c r="AK22" s="48">
        <f t="shared" si="5"/>
        <v>66</v>
      </c>
      <c r="AL22" s="26">
        <f t="shared" si="6"/>
        <v>51</v>
      </c>
      <c r="AM22" s="62">
        <f t="shared" si="13"/>
        <v>0.77272727272727271</v>
      </c>
      <c r="AN22" s="74">
        <f>IFERROR(AVERAGEIFS(Tracker!I:I,  Tracker!G:G, "&lt;="&amp;Daily!C22, Tracker!J:J, "Y"), 0)</f>
        <v>18.117647058823529</v>
      </c>
      <c r="AO22" s="77">
        <f>IFERROR(COUNTIFS(Tracker!G:G, "&lt;="&amp;Daily!C22, Tracker!L:L, "N") / AK22,  0)</f>
        <v>0.56060606060606055</v>
      </c>
    </row>
    <row r="23" spans="1:41" x14ac:dyDescent="0.25">
      <c r="A23" s="119"/>
      <c r="B23" s="32">
        <f t="shared" si="18"/>
        <v>45238</v>
      </c>
      <c r="C23" s="27">
        <f t="shared" si="23"/>
        <v>45238</v>
      </c>
      <c r="D23" s="109" t="b">
        <f t="shared" ca="1" si="7"/>
        <v>1</v>
      </c>
      <c r="E23" s="51">
        <f t="shared" si="19"/>
        <v>3</v>
      </c>
      <c r="F23" s="48">
        <f>COUNTIFS(Tracker!G:G,Daily!C23, Tracker!J:J,"Y")</f>
        <v>2</v>
      </c>
      <c r="G23" s="26">
        <f>COUNTIFS(Tracker!G:G,Daily!C23, Tracker!J:J,"Y (with hints)")</f>
        <v>0</v>
      </c>
      <c r="H23" s="33">
        <f>COUNTIFS(Tracker!G:G,Daily!C23, Tracker!J:J,"N")</f>
        <v>1</v>
      </c>
      <c r="I23" s="54">
        <f t="shared" si="20"/>
        <v>1</v>
      </c>
      <c r="J23" s="26">
        <f>COUNTIFS(Tracker!G:G,Daily!C23, Tracker!J:J,"Y",Tracker!E:E,1)</f>
        <v>1</v>
      </c>
      <c r="K23" s="26">
        <f>COUNTIFS(Tracker!G:G,Daily!C23, Tracker!J:J,"Y (with hints)",Tracker!E:E,1)</f>
        <v>0</v>
      </c>
      <c r="L23" s="33">
        <f>COUNTIFS(Tracker!G:G,Daily!C23, Tracker!J:J,"N",Tracker!E:E,1)</f>
        <v>0</v>
      </c>
      <c r="M23" s="54">
        <f t="shared" si="21"/>
        <v>2</v>
      </c>
      <c r="N23" s="26">
        <f>COUNTIFS(Tracker!G:G,Daily!C23, Tracker!J:J,"Y",Tracker!E:E,2)</f>
        <v>1</v>
      </c>
      <c r="O23" s="26">
        <f>COUNTIFS(Tracker!G:G,Daily!C23, Tracker!J:J,"Y (with hints)",Tracker!E:E,2)</f>
        <v>0</v>
      </c>
      <c r="P23" s="33">
        <f>COUNTIFS(Tracker!G:G,Daily!C23, Tracker!J:J,"N",Tracker!E:E,2)</f>
        <v>1</v>
      </c>
      <c r="Q23" s="57">
        <f t="shared" si="22"/>
        <v>0</v>
      </c>
      <c r="R23" s="26">
        <f>COUNTIFS(Tracker!G:G,Daily!C23, Tracker!J:J,"Y",Tracker!E:E,3)</f>
        <v>0</v>
      </c>
      <c r="S23" s="26">
        <f>COUNTIFS(Tracker!G:G,Daily!C23, Tracker!J:J,"Y (with hints)",Tracker!E:E,3)</f>
        <v>0</v>
      </c>
      <c r="T23" s="33">
        <f>COUNTIFS(Tracker!G:G,Daily!C23, Tracker!J:J,"N",Tracker!E:E,3)</f>
        <v>0</v>
      </c>
      <c r="V23" s="48">
        <f t="shared" si="14"/>
        <v>34</v>
      </c>
      <c r="W23" s="26">
        <f t="shared" si="15"/>
        <v>31</v>
      </c>
      <c r="X23" s="62">
        <f t="shared" si="16"/>
        <v>0.91176470588235292</v>
      </c>
      <c r="Y23" s="74">
        <f>AVERAGEIFS(Tracker!I:I, Tracker!E:E, 1, Tracker!G:G, "&lt;="&amp;Daily!C23, Tracker!J:J, "Y")</f>
        <v>13.064516129032258</v>
      </c>
      <c r="Z23" s="77">
        <f>COUNTIFS(Tracker!E:E, 1, Tracker!G:G, "&lt;="&amp;Daily!C23, Tracker!L:L, "N") / V23</f>
        <v>0.70588235294117652</v>
      </c>
      <c r="AA23" s="48">
        <f t="shared" si="8"/>
        <v>34</v>
      </c>
      <c r="AB23" s="26">
        <f t="shared" si="9"/>
        <v>22</v>
      </c>
      <c r="AC23" s="62">
        <f t="shared" si="17"/>
        <v>0.6470588235294118</v>
      </c>
      <c r="AD23" s="74">
        <f>AVERAGEIFS(Tracker!I:I, Tracker!E:E, 2, Tracker!G:G, "&lt;="&amp;Daily!C23, Tracker!J:J, "Y")</f>
        <v>24.636363636363637</v>
      </c>
      <c r="AE23" s="77">
        <f>COUNTIFS(Tracker!E:E, 2, Tracker!G:G, "&lt;="&amp;Daily!C23, Tracker!L:L, "N") / AA23</f>
        <v>0.44117647058823528</v>
      </c>
      <c r="AF23" s="48">
        <f t="shared" si="10"/>
        <v>1</v>
      </c>
      <c r="AG23" s="26">
        <f t="shared" si="11"/>
        <v>0</v>
      </c>
      <c r="AH23" s="62">
        <f t="shared" si="12"/>
        <v>0</v>
      </c>
      <c r="AI23" s="74">
        <f>IFERROR(AVERAGEIFS(Tracker!I:I, Tracker!E:E, 3, Tracker!G:G, "&lt;="&amp;Daily!C23, Tracker!J:J, "Y"), 0)</f>
        <v>0</v>
      </c>
      <c r="AJ23" s="77">
        <f>IFERROR(COUNTIFS(Tracker!E:E, 3, Tracker!G:G, "&lt;="&amp;Daily!C23, Tracker!L:L, "N") / AF23,  0)</f>
        <v>0</v>
      </c>
      <c r="AK23" s="48">
        <f t="shared" si="5"/>
        <v>69</v>
      </c>
      <c r="AL23" s="26">
        <f t="shared" si="6"/>
        <v>53</v>
      </c>
      <c r="AM23" s="62">
        <f t="shared" si="13"/>
        <v>0.76811594202898548</v>
      </c>
      <c r="AN23" s="74">
        <f>IFERROR(AVERAGEIFS(Tracker!I:I,  Tracker!G:G, "&lt;="&amp;Daily!C23, Tracker!J:J, "Y"), 0)</f>
        <v>17.867924528301888</v>
      </c>
      <c r="AO23" s="77">
        <f>IFERROR(COUNTIFS(Tracker!G:G, "&lt;="&amp;Daily!C23, Tracker!L:L, "N") / AK23,  0)</f>
        <v>0.56521739130434778</v>
      </c>
    </row>
    <row r="24" spans="1:41" x14ac:dyDescent="0.25">
      <c r="A24" s="119"/>
      <c r="B24" s="32">
        <f t="shared" ref="B24:B32" si="24">C24</f>
        <v>45239</v>
      </c>
      <c r="C24" s="27">
        <f t="shared" si="23"/>
        <v>45239</v>
      </c>
      <c r="D24" s="109" t="b">
        <f t="shared" ca="1" si="7"/>
        <v>1</v>
      </c>
      <c r="E24" s="51">
        <f t="shared" ref="E24:E32" si="25">SUM(F24:H24)</f>
        <v>5</v>
      </c>
      <c r="F24" s="48">
        <f>COUNTIFS(Tracker!G:G,Daily!C24, Tracker!J:J,"Y")</f>
        <v>4</v>
      </c>
      <c r="G24" s="26">
        <f>COUNTIFS(Tracker!G:G,Daily!C24, Tracker!J:J,"Y (with hints)")</f>
        <v>0</v>
      </c>
      <c r="H24" s="33">
        <f>COUNTIFS(Tracker!G:G,Daily!C24, Tracker!J:J,"N")</f>
        <v>1</v>
      </c>
      <c r="I24" s="54">
        <f t="shared" ref="I24:I32" si="26">SUM(J24:L24)</f>
        <v>2</v>
      </c>
      <c r="J24" s="26">
        <f>COUNTIFS(Tracker!G:G,Daily!C24, Tracker!J:J,"Y",Tracker!E:E,1)</f>
        <v>2</v>
      </c>
      <c r="K24" s="26">
        <f>COUNTIFS(Tracker!G:G,Daily!C24, Tracker!J:J,"Y (with hints)",Tracker!E:E,1)</f>
        <v>0</v>
      </c>
      <c r="L24" s="33">
        <f>COUNTIFS(Tracker!G:G,Daily!C24, Tracker!J:J,"N",Tracker!E:E,1)</f>
        <v>0</v>
      </c>
      <c r="M24" s="54">
        <f t="shared" ref="M24:M32" si="27">SUM(N24:P24)</f>
        <v>2</v>
      </c>
      <c r="N24" s="26">
        <f>COUNTIFS(Tracker!G:G,Daily!C24, Tracker!J:J,"Y",Tracker!E:E,2)</f>
        <v>1</v>
      </c>
      <c r="O24" s="26">
        <f>COUNTIFS(Tracker!G:G,Daily!C24, Tracker!J:J,"Y (with hints)",Tracker!E:E,2)</f>
        <v>0</v>
      </c>
      <c r="P24" s="33">
        <f>COUNTIFS(Tracker!G:G,Daily!C24, Tracker!J:J,"N",Tracker!E:E,2)</f>
        <v>1</v>
      </c>
      <c r="Q24" s="57">
        <f t="shared" ref="Q24:Q32" si="28">SUM(R24:T24)</f>
        <v>1</v>
      </c>
      <c r="R24" s="26">
        <f>COUNTIFS(Tracker!G:G,Daily!C24, Tracker!J:J,"Y",Tracker!E:E,3)</f>
        <v>1</v>
      </c>
      <c r="S24" s="26">
        <f>COUNTIFS(Tracker!G:G,Daily!C24, Tracker!J:J,"Y (with hints)",Tracker!E:E,3)</f>
        <v>0</v>
      </c>
      <c r="T24" s="33">
        <f>COUNTIFS(Tracker!G:G,Daily!C24, Tracker!J:J,"N",Tracker!E:E,3)</f>
        <v>0</v>
      </c>
      <c r="V24" s="48">
        <f t="shared" si="14"/>
        <v>36</v>
      </c>
      <c r="W24" s="26">
        <f t="shared" si="15"/>
        <v>33</v>
      </c>
      <c r="X24" s="62">
        <f t="shared" si="16"/>
        <v>0.91666666666666663</v>
      </c>
      <c r="Y24" s="74">
        <f>AVERAGEIFS(Tracker!I:I, Tracker!E:E, 1, Tracker!G:G, "&lt;="&amp;Daily!C24, Tracker!J:J, "Y")</f>
        <v>12.787878787878787</v>
      </c>
      <c r="Z24" s="77">
        <f>COUNTIFS(Tracker!E:E, 1, Tracker!G:G, "&lt;="&amp;Daily!C24, Tracker!L:L, "N") / V24</f>
        <v>0.72222222222222221</v>
      </c>
      <c r="AA24" s="48">
        <f t="shared" si="8"/>
        <v>36</v>
      </c>
      <c r="AB24" s="26">
        <f t="shared" si="9"/>
        <v>23</v>
      </c>
      <c r="AC24" s="62">
        <f t="shared" si="17"/>
        <v>0.63888888888888884</v>
      </c>
      <c r="AD24" s="74">
        <f>AVERAGEIFS(Tracker!I:I, Tracker!E:E, 2, Tracker!G:G, "&lt;="&amp;Daily!C24, Tracker!J:J, "Y")</f>
        <v>24.565217391304348</v>
      </c>
      <c r="AE24" s="77">
        <f>COUNTIFS(Tracker!E:E, 2, Tracker!G:G, "&lt;="&amp;Daily!C24, Tracker!L:L, "N") / AA24</f>
        <v>0.41666666666666669</v>
      </c>
      <c r="AF24" s="48">
        <f t="shared" si="10"/>
        <v>2</v>
      </c>
      <c r="AG24" s="26">
        <f t="shared" si="11"/>
        <v>1</v>
      </c>
      <c r="AH24" s="62">
        <f t="shared" si="12"/>
        <v>0.5</v>
      </c>
      <c r="AI24" s="74">
        <f>IFERROR(AVERAGEIFS(Tracker!I:I, Tracker!E:E, 3, Tracker!G:G, "&lt;="&amp;Daily!C24, Tracker!J:J, "Y"), 0)</f>
        <v>25</v>
      </c>
      <c r="AJ24" s="77">
        <f>IFERROR(COUNTIFS(Tracker!E:E, 3, Tracker!G:G, "&lt;="&amp;Daily!C24, Tracker!L:L, "N") / AF24,  0)</f>
        <v>0</v>
      </c>
      <c r="AK24" s="48">
        <f t="shared" si="5"/>
        <v>74</v>
      </c>
      <c r="AL24" s="26">
        <f t="shared" si="6"/>
        <v>57</v>
      </c>
      <c r="AM24" s="62">
        <f t="shared" si="13"/>
        <v>0.77027027027027029</v>
      </c>
      <c r="AN24" s="74">
        <f>IFERROR(AVERAGEIFS(Tracker!I:I,  Tracker!G:G, "&lt;="&amp;Daily!C24, Tracker!J:J, "Y"), 0)</f>
        <v>17.754385964912281</v>
      </c>
      <c r="AO24" s="77">
        <f>IFERROR(COUNTIFS(Tracker!G:G, "&lt;="&amp;Daily!C24, Tracker!L:L, "N") / AK24,  0)</f>
        <v>0.55405405405405406</v>
      </c>
    </row>
    <row r="25" spans="1:41" x14ac:dyDescent="0.25">
      <c r="A25" s="119"/>
      <c r="B25" s="32">
        <f t="shared" si="24"/>
        <v>45240</v>
      </c>
      <c r="C25" s="27">
        <f t="shared" si="23"/>
        <v>45240</v>
      </c>
      <c r="D25" s="109" t="b">
        <f t="shared" ca="1" si="7"/>
        <v>1</v>
      </c>
      <c r="E25" s="51">
        <f t="shared" si="25"/>
        <v>2</v>
      </c>
      <c r="F25" s="48">
        <f>COUNTIFS(Tracker!G:G,Daily!C25, Tracker!J:J,"Y")</f>
        <v>0</v>
      </c>
      <c r="G25" s="26">
        <f>COUNTIFS(Tracker!G:G,Daily!C25, Tracker!J:J,"Y (with hints)")</f>
        <v>0</v>
      </c>
      <c r="H25" s="33">
        <f>COUNTIFS(Tracker!G:G,Daily!C25, Tracker!J:J,"N")</f>
        <v>2</v>
      </c>
      <c r="I25" s="54">
        <f t="shared" si="26"/>
        <v>0</v>
      </c>
      <c r="J25" s="26">
        <f>COUNTIFS(Tracker!G:G,Daily!C25, Tracker!J:J,"Y",Tracker!E:E,1)</f>
        <v>0</v>
      </c>
      <c r="K25" s="26">
        <f>COUNTIFS(Tracker!G:G,Daily!C25, Tracker!J:J,"Y (with hints)",Tracker!E:E,1)</f>
        <v>0</v>
      </c>
      <c r="L25" s="33">
        <f>COUNTIFS(Tracker!G:G,Daily!C25, Tracker!J:J,"N",Tracker!E:E,1)</f>
        <v>0</v>
      </c>
      <c r="M25" s="54">
        <f t="shared" si="27"/>
        <v>0</v>
      </c>
      <c r="N25" s="26">
        <f>COUNTIFS(Tracker!G:G,Daily!C25, Tracker!J:J,"Y",Tracker!E:E,2)</f>
        <v>0</v>
      </c>
      <c r="O25" s="26">
        <f>COUNTIFS(Tracker!G:G,Daily!C25, Tracker!J:J,"Y (with hints)",Tracker!E:E,2)</f>
        <v>0</v>
      </c>
      <c r="P25" s="33">
        <f>COUNTIFS(Tracker!G:G,Daily!C25, Tracker!J:J,"N",Tracker!E:E,2)</f>
        <v>0</v>
      </c>
      <c r="Q25" s="57">
        <f t="shared" si="28"/>
        <v>2</v>
      </c>
      <c r="R25" s="26">
        <f>COUNTIFS(Tracker!G:G,Daily!C25, Tracker!J:J,"Y",Tracker!E:E,3)</f>
        <v>0</v>
      </c>
      <c r="S25" s="26">
        <f>COUNTIFS(Tracker!G:G,Daily!C25, Tracker!J:J,"Y (with hints)",Tracker!E:E,3)</f>
        <v>0</v>
      </c>
      <c r="T25" s="33">
        <f>COUNTIFS(Tracker!G:G,Daily!C25, Tracker!J:J,"N",Tracker!E:E,3)</f>
        <v>2</v>
      </c>
      <c r="V25" s="48">
        <f t="shared" si="14"/>
        <v>36</v>
      </c>
      <c r="W25" s="26">
        <f t="shared" si="15"/>
        <v>33</v>
      </c>
      <c r="X25" s="62">
        <f t="shared" si="16"/>
        <v>0.91666666666666663</v>
      </c>
      <c r="Y25" s="74">
        <f>AVERAGEIFS(Tracker!I:I, Tracker!E:E, 1, Tracker!G:G, "&lt;="&amp;Daily!C25, Tracker!J:J, "Y")</f>
        <v>12.787878787878787</v>
      </c>
      <c r="Z25" s="77">
        <f>COUNTIFS(Tracker!E:E, 1, Tracker!G:G, "&lt;="&amp;Daily!C25, Tracker!L:L, "N") / V25</f>
        <v>0.72222222222222221</v>
      </c>
      <c r="AA25" s="48">
        <f t="shared" si="8"/>
        <v>36</v>
      </c>
      <c r="AB25" s="26">
        <f t="shared" si="9"/>
        <v>23</v>
      </c>
      <c r="AC25" s="62">
        <f t="shared" si="17"/>
        <v>0.63888888888888884</v>
      </c>
      <c r="AD25" s="74">
        <f>AVERAGEIFS(Tracker!I:I, Tracker!E:E, 2, Tracker!G:G, "&lt;="&amp;Daily!C25, Tracker!J:J, "Y")</f>
        <v>24.565217391304348</v>
      </c>
      <c r="AE25" s="77">
        <f>COUNTIFS(Tracker!E:E, 2, Tracker!G:G, "&lt;="&amp;Daily!C25, Tracker!L:L, "N") / AA25</f>
        <v>0.41666666666666669</v>
      </c>
      <c r="AF25" s="48">
        <f t="shared" si="10"/>
        <v>4</v>
      </c>
      <c r="AG25" s="26">
        <f t="shared" si="11"/>
        <v>1</v>
      </c>
      <c r="AH25" s="62">
        <f t="shared" si="12"/>
        <v>0.25</v>
      </c>
      <c r="AI25" s="74">
        <f>IFERROR(AVERAGEIFS(Tracker!I:I, Tracker!E:E, 3, Tracker!G:G, "&lt;="&amp;Daily!C25, Tracker!J:J, "Y"), 0)</f>
        <v>25</v>
      </c>
      <c r="AJ25" s="77">
        <f>IFERROR(COUNTIFS(Tracker!E:E, 3, Tracker!G:G, "&lt;="&amp;Daily!C25, Tracker!L:L, "N") / AF25,  0)</f>
        <v>0</v>
      </c>
      <c r="AK25" s="48">
        <f t="shared" si="5"/>
        <v>76</v>
      </c>
      <c r="AL25" s="26">
        <f t="shared" si="6"/>
        <v>57</v>
      </c>
      <c r="AM25" s="62">
        <f t="shared" si="13"/>
        <v>0.75</v>
      </c>
      <c r="AN25" s="74">
        <f>IFERROR(AVERAGEIFS(Tracker!I:I,  Tracker!G:G, "&lt;="&amp;Daily!C25, Tracker!J:J, "Y"), 0)</f>
        <v>17.754385964912281</v>
      </c>
      <c r="AO25" s="77">
        <f>IFERROR(COUNTIFS(Tracker!G:G, "&lt;="&amp;Daily!C25, Tracker!L:L, "N") / AK25,  0)</f>
        <v>0.53947368421052633</v>
      </c>
    </row>
    <row r="26" spans="1:41" x14ac:dyDescent="0.25">
      <c r="A26" s="119"/>
      <c r="B26" s="32">
        <f t="shared" si="24"/>
        <v>45241</v>
      </c>
      <c r="C26" s="27">
        <f t="shared" si="23"/>
        <v>45241</v>
      </c>
      <c r="D26" s="109" t="b">
        <f t="shared" ca="1" si="7"/>
        <v>1</v>
      </c>
      <c r="E26" s="51">
        <f t="shared" si="25"/>
        <v>0</v>
      </c>
      <c r="F26" s="48">
        <f>COUNTIFS(Tracker!G:G,Daily!C26, Tracker!J:J,"Y")</f>
        <v>0</v>
      </c>
      <c r="G26" s="26">
        <f>COUNTIFS(Tracker!G:G,Daily!C26, Tracker!J:J,"Y (with hints)")</f>
        <v>0</v>
      </c>
      <c r="H26" s="33">
        <f>COUNTIFS(Tracker!G:G,Daily!C26, Tracker!J:J,"N")</f>
        <v>0</v>
      </c>
      <c r="I26" s="54">
        <f t="shared" si="26"/>
        <v>0</v>
      </c>
      <c r="J26" s="26">
        <f>COUNTIFS(Tracker!G:G,Daily!C26, Tracker!J:J,"Y",Tracker!E:E,1)</f>
        <v>0</v>
      </c>
      <c r="K26" s="26">
        <f>COUNTIFS(Tracker!G:G,Daily!C26, Tracker!J:J,"Y (with hints)",Tracker!E:E,1)</f>
        <v>0</v>
      </c>
      <c r="L26" s="33">
        <f>COUNTIFS(Tracker!G:G,Daily!C26, Tracker!J:J,"N",Tracker!E:E,1)</f>
        <v>0</v>
      </c>
      <c r="M26" s="54">
        <f t="shared" si="27"/>
        <v>0</v>
      </c>
      <c r="N26" s="26">
        <f>COUNTIFS(Tracker!G:G,Daily!C26, Tracker!J:J,"Y",Tracker!E:E,2)</f>
        <v>0</v>
      </c>
      <c r="O26" s="26">
        <f>COUNTIFS(Tracker!G:G,Daily!C26, Tracker!J:J,"Y (with hints)",Tracker!E:E,2)</f>
        <v>0</v>
      </c>
      <c r="P26" s="33">
        <f>COUNTIFS(Tracker!G:G,Daily!C26, Tracker!J:J,"N",Tracker!E:E,2)</f>
        <v>0</v>
      </c>
      <c r="Q26" s="57">
        <f t="shared" si="28"/>
        <v>0</v>
      </c>
      <c r="R26" s="26">
        <f>COUNTIFS(Tracker!G:G,Daily!C26, Tracker!J:J,"Y",Tracker!E:E,3)</f>
        <v>0</v>
      </c>
      <c r="S26" s="26">
        <f>COUNTIFS(Tracker!G:G,Daily!C26, Tracker!J:J,"Y (with hints)",Tracker!E:E,3)</f>
        <v>0</v>
      </c>
      <c r="T26" s="33">
        <f>COUNTIFS(Tracker!G:G,Daily!C26, Tracker!J:J,"N",Tracker!E:E,3)</f>
        <v>0</v>
      </c>
      <c r="V26" s="48">
        <f t="shared" si="14"/>
        <v>36</v>
      </c>
      <c r="W26" s="26">
        <f t="shared" si="15"/>
        <v>33</v>
      </c>
      <c r="X26" s="62">
        <f t="shared" si="16"/>
        <v>0.91666666666666663</v>
      </c>
      <c r="Y26" s="74">
        <f>AVERAGEIFS(Tracker!I:I, Tracker!E:E, 1, Tracker!G:G, "&lt;="&amp;Daily!C26, Tracker!J:J, "Y")</f>
        <v>12.787878787878787</v>
      </c>
      <c r="Z26" s="77">
        <f>COUNTIFS(Tracker!E:E, 1, Tracker!G:G, "&lt;="&amp;Daily!C26, Tracker!L:L, "N") / V26</f>
        <v>0.72222222222222221</v>
      </c>
      <c r="AA26" s="48">
        <f t="shared" si="8"/>
        <v>36</v>
      </c>
      <c r="AB26" s="26">
        <f t="shared" si="9"/>
        <v>23</v>
      </c>
      <c r="AC26" s="62">
        <f t="shared" si="17"/>
        <v>0.63888888888888884</v>
      </c>
      <c r="AD26" s="74">
        <f>AVERAGEIFS(Tracker!I:I, Tracker!E:E, 2, Tracker!G:G, "&lt;="&amp;Daily!C26, Tracker!J:J, "Y")</f>
        <v>24.565217391304348</v>
      </c>
      <c r="AE26" s="77">
        <f>COUNTIFS(Tracker!E:E, 2, Tracker!G:G, "&lt;="&amp;Daily!C26, Tracker!L:L, "N") / AA26</f>
        <v>0.41666666666666669</v>
      </c>
      <c r="AF26" s="48">
        <f t="shared" si="10"/>
        <v>4</v>
      </c>
      <c r="AG26" s="26">
        <f t="shared" si="11"/>
        <v>1</v>
      </c>
      <c r="AH26" s="62">
        <f t="shared" si="12"/>
        <v>0.25</v>
      </c>
      <c r="AI26" s="74">
        <f>IFERROR(AVERAGEIFS(Tracker!I:I, Tracker!E:E, 3, Tracker!G:G, "&lt;="&amp;Daily!C26, Tracker!J:J, "Y"), 0)</f>
        <v>25</v>
      </c>
      <c r="AJ26" s="77">
        <f>IFERROR(COUNTIFS(Tracker!E:E, 3, Tracker!G:G, "&lt;="&amp;Daily!C26, Tracker!L:L, "N") / AF26,  0)</f>
        <v>0</v>
      </c>
      <c r="AK26" s="48">
        <f t="shared" si="5"/>
        <v>76</v>
      </c>
      <c r="AL26" s="26">
        <f t="shared" si="6"/>
        <v>57</v>
      </c>
      <c r="AM26" s="62">
        <f t="shared" si="13"/>
        <v>0.75</v>
      </c>
      <c r="AN26" s="74">
        <f>IFERROR(AVERAGEIFS(Tracker!I:I,  Tracker!G:G, "&lt;="&amp;Daily!C26, Tracker!J:J, "Y"), 0)</f>
        <v>17.754385964912281</v>
      </c>
      <c r="AO26" s="77">
        <f>IFERROR(COUNTIFS(Tracker!G:G, "&lt;="&amp;Daily!C26, Tracker!L:L, "N") / AK26,  0)</f>
        <v>0.53947368421052633</v>
      </c>
    </row>
    <row r="27" spans="1:41" ht="15.75" thickBot="1" x14ac:dyDescent="0.3">
      <c r="A27" s="120"/>
      <c r="B27" s="34">
        <f t="shared" si="24"/>
        <v>45242</v>
      </c>
      <c r="C27" s="35">
        <f t="shared" si="23"/>
        <v>45242</v>
      </c>
      <c r="D27" s="110" t="b">
        <f t="shared" ca="1" si="7"/>
        <v>1</v>
      </c>
      <c r="E27" s="52">
        <f t="shared" si="25"/>
        <v>0</v>
      </c>
      <c r="F27" s="39">
        <f>COUNTIFS(Tracker!G:G,Daily!C27, Tracker!J:J,"Y")</f>
        <v>0</v>
      </c>
      <c r="G27" s="36">
        <f>COUNTIFS(Tracker!G:G,Daily!C27, Tracker!J:J,"Y (with hints)")</f>
        <v>0</v>
      </c>
      <c r="H27" s="37">
        <f>COUNTIFS(Tracker!G:G,Daily!C27, Tracker!J:J,"N")</f>
        <v>0</v>
      </c>
      <c r="I27" s="55">
        <f t="shared" si="26"/>
        <v>0</v>
      </c>
      <c r="J27" s="36">
        <f>COUNTIFS(Tracker!G:G,Daily!C27, Tracker!J:J,"Y",Tracker!E:E,1)</f>
        <v>0</v>
      </c>
      <c r="K27" s="36">
        <f>COUNTIFS(Tracker!G:G,Daily!C27, Tracker!J:J,"Y (with hints)",Tracker!E:E,1)</f>
        <v>0</v>
      </c>
      <c r="L27" s="37">
        <f>COUNTIFS(Tracker!G:G,Daily!C27, Tracker!J:J,"N",Tracker!E:E,1)</f>
        <v>0</v>
      </c>
      <c r="M27" s="55">
        <f t="shared" si="27"/>
        <v>0</v>
      </c>
      <c r="N27" s="36">
        <f>COUNTIFS(Tracker!G:G,Daily!C27, Tracker!J:J,"Y",Tracker!E:E,2)</f>
        <v>0</v>
      </c>
      <c r="O27" s="36">
        <f>COUNTIFS(Tracker!G:G,Daily!C27, Tracker!J:J,"Y (with hints)",Tracker!E:E,2)</f>
        <v>0</v>
      </c>
      <c r="P27" s="37">
        <f>COUNTIFS(Tracker!G:G,Daily!C27, Tracker!J:J,"N",Tracker!E:E,2)</f>
        <v>0</v>
      </c>
      <c r="Q27" s="58">
        <f t="shared" si="28"/>
        <v>0</v>
      </c>
      <c r="R27" s="36">
        <f>COUNTIFS(Tracker!G:G,Daily!C27, Tracker!J:J,"Y",Tracker!E:E,3)</f>
        <v>0</v>
      </c>
      <c r="S27" s="36">
        <f>COUNTIFS(Tracker!G:G,Daily!C27, Tracker!J:J,"Y (with hints)",Tracker!E:E,3)</f>
        <v>0</v>
      </c>
      <c r="T27" s="37">
        <f>COUNTIFS(Tracker!G:G,Daily!C27, Tracker!J:J,"N",Tracker!E:E,3)</f>
        <v>0</v>
      </c>
      <c r="V27" s="39">
        <f t="shared" si="14"/>
        <v>36</v>
      </c>
      <c r="W27" s="36">
        <f t="shared" si="15"/>
        <v>33</v>
      </c>
      <c r="X27" s="64">
        <f t="shared" si="16"/>
        <v>0.91666666666666663</v>
      </c>
      <c r="Y27" s="78">
        <f>AVERAGEIFS(Tracker!I:I, Tracker!E:E, 1, Tracker!G:G, "&lt;="&amp;Daily!C27, Tracker!J:J, "Y")</f>
        <v>12.787878787878787</v>
      </c>
      <c r="Z27" s="79">
        <f>COUNTIFS(Tracker!E:E, 1, Tracker!G:G, "&lt;="&amp;Daily!C27, Tracker!L:L, "N") / V27</f>
        <v>0.72222222222222221</v>
      </c>
      <c r="AA27" s="39">
        <f t="shared" si="8"/>
        <v>36</v>
      </c>
      <c r="AB27" s="36">
        <f t="shared" si="9"/>
        <v>23</v>
      </c>
      <c r="AC27" s="64">
        <f t="shared" si="17"/>
        <v>0.63888888888888884</v>
      </c>
      <c r="AD27" s="78">
        <f>AVERAGEIFS(Tracker!I:I, Tracker!E:E, 2, Tracker!G:G, "&lt;="&amp;Daily!C27, Tracker!J:J, "Y")</f>
        <v>24.565217391304348</v>
      </c>
      <c r="AE27" s="79">
        <f>COUNTIFS(Tracker!E:E, 2, Tracker!G:G, "&lt;="&amp;Daily!C27, Tracker!L:L, "N") / AA27</f>
        <v>0.41666666666666669</v>
      </c>
      <c r="AF27" s="39">
        <f t="shared" si="10"/>
        <v>4</v>
      </c>
      <c r="AG27" s="36">
        <f t="shared" si="11"/>
        <v>1</v>
      </c>
      <c r="AH27" s="64">
        <f t="shared" si="12"/>
        <v>0.25</v>
      </c>
      <c r="AI27" s="78">
        <f>IFERROR(AVERAGEIFS(Tracker!I:I, Tracker!E:E, 3, Tracker!G:G, "&lt;="&amp;Daily!C27, Tracker!J:J, "Y"), 0)</f>
        <v>25</v>
      </c>
      <c r="AJ27" s="79">
        <f>IFERROR(COUNTIFS(Tracker!E:E, 3, Tracker!G:G, "&lt;="&amp;Daily!C27, Tracker!L:L, "N") / AF27,  0)</f>
        <v>0</v>
      </c>
      <c r="AK27" s="39">
        <f t="shared" si="5"/>
        <v>76</v>
      </c>
      <c r="AL27" s="36">
        <f t="shared" si="6"/>
        <v>57</v>
      </c>
      <c r="AM27" s="64">
        <f t="shared" si="13"/>
        <v>0.75</v>
      </c>
      <c r="AN27" s="78">
        <f>IFERROR(AVERAGEIFS(Tracker!I:I,  Tracker!G:G, "&lt;="&amp;Daily!C27, Tracker!J:J, "Y"), 0)</f>
        <v>17.754385964912281</v>
      </c>
      <c r="AO27" s="79">
        <f>IFERROR(COUNTIFS(Tracker!G:G, "&lt;="&amp;Daily!C27, Tracker!L:L, "N") / AK27,  0)</f>
        <v>0.53947368421052633</v>
      </c>
    </row>
    <row r="28" spans="1:41" x14ac:dyDescent="0.25">
      <c r="A28" s="118">
        <v>4</v>
      </c>
      <c r="B28" s="28">
        <f t="shared" si="24"/>
        <v>45243</v>
      </c>
      <c r="C28" s="29">
        <f t="shared" si="23"/>
        <v>45243</v>
      </c>
      <c r="D28" s="108" t="b">
        <f t="shared" ca="1" si="7"/>
        <v>1</v>
      </c>
      <c r="E28" s="50">
        <f t="shared" si="25"/>
        <v>3</v>
      </c>
      <c r="F28" s="38">
        <f>COUNTIFS(Tracker!G:G,Daily!C28, Tracker!J:J,"Y")</f>
        <v>2</v>
      </c>
      <c r="G28" s="30">
        <f>COUNTIFS(Tracker!G:G,Daily!C28, Tracker!J:J,"Y (with hints)")</f>
        <v>0</v>
      </c>
      <c r="H28" s="31">
        <f>COUNTIFS(Tracker!G:G,Daily!C28, Tracker!J:J,"N")</f>
        <v>1</v>
      </c>
      <c r="I28" s="53">
        <f t="shared" si="26"/>
        <v>3</v>
      </c>
      <c r="J28" s="30">
        <f>COUNTIFS(Tracker!G:G,Daily!C28, Tracker!J:J,"Y",Tracker!E:E,1)</f>
        <v>2</v>
      </c>
      <c r="K28" s="30">
        <f>COUNTIFS(Tracker!G:G,Daily!C28, Tracker!J:J,"Y (with hints)",Tracker!E:E,1)</f>
        <v>0</v>
      </c>
      <c r="L28" s="31">
        <f>COUNTIFS(Tracker!G:G,Daily!C28, Tracker!J:J,"N",Tracker!E:E,1)</f>
        <v>1</v>
      </c>
      <c r="M28" s="53">
        <f t="shared" si="27"/>
        <v>0</v>
      </c>
      <c r="N28" s="30">
        <f>COUNTIFS(Tracker!G:G,Daily!C28, Tracker!J:J,"Y",Tracker!E:E,2)</f>
        <v>0</v>
      </c>
      <c r="O28" s="30">
        <f>COUNTIFS(Tracker!G:G,Daily!C28, Tracker!J:J,"Y (with hints)",Tracker!E:E,2)</f>
        <v>0</v>
      </c>
      <c r="P28" s="31">
        <f>COUNTIFS(Tracker!G:G,Daily!C28, Tracker!J:J,"N",Tracker!E:E,2)</f>
        <v>0</v>
      </c>
      <c r="Q28" s="56">
        <f t="shared" si="28"/>
        <v>0</v>
      </c>
      <c r="R28" s="30">
        <f>COUNTIFS(Tracker!G:G,Daily!C28, Tracker!J:J,"Y",Tracker!E:E,3)</f>
        <v>0</v>
      </c>
      <c r="S28" s="30">
        <f>COUNTIFS(Tracker!G:G,Daily!C28, Tracker!J:J,"Y (with hints)",Tracker!E:E,3)</f>
        <v>0</v>
      </c>
      <c r="T28" s="31">
        <f>COUNTIFS(Tracker!G:G,Daily!C28, Tracker!J:J,"N",Tracker!E:E,3)</f>
        <v>0</v>
      </c>
      <c r="V28" s="38">
        <f t="shared" si="14"/>
        <v>39</v>
      </c>
      <c r="W28" s="30">
        <f t="shared" si="15"/>
        <v>35</v>
      </c>
      <c r="X28" s="73">
        <f t="shared" si="16"/>
        <v>0.89743589743589747</v>
      </c>
      <c r="Y28" s="75">
        <f>AVERAGEIFS(Tracker!I:I, Tracker!E:E, 1, Tracker!G:G, "&lt;="&amp;Daily!C28, Tracker!J:J, "Y")</f>
        <v>13.914285714285715</v>
      </c>
      <c r="Z28" s="76">
        <f>COUNTIFS(Tracker!E:E, 1, Tracker!G:G, "&lt;="&amp;Daily!C28, Tracker!L:L, "N") / V28</f>
        <v>0.66666666666666663</v>
      </c>
      <c r="AA28" s="38">
        <f t="shared" si="8"/>
        <v>36</v>
      </c>
      <c r="AB28" s="30">
        <f t="shared" si="9"/>
        <v>23</v>
      </c>
      <c r="AC28" s="73">
        <f t="shared" si="17"/>
        <v>0.63888888888888884</v>
      </c>
      <c r="AD28" s="75">
        <f>AVERAGEIFS(Tracker!I:I, Tracker!E:E, 2, Tracker!G:G, "&lt;="&amp;Daily!C28, Tracker!J:J, "Y")</f>
        <v>24.565217391304348</v>
      </c>
      <c r="AE28" s="76">
        <f>COUNTIFS(Tracker!E:E, 2, Tracker!G:G, "&lt;="&amp;Daily!C28, Tracker!L:L, "N") / AA28</f>
        <v>0.41666666666666669</v>
      </c>
      <c r="AF28" s="38">
        <f t="shared" si="10"/>
        <v>4</v>
      </c>
      <c r="AG28" s="30">
        <f t="shared" si="11"/>
        <v>1</v>
      </c>
      <c r="AH28" s="73">
        <f t="shared" si="12"/>
        <v>0.25</v>
      </c>
      <c r="AI28" s="75">
        <f>IFERROR(AVERAGEIFS(Tracker!I:I, Tracker!E:E, 3, Tracker!G:G, "&lt;="&amp;Daily!C28, Tracker!J:J, "Y"), 0)</f>
        <v>25</v>
      </c>
      <c r="AJ28" s="76">
        <f>IFERROR(COUNTIFS(Tracker!E:E, 3, Tracker!G:G, "&lt;="&amp;Daily!C28, Tracker!L:L, "N") / AF28,  0)</f>
        <v>0</v>
      </c>
      <c r="AK28" s="38">
        <f t="shared" si="5"/>
        <v>79</v>
      </c>
      <c r="AL28" s="30">
        <f t="shared" si="6"/>
        <v>59</v>
      </c>
      <c r="AM28" s="73">
        <f t="shared" si="13"/>
        <v>0.74683544303797467</v>
      </c>
      <c r="AN28" s="75">
        <f>IFERROR(AVERAGEIFS(Tracker!I:I,  Tracker!G:G, "&lt;="&amp;Daily!C28, Tracker!J:J, "Y"), 0)</f>
        <v>18.254237288135592</v>
      </c>
      <c r="AO28" s="76">
        <f>IFERROR(COUNTIFS(Tracker!G:G, "&lt;="&amp;Daily!C28, Tracker!L:L, "N") / AK28,  0)</f>
        <v>0.51898734177215189</v>
      </c>
    </row>
    <row r="29" spans="1:41" x14ac:dyDescent="0.25">
      <c r="A29" s="119"/>
      <c r="B29" s="32">
        <f t="shared" si="24"/>
        <v>45244</v>
      </c>
      <c r="C29" s="84">
        <f t="shared" si="23"/>
        <v>45244</v>
      </c>
      <c r="D29" s="112" t="b">
        <f t="shared" ca="1" si="7"/>
        <v>1</v>
      </c>
      <c r="E29" s="51">
        <f t="shared" si="25"/>
        <v>5</v>
      </c>
      <c r="F29" s="48">
        <f>COUNTIFS(Tracker!G:G,Daily!C29, Tracker!J:J,"Y")</f>
        <v>5</v>
      </c>
      <c r="G29" s="26">
        <f>COUNTIFS(Tracker!G:G,Daily!C29, Tracker!J:J,"Y (with hints)")</f>
        <v>0</v>
      </c>
      <c r="H29" s="33">
        <f>COUNTIFS(Tracker!G:G,Daily!C29, Tracker!J:J,"N")</f>
        <v>0</v>
      </c>
      <c r="I29" s="54">
        <f t="shared" si="26"/>
        <v>3</v>
      </c>
      <c r="J29" s="26">
        <f>COUNTIFS(Tracker!G:G,Daily!C29, Tracker!J:J,"Y",Tracker!E:E,1)</f>
        <v>3</v>
      </c>
      <c r="K29" s="26">
        <f>COUNTIFS(Tracker!G:G,Daily!C29, Tracker!J:J,"Y (with hints)",Tracker!E:E,1)</f>
        <v>0</v>
      </c>
      <c r="L29" s="33">
        <f>COUNTIFS(Tracker!G:G,Daily!C29, Tracker!J:J,"N",Tracker!E:E,1)</f>
        <v>0</v>
      </c>
      <c r="M29" s="54">
        <f t="shared" si="27"/>
        <v>2</v>
      </c>
      <c r="N29" s="26">
        <f>COUNTIFS(Tracker!G:G,Daily!C29, Tracker!J:J,"Y",Tracker!E:E,2)</f>
        <v>2</v>
      </c>
      <c r="O29" s="26">
        <f>COUNTIFS(Tracker!G:G,Daily!C29, Tracker!J:J,"Y (with hints)",Tracker!E:E,2)</f>
        <v>0</v>
      </c>
      <c r="P29" s="33">
        <f>COUNTIFS(Tracker!G:G,Daily!C29, Tracker!J:J,"N",Tracker!E:E,2)</f>
        <v>0</v>
      </c>
      <c r="Q29" s="57">
        <f t="shared" si="28"/>
        <v>0</v>
      </c>
      <c r="R29" s="26">
        <f>COUNTIFS(Tracker!G:G,Daily!C29, Tracker!J:J,"Y",Tracker!E:E,3)</f>
        <v>0</v>
      </c>
      <c r="S29" s="26">
        <f>COUNTIFS(Tracker!G:G,Daily!C29, Tracker!J:J,"Y (with hints)",Tracker!E:E,3)</f>
        <v>0</v>
      </c>
      <c r="T29" s="33">
        <f>COUNTIFS(Tracker!G:G,Daily!C29, Tracker!J:J,"N",Tracker!E:E,3)</f>
        <v>0</v>
      </c>
      <c r="V29" s="48">
        <f t="shared" si="14"/>
        <v>42</v>
      </c>
      <c r="W29" s="26">
        <f t="shared" si="15"/>
        <v>38</v>
      </c>
      <c r="X29" s="62">
        <f t="shared" si="16"/>
        <v>0.90476190476190477</v>
      </c>
      <c r="Y29" s="74">
        <f>AVERAGEIFS(Tracker!I:I, Tracker!E:E, 1, Tracker!G:G, "&lt;="&amp;Daily!C29, Tracker!J:J, "Y")</f>
        <v>13.710526315789474</v>
      </c>
      <c r="Z29" s="77">
        <f>COUNTIFS(Tracker!E:E, 1, Tracker!G:G, "&lt;="&amp;Daily!C29, Tracker!L:L, "N") / V29</f>
        <v>0.66666666666666663</v>
      </c>
      <c r="AA29" s="48">
        <f t="shared" si="8"/>
        <v>38</v>
      </c>
      <c r="AB29" s="26">
        <f t="shared" si="9"/>
        <v>25</v>
      </c>
      <c r="AC29" s="62">
        <f t="shared" si="17"/>
        <v>0.65789473684210531</v>
      </c>
      <c r="AD29" s="74">
        <f>AVERAGEIFS(Tracker!I:I, Tracker!E:E, 2, Tracker!G:G, "&lt;="&amp;Daily!C29, Tracker!J:J, "Y")</f>
        <v>24.76</v>
      </c>
      <c r="AE29" s="77">
        <f>COUNTIFS(Tracker!E:E, 2, Tracker!G:G, "&lt;="&amp;Daily!C29, Tracker!L:L, "N") / AA29</f>
        <v>0.42105263157894735</v>
      </c>
      <c r="AF29" s="48">
        <f t="shared" si="10"/>
        <v>4</v>
      </c>
      <c r="AG29" s="26">
        <f t="shared" si="11"/>
        <v>1</v>
      </c>
      <c r="AH29" s="62">
        <f t="shared" si="12"/>
        <v>0.25</v>
      </c>
      <c r="AI29" s="74">
        <f>IFERROR(AVERAGEIFS(Tracker!I:I, Tracker!E:E, 3, Tracker!G:G, "&lt;="&amp;Daily!C29, Tracker!J:J, "Y"), 0)</f>
        <v>25</v>
      </c>
      <c r="AJ29" s="77">
        <f>IFERROR(COUNTIFS(Tracker!E:E, 3, Tracker!G:G, "&lt;="&amp;Daily!C29, Tracker!L:L, "N") / AF29,  0)</f>
        <v>0</v>
      </c>
      <c r="AK29" s="48">
        <f t="shared" si="5"/>
        <v>84</v>
      </c>
      <c r="AL29" s="26">
        <f t="shared" si="6"/>
        <v>64</v>
      </c>
      <c r="AM29" s="62">
        <f t="shared" si="13"/>
        <v>0.76190476190476186</v>
      </c>
      <c r="AN29" s="74">
        <f>IFERROR(AVERAGEIFS(Tracker!I:I,  Tracker!G:G, "&lt;="&amp;Daily!C29, Tracker!J:J, "Y"), 0)</f>
        <v>18.203125</v>
      </c>
      <c r="AO29" s="77">
        <f>IFERROR(COUNTIFS(Tracker!G:G, "&lt;="&amp;Daily!C29, Tracker!L:L, "N") / AK29,  0)</f>
        <v>0.52380952380952384</v>
      </c>
    </row>
    <row r="30" spans="1:41" x14ac:dyDescent="0.25">
      <c r="A30" s="119"/>
      <c r="B30" s="32">
        <f t="shared" si="24"/>
        <v>45245</v>
      </c>
      <c r="C30" s="84">
        <f t="shared" si="23"/>
        <v>45245</v>
      </c>
      <c r="D30" s="112" t="b">
        <f t="shared" ca="1" si="7"/>
        <v>1</v>
      </c>
      <c r="E30" s="51">
        <f t="shared" si="25"/>
        <v>0</v>
      </c>
      <c r="F30" s="48">
        <f>COUNTIFS(Tracker!G:G,Daily!C30, Tracker!J:J,"Y")</f>
        <v>0</v>
      </c>
      <c r="G30" s="26">
        <f>COUNTIFS(Tracker!G:G,Daily!C30, Tracker!J:J,"Y (with hints)")</f>
        <v>0</v>
      </c>
      <c r="H30" s="33">
        <f>COUNTIFS(Tracker!G:G,Daily!C30, Tracker!J:J,"N")</f>
        <v>0</v>
      </c>
      <c r="I30" s="54">
        <f t="shared" si="26"/>
        <v>0</v>
      </c>
      <c r="J30" s="26">
        <f>COUNTIFS(Tracker!G:G,Daily!C30, Tracker!J:J,"Y",Tracker!E:E,1)</f>
        <v>0</v>
      </c>
      <c r="K30" s="26">
        <f>COUNTIFS(Tracker!G:G,Daily!C30, Tracker!J:J,"Y (with hints)",Tracker!E:E,1)</f>
        <v>0</v>
      </c>
      <c r="L30" s="33">
        <f>COUNTIFS(Tracker!G:G,Daily!C30, Tracker!J:J,"N",Tracker!E:E,1)</f>
        <v>0</v>
      </c>
      <c r="M30" s="54">
        <f t="shared" si="27"/>
        <v>0</v>
      </c>
      <c r="N30" s="26">
        <f>COUNTIFS(Tracker!G:G,Daily!C30, Tracker!J:J,"Y",Tracker!E:E,2)</f>
        <v>0</v>
      </c>
      <c r="O30" s="26">
        <f>COUNTIFS(Tracker!G:G,Daily!C30, Tracker!J:J,"Y (with hints)",Tracker!E:E,2)</f>
        <v>0</v>
      </c>
      <c r="P30" s="33">
        <f>COUNTIFS(Tracker!G:G,Daily!C30, Tracker!J:J,"N",Tracker!E:E,2)</f>
        <v>0</v>
      </c>
      <c r="Q30" s="57">
        <f t="shared" si="28"/>
        <v>0</v>
      </c>
      <c r="R30" s="26">
        <f>COUNTIFS(Tracker!G:G,Daily!C30, Tracker!J:J,"Y",Tracker!E:E,3)</f>
        <v>0</v>
      </c>
      <c r="S30" s="26">
        <f>COUNTIFS(Tracker!G:G,Daily!C30, Tracker!J:J,"Y (with hints)",Tracker!E:E,3)</f>
        <v>0</v>
      </c>
      <c r="T30" s="33">
        <f>COUNTIFS(Tracker!G:G,Daily!C30, Tracker!J:J,"N",Tracker!E:E,3)</f>
        <v>0</v>
      </c>
      <c r="V30" s="48">
        <f t="shared" si="14"/>
        <v>42</v>
      </c>
      <c r="W30" s="26">
        <f t="shared" si="15"/>
        <v>38</v>
      </c>
      <c r="X30" s="62">
        <f t="shared" si="16"/>
        <v>0.90476190476190477</v>
      </c>
      <c r="Y30" s="74">
        <f>AVERAGEIFS(Tracker!I:I, Tracker!E:E, 1, Tracker!G:G, "&lt;="&amp;Daily!C30, Tracker!J:J, "Y")</f>
        <v>13.710526315789474</v>
      </c>
      <c r="Z30" s="77">
        <f>COUNTIFS(Tracker!E:E, 1, Tracker!G:G, "&lt;="&amp;Daily!C30, Tracker!L:L, "N") / V30</f>
        <v>0.66666666666666663</v>
      </c>
      <c r="AA30" s="48">
        <f t="shared" si="8"/>
        <v>38</v>
      </c>
      <c r="AB30" s="26">
        <f t="shared" si="9"/>
        <v>25</v>
      </c>
      <c r="AC30" s="62">
        <f t="shared" si="17"/>
        <v>0.65789473684210531</v>
      </c>
      <c r="AD30" s="74">
        <f>AVERAGEIFS(Tracker!I:I, Tracker!E:E, 2, Tracker!G:G, "&lt;="&amp;Daily!C30, Tracker!J:J, "Y")</f>
        <v>24.76</v>
      </c>
      <c r="AE30" s="77">
        <f>COUNTIFS(Tracker!E:E, 2, Tracker!G:G, "&lt;="&amp;Daily!C30, Tracker!L:L, "N") / AA30</f>
        <v>0.42105263157894735</v>
      </c>
      <c r="AF30" s="48">
        <f t="shared" si="10"/>
        <v>4</v>
      </c>
      <c r="AG30" s="26">
        <f t="shared" si="11"/>
        <v>1</v>
      </c>
      <c r="AH30" s="62">
        <f t="shared" si="12"/>
        <v>0.25</v>
      </c>
      <c r="AI30" s="74">
        <f>IFERROR(AVERAGEIFS(Tracker!I:I, Tracker!E:E, 3, Tracker!G:G, "&lt;="&amp;Daily!C30, Tracker!J:J, "Y"), 0)</f>
        <v>25</v>
      </c>
      <c r="AJ30" s="77">
        <f>IFERROR(COUNTIFS(Tracker!E:E, 3, Tracker!G:G, "&lt;="&amp;Daily!C30, Tracker!L:L, "N") / AF30,  0)</f>
        <v>0</v>
      </c>
      <c r="AK30" s="48">
        <f t="shared" si="5"/>
        <v>84</v>
      </c>
      <c r="AL30" s="26">
        <f t="shared" si="6"/>
        <v>64</v>
      </c>
      <c r="AM30" s="62">
        <f t="shared" si="13"/>
        <v>0.76190476190476186</v>
      </c>
      <c r="AN30" s="74">
        <f>IFERROR(AVERAGEIFS(Tracker!I:I,  Tracker!G:G, "&lt;="&amp;Daily!C30, Tracker!J:J, "Y"), 0)</f>
        <v>18.203125</v>
      </c>
      <c r="AO30" s="77">
        <f>IFERROR(COUNTIFS(Tracker!G:G, "&lt;="&amp;Daily!C30, Tracker!L:L, "N") / AK30,  0)</f>
        <v>0.52380952380952384</v>
      </c>
    </row>
    <row r="31" spans="1:41" x14ac:dyDescent="0.25">
      <c r="A31" s="119"/>
      <c r="B31" s="32">
        <f t="shared" si="24"/>
        <v>45246</v>
      </c>
      <c r="C31" s="27">
        <f t="shared" si="23"/>
        <v>45246</v>
      </c>
      <c r="D31" s="109" t="b">
        <f t="shared" ca="1" si="7"/>
        <v>1</v>
      </c>
      <c r="E31" s="51">
        <f t="shared" si="25"/>
        <v>0</v>
      </c>
      <c r="F31" s="48">
        <f>COUNTIFS(Tracker!G:G,Daily!C31, Tracker!J:J,"Y")</f>
        <v>0</v>
      </c>
      <c r="G31" s="26">
        <f>COUNTIFS(Tracker!G:G,Daily!C31, Tracker!J:J,"Y (with hints)")</f>
        <v>0</v>
      </c>
      <c r="H31" s="33">
        <f>COUNTIFS(Tracker!G:G,Daily!C31, Tracker!J:J,"N")</f>
        <v>0</v>
      </c>
      <c r="I31" s="54">
        <f t="shared" si="26"/>
        <v>0</v>
      </c>
      <c r="J31" s="26">
        <f>COUNTIFS(Tracker!G:G,Daily!C31, Tracker!J:J,"Y",Tracker!E:E,1)</f>
        <v>0</v>
      </c>
      <c r="K31" s="26">
        <f>COUNTIFS(Tracker!G:G,Daily!C31, Tracker!J:J,"Y (with hints)",Tracker!E:E,1)</f>
        <v>0</v>
      </c>
      <c r="L31" s="33">
        <f>COUNTIFS(Tracker!G:G,Daily!C31, Tracker!J:J,"N",Tracker!E:E,1)</f>
        <v>0</v>
      </c>
      <c r="M31" s="54">
        <f t="shared" si="27"/>
        <v>0</v>
      </c>
      <c r="N31" s="26">
        <f>COUNTIFS(Tracker!G:G,Daily!C31, Tracker!J:J,"Y",Tracker!E:E,2)</f>
        <v>0</v>
      </c>
      <c r="O31" s="26">
        <f>COUNTIFS(Tracker!G:G,Daily!C31, Tracker!J:J,"Y (with hints)",Tracker!E:E,2)</f>
        <v>0</v>
      </c>
      <c r="P31" s="33">
        <f>COUNTIFS(Tracker!G:G,Daily!C31, Tracker!J:J,"N",Tracker!E:E,2)</f>
        <v>0</v>
      </c>
      <c r="Q31" s="57">
        <f t="shared" si="28"/>
        <v>0</v>
      </c>
      <c r="R31" s="26">
        <f>COUNTIFS(Tracker!G:G,Daily!C31, Tracker!J:J,"Y",Tracker!E:E,3)</f>
        <v>0</v>
      </c>
      <c r="S31" s="26">
        <f>COUNTIFS(Tracker!G:G,Daily!C31, Tracker!J:J,"Y (with hints)",Tracker!E:E,3)</f>
        <v>0</v>
      </c>
      <c r="T31" s="33">
        <f>COUNTIFS(Tracker!G:G,Daily!C31, Tracker!J:J,"N",Tracker!E:E,3)</f>
        <v>0</v>
      </c>
      <c r="V31" s="48">
        <f t="shared" si="14"/>
        <v>42</v>
      </c>
      <c r="W31" s="26">
        <f t="shared" si="15"/>
        <v>38</v>
      </c>
      <c r="X31" s="62">
        <f t="shared" si="16"/>
        <v>0.90476190476190477</v>
      </c>
      <c r="Y31" s="74">
        <f>AVERAGEIFS(Tracker!I:I, Tracker!E:E, 1, Tracker!G:G, "&lt;="&amp;Daily!C31, Tracker!J:J, "Y")</f>
        <v>13.710526315789474</v>
      </c>
      <c r="Z31" s="77">
        <f>COUNTIFS(Tracker!E:E, 1, Tracker!G:G, "&lt;="&amp;Daily!C31, Tracker!L:L, "N") / V31</f>
        <v>0.66666666666666663</v>
      </c>
      <c r="AA31" s="48">
        <f t="shared" si="8"/>
        <v>38</v>
      </c>
      <c r="AB31" s="26">
        <f t="shared" si="9"/>
        <v>25</v>
      </c>
      <c r="AC31" s="62">
        <f t="shared" si="17"/>
        <v>0.65789473684210531</v>
      </c>
      <c r="AD31" s="74">
        <f>AVERAGEIFS(Tracker!I:I, Tracker!E:E, 2, Tracker!G:G, "&lt;="&amp;Daily!C31, Tracker!J:J, "Y")</f>
        <v>24.76</v>
      </c>
      <c r="AE31" s="77">
        <f>COUNTIFS(Tracker!E:E, 2, Tracker!G:G, "&lt;="&amp;Daily!C31, Tracker!L:L, "N") / AA31</f>
        <v>0.42105263157894735</v>
      </c>
      <c r="AF31" s="48">
        <f t="shared" si="10"/>
        <v>4</v>
      </c>
      <c r="AG31" s="26">
        <f t="shared" si="11"/>
        <v>1</v>
      </c>
      <c r="AH31" s="62">
        <f t="shared" si="12"/>
        <v>0.25</v>
      </c>
      <c r="AI31" s="74">
        <f>IFERROR(AVERAGEIFS(Tracker!I:I, Tracker!E:E, 3, Tracker!G:G, "&lt;="&amp;Daily!C31, Tracker!J:J, "Y"), 0)</f>
        <v>25</v>
      </c>
      <c r="AJ31" s="77">
        <f>IFERROR(COUNTIFS(Tracker!E:E, 3, Tracker!G:G, "&lt;="&amp;Daily!C31, Tracker!L:L, "N") / AF31,  0)</f>
        <v>0</v>
      </c>
      <c r="AK31" s="48">
        <f t="shared" si="5"/>
        <v>84</v>
      </c>
      <c r="AL31" s="26">
        <f t="shared" si="6"/>
        <v>64</v>
      </c>
      <c r="AM31" s="62">
        <f t="shared" si="13"/>
        <v>0.76190476190476186</v>
      </c>
      <c r="AN31" s="74">
        <f>IFERROR(AVERAGEIFS(Tracker!I:I,  Tracker!G:G, "&lt;="&amp;Daily!C31, Tracker!J:J, "Y"), 0)</f>
        <v>18.203125</v>
      </c>
      <c r="AO31" s="77">
        <f>IFERROR(COUNTIFS(Tracker!G:G, "&lt;="&amp;Daily!C31, Tracker!L:L, "N") / AK31,  0)</f>
        <v>0.52380952380952384</v>
      </c>
    </row>
    <row r="32" spans="1:41" x14ac:dyDescent="0.25">
      <c r="A32" s="119"/>
      <c r="B32" s="32">
        <f t="shared" si="24"/>
        <v>45247</v>
      </c>
      <c r="C32" s="27">
        <f t="shared" si="23"/>
        <v>45247</v>
      </c>
      <c r="D32" s="109" t="b">
        <f t="shared" ca="1" si="7"/>
        <v>1</v>
      </c>
      <c r="E32" s="51">
        <f t="shared" si="25"/>
        <v>1</v>
      </c>
      <c r="F32" s="48">
        <f>COUNTIFS(Tracker!G:G,Daily!C32, Tracker!J:J,"Y")</f>
        <v>0</v>
      </c>
      <c r="G32" s="26">
        <f>COUNTIFS(Tracker!G:G,Daily!C32, Tracker!J:J,"Y (with hints)")</f>
        <v>0</v>
      </c>
      <c r="H32" s="33">
        <f>COUNTIFS(Tracker!G:G,Daily!C32, Tracker!J:J,"N")</f>
        <v>1</v>
      </c>
      <c r="I32" s="54">
        <f t="shared" si="26"/>
        <v>0</v>
      </c>
      <c r="J32" s="26">
        <f>COUNTIFS(Tracker!G:G,Daily!C32, Tracker!J:J,"Y",Tracker!E:E,1)</f>
        <v>0</v>
      </c>
      <c r="K32" s="26">
        <f>COUNTIFS(Tracker!G:G,Daily!C32, Tracker!J:J,"Y (with hints)",Tracker!E:E,1)</f>
        <v>0</v>
      </c>
      <c r="L32" s="33">
        <f>COUNTIFS(Tracker!G:G,Daily!C32, Tracker!J:J,"N",Tracker!E:E,1)</f>
        <v>0</v>
      </c>
      <c r="M32" s="54">
        <f t="shared" si="27"/>
        <v>1</v>
      </c>
      <c r="N32" s="26">
        <f>COUNTIFS(Tracker!G:G,Daily!C32, Tracker!J:J,"Y",Tracker!E:E,2)</f>
        <v>0</v>
      </c>
      <c r="O32" s="26">
        <f>COUNTIFS(Tracker!G:G,Daily!C32, Tracker!J:J,"Y (with hints)",Tracker!E:E,2)</f>
        <v>0</v>
      </c>
      <c r="P32" s="33">
        <f>COUNTIFS(Tracker!G:G,Daily!C32, Tracker!J:J,"N",Tracker!E:E,2)</f>
        <v>1</v>
      </c>
      <c r="Q32" s="57">
        <f t="shared" si="28"/>
        <v>0</v>
      </c>
      <c r="R32" s="26">
        <f>COUNTIFS(Tracker!G:G,Daily!C32, Tracker!J:J,"Y",Tracker!E:E,3)</f>
        <v>0</v>
      </c>
      <c r="S32" s="26">
        <f>COUNTIFS(Tracker!G:G,Daily!C32, Tracker!J:J,"Y (with hints)",Tracker!E:E,3)</f>
        <v>0</v>
      </c>
      <c r="T32" s="33">
        <f>COUNTIFS(Tracker!G:G,Daily!C32, Tracker!J:J,"N",Tracker!E:E,3)</f>
        <v>0</v>
      </c>
      <c r="V32" s="48">
        <f t="shared" si="14"/>
        <v>42</v>
      </c>
      <c r="W32" s="26">
        <f t="shared" si="15"/>
        <v>38</v>
      </c>
      <c r="X32" s="62">
        <f t="shared" si="16"/>
        <v>0.90476190476190477</v>
      </c>
      <c r="Y32" s="74">
        <f>AVERAGEIFS(Tracker!I:I, Tracker!E:E, 1, Tracker!G:G, "&lt;="&amp;Daily!C32, Tracker!J:J, "Y")</f>
        <v>13.710526315789474</v>
      </c>
      <c r="Z32" s="77">
        <f>COUNTIFS(Tracker!E:E, 1, Tracker!G:G, "&lt;="&amp;Daily!C32, Tracker!L:L, "N") / V32</f>
        <v>0.66666666666666663</v>
      </c>
      <c r="AA32" s="48">
        <f t="shared" si="8"/>
        <v>39</v>
      </c>
      <c r="AB32" s="26">
        <f t="shared" si="9"/>
        <v>25</v>
      </c>
      <c r="AC32" s="62">
        <f t="shared" si="17"/>
        <v>0.64102564102564108</v>
      </c>
      <c r="AD32" s="74">
        <f>AVERAGEIFS(Tracker!I:I, Tracker!E:E, 2, Tracker!G:G, "&lt;="&amp;Daily!C32, Tracker!J:J, "Y")</f>
        <v>24.76</v>
      </c>
      <c r="AE32" s="77">
        <f>COUNTIFS(Tracker!E:E, 2, Tracker!G:G, "&lt;="&amp;Daily!C32, Tracker!L:L, "N") / AA32</f>
        <v>0.41025641025641024</v>
      </c>
      <c r="AF32" s="48">
        <f t="shared" si="10"/>
        <v>4</v>
      </c>
      <c r="AG32" s="26">
        <f t="shared" si="11"/>
        <v>1</v>
      </c>
      <c r="AH32" s="62">
        <f t="shared" si="12"/>
        <v>0.25</v>
      </c>
      <c r="AI32" s="74">
        <f>IFERROR(AVERAGEIFS(Tracker!I:I, Tracker!E:E, 3, Tracker!G:G, "&lt;="&amp;Daily!C32, Tracker!J:J, "Y"), 0)</f>
        <v>25</v>
      </c>
      <c r="AJ32" s="77">
        <f>IFERROR(COUNTIFS(Tracker!E:E, 3, Tracker!G:G, "&lt;="&amp;Daily!C32, Tracker!L:L, "N") / AF32,  0)</f>
        <v>0</v>
      </c>
      <c r="AK32" s="48">
        <f t="shared" si="5"/>
        <v>85</v>
      </c>
      <c r="AL32" s="26">
        <f t="shared" si="6"/>
        <v>64</v>
      </c>
      <c r="AM32" s="62">
        <f t="shared" si="13"/>
        <v>0.75294117647058822</v>
      </c>
      <c r="AN32" s="74">
        <f>IFERROR(AVERAGEIFS(Tracker!I:I,  Tracker!G:G, "&lt;="&amp;Daily!C32, Tracker!J:J, "Y"), 0)</f>
        <v>18.203125</v>
      </c>
      <c r="AO32" s="77">
        <f>IFERROR(COUNTIFS(Tracker!G:G, "&lt;="&amp;Daily!C32, Tracker!L:L, "N") / AK32,  0)</f>
        <v>0.51764705882352946</v>
      </c>
    </row>
    <row r="33" spans="1:41" x14ac:dyDescent="0.25">
      <c r="A33" s="119"/>
      <c r="B33" s="32">
        <f t="shared" ref="B33:B39" si="29">C33</f>
        <v>45248</v>
      </c>
      <c r="C33" s="27">
        <f t="shared" si="23"/>
        <v>45248</v>
      </c>
      <c r="D33" s="109" t="b">
        <f t="shared" ca="1" si="7"/>
        <v>1</v>
      </c>
      <c r="E33" s="51">
        <f t="shared" ref="E33:E39" si="30">SUM(F33:H33)</f>
        <v>0</v>
      </c>
      <c r="F33" s="48">
        <f>COUNTIFS(Tracker!G:G,Daily!C33, Tracker!J:J,"Y")</f>
        <v>0</v>
      </c>
      <c r="G33" s="26">
        <f>COUNTIFS(Tracker!G:G,Daily!C33, Tracker!J:J,"Y (with hints)")</f>
        <v>0</v>
      </c>
      <c r="H33" s="33">
        <f>COUNTIFS(Tracker!G:G,Daily!C33, Tracker!J:J,"N")</f>
        <v>0</v>
      </c>
      <c r="I33" s="54">
        <f t="shared" ref="I33:I39" si="31">SUM(J33:L33)</f>
        <v>0</v>
      </c>
      <c r="J33" s="26">
        <f>COUNTIFS(Tracker!G:G,Daily!C33, Tracker!J:J,"Y",Tracker!E:E,1)</f>
        <v>0</v>
      </c>
      <c r="K33" s="26">
        <f>COUNTIFS(Tracker!G:G,Daily!C33, Tracker!J:J,"Y (with hints)",Tracker!E:E,1)</f>
        <v>0</v>
      </c>
      <c r="L33" s="33">
        <f>COUNTIFS(Tracker!G:G,Daily!C33, Tracker!J:J,"N",Tracker!E:E,1)</f>
        <v>0</v>
      </c>
      <c r="M33" s="54">
        <f t="shared" ref="M33:M39" si="32">SUM(N33:P33)</f>
        <v>0</v>
      </c>
      <c r="N33" s="26">
        <f>COUNTIFS(Tracker!G:G,Daily!C33, Tracker!J:J,"Y",Tracker!E:E,2)</f>
        <v>0</v>
      </c>
      <c r="O33" s="26">
        <f>COUNTIFS(Tracker!G:G,Daily!C33, Tracker!J:J,"Y (with hints)",Tracker!E:E,2)</f>
        <v>0</v>
      </c>
      <c r="P33" s="33">
        <f>COUNTIFS(Tracker!G:G,Daily!C33, Tracker!J:J,"N",Tracker!E:E,2)</f>
        <v>0</v>
      </c>
      <c r="Q33" s="57">
        <f t="shared" ref="Q33:Q39" si="33">SUM(R33:T33)</f>
        <v>0</v>
      </c>
      <c r="R33" s="26">
        <f>COUNTIFS(Tracker!G:G,Daily!C33, Tracker!J:J,"Y",Tracker!E:E,3)</f>
        <v>0</v>
      </c>
      <c r="S33" s="26">
        <f>COUNTIFS(Tracker!G:G,Daily!C33, Tracker!J:J,"Y (with hints)",Tracker!E:E,3)</f>
        <v>0</v>
      </c>
      <c r="T33" s="33">
        <f>COUNTIFS(Tracker!G:G,Daily!C33, Tracker!J:J,"N",Tracker!E:E,3)</f>
        <v>0</v>
      </c>
      <c r="V33" s="48">
        <f t="shared" si="14"/>
        <v>42</v>
      </c>
      <c r="W33" s="26">
        <f t="shared" si="15"/>
        <v>38</v>
      </c>
      <c r="X33" s="62">
        <f t="shared" si="16"/>
        <v>0.90476190476190477</v>
      </c>
      <c r="Y33" s="74">
        <f>AVERAGEIFS(Tracker!I:I, Tracker!E:E, 1, Tracker!G:G, "&lt;="&amp;Daily!C33, Tracker!J:J, "Y")</f>
        <v>13.710526315789474</v>
      </c>
      <c r="Z33" s="77">
        <f>COUNTIFS(Tracker!E:E, 1, Tracker!G:G, "&lt;="&amp;Daily!C33, Tracker!L:L, "N") / V33</f>
        <v>0.66666666666666663</v>
      </c>
      <c r="AA33" s="48">
        <f t="shared" si="8"/>
        <v>39</v>
      </c>
      <c r="AB33" s="26">
        <f t="shared" si="9"/>
        <v>25</v>
      </c>
      <c r="AC33" s="62">
        <f t="shared" si="17"/>
        <v>0.64102564102564108</v>
      </c>
      <c r="AD33" s="74">
        <f>AVERAGEIFS(Tracker!I:I, Tracker!E:E, 2, Tracker!G:G, "&lt;="&amp;Daily!C33, Tracker!J:J, "Y")</f>
        <v>24.76</v>
      </c>
      <c r="AE33" s="77">
        <f>COUNTIFS(Tracker!E:E, 2, Tracker!G:G, "&lt;="&amp;Daily!C33, Tracker!L:L, "N") / AA33</f>
        <v>0.41025641025641024</v>
      </c>
      <c r="AF33" s="48">
        <f t="shared" si="10"/>
        <v>4</v>
      </c>
      <c r="AG33" s="26">
        <f t="shared" si="11"/>
        <v>1</v>
      </c>
      <c r="AH33" s="62">
        <f t="shared" si="12"/>
        <v>0.25</v>
      </c>
      <c r="AI33" s="74">
        <f>IFERROR(AVERAGEIFS(Tracker!I:I, Tracker!E:E, 3, Tracker!G:G, "&lt;="&amp;Daily!C33, Tracker!J:J, "Y"), 0)</f>
        <v>25</v>
      </c>
      <c r="AJ33" s="77">
        <f>IFERROR(COUNTIFS(Tracker!E:E, 3, Tracker!G:G, "&lt;="&amp;Daily!C33, Tracker!L:L, "N") / AF33,  0)</f>
        <v>0</v>
      </c>
      <c r="AK33" s="48">
        <f t="shared" si="5"/>
        <v>85</v>
      </c>
      <c r="AL33" s="26">
        <f t="shared" si="6"/>
        <v>64</v>
      </c>
      <c r="AM33" s="62">
        <f t="shared" si="13"/>
        <v>0.75294117647058822</v>
      </c>
      <c r="AN33" s="74">
        <f>IFERROR(AVERAGEIFS(Tracker!I:I,  Tracker!G:G, "&lt;="&amp;Daily!C33, Tracker!J:J, "Y"), 0)</f>
        <v>18.203125</v>
      </c>
      <c r="AO33" s="77">
        <f>IFERROR(COUNTIFS(Tracker!G:G, "&lt;="&amp;Daily!C33, Tracker!L:L, "N") / AK33,  0)</f>
        <v>0.51764705882352946</v>
      </c>
    </row>
    <row r="34" spans="1:41" ht="15.75" thickBot="1" x14ac:dyDescent="0.3">
      <c r="A34" s="120"/>
      <c r="B34" s="34">
        <f t="shared" si="29"/>
        <v>45249</v>
      </c>
      <c r="C34" s="35">
        <f t="shared" si="23"/>
        <v>45249</v>
      </c>
      <c r="D34" s="110" t="b">
        <f t="shared" ca="1" si="7"/>
        <v>1</v>
      </c>
      <c r="E34" s="52">
        <f t="shared" si="30"/>
        <v>0</v>
      </c>
      <c r="F34" s="39">
        <f>COUNTIFS(Tracker!G:G,Daily!C34, Tracker!J:J,"Y")</f>
        <v>0</v>
      </c>
      <c r="G34" s="36">
        <f>COUNTIFS(Tracker!G:G,Daily!C34, Tracker!J:J,"Y (with hints)")</f>
        <v>0</v>
      </c>
      <c r="H34" s="37">
        <f>COUNTIFS(Tracker!G:G,Daily!C34, Tracker!J:J,"N")</f>
        <v>0</v>
      </c>
      <c r="I34" s="55">
        <f t="shared" si="31"/>
        <v>0</v>
      </c>
      <c r="J34" s="36">
        <f>COUNTIFS(Tracker!G:G,Daily!C34, Tracker!J:J,"Y",Tracker!E:E,1)</f>
        <v>0</v>
      </c>
      <c r="K34" s="36">
        <f>COUNTIFS(Tracker!G:G,Daily!C34, Tracker!J:J,"Y (with hints)",Tracker!E:E,1)</f>
        <v>0</v>
      </c>
      <c r="L34" s="37">
        <f>COUNTIFS(Tracker!G:G,Daily!C34, Tracker!J:J,"N",Tracker!E:E,1)</f>
        <v>0</v>
      </c>
      <c r="M34" s="55">
        <f t="shared" si="32"/>
        <v>0</v>
      </c>
      <c r="N34" s="36">
        <f>COUNTIFS(Tracker!G:G,Daily!C34, Tracker!J:J,"Y",Tracker!E:E,2)</f>
        <v>0</v>
      </c>
      <c r="O34" s="36">
        <f>COUNTIFS(Tracker!G:G,Daily!C34, Tracker!J:J,"Y (with hints)",Tracker!E:E,2)</f>
        <v>0</v>
      </c>
      <c r="P34" s="37">
        <f>COUNTIFS(Tracker!G:G,Daily!C34, Tracker!J:J,"N",Tracker!E:E,2)</f>
        <v>0</v>
      </c>
      <c r="Q34" s="58">
        <f t="shared" si="33"/>
        <v>0</v>
      </c>
      <c r="R34" s="36">
        <f>COUNTIFS(Tracker!G:G,Daily!C34, Tracker!J:J,"Y",Tracker!E:E,3)</f>
        <v>0</v>
      </c>
      <c r="S34" s="36">
        <f>COUNTIFS(Tracker!G:G,Daily!C34, Tracker!J:J,"Y (with hints)",Tracker!E:E,3)</f>
        <v>0</v>
      </c>
      <c r="T34" s="37">
        <f>COUNTIFS(Tracker!G:G,Daily!C34, Tracker!J:J,"N",Tracker!E:E,3)</f>
        <v>0</v>
      </c>
      <c r="V34" s="39">
        <f t="shared" si="14"/>
        <v>42</v>
      </c>
      <c r="W34" s="36">
        <f t="shared" si="15"/>
        <v>38</v>
      </c>
      <c r="X34" s="64">
        <f t="shared" si="16"/>
        <v>0.90476190476190477</v>
      </c>
      <c r="Y34" s="78">
        <f>AVERAGEIFS(Tracker!I:I, Tracker!E:E, 1, Tracker!G:G, "&lt;="&amp;Daily!C34, Tracker!J:J, "Y")</f>
        <v>13.710526315789474</v>
      </c>
      <c r="Z34" s="79">
        <f>COUNTIFS(Tracker!E:E, 1, Tracker!G:G, "&lt;="&amp;Daily!C34, Tracker!L:L, "N") / V34</f>
        <v>0.66666666666666663</v>
      </c>
      <c r="AA34" s="39">
        <f t="shared" si="8"/>
        <v>39</v>
      </c>
      <c r="AB34" s="36">
        <f t="shared" si="9"/>
        <v>25</v>
      </c>
      <c r="AC34" s="64">
        <f t="shared" si="17"/>
        <v>0.64102564102564108</v>
      </c>
      <c r="AD34" s="78">
        <f>AVERAGEIFS(Tracker!I:I, Tracker!E:E, 2, Tracker!G:G, "&lt;="&amp;Daily!C34, Tracker!J:J, "Y")</f>
        <v>24.76</v>
      </c>
      <c r="AE34" s="79">
        <f>COUNTIFS(Tracker!E:E, 2, Tracker!G:G, "&lt;="&amp;Daily!C34, Tracker!L:L, "N") / AA34</f>
        <v>0.41025641025641024</v>
      </c>
      <c r="AF34" s="39">
        <f t="shared" si="10"/>
        <v>4</v>
      </c>
      <c r="AG34" s="36">
        <f t="shared" si="11"/>
        <v>1</v>
      </c>
      <c r="AH34" s="64">
        <f t="shared" si="12"/>
        <v>0.25</v>
      </c>
      <c r="AI34" s="78">
        <f>IFERROR(AVERAGEIFS(Tracker!I:I, Tracker!E:E, 3, Tracker!G:G, "&lt;="&amp;Daily!C34, Tracker!J:J, "Y"), 0)</f>
        <v>25</v>
      </c>
      <c r="AJ34" s="79">
        <f>IFERROR(COUNTIFS(Tracker!E:E, 3, Tracker!G:G, "&lt;="&amp;Daily!C34, Tracker!L:L, "N") / AF34,  0)</f>
        <v>0</v>
      </c>
      <c r="AK34" s="39">
        <f t="shared" si="5"/>
        <v>85</v>
      </c>
      <c r="AL34" s="36">
        <f t="shared" si="6"/>
        <v>64</v>
      </c>
      <c r="AM34" s="64">
        <f t="shared" si="13"/>
        <v>0.75294117647058822</v>
      </c>
      <c r="AN34" s="78">
        <f>IFERROR(AVERAGEIFS(Tracker!I:I,  Tracker!G:G, "&lt;="&amp;Daily!C34, Tracker!J:J, "Y"), 0)</f>
        <v>18.203125</v>
      </c>
      <c r="AO34" s="79">
        <f>IFERROR(COUNTIFS(Tracker!G:G, "&lt;="&amp;Daily!C34, Tracker!L:L, "N") / AK34,  0)</f>
        <v>0.51764705882352946</v>
      </c>
    </row>
    <row r="35" spans="1:41" x14ac:dyDescent="0.25">
      <c r="A35" s="118">
        <v>5</v>
      </c>
      <c r="B35" s="28">
        <f t="shared" si="29"/>
        <v>45250</v>
      </c>
      <c r="C35" s="29">
        <f t="shared" si="23"/>
        <v>45250</v>
      </c>
      <c r="D35" s="108" t="b">
        <f t="shared" ca="1" si="7"/>
        <v>1</v>
      </c>
      <c r="E35" s="50">
        <f t="shared" si="30"/>
        <v>6</v>
      </c>
      <c r="F35" s="38">
        <f>COUNTIFS(Tracker!G:G,Daily!C35, Tracker!J:J,"Y")</f>
        <v>6</v>
      </c>
      <c r="G35" s="30">
        <f>COUNTIFS(Tracker!G:G,Daily!C35, Tracker!J:J,"Y (with hints)")</f>
        <v>0</v>
      </c>
      <c r="H35" s="31">
        <f>COUNTIFS(Tracker!G:G,Daily!C35, Tracker!J:J,"N")</f>
        <v>0</v>
      </c>
      <c r="I35" s="53">
        <f t="shared" si="31"/>
        <v>1</v>
      </c>
      <c r="J35" s="30">
        <f>COUNTIFS(Tracker!G:G,Daily!C35, Tracker!J:J,"Y",Tracker!E:E,1)</f>
        <v>1</v>
      </c>
      <c r="K35" s="30">
        <f>COUNTIFS(Tracker!G:G,Daily!C35, Tracker!J:J,"Y (with hints)",Tracker!E:E,1)</f>
        <v>0</v>
      </c>
      <c r="L35" s="31">
        <f>COUNTIFS(Tracker!G:G,Daily!C35, Tracker!J:J,"N",Tracker!E:E,1)</f>
        <v>0</v>
      </c>
      <c r="M35" s="53">
        <f t="shared" si="32"/>
        <v>5</v>
      </c>
      <c r="N35" s="30">
        <f>COUNTIFS(Tracker!G:G,Daily!C35, Tracker!J:J,"Y",Tracker!E:E,2)</f>
        <v>5</v>
      </c>
      <c r="O35" s="30">
        <f>COUNTIFS(Tracker!G:G,Daily!C35, Tracker!J:J,"Y (with hints)",Tracker!E:E,2)</f>
        <v>0</v>
      </c>
      <c r="P35" s="31">
        <f>COUNTIFS(Tracker!G:G,Daily!C35, Tracker!J:J,"N",Tracker!E:E,2)</f>
        <v>0</v>
      </c>
      <c r="Q35" s="56">
        <f t="shared" si="33"/>
        <v>0</v>
      </c>
      <c r="R35" s="30">
        <f>COUNTIFS(Tracker!G:G,Daily!C35, Tracker!J:J,"Y",Tracker!E:E,3)</f>
        <v>0</v>
      </c>
      <c r="S35" s="30">
        <f>COUNTIFS(Tracker!G:G,Daily!C35, Tracker!J:J,"Y (with hints)",Tracker!E:E,3)</f>
        <v>0</v>
      </c>
      <c r="T35" s="31">
        <f>COUNTIFS(Tracker!G:G,Daily!C35, Tracker!J:J,"N",Tracker!E:E,3)</f>
        <v>0</v>
      </c>
      <c r="V35" s="38">
        <f t="shared" si="14"/>
        <v>43</v>
      </c>
      <c r="W35" s="30">
        <f t="shared" si="15"/>
        <v>39</v>
      </c>
      <c r="X35" s="73">
        <f t="shared" si="16"/>
        <v>0.90697674418604646</v>
      </c>
      <c r="Y35" s="75">
        <f>AVERAGEIFS(Tracker!I:I, Tracker!E:E, 1, Tracker!G:G, "&lt;="&amp;Daily!C35, Tracker!J:J, "Y")</f>
        <v>13.871794871794872</v>
      </c>
      <c r="Z35" s="76">
        <f>COUNTIFS(Tracker!E:E, 1, Tracker!G:G, "&lt;="&amp;Daily!C35, Tracker!L:L, "N") / V35</f>
        <v>0.67441860465116277</v>
      </c>
      <c r="AA35" s="38">
        <f t="shared" si="8"/>
        <v>44</v>
      </c>
      <c r="AB35" s="30">
        <f t="shared" si="9"/>
        <v>30</v>
      </c>
      <c r="AC35" s="73">
        <f t="shared" si="17"/>
        <v>0.68181818181818177</v>
      </c>
      <c r="AD35" s="75">
        <f>AVERAGEIFS(Tracker!I:I, Tracker!E:E, 2, Tracker!G:G, "&lt;="&amp;Daily!C35, Tracker!J:J, "Y")</f>
        <v>25</v>
      </c>
      <c r="AE35" s="76">
        <f>COUNTIFS(Tracker!E:E, 2, Tracker!G:G, "&lt;="&amp;Daily!C35, Tracker!L:L, "N") / AA35</f>
        <v>0.43181818181818182</v>
      </c>
      <c r="AF35" s="38">
        <f t="shared" si="10"/>
        <v>4</v>
      </c>
      <c r="AG35" s="30">
        <f t="shared" si="11"/>
        <v>1</v>
      </c>
      <c r="AH35" s="73">
        <f t="shared" si="12"/>
        <v>0.25</v>
      </c>
      <c r="AI35" s="75">
        <f>IFERROR(AVERAGEIFS(Tracker!I:I, Tracker!E:E, 3, Tracker!G:G, "&lt;="&amp;Daily!C35, Tracker!J:J, "Y"), 0)</f>
        <v>25</v>
      </c>
      <c r="AJ35" s="76">
        <f>IFERROR(COUNTIFS(Tracker!E:E, 3, Tracker!G:G, "&lt;="&amp;Daily!C35, Tracker!L:L, "N") / AF35,  0)</f>
        <v>0</v>
      </c>
      <c r="AK35" s="38">
        <f t="shared" si="5"/>
        <v>91</v>
      </c>
      <c r="AL35" s="30">
        <f t="shared" si="6"/>
        <v>70</v>
      </c>
      <c r="AM35" s="73">
        <f t="shared" si="13"/>
        <v>0.76923076923076927</v>
      </c>
      <c r="AN35" s="75">
        <f>IFERROR(AVERAGEIFS(Tracker!I:I,  Tracker!G:G, "&lt;="&amp;Daily!C35, Tracker!J:J, "Y"), 0)</f>
        <v>18.8</v>
      </c>
      <c r="AO35" s="76">
        <f>IFERROR(COUNTIFS(Tracker!G:G, "&lt;="&amp;Daily!C35, Tracker!L:L, "N") / AK35,  0)</f>
        <v>0.52747252747252749</v>
      </c>
    </row>
    <row r="36" spans="1:41" x14ac:dyDescent="0.25">
      <c r="A36" s="119"/>
      <c r="B36" s="32">
        <f t="shared" si="29"/>
        <v>45251</v>
      </c>
      <c r="C36" s="27">
        <f t="shared" si="23"/>
        <v>45251</v>
      </c>
      <c r="D36" s="109" t="b">
        <f t="shared" ca="1" si="7"/>
        <v>1</v>
      </c>
      <c r="E36" s="51">
        <f t="shared" si="30"/>
        <v>5</v>
      </c>
      <c r="F36" s="48">
        <f>COUNTIFS(Tracker!G:G,Daily!C36, Tracker!J:J,"Y")</f>
        <v>4</v>
      </c>
      <c r="G36" s="26">
        <f>COUNTIFS(Tracker!G:G,Daily!C36, Tracker!J:J,"Y (with hints)")</f>
        <v>0</v>
      </c>
      <c r="H36" s="33">
        <f>COUNTIFS(Tracker!G:G,Daily!C36, Tracker!J:J,"N")</f>
        <v>1</v>
      </c>
      <c r="I36" s="54">
        <f t="shared" si="31"/>
        <v>3</v>
      </c>
      <c r="J36" s="26">
        <f>COUNTIFS(Tracker!G:G,Daily!C36, Tracker!J:J,"Y",Tracker!E:E,1)</f>
        <v>3</v>
      </c>
      <c r="K36" s="26">
        <f>COUNTIFS(Tracker!G:G,Daily!C36, Tracker!J:J,"Y (with hints)",Tracker!E:E,1)</f>
        <v>0</v>
      </c>
      <c r="L36" s="33">
        <f>COUNTIFS(Tracker!G:G,Daily!C36, Tracker!J:J,"N",Tracker!E:E,1)</f>
        <v>0</v>
      </c>
      <c r="M36" s="54">
        <f t="shared" si="32"/>
        <v>2</v>
      </c>
      <c r="N36" s="26">
        <f>COUNTIFS(Tracker!G:G,Daily!C36, Tracker!J:J,"Y",Tracker!E:E,2)</f>
        <v>1</v>
      </c>
      <c r="O36" s="26">
        <f>COUNTIFS(Tracker!G:G,Daily!C36, Tracker!J:J,"Y (with hints)",Tracker!E:E,2)</f>
        <v>0</v>
      </c>
      <c r="P36" s="33">
        <f>COUNTIFS(Tracker!G:G,Daily!C36, Tracker!J:J,"N",Tracker!E:E,2)</f>
        <v>1</v>
      </c>
      <c r="Q36" s="57">
        <f t="shared" si="33"/>
        <v>0</v>
      </c>
      <c r="R36" s="26">
        <f>COUNTIFS(Tracker!G:G,Daily!C36, Tracker!J:J,"Y",Tracker!E:E,3)</f>
        <v>0</v>
      </c>
      <c r="S36" s="26">
        <f>COUNTIFS(Tracker!G:G,Daily!C36, Tracker!J:J,"Y (with hints)",Tracker!E:E,3)</f>
        <v>0</v>
      </c>
      <c r="T36" s="33">
        <f>COUNTIFS(Tracker!G:G,Daily!C36, Tracker!J:J,"N",Tracker!E:E,3)</f>
        <v>0</v>
      </c>
      <c r="V36" s="48">
        <f t="shared" si="14"/>
        <v>46</v>
      </c>
      <c r="W36" s="26">
        <f t="shared" si="15"/>
        <v>42</v>
      </c>
      <c r="X36" s="62">
        <f t="shared" si="16"/>
        <v>0.91304347826086951</v>
      </c>
      <c r="Y36" s="74">
        <f>AVERAGEIFS(Tracker!I:I, Tracker!E:E, 1, Tracker!G:G, "&lt;="&amp;Daily!C36, Tracker!J:J, "Y")</f>
        <v>13.666666666666666</v>
      </c>
      <c r="Z36" s="77">
        <f>COUNTIFS(Tracker!E:E, 1, Tracker!G:G, "&lt;="&amp;Daily!C36, Tracker!L:L, "N") / V36</f>
        <v>0.69565217391304346</v>
      </c>
      <c r="AA36" s="48">
        <f t="shared" si="8"/>
        <v>46</v>
      </c>
      <c r="AB36" s="26">
        <f t="shared" si="9"/>
        <v>31</v>
      </c>
      <c r="AC36" s="62">
        <f t="shared" si="17"/>
        <v>0.67391304347826086</v>
      </c>
      <c r="AD36" s="74">
        <f>AVERAGEIFS(Tracker!I:I, Tracker!E:E, 2, Tracker!G:G, "&lt;="&amp;Daily!C36, Tracker!J:J, "Y")</f>
        <v>25.548387096774192</v>
      </c>
      <c r="AE36" s="77">
        <f>COUNTIFS(Tracker!E:E, 2, Tracker!G:G, "&lt;="&amp;Daily!C36, Tracker!L:L, "N") / AA36</f>
        <v>0.43478260869565216</v>
      </c>
      <c r="AF36" s="48">
        <f t="shared" si="10"/>
        <v>4</v>
      </c>
      <c r="AG36" s="26">
        <f t="shared" si="11"/>
        <v>1</v>
      </c>
      <c r="AH36" s="62">
        <f t="shared" si="12"/>
        <v>0.25</v>
      </c>
      <c r="AI36" s="74">
        <f>IFERROR(AVERAGEIFS(Tracker!I:I, Tracker!E:E, 3, Tracker!G:G, "&lt;="&amp;Daily!C36, Tracker!J:J, "Y"), 0)</f>
        <v>25</v>
      </c>
      <c r="AJ36" s="77">
        <f>IFERROR(COUNTIFS(Tracker!E:E, 3, Tracker!G:G, "&lt;="&amp;Daily!C36, Tracker!L:L, "N") / AF36,  0)</f>
        <v>0</v>
      </c>
      <c r="AK36" s="48">
        <f t="shared" ref="AK36:AK67" si="34">V36+AA36+AF36</f>
        <v>96</v>
      </c>
      <c r="AL36" s="26">
        <f t="shared" ref="AL36:AL67" si="35">W36+AB36+AG36</f>
        <v>74</v>
      </c>
      <c r="AM36" s="62">
        <f t="shared" si="13"/>
        <v>0.77083333333333337</v>
      </c>
      <c r="AN36" s="74">
        <f>IFERROR(AVERAGEIFS(Tracker!I:I,  Tracker!G:G, "&lt;="&amp;Daily!C36, Tracker!J:J, "Y"), 0)</f>
        <v>18.797297297297298</v>
      </c>
      <c r="AO36" s="77">
        <f>IFERROR(COUNTIFS(Tracker!G:G, "&lt;="&amp;Daily!C36, Tracker!L:L, "N") / AK36,  0)</f>
        <v>0.54166666666666663</v>
      </c>
    </row>
    <row r="37" spans="1:41" x14ac:dyDescent="0.25">
      <c r="A37" s="119"/>
      <c r="B37" s="32">
        <f t="shared" si="29"/>
        <v>45252</v>
      </c>
      <c r="C37" s="27">
        <f t="shared" si="23"/>
        <v>45252</v>
      </c>
      <c r="D37" s="109" t="b">
        <f t="shared" ca="1" si="7"/>
        <v>1</v>
      </c>
      <c r="E37" s="51">
        <f t="shared" si="30"/>
        <v>6</v>
      </c>
      <c r="F37" s="48">
        <f>COUNTIFS(Tracker!G:G,Daily!C37, Tracker!J:J,"Y")</f>
        <v>6</v>
      </c>
      <c r="G37" s="26">
        <f>COUNTIFS(Tracker!G:G,Daily!C37, Tracker!J:J,"Y (with hints)")</f>
        <v>0</v>
      </c>
      <c r="H37" s="33">
        <f>COUNTIFS(Tracker!G:G,Daily!C37, Tracker!J:J,"N")</f>
        <v>0</v>
      </c>
      <c r="I37" s="54">
        <f t="shared" si="31"/>
        <v>0</v>
      </c>
      <c r="J37" s="26">
        <f>COUNTIFS(Tracker!G:G,Daily!C37, Tracker!J:J,"Y",Tracker!E:E,1)</f>
        <v>0</v>
      </c>
      <c r="K37" s="26">
        <f>COUNTIFS(Tracker!G:G,Daily!C37, Tracker!J:J,"Y (with hints)",Tracker!E:E,1)</f>
        <v>0</v>
      </c>
      <c r="L37" s="33">
        <f>COUNTIFS(Tracker!G:G,Daily!C37, Tracker!J:J,"N",Tracker!E:E,1)</f>
        <v>0</v>
      </c>
      <c r="M37" s="54">
        <f t="shared" si="32"/>
        <v>5</v>
      </c>
      <c r="N37" s="26">
        <f>COUNTIFS(Tracker!G:G,Daily!C37, Tracker!J:J,"Y",Tracker!E:E,2)</f>
        <v>5</v>
      </c>
      <c r="O37" s="26">
        <f>COUNTIFS(Tracker!G:G,Daily!C37, Tracker!J:J,"Y (with hints)",Tracker!E:E,2)</f>
        <v>0</v>
      </c>
      <c r="P37" s="33">
        <f>COUNTIFS(Tracker!G:G,Daily!C37, Tracker!J:J,"N",Tracker!E:E,2)</f>
        <v>0</v>
      </c>
      <c r="Q37" s="57">
        <f t="shared" si="33"/>
        <v>1</v>
      </c>
      <c r="R37" s="26">
        <f>COUNTIFS(Tracker!G:G,Daily!C37, Tracker!J:J,"Y",Tracker!E:E,3)</f>
        <v>1</v>
      </c>
      <c r="S37" s="26">
        <f>COUNTIFS(Tracker!G:G,Daily!C37, Tracker!J:J,"Y (with hints)",Tracker!E:E,3)</f>
        <v>0</v>
      </c>
      <c r="T37" s="33">
        <f>COUNTIFS(Tracker!G:G,Daily!C37, Tracker!J:J,"N",Tracker!E:E,3)</f>
        <v>0</v>
      </c>
      <c r="V37" s="48">
        <f t="shared" si="14"/>
        <v>46</v>
      </c>
      <c r="W37" s="26">
        <f t="shared" si="15"/>
        <v>42</v>
      </c>
      <c r="X37" s="62">
        <f t="shared" si="16"/>
        <v>0.91304347826086951</v>
      </c>
      <c r="Y37" s="74">
        <f>AVERAGEIFS(Tracker!I:I, Tracker!E:E, 1, Tracker!G:G, "&lt;="&amp;Daily!C37, Tracker!J:J, "Y")</f>
        <v>13.666666666666666</v>
      </c>
      <c r="Z37" s="77">
        <f>COUNTIFS(Tracker!E:E, 1, Tracker!G:G, "&lt;="&amp;Daily!C37, Tracker!L:L, "N") / V37</f>
        <v>0.69565217391304346</v>
      </c>
      <c r="AA37" s="48">
        <f t="shared" ref="AA37:AA68" si="36">AA36+M37</f>
        <v>51</v>
      </c>
      <c r="AB37" s="26">
        <f t="shared" ref="AB37:AB68" si="37">AB36+N37</f>
        <v>36</v>
      </c>
      <c r="AC37" s="62">
        <f t="shared" si="17"/>
        <v>0.70588235294117652</v>
      </c>
      <c r="AD37" s="74">
        <f>AVERAGEIFS(Tracker!I:I, Tracker!E:E, 2, Tracker!G:G, "&lt;="&amp;Daily!C37, Tracker!J:J, "Y")</f>
        <v>26.916666666666668</v>
      </c>
      <c r="AE37" s="77">
        <f>COUNTIFS(Tracker!E:E, 2, Tracker!G:G, "&lt;="&amp;Daily!C37, Tracker!L:L, "N") / AA37</f>
        <v>0.45098039215686275</v>
      </c>
      <c r="AF37" s="48">
        <f t="shared" ref="AF37:AF68" si="38">AF36+Q37</f>
        <v>5</v>
      </c>
      <c r="AG37" s="26">
        <f t="shared" ref="AG37:AG68" si="39">AG36+R37</f>
        <v>2</v>
      </c>
      <c r="AH37" s="62">
        <f t="shared" si="12"/>
        <v>0.4</v>
      </c>
      <c r="AI37" s="74">
        <f>IFERROR(AVERAGEIFS(Tracker!I:I, Tracker!E:E, 3, Tracker!G:G, "&lt;="&amp;Daily!C37, Tracker!J:J, "Y"), 0)</f>
        <v>41</v>
      </c>
      <c r="AJ37" s="77">
        <f>IFERROR(COUNTIFS(Tracker!E:E, 3, Tracker!G:G, "&lt;="&amp;Daily!C37, Tracker!L:L, "N") / AF37,  0)</f>
        <v>0.2</v>
      </c>
      <c r="AK37" s="48">
        <f t="shared" si="34"/>
        <v>102</v>
      </c>
      <c r="AL37" s="26">
        <f t="shared" si="35"/>
        <v>80</v>
      </c>
      <c r="AM37" s="62">
        <f t="shared" si="13"/>
        <v>0.78431372549019607</v>
      </c>
      <c r="AN37" s="74">
        <f>IFERROR(AVERAGEIFS(Tracker!I:I,  Tracker!G:G, "&lt;="&amp;Daily!C37, Tracker!J:J, "Y"), 0)</f>
        <v>20.3125</v>
      </c>
      <c r="AO37" s="77">
        <f>IFERROR(COUNTIFS(Tracker!G:G, "&lt;="&amp;Daily!C37, Tracker!L:L, "N") / AK37,  0)</f>
        <v>0.5490196078431373</v>
      </c>
    </row>
    <row r="38" spans="1:41" x14ac:dyDescent="0.25">
      <c r="A38" s="119"/>
      <c r="B38" s="32">
        <f t="shared" si="29"/>
        <v>45253</v>
      </c>
      <c r="C38" s="27">
        <f t="shared" si="23"/>
        <v>45253</v>
      </c>
      <c r="D38" s="109" t="b">
        <f t="shared" ca="1" si="7"/>
        <v>1</v>
      </c>
      <c r="E38" s="51">
        <f t="shared" si="30"/>
        <v>0</v>
      </c>
      <c r="F38" s="48">
        <f>COUNTIFS(Tracker!G:G,Daily!C38, Tracker!J:J,"Y")</f>
        <v>0</v>
      </c>
      <c r="G38" s="26">
        <f>COUNTIFS(Tracker!G:G,Daily!C38, Tracker!J:J,"Y (with hints)")</f>
        <v>0</v>
      </c>
      <c r="H38" s="33">
        <f>COUNTIFS(Tracker!G:G,Daily!C38, Tracker!J:J,"N")</f>
        <v>0</v>
      </c>
      <c r="I38" s="54">
        <f t="shared" si="31"/>
        <v>0</v>
      </c>
      <c r="J38" s="26">
        <f>COUNTIFS(Tracker!G:G,Daily!C38, Tracker!J:J,"Y",Tracker!E:E,1)</f>
        <v>0</v>
      </c>
      <c r="K38" s="26">
        <f>COUNTIFS(Tracker!G:G,Daily!C38, Tracker!J:J,"Y (with hints)",Tracker!E:E,1)</f>
        <v>0</v>
      </c>
      <c r="L38" s="33">
        <f>COUNTIFS(Tracker!G:G,Daily!C38, Tracker!J:J,"N",Tracker!E:E,1)</f>
        <v>0</v>
      </c>
      <c r="M38" s="54">
        <f t="shared" si="32"/>
        <v>0</v>
      </c>
      <c r="N38" s="26">
        <f>COUNTIFS(Tracker!G:G,Daily!C38, Tracker!J:J,"Y",Tracker!E:E,2)</f>
        <v>0</v>
      </c>
      <c r="O38" s="26">
        <f>COUNTIFS(Tracker!G:G,Daily!C38, Tracker!J:J,"Y (with hints)",Tracker!E:E,2)</f>
        <v>0</v>
      </c>
      <c r="P38" s="33">
        <f>COUNTIFS(Tracker!G:G,Daily!C38, Tracker!J:J,"N",Tracker!E:E,2)</f>
        <v>0</v>
      </c>
      <c r="Q38" s="57">
        <f t="shared" si="33"/>
        <v>0</v>
      </c>
      <c r="R38" s="26">
        <f>COUNTIFS(Tracker!G:G,Daily!C38, Tracker!J:J,"Y",Tracker!E:E,3)</f>
        <v>0</v>
      </c>
      <c r="S38" s="26">
        <f>COUNTIFS(Tracker!G:G,Daily!C38, Tracker!J:J,"Y (with hints)",Tracker!E:E,3)</f>
        <v>0</v>
      </c>
      <c r="T38" s="33">
        <f>COUNTIFS(Tracker!G:G,Daily!C38, Tracker!J:J,"N",Tracker!E:E,3)</f>
        <v>0</v>
      </c>
      <c r="V38" s="48">
        <f t="shared" si="14"/>
        <v>46</v>
      </c>
      <c r="W38" s="26">
        <f t="shared" si="15"/>
        <v>42</v>
      </c>
      <c r="X38" s="62">
        <f t="shared" si="16"/>
        <v>0.91304347826086951</v>
      </c>
      <c r="Y38" s="74">
        <f>AVERAGEIFS(Tracker!I:I, Tracker!E:E, 1, Tracker!G:G, "&lt;="&amp;Daily!C38, Tracker!J:J, "Y")</f>
        <v>13.666666666666666</v>
      </c>
      <c r="Z38" s="77">
        <f>COUNTIFS(Tracker!E:E, 1, Tracker!G:G, "&lt;="&amp;Daily!C38, Tracker!L:L, "N") / V38</f>
        <v>0.69565217391304346</v>
      </c>
      <c r="AA38" s="48">
        <f t="shared" si="36"/>
        <v>51</v>
      </c>
      <c r="AB38" s="26">
        <f t="shared" si="37"/>
        <v>36</v>
      </c>
      <c r="AC38" s="62">
        <f t="shared" si="17"/>
        <v>0.70588235294117652</v>
      </c>
      <c r="AD38" s="74">
        <f>AVERAGEIFS(Tracker!I:I, Tracker!E:E, 2, Tracker!G:G, "&lt;="&amp;Daily!C38, Tracker!J:J, "Y")</f>
        <v>26.916666666666668</v>
      </c>
      <c r="AE38" s="77">
        <f>COUNTIFS(Tracker!E:E, 2, Tracker!G:G, "&lt;="&amp;Daily!C38, Tracker!L:L, "N") / AA38</f>
        <v>0.45098039215686275</v>
      </c>
      <c r="AF38" s="48">
        <f t="shared" si="38"/>
        <v>5</v>
      </c>
      <c r="AG38" s="26">
        <f t="shared" si="39"/>
        <v>2</v>
      </c>
      <c r="AH38" s="62">
        <f t="shared" si="12"/>
        <v>0.4</v>
      </c>
      <c r="AI38" s="74">
        <f>IFERROR(AVERAGEIFS(Tracker!I:I, Tracker!E:E, 3, Tracker!G:G, "&lt;="&amp;Daily!C38, Tracker!J:J, "Y"), 0)</f>
        <v>41</v>
      </c>
      <c r="AJ38" s="77">
        <f>IFERROR(COUNTIFS(Tracker!E:E, 3, Tracker!G:G, "&lt;="&amp;Daily!C38, Tracker!L:L, "N") / AF38,  0)</f>
        <v>0.2</v>
      </c>
      <c r="AK38" s="48">
        <f t="shared" si="34"/>
        <v>102</v>
      </c>
      <c r="AL38" s="26">
        <f t="shared" si="35"/>
        <v>80</v>
      </c>
      <c r="AM38" s="62">
        <f t="shared" si="13"/>
        <v>0.78431372549019607</v>
      </c>
      <c r="AN38" s="74">
        <f>IFERROR(AVERAGEIFS(Tracker!I:I,  Tracker!G:G, "&lt;="&amp;Daily!C38, Tracker!J:J, "Y"), 0)</f>
        <v>20.3125</v>
      </c>
      <c r="AO38" s="77">
        <f>IFERROR(COUNTIFS(Tracker!G:G, "&lt;="&amp;Daily!C38, Tracker!L:L, "N") / AK38,  0)</f>
        <v>0.5490196078431373</v>
      </c>
    </row>
    <row r="39" spans="1:41" x14ac:dyDescent="0.25">
      <c r="A39" s="119"/>
      <c r="B39" s="32">
        <f t="shared" si="29"/>
        <v>45254</v>
      </c>
      <c r="C39" s="27">
        <f t="shared" si="23"/>
        <v>45254</v>
      </c>
      <c r="D39" s="109" t="b">
        <f t="shared" ca="1" si="7"/>
        <v>1</v>
      </c>
      <c r="E39" s="51">
        <f t="shared" si="30"/>
        <v>0</v>
      </c>
      <c r="F39" s="48">
        <f>COUNTIFS(Tracker!G:G,Daily!C39, Tracker!J:J,"Y")</f>
        <v>0</v>
      </c>
      <c r="G39" s="26">
        <f>COUNTIFS(Tracker!G:G,Daily!C39, Tracker!J:J,"Y (with hints)")</f>
        <v>0</v>
      </c>
      <c r="H39" s="33">
        <f>COUNTIFS(Tracker!G:G,Daily!C39, Tracker!J:J,"N")</f>
        <v>0</v>
      </c>
      <c r="I39" s="54">
        <f t="shared" si="31"/>
        <v>0</v>
      </c>
      <c r="J39" s="26">
        <f>COUNTIFS(Tracker!G:G,Daily!C39, Tracker!J:J,"Y",Tracker!E:E,1)</f>
        <v>0</v>
      </c>
      <c r="K39" s="26">
        <f>COUNTIFS(Tracker!G:G,Daily!C39, Tracker!J:J,"Y (with hints)",Tracker!E:E,1)</f>
        <v>0</v>
      </c>
      <c r="L39" s="33">
        <f>COUNTIFS(Tracker!G:G,Daily!C39, Tracker!J:J,"N",Tracker!E:E,1)</f>
        <v>0</v>
      </c>
      <c r="M39" s="54">
        <f t="shared" si="32"/>
        <v>0</v>
      </c>
      <c r="N39" s="26">
        <f>COUNTIFS(Tracker!G:G,Daily!C39, Tracker!J:J,"Y",Tracker!E:E,2)</f>
        <v>0</v>
      </c>
      <c r="O39" s="26">
        <f>COUNTIFS(Tracker!G:G,Daily!C39, Tracker!J:J,"Y (with hints)",Tracker!E:E,2)</f>
        <v>0</v>
      </c>
      <c r="P39" s="33">
        <f>COUNTIFS(Tracker!G:G,Daily!C39, Tracker!J:J,"N",Tracker!E:E,2)</f>
        <v>0</v>
      </c>
      <c r="Q39" s="57">
        <f t="shared" si="33"/>
        <v>0</v>
      </c>
      <c r="R39" s="26">
        <f>COUNTIFS(Tracker!G:G,Daily!C39, Tracker!J:J,"Y",Tracker!E:E,3)</f>
        <v>0</v>
      </c>
      <c r="S39" s="26">
        <f>COUNTIFS(Tracker!G:G,Daily!C39, Tracker!J:J,"Y (with hints)",Tracker!E:E,3)</f>
        <v>0</v>
      </c>
      <c r="T39" s="33">
        <f>COUNTIFS(Tracker!G:G,Daily!C39, Tracker!J:J,"N",Tracker!E:E,3)</f>
        <v>0</v>
      </c>
      <c r="V39" s="48">
        <f t="shared" si="14"/>
        <v>46</v>
      </c>
      <c r="W39" s="26">
        <f t="shared" si="15"/>
        <v>42</v>
      </c>
      <c r="X39" s="62">
        <f t="shared" si="16"/>
        <v>0.91304347826086951</v>
      </c>
      <c r="Y39" s="74">
        <f>AVERAGEIFS(Tracker!I:I, Tracker!E:E, 1, Tracker!G:G, "&lt;="&amp;Daily!C39, Tracker!J:J, "Y")</f>
        <v>13.666666666666666</v>
      </c>
      <c r="Z39" s="77">
        <f>COUNTIFS(Tracker!E:E, 1, Tracker!G:G, "&lt;="&amp;Daily!C39, Tracker!L:L, "N") / V39</f>
        <v>0.69565217391304346</v>
      </c>
      <c r="AA39" s="48">
        <f t="shared" si="36"/>
        <v>51</v>
      </c>
      <c r="AB39" s="26">
        <f t="shared" si="37"/>
        <v>36</v>
      </c>
      <c r="AC39" s="62">
        <f t="shared" si="17"/>
        <v>0.70588235294117652</v>
      </c>
      <c r="AD39" s="74">
        <f>AVERAGEIFS(Tracker!I:I, Tracker!E:E, 2, Tracker!G:G, "&lt;="&amp;Daily!C39, Tracker!J:J, "Y")</f>
        <v>26.916666666666668</v>
      </c>
      <c r="AE39" s="77">
        <f>COUNTIFS(Tracker!E:E, 2, Tracker!G:G, "&lt;="&amp;Daily!C39, Tracker!L:L, "N") / AA39</f>
        <v>0.45098039215686275</v>
      </c>
      <c r="AF39" s="48">
        <f t="shared" si="38"/>
        <v>5</v>
      </c>
      <c r="AG39" s="26">
        <f t="shared" si="39"/>
        <v>2</v>
      </c>
      <c r="AH39" s="62">
        <f t="shared" si="12"/>
        <v>0.4</v>
      </c>
      <c r="AI39" s="74">
        <f>IFERROR(AVERAGEIFS(Tracker!I:I, Tracker!E:E, 3, Tracker!G:G, "&lt;="&amp;Daily!C39, Tracker!J:J, "Y"), 0)</f>
        <v>41</v>
      </c>
      <c r="AJ39" s="77">
        <f>IFERROR(COUNTIFS(Tracker!E:E, 3, Tracker!G:G, "&lt;="&amp;Daily!C39, Tracker!L:L, "N") / AF39,  0)</f>
        <v>0.2</v>
      </c>
      <c r="AK39" s="48">
        <f t="shared" si="34"/>
        <v>102</v>
      </c>
      <c r="AL39" s="26">
        <f t="shared" si="35"/>
        <v>80</v>
      </c>
      <c r="AM39" s="62">
        <f t="shared" si="13"/>
        <v>0.78431372549019607</v>
      </c>
      <c r="AN39" s="74">
        <f>IFERROR(AVERAGEIFS(Tracker!I:I,  Tracker!G:G, "&lt;="&amp;Daily!C39, Tracker!J:J, "Y"), 0)</f>
        <v>20.3125</v>
      </c>
      <c r="AO39" s="77">
        <f>IFERROR(COUNTIFS(Tracker!G:G, "&lt;="&amp;Daily!C39, Tracker!L:L, "N") / AK39,  0)</f>
        <v>0.5490196078431373</v>
      </c>
    </row>
    <row r="40" spans="1:41" x14ac:dyDescent="0.25">
      <c r="A40" s="119"/>
      <c r="B40" s="32">
        <f t="shared" ref="B40:B46" si="40">C40</f>
        <v>45255</v>
      </c>
      <c r="C40" s="27">
        <f t="shared" si="23"/>
        <v>45255</v>
      </c>
      <c r="D40" s="109" t="b">
        <f t="shared" ca="1" si="7"/>
        <v>1</v>
      </c>
      <c r="E40" s="51">
        <f t="shared" ref="E40:E46" si="41">SUM(F40:H40)</f>
        <v>0</v>
      </c>
      <c r="F40" s="48">
        <f>COUNTIFS(Tracker!G:G,Daily!C40, Tracker!J:J,"Y")</f>
        <v>0</v>
      </c>
      <c r="G40" s="26">
        <f>COUNTIFS(Tracker!G:G,Daily!C40, Tracker!J:J,"Y (with hints)")</f>
        <v>0</v>
      </c>
      <c r="H40" s="33">
        <f>COUNTIFS(Tracker!G:G,Daily!C40, Tracker!J:J,"N")</f>
        <v>0</v>
      </c>
      <c r="I40" s="54">
        <f t="shared" ref="I40:I46" si="42">SUM(J40:L40)</f>
        <v>0</v>
      </c>
      <c r="J40" s="26">
        <f>COUNTIFS(Tracker!G:G,Daily!C40, Tracker!J:J,"Y",Tracker!E:E,1)</f>
        <v>0</v>
      </c>
      <c r="K40" s="26">
        <f>COUNTIFS(Tracker!G:G,Daily!C40, Tracker!J:J,"Y (with hints)",Tracker!E:E,1)</f>
        <v>0</v>
      </c>
      <c r="L40" s="33">
        <f>COUNTIFS(Tracker!G:G,Daily!C40, Tracker!J:J,"N",Tracker!E:E,1)</f>
        <v>0</v>
      </c>
      <c r="M40" s="54">
        <f t="shared" ref="M40:M46" si="43">SUM(N40:P40)</f>
        <v>0</v>
      </c>
      <c r="N40" s="26">
        <f>COUNTIFS(Tracker!G:G,Daily!C40, Tracker!J:J,"Y",Tracker!E:E,2)</f>
        <v>0</v>
      </c>
      <c r="O40" s="26">
        <f>COUNTIFS(Tracker!G:G,Daily!C40, Tracker!J:J,"Y (with hints)",Tracker!E:E,2)</f>
        <v>0</v>
      </c>
      <c r="P40" s="33">
        <f>COUNTIFS(Tracker!G:G,Daily!C40, Tracker!J:J,"N",Tracker!E:E,2)</f>
        <v>0</v>
      </c>
      <c r="Q40" s="57">
        <f t="shared" ref="Q40:Q46" si="44">SUM(R40:T40)</f>
        <v>0</v>
      </c>
      <c r="R40" s="26">
        <f>COUNTIFS(Tracker!G:G,Daily!C40, Tracker!J:J,"Y",Tracker!E:E,3)</f>
        <v>0</v>
      </c>
      <c r="S40" s="26">
        <f>COUNTIFS(Tracker!G:G,Daily!C40, Tracker!J:J,"Y (with hints)",Tracker!E:E,3)</f>
        <v>0</v>
      </c>
      <c r="T40" s="33">
        <f>COUNTIFS(Tracker!G:G,Daily!C40, Tracker!J:J,"N",Tracker!E:E,3)</f>
        <v>0</v>
      </c>
      <c r="V40" s="48">
        <f t="shared" si="14"/>
        <v>46</v>
      </c>
      <c r="W40" s="26">
        <f t="shared" si="15"/>
        <v>42</v>
      </c>
      <c r="X40" s="62">
        <f t="shared" si="16"/>
        <v>0.91304347826086951</v>
      </c>
      <c r="Y40" s="74">
        <f>AVERAGEIFS(Tracker!I:I, Tracker!E:E, 1, Tracker!G:G, "&lt;="&amp;Daily!C40, Tracker!J:J, "Y")</f>
        <v>13.666666666666666</v>
      </c>
      <c r="Z40" s="77">
        <f>COUNTIFS(Tracker!E:E, 1, Tracker!G:G, "&lt;="&amp;Daily!C40, Tracker!L:L, "N") / V40</f>
        <v>0.69565217391304346</v>
      </c>
      <c r="AA40" s="48">
        <f t="shared" si="36"/>
        <v>51</v>
      </c>
      <c r="AB40" s="26">
        <f t="shared" si="37"/>
        <v>36</v>
      </c>
      <c r="AC40" s="62">
        <f t="shared" si="17"/>
        <v>0.70588235294117652</v>
      </c>
      <c r="AD40" s="74">
        <f>AVERAGEIFS(Tracker!I:I, Tracker!E:E, 2, Tracker!G:G, "&lt;="&amp;Daily!C40, Tracker!J:J, "Y")</f>
        <v>26.916666666666668</v>
      </c>
      <c r="AE40" s="77">
        <f>COUNTIFS(Tracker!E:E, 2, Tracker!G:G, "&lt;="&amp;Daily!C40, Tracker!L:L, "N") / AA40</f>
        <v>0.45098039215686275</v>
      </c>
      <c r="AF40" s="48">
        <f t="shared" si="38"/>
        <v>5</v>
      </c>
      <c r="AG40" s="26">
        <f t="shared" si="39"/>
        <v>2</v>
      </c>
      <c r="AH40" s="62">
        <f t="shared" si="12"/>
        <v>0.4</v>
      </c>
      <c r="AI40" s="74">
        <f>IFERROR(AVERAGEIFS(Tracker!I:I, Tracker!E:E, 3, Tracker!G:G, "&lt;="&amp;Daily!C40, Tracker!J:J, "Y"), 0)</f>
        <v>41</v>
      </c>
      <c r="AJ40" s="77">
        <f>IFERROR(COUNTIFS(Tracker!E:E, 3, Tracker!G:G, "&lt;="&amp;Daily!C40, Tracker!L:L, "N") / AF40,  0)</f>
        <v>0.2</v>
      </c>
      <c r="AK40" s="48">
        <f t="shared" si="34"/>
        <v>102</v>
      </c>
      <c r="AL40" s="26">
        <f t="shared" si="35"/>
        <v>80</v>
      </c>
      <c r="AM40" s="62">
        <f t="shared" si="13"/>
        <v>0.78431372549019607</v>
      </c>
      <c r="AN40" s="74">
        <f>IFERROR(AVERAGEIFS(Tracker!I:I,  Tracker!G:G, "&lt;="&amp;Daily!C40, Tracker!J:J, "Y"), 0)</f>
        <v>20.3125</v>
      </c>
      <c r="AO40" s="77">
        <f>IFERROR(COUNTIFS(Tracker!G:G, "&lt;="&amp;Daily!C40, Tracker!L:L, "N") / AK40,  0)</f>
        <v>0.5490196078431373</v>
      </c>
    </row>
    <row r="41" spans="1:41" ht="15.75" thickBot="1" x14ac:dyDescent="0.3">
      <c r="A41" s="120"/>
      <c r="B41" s="34">
        <f t="shared" si="40"/>
        <v>45256</v>
      </c>
      <c r="C41" s="35">
        <f t="shared" si="23"/>
        <v>45256</v>
      </c>
      <c r="D41" s="110" t="b">
        <f t="shared" ca="1" si="7"/>
        <v>1</v>
      </c>
      <c r="E41" s="52">
        <f t="shared" si="41"/>
        <v>0</v>
      </c>
      <c r="F41" s="39">
        <f>COUNTIFS(Tracker!G:G,Daily!C41, Tracker!J:J,"Y")</f>
        <v>0</v>
      </c>
      <c r="G41" s="36">
        <f>COUNTIFS(Tracker!G:G,Daily!C41, Tracker!J:J,"Y (with hints)")</f>
        <v>0</v>
      </c>
      <c r="H41" s="37">
        <f>COUNTIFS(Tracker!G:G,Daily!C41, Tracker!J:J,"N")</f>
        <v>0</v>
      </c>
      <c r="I41" s="55">
        <f t="shared" si="42"/>
        <v>0</v>
      </c>
      <c r="J41" s="36">
        <f>COUNTIFS(Tracker!G:G,Daily!C41, Tracker!J:J,"Y",Tracker!E:E,1)</f>
        <v>0</v>
      </c>
      <c r="K41" s="36">
        <f>COUNTIFS(Tracker!G:G,Daily!C41, Tracker!J:J,"Y (with hints)",Tracker!E:E,1)</f>
        <v>0</v>
      </c>
      <c r="L41" s="37">
        <f>COUNTIFS(Tracker!G:G,Daily!C41, Tracker!J:J,"N",Tracker!E:E,1)</f>
        <v>0</v>
      </c>
      <c r="M41" s="55">
        <f t="shared" si="43"/>
        <v>0</v>
      </c>
      <c r="N41" s="36">
        <f>COUNTIFS(Tracker!G:G,Daily!C41, Tracker!J:J,"Y",Tracker!E:E,2)</f>
        <v>0</v>
      </c>
      <c r="O41" s="36">
        <f>COUNTIFS(Tracker!G:G,Daily!C41, Tracker!J:J,"Y (with hints)",Tracker!E:E,2)</f>
        <v>0</v>
      </c>
      <c r="P41" s="37">
        <f>COUNTIFS(Tracker!G:G,Daily!C41, Tracker!J:J,"N",Tracker!E:E,2)</f>
        <v>0</v>
      </c>
      <c r="Q41" s="58">
        <f t="shared" si="44"/>
        <v>0</v>
      </c>
      <c r="R41" s="36">
        <f>COUNTIFS(Tracker!G:G,Daily!C41, Tracker!J:J,"Y",Tracker!E:E,3)</f>
        <v>0</v>
      </c>
      <c r="S41" s="36">
        <f>COUNTIFS(Tracker!G:G,Daily!C41, Tracker!J:J,"Y (with hints)",Tracker!E:E,3)</f>
        <v>0</v>
      </c>
      <c r="T41" s="37">
        <f>COUNTIFS(Tracker!G:G,Daily!C41, Tracker!J:J,"N",Tracker!E:E,3)</f>
        <v>0</v>
      </c>
      <c r="V41" s="39">
        <f t="shared" si="14"/>
        <v>46</v>
      </c>
      <c r="W41" s="36">
        <f t="shared" si="15"/>
        <v>42</v>
      </c>
      <c r="X41" s="64">
        <f t="shared" si="16"/>
        <v>0.91304347826086951</v>
      </c>
      <c r="Y41" s="78">
        <f>AVERAGEIFS(Tracker!I:I, Tracker!E:E, 1, Tracker!G:G, "&lt;="&amp;Daily!C41, Tracker!J:J, "Y")</f>
        <v>13.666666666666666</v>
      </c>
      <c r="Z41" s="79">
        <f>COUNTIFS(Tracker!E:E, 1, Tracker!G:G, "&lt;="&amp;Daily!C41, Tracker!L:L, "N") / V41</f>
        <v>0.69565217391304346</v>
      </c>
      <c r="AA41" s="39">
        <f t="shared" si="36"/>
        <v>51</v>
      </c>
      <c r="AB41" s="36">
        <f t="shared" si="37"/>
        <v>36</v>
      </c>
      <c r="AC41" s="64">
        <f t="shared" si="17"/>
        <v>0.70588235294117652</v>
      </c>
      <c r="AD41" s="78">
        <f>AVERAGEIFS(Tracker!I:I, Tracker!E:E, 2, Tracker!G:G, "&lt;="&amp;Daily!C41, Tracker!J:J, "Y")</f>
        <v>26.916666666666668</v>
      </c>
      <c r="AE41" s="79">
        <f>COUNTIFS(Tracker!E:E, 2, Tracker!G:G, "&lt;="&amp;Daily!C41, Tracker!L:L, "N") / AA41</f>
        <v>0.45098039215686275</v>
      </c>
      <c r="AF41" s="39">
        <f t="shared" si="38"/>
        <v>5</v>
      </c>
      <c r="AG41" s="36">
        <f t="shared" si="39"/>
        <v>2</v>
      </c>
      <c r="AH41" s="64">
        <f t="shared" si="12"/>
        <v>0.4</v>
      </c>
      <c r="AI41" s="78">
        <f>IFERROR(AVERAGEIFS(Tracker!I:I, Tracker!E:E, 3, Tracker!G:G, "&lt;="&amp;Daily!C41, Tracker!J:J, "Y"), 0)</f>
        <v>41</v>
      </c>
      <c r="AJ41" s="79">
        <f>IFERROR(COUNTIFS(Tracker!E:E, 3, Tracker!G:G, "&lt;="&amp;Daily!C41, Tracker!L:L, "N") / AF41,  0)</f>
        <v>0.2</v>
      </c>
      <c r="AK41" s="39">
        <f t="shared" si="34"/>
        <v>102</v>
      </c>
      <c r="AL41" s="36">
        <f t="shared" si="35"/>
        <v>80</v>
      </c>
      <c r="AM41" s="64">
        <f t="shared" si="13"/>
        <v>0.78431372549019607</v>
      </c>
      <c r="AN41" s="78">
        <f>IFERROR(AVERAGEIFS(Tracker!I:I,  Tracker!G:G, "&lt;="&amp;Daily!C41, Tracker!J:J, "Y"), 0)</f>
        <v>20.3125</v>
      </c>
      <c r="AO41" s="79">
        <f>IFERROR(COUNTIFS(Tracker!G:G, "&lt;="&amp;Daily!C41, Tracker!L:L, "N") / AK41,  0)</f>
        <v>0.5490196078431373</v>
      </c>
    </row>
    <row r="42" spans="1:41" x14ac:dyDescent="0.25">
      <c r="A42" s="118">
        <v>6</v>
      </c>
      <c r="B42" s="28">
        <f t="shared" si="40"/>
        <v>45257</v>
      </c>
      <c r="C42" s="85">
        <f t="shared" si="23"/>
        <v>45257</v>
      </c>
      <c r="D42" s="111" t="b">
        <f t="shared" ca="1" si="7"/>
        <v>1</v>
      </c>
      <c r="E42" s="50">
        <f t="shared" si="41"/>
        <v>5</v>
      </c>
      <c r="F42" s="38">
        <f>COUNTIFS(Tracker!G:G,Daily!C42, Tracker!J:J,"Y")</f>
        <v>5</v>
      </c>
      <c r="G42" s="30">
        <f>COUNTIFS(Tracker!G:G,Daily!C42, Tracker!J:J,"Y (with hints)")</f>
        <v>0</v>
      </c>
      <c r="H42" s="31">
        <f>COUNTIFS(Tracker!G:G,Daily!C42, Tracker!J:J,"N")</f>
        <v>0</v>
      </c>
      <c r="I42" s="53">
        <f t="shared" si="42"/>
        <v>3</v>
      </c>
      <c r="J42" s="30">
        <f>COUNTIFS(Tracker!G:G,Daily!C42, Tracker!J:J,"Y",Tracker!E:E,1)</f>
        <v>3</v>
      </c>
      <c r="K42" s="30">
        <f>COUNTIFS(Tracker!G:G,Daily!C42, Tracker!J:J,"Y (with hints)",Tracker!E:E,1)</f>
        <v>0</v>
      </c>
      <c r="L42" s="31">
        <f>COUNTIFS(Tracker!G:G,Daily!C42, Tracker!J:J,"N",Tracker!E:E,1)</f>
        <v>0</v>
      </c>
      <c r="M42" s="53">
        <f t="shared" si="43"/>
        <v>1</v>
      </c>
      <c r="N42" s="30">
        <f>COUNTIFS(Tracker!G:G,Daily!C42, Tracker!J:J,"Y",Tracker!E:E,2)</f>
        <v>1</v>
      </c>
      <c r="O42" s="30">
        <f>COUNTIFS(Tracker!G:G,Daily!C42, Tracker!J:J,"Y (with hints)",Tracker!E:E,2)</f>
        <v>0</v>
      </c>
      <c r="P42" s="31">
        <f>COUNTIFS(Tracker!G:G,Daily!C42, Tracker!J:J,"N",Tracker!E:E,2)</f>
        <v>0</v>
      </c>
      <c r="Q42" s="56">
        <f t="shared" si="44"/>
        <v>1</v>
      </c>
      <c r="R42" s="30">
        <f>COUNTIFS(Tracker!G:G,Daily!C42, Tracker!J:J,"Y",Tracker!E:E,3)</f>
        <v>1</v>
      </c>
      <c r="S42" s="30">
        <f>COUNTIFS(Tracker!G:G,Daily!C42, Tracker!J:J,"Y (with hints)",Tracker!E:E,3)</f>
        <v>0</v>
      </c>
      <c r="T42" s="31">
        <f>COUNTIFS(Tracker!G:G,Daily!C42, Tracker!J:J,"N",Tracker!E:E,3)</f>
        <v>0</v>
      </c>
      <c r="V42" s="38">
        <f t="shared" ref="V42:V105" si="45">V41+I42</f>
        <v>49</v>
      </c>
      <c r="W42" s="30">
        <f t="shared" ref="W42:W105" si="46">W41+J42</f>
        <v>45</v>
      </c>
      <c r="X42" s="73">
        <f t="shared" ref="X42:X105" si="47">W42/V42</f>
        <v>0.91836734693877553</v>
      </c>
      <c r="Y42" s="75">
        <f>AVERAGEIFS(Tracker!I:I, Tracker!E:E, 1, Tracker!G:G, "&lt;="&amp;Daily!C42, Tracker!J:J, "Y")</f>
        <v>13.488888888888889</v>
      </c>
      <c r="Z42" s="76">
        <f>COUNTIFS(Tracker!E:E, 1, Tracker!G:G, "&lt;="&amp;Daily!C42, Tracker!L:L, "N") / V42</f>
        <v>0.7142857142857143</v>
      </c>
      <c r="AA42" s="38">
        <f t="shared" si="36"/>
        <v>52</v>
      </c>
      <c r="AB42" s="30">
        <f t="shared" si="37"/>
        <v>37</v>
      </c>
      <c r="AC42" s="73">
        <f t="shared" si="17"/>
        <v>0.71153846153846156</v>
      </c>
      <c r="AD42" s="75">
        <f>AVERAGEIFS(Tracker!I:I, Tracker!E:E, 2, Tracker!G:G, "&lt;="&amp;Daily!C42, Tracker!J:J, "Y")</f>
        <v>26.513513513513512</v>
      </c>
      <c r="AE42" s="76">
        <f>COUNTIFS(Tracker!E:E, 2, Tracker!G:G, "&lt;="&amp;Daily!C42, Tracker!L:L, "N") / AA42</f>
        <v>0.46153846153846156</v>
      </c>
      <c r="AF42" s="38">
        <f t="shared" si="38"/>
        <v>6</v>
      </c>
      <c r="AG42" s="30">
        <f t="shared" si="39"/>
        <v>3</v>
      </c>
      <c r="AH42" s="73">
        <f t="shared" si="12"/>
        <v>0.5</v>
      </c>
      <c r="AI42" s="75">
        <f>IFERROR(AVERAGEIFS(Tracker!I:I, Tracker!E:E, 3, Tracker!G:G, "&lt;="&amp;Daily!C42, Tracker!J:J, "Y"), 0)</f>
        <v>44.666666666666664</v>
      </c>
      <c r="AJ42" s="76">
        <f>IFERROR(COUNTIFS(Tracker!E:E, 3, Tracker!G:G, "&lt;="&amp;Daily!C42, Tracker!L:L, "N") / AF42,  0)</f>
        <v>0.16666666666666666</v>
      </c>
      <c r="AK42" s="38">
        <f t="shared" si="34"/>
        <v>107</v>
      </c>
      <c r="AL42" s="30">
        <f t="shared" si="35"/>
        <v>85</v>
      </c>
      <c r="AM42" s="73">
        <f t="shared" si="13"/>
        <v>0.79439252336448596</v>
      </c>
      <c r="AN42" s="75">
        <f>IFERROR(AVERAGEIFS(Tracker!I:I,  Tracker!G:G, "&lt;="&amp;Daily!C42, Tracker!J:J, "Y"), 0)</f>
        <v>20.258823529411764</v>
      </c>
      <c r="AO42" s="76">
        <f>IFERROR(COUNTIFS(Tracker!G:G, "&lt;="&amp;Daily!C42, Tracker!L:L, "N") / AK42,  0)</f>
        <v>0.56074766355140182</v>
      </c>
    </row>
    <row r="43" spans="1:41" x14ac:dyDescent="0.25">
      <c r="A43" s="119"/>
      <c r="B43" s="32">
        <f t="shared" si="40"/>
        <v>45258</v>
      </c>
      <c r="C43" s="84">
        <f t="shared" si="23"/>
        <v>45258</v>
      </c>
      <c r="D43" s="112" t="b">
        <f t="shared" ca="1" si="7"/>
        <v>1</v>
      </c>
      <c r="E43" s="51">
        <f t="shared" si="41"/>
        <v>4</v>
      </c>
      <c r="F43" s="48">
        <f>COUNTIFS(Tracker!G:G,Daily!C43, Tracker!J:J,"Y")</f>
        <v>4</v>
      </c>
      <c r="G43" s="26">
        <f>COUNTIFS(Tracker!G:G,Daily!C43, Tracker!J:J,"Y (with hints)")</f>
        <v>0</v>
      </c>
      <c r="H43" s="33">
        <f>COUNTIFS(Tracker!G:G,Daily!C43, Tracker!J:J,"N")</f>
        <v>0</v>
      </c>
      <c r="I43" s="54">
        <f t="shared" si="42"/>
        <v>1</v>
      </c>
      <c r="J43" s="26">
        <f>COUNTIFS(Tracker!G:G,Daily!C43, Tracker!J:J,"Y",Tracker!E:E,1)</f>
        <v>1</v>
      </c>
      <c r="K43" s="26">
        <f>COUNTIFS(Tracker!G:G,Daily!C43, Tracker!J:J,"Y (with hints)",Tracker!E:E,1)</f>
        <v>0</v>
      </c>
      <c r="L43" s="33">
        <f>COUNTIFS(Tracker!G:G,Daily!C43, Tracker!J:J,"N",Tracker!E:E,1)</f>
        <v>0</v>
      </c>
      <c r="M43" s="54">
        <f t="shared" si="43"/>
        <v>3</v>
      </c>
      <c r="N43" s="26">
        <f>COUNTIFS(Tracker!G:G,Daily!C43, Tracker!J:J,"Y",Tracker!E:E,2)</f>
        <v>3</v>
      </c>
      <c r="O43" s="26">
        <f>COUNTIFS(Tracker!G:G,Daily!C43, Tracker!J:J,"Y (with hints)",Tracker!E:E,2)</f>
        <v>0</v>
      </c>
      <c r="P43" s="33">
        <f>COUNTIFS(Tracker!G:G,Daily!C43, Tracker!J:J,"N",Tracker!E:E,2)</f>
        <v>0</v>
      </c>
      <c r="Q43" s="57">
        <f t="shared" si="44"/>
        <v>0</v>
      </c>
      <c r="R43" s="26">
        <f>COUNTIFS(Tracker!G:G,Daily!C43, Tracker!J:J,"Y",Tracker!E:E,3)</f>
        <v>0</v>
      </c>
      <c r="S43" s="26">
        <f>COUNTIFS(Tracker!G:G,Daily!C43, Tracker!J:J,"Y (with hints)",Tracker!E:E,3)</f>
        <v>0</v>
      </c>
      <c r="T43" s="33">
        <f>COUNTIFS(Tracker!G:G,Daily!C43, Tracker!J:J,"N",Tracker!E:E,3)</f>
        <v>0</v>
      </c>
      <c r="V43" s="48">
        <f t="shared" si="45"/>
        <v>50</v>
      </c>
      <c r="W43" s="26">
        <f t="shared" si="46"/>
        <v>46</v>
      </c>
      <c r="X43" s="62">
        <f t="shared" si="47"/>
        <v>0.92</v>
      </c>
      <c r="Y43" s="74">
        <f>AVERAGEIFS(Tracker!I:I, Tracker!E:E, 1, Tracker!G:G, "&lt;="&amp;Daily!C43, Tracker!J:J, "Y")</f>
        <v>13.347826086956522</v>
      </c>
      <c r="Z43" s="77">
        <f>COUNTIFS(Tracker!E:E, 1, Tracker!G:G, "&lt;="&amp;Daily!C43, Tracker!L:L, "N") / V43</f>
        <v>0.72</v>
      </c>
      <c r="AA43" s="48">
        <f t="shared" si="36"/>
        <v>55</v>
      </c>
      <c r="AB43" s="26">
        <f t="shared" si="37"/>
        <v>40</v>
      </c>
      <c r="AC43" s="62">
        <f t="shared" si="17"/>
        <v>0.72727272727272729</v>
      </c>
      <c r="AD43" s="74">
        <f>AVERAGEIFS(Tracker!I:I, Tracker!E:E, 2, Tracker!G:G, "&lt;="&amp;Daily!C43, Tracker!J:J, "Y")</f>
        <v>26.4</v>
      </c>
      <c r="AE43" s="77">
        <f>COUNTIFS(Tracker!E:E, 2, Tracker!G:G, "&lt;="&amp;Daily!C43, Tracker!L:L, "N") / AA43</f>
        <v>0.49090909090909091</v>
      </c>
      <c r="AF43" s="48">
        <f t="shared" si="38"/>
        <v>6</v>
      </c>
      <c r="AG43" s="26">
        <f t="shared" si="39"/>
        <v>3</v>
      </c>
      <c r="AH43" s="62">
        <f t="shared" si="12"/>
        <v>0.5</v>
      </c>
      <c r="AI43" s="74">
        <f>IFERROR(AVERAGEIFS(Tracker!I:I, Tracker!E:E, 3, Tracker!G:G, "&lt;="&amp;Daily!C43, Tracker!J:J, "Y"), 0)</f>
        <v>44.666666666666664</v>
      </c>
      <c r="AJ43" s="77">
        <f>IFERROR(COUNTIFS(Tracker!E:E, 3, Tracker!G:G, "&lt;="&amp;Daily!C43, Tracker!L:L, "N") / AF43,  0)</f>
        <v>0.16666666666666666</v>
      </c>
      <c r="AK43" s="48">
        <f t="shared" si="34"/>
        <v>111</v>
      </c>
      <c r="AL43" s="26">
        <f t="shared" si="35"/>
        <v>89</v>
      </c>
      <c r="AM43" s="62">
        <f t="shared" si="13"/>
        <v>0.80180180180180183</v>
      </c>
      <c r="AN43" s="74">
        <f>IFERROR(AVERAGEIFS(Tracker!I:I,  Tracker!G:G, "&lt;="&amp;Daily!C43, Tracker!J:J, "Y"), 0)</f>
        <v>20.269662921348313</v>
      </c>
      <c r="AO43" s="77">
        <f>IFERROR(COUNTIFS(Tracker!G:G, "&lt;="&amp;Daily!C43, Tracker!L:L, "N") / AK43,  0)</f>
        <v>0.57657657657657657</v>
      </c>
    </row>
    <row r="44" spans="1:41" x14ac:dyDescent="0.25">
      <c r="A44" s="119"/>
      <c r="B44" s="32">
        <f t="shared" si="40"/>
        <v>45259</v>
      </c>
      <c r="C44" s="84">
        <f t="shared" si="23"/>
        <v>45259</v>
      </c>
      <c r="D44" s="112" t="b">
        <f t="shared" ca="1" si="7"/>
        <v>1</v>
      </c>
      <c r="E44" s="51">
        <f t="shared" si="41"/>
        <v>1</v>
      </c>
      <c r="F44" s="48">
        <f>COUNTIFS(Tracker!G:G,Daily!C44, Tracker!J:J,"Y")</f>
        <v>0</v>
      </c>
      <c r="G44" s="26">
        <f>COUNTIFS(Tracker!G:G,Daily!C44, Tracker!J:J,"Y (with hints)")</f>
        <v>0</v>
      </c>
      <c r="H44" s="33">
        <f>COUNTIFS(Tracker!G:G,Daily!C44, Tracker!J:J,"N")</f>
        <v>1</v>
      </c>
      <c r="I44" s="54">
        <f t="shared" si="42"/>
        <v>0</v>
      </c>
      <c r="J44" s="26">
        <f>COUNTIFS(Tracker!G:G,Daily!C44, Tracker!J:J,"Y",Tracker!E:E,1)</f>
        <v>0</v>
      </c>
      <c r="K44" s="26">
        <f>COUNTIFS(Tracker!G:G,Daily!C44, Tracker!J:J,"Y (with hints)",Tracker!E:E,1)</f>
        <v>0</v>
      </c>
      <c r="L44" s="33">
        <f>COUNTIFS(Tracker!G:G,Daily!C44, Tracker!J:J,"N",Tracker!E:E,1)</f>
        <v>0</v>
      </c>
      <c r="M44" s="54">
        <f t="shared" si="43"/>
        <v>1</v>
      </c>
      <c r="N44" s="26">
        <f>COUNTIFS(Tracker!G:G,Daily!C44, Tracker!J:J,"Y",Tracker!E:E,2)</f>
        <v>0</v>
      </c>
      <c r="O44" s="26">
        <f>COUNTIFS(Tracker!G:G,Daily!C44, Tracker!J:J,"Y (with hints)",Tracker!E:E,2)</f>
        <v>0</v>
      </c>
      <c r="P44" s="33">
        <f>COUNTIFS(Tracker!G:G,Daily!C44, Tracker!J:J,"N",Tracker!E:E,2)</f>
        <v>1</v>
      </c>
      <c r="Q44" s="57">
        <f t="shared" si="44"/>
        <v>0</v>
      </c>
      <c r="R44" s="26">
        <f>COUNTIFS(Tracker!G:G,Daily!C44, Tracker!J:J,"Y",Tracker!E:E,3)</f>
        <v>0</v>
      </c>
      <c r="S44" s="26">
        <f>COUNTIFS(Tracker!G:G,Daily!C44, Tracker!J:J,"Y (with hints)",Tracker!E:E,3)</f>
        <v>0</v>
      </c>
      <c r="T44" s="33">
        <f>COUNTIFS(Tracker!G:G,Daily!C44, Tracker!J:J,"N",Tracker!E:E,3)</f>
        <v>0</v>
      </c>
      <c r="V44" s="48">
        <f t="shared" si="45"/>
        <v>50</v>
      </c>
      <c r="W44" s="26">
        <f t="shared" si="46"/>
        <v>46</v>
      </c>
      <c r="X44" s="62">
        <f t="shared" si="47"/>
        <v>0.92</v>
      </c>
      <c r="Y44" s="74">
        <f>AVERAGEIFS(Tracker!I:I, Tracker!E:E, 1, Tracker!G:G, "&lt;="&amp;Daily!C44, Tracker!J:J, "Y")</f>
        <v>13.347826086956522</v>
      </c>
      <c r="Z44" s="77">
        <f>COUNTIFS(Tracker!E:E, 1, Tracker!G:G, "&lt;="&amp;Daily!C44, Tracker!L:L, "N") / V44</f>
        <v>0.72</v>
      </c>
      <c r="AA44" s="48">
        <f t="shared" si="36"/>
        <v>56</v>
      </c>
      <c r="AB44" s="26">
        <f t="shared" si="37"/>
        <v>40</v>
      </c>
      <c r="AC44" s="62">
        <f t="shared" si="17"/>
        <v>0.7142857142857143</v>
      </c>
      <c r="AD44" s="74">
        <f>AVERAGEIFS(Tracker!I:I, Tracker!E:E, 2, Tracker!G:G, "&lt;="&amp;Daily!C44, Tracker!J:J, "Y")</f>
        <v>26.4</v>
      </c>
      <c r="AE44" s="77">
        <f>COUNTIFS(Tracker!E:E, 2, Tracker!G:G, "&lt;="&amp;Daily!C44, Tracker!L:L, "N") / AA44</f>
        <v>0.48214285714285715</v>
      </c>
      <c r="AF44" s="48">
        <f t="shared" si="38"/>
        <v>6</v>
      </c>
      <c r="AG44" s="26">
        <f t="shared" si="39"/>
        <v>3</v>
      </c>
      <c r="AH44" s="62">
        <f t="shared" si="12"/>
        <v>0.5</v>
      </c>
      <c r="AI44" s="74">
        <f>IFERROR(AVERAGEIFS(Tracker!I:I, Tracker!E:E, 3, Tracker!G:G, "&lt;="&amp;Daily!C44, Tracker!J:J, "Y"), 0)</f>
        <v>44.666666666666664</v>
      </c>
      <c r="AJ44" s="77">
        <f>IFERROR(COUNTIFS(Tracker!E:E, 3, Tracker!G:G, "&lt;="&amp;Daily!C44, Tracker!L:L, "N") / AF44,  0)</f>
        <v>0.16666666666666666</v>
      </c>
      <c r="AK44" s="48">
        <f t="shared" si="34"/>
        <v>112</v>
      </c>
      <c r="AL44" s="26">
        <f t="shared" si="35"/>
        <v>89</v>
      </c>
      <c r="AM44" s="62">
        <f t="shared" si="13"/>
        <v>0.7946428571428571</v>
      </c>
      <c r="AN44" s="74">
        <f>IFERROR(AVERAGEIFS(Tracker!I:I,  Tracker!G:G, "&lt;="&amp;Daily!C44, Tracker!J:J, "Y"), 0)</f>
        <v>20.269662921348313</v>
      </c>
      <c r="AO44" s="77">
        <f>IFERROR(COUNTIFS(Tracker!G:G, "&lt;="&amp;Daily!C44, Tracker!L:L, "N") / AK44,  0)</f>
        <v>0.5714285714285714</v>
      </c>
    </row>
    <row r="45" spans="1:41" x14ac:dyDescent="0.25">
      <c r="A45" s="119"/>
      <c r="B45" s="32">
        <f t="shared" si="40"/>
        <v>45260</v>
      </c>
      <c r="C45" s="84">
        <f t="shared" si="23"/>
        <v>45260</v>
      </c>
      <c r="D45" s="112" t="b">
        <f t="shared" ca="1" si="7"/>
        <v>1</v>
      </c>
      <c r="E45" s="51">
        <f t="shared" si="41"/>
        <v>5</v>
      </c>
      <c r="F45" s="48">
        <f>COUNTIFS(Tracker!G:G,Daily!C45, Tracker!J:J,"Y")</f>
        <v>4</v>
      </c>
      <c r="G45" s="26">
        <f>COUNTIFS(Tracker!G:G,Daily!C45, Tracker!J:J,"Y (with hints)")</f>
        <v>0</v>
      </c>
      <c r="H45" s="33">
        <f>COUNTIFS(Tracker!G:G,Daily!C45, Tracker!J:J,"N")</f>
        <v>1</v>
      </c>
      <c r="I45" s="54">
        <f t="shared" si="42"/>
        <v>3</v>
      </c>
      <c r="J45" s="26">
        <f>COUNTIFS(Tracker!G:G,Daily!C45, Tracker!J:J,"Y",Tracker!E:E,1)</f>
        <v>3</v>
      </c>
      <c r="K45" s="26">
        <f>COUNTIFS(Tracker!G:G,Daily!C45, Tracker!J:J,"Y (with hints)",Tracker!E:E,1)</f>
        <v>0</v>
      </c>
      <c r="L45" s="33">
        <f>COUNTIFS(Tracker!G:G,Daily!C45, Tracker!J:J,"N",Tracker!E:E,1)</f>
        <v>0</v>
      </c>
      <c r="M45" s="54">
        <f t="shared" si="43"/>
        <v>1</v>
      </c>
      <c r="N45" s="26">
        <f>COUNTIFS(Tracker!G:G,Daily!C45, Tracker!J:J,"Y",Tracker!E:E,2)</f>
        <v>0</v>
      </c>
      <c r="O45" s="26">
        <f>COUNTIFS(Tracker!G:G,Daily!C45, Tracker!J:J,"Y (with hints)",Tracker!E:E,2)</f>
        <v>0</v>
      </c>
      <c r="P45" s="33">
        <f>COUNTIFS(Tracker!G:G,Daily!C45, Tracker!J:J,"N",Tracker!E:E,2)</f>
        <v>1</v>
      </c>
      <c r="Q45" s="57">
        <f t="shared" si="44"/>
        <v>1</v>
      </c>
      <c r="R45" s="26">
        <f>COUNTIFS(Tracker!G:G,Daily!C45, Tracker!J:J,"Y",Tracker!E:E,3)</f>
        <v>1</v>
      </c>
      <c r="S45" s="26">
        <f>COUNTIFS(Tracker!G:G,Daily!C45, Tracker!J:J,"Y (with hints)",Tracker!E:E,3)</f>
        <v>0</v>
      </c>
      <c r="T45" s="33">
        <f>COUNTIFS(Tracker!G:G,Daily!C45, Tracker!J:J,"N",Tracker!E:E,3)</f>
        <v>0</v>
      </c>
      <c r="V45" s="48">
        <f t="shared" si="45"/>
        <v>53</v>
      </c>
      <c r="W45" s="26">
        <f t="shared" si="46"/>
        <v>49</v>
      </c>
      <c r="X45" s="62">
        <f t="shared" si="47"/>
        <v>0.92452830188679247</v>
      </c>
      <c r="Y45" s="74">
        <f>AVERAGEIFS(Tracker!I:I, Tracker!E:E, 1, Tracker!G:G, "&lt;="&amp;Daily!C45, Tracker!J:J, "Y")</f>
        <v>13.428571428571429</v>
      </c>
      <c r="Z45" s="77">
        <f>COUNTIFS(Tracker!E:E, 1, Tracker!G:G, "&lt;="&amp;Daily!C45, Tracker!L:L, "N") / V45</f>
        <v>0.73584905660377353</v>
      </c>
      <c r="AA45" s="48">
        <f t="shared" si="36"/>
        <v>57</v>
      </c>
      <c r="AB45" s="26">
        <f t="shared" si="37"/>
        <v>40</v>
      </c>
      <c r="AC45" s="62">
        <f t="shared" si="17"/>
        <v>0.70175438596491224</v>
      </c>
      <c r="AD45" s="74">
        <f>AVERAGEIFS(Tracker!I:I, Tracker!E:E, 2, Tracker!G:G, "&lt;="&amp;Daily!C45, Tracker!J:J, "Y")</f>
        <v>26.4</v>
      </c>
      <c r="AE45" s="77">
        <f>COUNTIFS(Tracker!E:E, 2, Tracker!G:G, "&lt;="&amp;Daily!C45, Tracker!L:L, "N") / AA45</f>
        <v>0.47368421052631576</v>
      </c>
      <c r="AF45" s="48">
        <f t="shared" si="38"/>
        <v>7</v>
      </c>
      <c r="AG45" s="26">
        <f t="shared" si="39"/>
        <v>4</v>
      </c>
      <c r="AH45" s="62">
        <f t="shared" si="12"/>
        <v>0.5714285714285714</v>
      </c>
      <c r="AI45" s="74">
        <f>IFERROR(AVERAGEIFS(Tracker!I:I, Tracker!E:E, 3, Tracker!G:G, "&lt;="&amp;Daily!C45, Tracker!J:J, "Y"), 0)</f>
        <v>39</v>
      </c>
      <c r="AJ45" s="77">
        <f>IFERROR(COUNTIFS(Tracker!E:E, 3, Tracker!G:G, "&lt;="&amp;Daily!C45, Tracker!L:L, "N") / AF45,  0)</f>
        <v>0.14285714285714285</v>
      </c>
      <c r="AK45" s="48">
        <f t="shared" si="34"/>
        <v>117</v>
      </c>
      <c r="AL45" s="26">
        <f t="shared" si="35"/>
        <v>93</v>
      </c>
      <c r="AM45" s="62">
        <f t="shared" si="13"/>
        <v>0.79487179487179482</v>
      </c>
      <c r="AN45" s="74">
        <f>IFERROR(AVERAGEIFS(Tracker!I:I,  Tracker!G:G, "&lt;="&amp;Daily!C45, Tracker!J:J, "Y"), 0)</f>
        <v>20.107526881720432</v>
      </c>
      <c r="AO45" s="77">
        <f>IFERROR(COUNTIFS(Tracker!G:G, "&lt;="&amp;Daily!C45, Tracker!L:L, "N") / AK45,  0)</f>
        <v>0.57264957264957261</v>
      </c>
    </row>
    <row r="46" spans="1:41" x14ac:dyDescent="0.25">
      <c r="A46" s="119"/>
      <c r="B46" s="32">
        <f t="shared" si="40"/>
        <v>45261</v>
      </c>
      <c r="C46" s="84">
        <f t="shared" si="23"/>
        <v>45261</v>
      </c>
      <c r="D46" s="112" t="b">
        <f t="shared" ca="1" si="7"/>
        <v>1</v>
      </c>
      <c r="E46" s="51">
        <f t="shared" si="41"/>
        <v>0</v>
      </c>
      <c r="F46" s="48">
        <f>COUNTIFS(Tracker!G:G,Daily!C46, Tracker!J:J,"Y")</f>
        <v>0</v>
      </c>
      <c r="G46" s="26">
        <f>COUNTIFS(Tracker!G:G,Daily!C46, Tracker!J:J,"Y (with hints)")</f>
        <v>0</v>
      </c>
      <c r="H46" s="33">
        <f>COUNTIFS(Tracker!G:G,Daily!C46, Tracker!J:J,"N")</f>
        <v>0</v>
      </c>
      <c r="I46" s="54">
        <f t="shared" si="42"/>
        <v>0</v>
      </c>
      <c r="J46" s="26">
        <f>COUNTIFS(Tracker!G:G,Daily!C46, Tracker!J:J,"Y",Tracker!E:E,1)</f>
        <v>0</v>
      </c>
      <c r="K46" s="26">
        <f>COUNTIFS(Tracker!G:G,Daily!C46, Tracker!J:J,"Y (with hints)",Tracker!E:E,1)</f>
        <v>0</v>
      </c>
      <c r="L46" s="33">
        <f>COUNTIFS(Tracker!G:G,Daily!C46, Tracker!J:J,"N",Tracker!E:E,1)</f>
        <v>0</v>
      </c>
      <c r="M46" s="54">
        <f t="shared" si="43"/>
        <v>0</v>
      </c>
      <c r="N46" s="26">
        <f>COUNTIFS(Tracker!G:G,Daily!C46, Tracker!J:J,"Y",Tracker!E:E,2)</f>
        <v>0</v>
      </c>
      <c r="O46" s="26">
        <f>COUNTIFS(Tracker!G:G,Daily!C46, Tracker!J:J,"Y (with hints)",Tracker!E:E,2)</f>
        <v>0</v>
      </c>
      <c r="P46" s="33">
        <f>COUNTIFS(Tracker!G:G,Daily!C46, Tracker!J:J,"N",Tracker!E:E,2)</f>
        <v>0</v>
      </c>
      <c r="Q46" s="57">
        <f t="shared" si="44"/>
        <v>0</v>
      </c>
      <c r="R46" s="26">
        <f>COUNTIFS(Tracker!G:G,Daily!C46, Tracker!J:J,"Y",Tracker!E:E,3)</f>
        <v>0</v>
      </c>
      <c r="S46" s="26">
        <f>COUNTIFS(Tracker!G:G,Daily!C46, Tracker!J:J,"Y (with hints)",Tracker!E:E,3)</f>
        <v>0</v>
      </c>
      <c r="T46" s="33">
        <f>COUNTIFS(Tracker!G:G,Daily!C46, Tracker!J:J,"N",Tracker!E:E,3)</f>
        <v>0</v>
      </c>
      <c r="V46" s="48">
        <f t="shared" si="45"/>
        <v>53</v>
      </c>
      <c r="W46" s="26">
        <f t="shared" si="46"/>
        <v>49</v>
      </c>
      <c r="X46" s="62">
        <f t="shared" si="47"/>
        <v>0.92452830188679247</v>
      </c>
      <c r="Y46" s="74">
        <f>AVERAGEIFS(Tracker!I:I, Tracker!E:E, 1, Tracker!G:G, "&lt;="&amp;Daily!C46, Tracker!J:J, "Y")</f>
        <v>13.428571428571429</v>
      </c>
      <c r="Z46" s="77">
        <f>COUNTIFS(Tracker!E:E, 1, Tracker!G:G, "&lt;="&amp;Daily!C46, Tracker!L:L, "N") / V46</f>
        <v>0.73584905660377353</v>
      </c>
      <c r="AA46" s="48">
        <f t="shared" si="36"/>
        <v>57</v>
      </c>
      <c r="AB46" s="26">
        <f t="shared" si="37"/>
        <v>40</v>
      </c>
      <c r="AC46" s="62">
        <f t="shared" si="17"/>
        <v>0.70175438596491224</v>
      </c>
      <c r="AD46" s="74">
        <f>AVERAGEIFS(Tracker!I:I, Tracker!E:E, 2, Tracker!G:G, "&lt;="&amp;Daily!C46, Tracker!J:J, "Y")</f>
        <v>26.4</v>
      </c>
      <c r="AE46" s="77">
        <f>COUNTIFS(Tracker!E:E, 2, Tracker!G:G, "&lt;="&amp;Daily!C46, Tracker!L:L, "N") / AA46</f>
        <v>0.47368421052631576</v>
      </c>
      <c r="AF46" s="48">
        <f t="shared" si="38"/>
        <v>7</v>
      </c>
      <c r="AG46" s="26">
        <f t="shared" si="39"/>
        <v>4</v>
      </c>
      <c r="AH46" s="62">
        <f t="shared" si="12"/>
        <v>0.5714285714285714</v>
      </c>
      <c r="AI46" s="74">
        <f>IFERROR(AVERAGEIFS(Tracker!I:I, Tracker!E:E, 3, Tracker!G:G, "&lt;="&amp;Daily!C46, Tracker!J:J, "Y"), 0)</f>
        <v>39</v>
      </c>
      <c r="AJ46" s="77">
        <f>IFERROR(COUNTIFS(Tracker!E:E, 3, Tracker!G:G, "&lt;="&amp;Daily!C46, Tracker!L:L, "N") / AF46,  0)</f>
        <v>0.14285714285714285</v>
      </c>
      <c r="AK46" s="48">
        <f t="shared" si="34"/>
        <v>117</v>
      </c>
      <c r="AL46" s="26">
        <f t="shared" si="35"/>
        <v>93</v>
      </c>
      <c r="AM46" s="62">
        <f t="shared" si="13"/>
        <v>0.79487179487179482</v>
      </c>
      <c r="AN46" s="74">
        <f>IFERROR(AVERAGEIFS(Tracker!I:I,  Tracker!G:G, "&lt;="&amp;Daily!C46, Tracker!J:J, "Y"), 0)</f>
        <v>20.107526881720432</v>
      </c>
      <c r="AO46" s="77">
        <f>IFERROR(COUNTIFS(Tracker!G:G, "&lt;="&amp;Daily!C46, Tracker!L:L, "N") / AK46,  0)</f>
        <v>0.57264957264957261</v>
      </c>
    </row>
    <row r="47" spans="1:41" x14ac:dyDescent="0.25">
      <c r="A47" s="119"/>
      <c r="B47" s="32">
        <f t="shared" ref="B47:B110" si="48">C47</f>
        <v>45262</v>
      </c>
      <c r="C47" s="27">
        <f t="shared" si="23"/>
        <v>45262</v>
      </c>
      <c r="D47" s="109" t="b">
        <f t="shared" ca="1" si="7"/>
        <v>1</v>
      </c>
      <c r="E47" s="51">
        <f t="shared" ref="E47:E110" si="49">SUM(F47:H47)</f>
        <v>0</v>
      </c>
      <c r="F47" s="48">
        <f>COUNTIFS(Tracker!G:G,Daily!C47, Tracker!J:J,"Y")</f>
        <v>0</v>
      </c>
      <c r="G47" s="26">
        <f>COUNTIFS(Tracker!G:G,Daily!C47, Tracker!J:J,"Y (with hints)")</f>
        <v>0</v>
      </c>
      <c r="H47" s="33">
        <f>COUNTIFS(Tracker!G:G,Daily!C47, Tracker!J:J,"N")</f>
        <v>0</v>
      </c>
      <c r="I47" s="54">
        <f t="shared" ref="I47:I110" si="50">SUM(J47:L47)</f>
        <v>0</v>
      </c>
      <c r="J47" s="26">
        <f>COUNTIFS(Tracker!G:G,Daily!C47, Tracker!J:J,"Y",Tracker!E:E,1)</f>
        <v>0</v>
      </c>
      <c r="K47" s="26">
        <f>COUNTIFS(Tracker!G:G,Daily!C47, Tracker!J:J,"Y (with hints)",Tracker!E:E,1)</f>
        <v>0</v>
      </c>
      <c r="L47" s="33">
        <f>COUNTIFS(Tracker!G:G,Daily!C47, Tracker!J:J,"N",Tracker!E:E,1)</f>
        <v>0</v>
      </c>
      <c r="M47" s="54">
        <f t="shared" ref="M47:M110" si="51">SUM(N47:P47)</f>
        <v>0</v>
      </c>
      <c r="N47" s="26">
        <f>COUNTIFS(Tracker!G:G,Daily!C47, Tracker!J:J,"Y",Tracker!E:E,2)</f>
        <v>0</v>
      </c>
      <c r="O47" s="26">
        <f>COUNTIFS(Tracker!G:G,Daily!C47, Tracker!J:J,"Y (with hints)",Tracker!E:E,2)</f>
        <v>0</v>
      </c>
      <c r="P47" s="33">
        <f>COUNTIFS(Tracker!G:G,Daily!C47, Tracker!J:J,"N",Tracker!E:E,2)</f>
        <v>0</v>
      </c>
      <c r="Q47" s="57">
        <f t="shared" ref="Q47:Q110" si="52">SUM(R47:T47)</f>
        <v>0</v>
      </c>
      <c r="R47" s="26">
        <f>COUNTIFS(Tracker!G:G,Daily!C47, Tracker!J:J,"Y",Tracker!E:E,3)</f>
        <v>0</v>
      </c>
      <c r="S47" s="26">
        <f>COUNTIFS(Tracker!G:G,Daily!C47, Tracker!J:J,"Y (with hints)",Tracker!E:E,3)</f>
        <v>0</v>
      </c>
      <c r="T47" s="33">
        <f>COUNTIFS(Tracker!G:G,Daily!C47, Tracker!J:J,"N",Tracker!E:E,3)</f>
        <v>0</v>
      </c>
      <c r="V47" s="48">
        <f t="shared" si="45"/>
        <v>53</v>
      </c>
      <c r="W47" s="26">
        <f t="shared" si="46"/>
        <v>49</v>
      </c>
      <c r="X47" s="62">
        <f t="shared" si="47"/>
        <v>0.92452830188679247</v>
      </c>
      <c r="Y47" s="74">
        <f>AVERAGEIFS(Tracker!I:I, Tracker!E:E, 1, Tracker!G:G, "&lt;="&amp;Daily!C47, Tracker!J:J, "Y")</f>
        <v>13.428571428571429</v>
      </c>
      <c r="Z47" s="77">
        <f>COUNTIFS(Tracker!E:E, 1, Tracker!G:G, "&lt;="&amp;Daily!C47, Tracker!L:L, "N") / V47</f>
        <v>0.73584905660377353</v>
      </c>
      <c r="AA47" s="48">
        <f t="shared" si="36"/>
        <v>57</v>
      </c>
      <c r="AB47" s="26">
        <f t="shared" si="37"/>
        <v>40</v>
      </c>
      <c r="AC47" s="62">
        <f t="shared" si="17"/>
        <v>0.70175438596491224</v>
      </c>
      <c r="AD47" s="74">
        <f>AVERAGEIFS(Tracker!I:I, Tracker!E:E, 2, Tracker!G:G, "&lt;="&amp;Daily!C47, Tracker!J:J, "Y")</f>
        <v>26.4</v>
      </c>
      <c r="AE47" s="77">
        <f>COUNTIFS(Tracker!E:E, 2, Tracker!G:G, "&lt;="&amp;Daily!C47, Tracker!L:L, "N") / AA47</f>
        <v>0.47368421052631576</v>
      </c>
      <c r="AF47" s="48">
        <f t="shared" si="38"/>
        <v>7</v>
      </c>
      <c r="AG47" s="26">
        <f t="shared" si="39"/>
        <v>4</v>
      </c>
      <c r="AH47" s="62">
        <f t="shared" si="12"/>
        <v>0.5714285714285714</v>
      </c>
      <c r="AI47" s="74">
        <f>IFERROR(AVERAGEIFS(Tracker!I:I, Tracker!E:E, 3, Tracker!G:G, "&lt;="&amp;Daily!C47, Tracker!J:J, "Y"), 0)</f>
        <v>39</v>
      </c>
      <c r="AJ47" s="77">
        <f>IFERROR(COUNTIFS(Tracker!E:E, 3, Tracker!G:G, "&lt;="&amp;Daily!C47, Tracker!L:L, "N") / AF47,  0)</f>
        <v>0.14285714285714285</v>
      </c>
      <c r="AK47" s="48">
        <f t="shared" si="34"/>
        <v>117</v>
      </c>
      <c r="AL47" s="26">
        <f t="shared" si="35"/>
        <v>93</v>
      </c>
      <c r="AM47" s="62">
        <f t="shared" si="13"/>
        <v>0.79487179487179482</v>
      </c>
      <c r="AN47" s="74">
        <f>IFERROR(AVERAGEIFS(Tracker!I:I,  Tracker!G:G, "&lt;="&amp;Daily!C47, Tracker!J:J, "Y"), 0)</f>
        <v>20.107526881720432</v>
      </c>
      <c r="AO47" s="77">
        <f>IFERROR(COUNTIFS(Tracker!G:G, "&lt;="&amp;Daily!C47, Tracker!L:L, "N") / AK47,  0)</f>
        <v>0.57264957264957261</v>
      </c>
    </row>
    <row r="48" spans="1:41" ht="15.75" thickBot="1" x14ac:dyDescent="0.3">
      <c r="A48" s="120"/>
      <c r="B48" s="34">
        <f t="shared" si="48"/>
        <v>45263</v>
      </c>
      <c r="C48" s="35">
        <f t="shared" si="23"/>
        <v>45263</v>
      </c>
      <c r="D48" s="110" t="b">
        <f t="shared" ca="1" si="7"/>
        <v>1</v>
      </c>
      <c r="E48" s="52">
        <f t="shared" si="49"/>
        <v>0</v>
      </c>
      <c r="F48" s="39">
        <f>COUNTIFS(Tracker!G:G,Daily!C48, Tracker!J:J,"Y")</f>
        <v>0</v>
      </c>
      <c r="G48" s="36">
        <f>COUNTIFS(Tracker!G:G,Daily!C48, Tracker!J:J,"Y (with hints)")</f>
        <v>0</v>
      </c>
      <c r="H48" s="37">
        <f>COUNTIFS(Tracker!G:G,Daily!C48, Tracker!J:J,"N")</f>
        <v>0</v>
      </c>
      <c r="I48" s="55">
        <f t="shared" si="50"/>
        <v>0</v>
      </c>
      <c r="J48" s="36">
        <f>COUNTIFS(Tracker!G:G,Daily!C48, Tracker!J:J,"Y",Tracker!E:E,1)</f>
        <v>0</v>
      </c>
      <c r="K48" s="36">
        <f>COUNTIFS(Tracker!G:G,Daily!C48, Tracker!J:J,"Y (with hints)",Tracker!E:E,1)</f>
        <v>0</v>
      </c>
      <c r="L48" s="37">
        <f>COUNTIFS(Tracker!G:G,Daily!C48, Tracker!J:J,"N",Tracker!E:E,1)</f>
        <v>0</v>
      </c>
      <c r="M48" s="55">
        <f t="shared" si="51"/>
        <v>0</v>
      </c>
      <c r="N48" s="36">
        <f>COUNTIFS(Tracker!G:G,Daily!C48, Tracker!J:J,"Y",Tracker!E:E,2)</f>
        <v>0</v>
      </c>
      <c r="O48" s="36">
        <f>COUNTIFS(Tracker!G:G,Daily!C48, Tracker!J:J,"Y (with hints)",Tracker!E:E,2)</f>
        <v>0</v>
      </c>
      <c r="P48" s="37">
        <f>COUNTIFS(Tracker!G:G,Daily!C48, Tracker!J:J,"N",Tracker!E:E,2)</f>
        <v>0</v>
      </c>
      <c r="Q48" s="58">
        <f t="shared" si="52"/>
        <v>0</v>
      </c>
      <c r="R48" s="36">
        <f>COUNTIFS(Tracker!G:G,Daily!C48, Tracker!J:J,"Y",Tracker!E:E,3)</f>
        <v>0</v>
      </c>
      <c r="S48" s="36">
        <f>COUNTIFS(Tracker!G:G,Daily!C48, Tracker!J:J,"Y (with hints)",Tracker!E:E,3)</f>
        <v>0</v>
      </c>
      <c r="T48" s="37">
        <f>COUNTIFS(Tracker!G:G,Daily!C48, Tracker!J:J,"N",Tracker!E:E,3)</f>
        <v>0</v>
      </c>
      <c r="V48" s="39">
        <f t="shared" si="45"/>
        <v>53</v>
      </c>
      <c r="W48" s="36">
        <f t="shared" si="46"/>
        <v>49</v>
      </c>
      <c r="X48" s="64">
        <f t="shared" si="47"/>
        <v>0.92452830188679247</v>
      </c>
      <c r="Y48" s="78">
        <f>AVERAGEIFS(Tracker!I:I, Tracker!E:E, 1, Tracker!G:G, "&lt;="&amp;Daily!C48, Tracker!J:J, "Y")</f>
        <v>13.428571428571429</v>
      </c>
      <c r="Z48" s="79">
        <f>COUNTIFS(Tracker!E:E, 1, Tracker!G:G, "&lt;="&amp;Daily!C48, Tracker!L:L, "N") / V48</f>
        <v>0.73584905660377353</v>
      </c>
      <c r="AA48" s="39">
        <f t="shared" si="36"/>
        <v>57</v>
      </c>
      <c r="AB48" s="36">
        <f t="shared" si="37"/>
        <v>40</v>
      </c>
      <c r="AC48" s="64">
        <f t="shared" si="17"/>
        <v>0.70175438596491224</v>
      </c>
      <c r="AD48" s="78">
        <f>AVERAGEIFS(Tracker!I:I, Tracker!E:E, 2, Tracker!G:G, "&lt;="&amp;Daily!C48, Tracker!J:J, "Y")</f>
        <v>26.4</v>
      </c>
      <c r="AE48" s="79">
        <f>COUNTIFS(Tracker!E:E, 2, Tracker!G:G, "&lt;="&amp;Daily!C48, Tracker!L:L, "N") / AA48</f>
        <v>0.47368421052631576</v>
      </c>
      <c r="AF48" s="39">
        <f t="shared" si="38"/>
        <v>7</v>
      </c>
      <c r="AG48" s="36">
        <f t="shared" si="39"/>
        <v>4</v>
      </c>
      <c r="AH48" s="64">
        <f t="shared" si="12"/>
        <v>0.5714285714285714</v>
      </c>
      <c r="AI48" s="78">
        <f>IFERROR(AVERAGEIFS(Tracker!I:I, Tracker!E:E, 3, Tracker!G:G, "&lt;="&amp;Daily!C48, Tracker!J:J, "Y"), 0)</f>
        <v>39</v>
      </c>
      <c r="AJ48" s="79">
        <f>IFERROR(COUNTIFS(Tracker!E:E, 3, Tracker!G:G, "&lt;="&amp;Daily!C48, Tracker!L:L, "N") / AF48,  0)</f>
        <v>0.14285714285714285</v>
      </c>
      <c r="AK48" s="39">
        <f t="shared" si="34"/>
        <v>117</v>
      </c>
      <c r="AL48" s="36">
        <f t="shared" si="35"/>
        <v>93</v>
      </c>
      <c r="AM48" s="64">
        <f t="shared" si="13"/>
        <v>0.79487179487179482</v>
      </c>
      <c r="AN48" s="78">
        <f>IFERROR(AVERAGEIFS(Tracker!I:I,  Tracker!G:G, "&lt;="&amp;Daily!C48, Tracker!J:J, "Y"), 0)</f>
        <v>20.107526881720432</v>
      </c>
      <c r="AO48" s="79">
        <f>IFERROR(COUNTIFS(Tracker!G:G, "&lt;="&amp;Daily!C48, Tracker!L:L, "N") / AK48,  0)</f>
        <v>0.57264957264957261</v>
      </c>
    </row>
    <row r="49" spans="1:41" x14ac:dyDescent="0.25">
      <c r="A49" s="118">
        <v>7</v>
      </c>
      <c r="B49" s="28">
        <f t="shared" si="48"/>
        <v>45264</v>
      </c>
      <c r="C49" s="85">
        <f t="shared" si="23"/>
        <v>45264</v>
      </c>
      <c r="D49" s="111" t="b">
        <f t="shared" ca="1" si="7"/>
        <v>1</v>
      </c>
      <c r="E49" s="50">
        <f t="shared" si="49"/>
        <v>1</v>
      </c>
      <c r="F49" s="38">
        <f>COUNTIFS(Tracker!G:G,Daily!C49, Tracker!J:J,"Y")</f>
        <v>1</v>
      </c>
      <c r="G49" s="30">
        <f>COUNTIFS(Tracker!G:G,Daily!C49, Tracker!J:J,"Y (with hints)")</f>
        <v>0</v>
      </c>
      <c r="H49" s="31">
        <f>COUNTIFS(Tracker!G:G,Daily!C49, Tracker!J:J,"N")</f>
        <v>0</v>
      </c>
      <c r="I49" s="53">
        <f t="shared" si="50"/>
        <v>0</v>
      </c>
      <c r="J49" s="30">
        <f>COUNTIFS(Tracker!G:G,Daily!C49, Tracker!J:J,"Y",Tracker!E:E,1)</f>
        <v>0</v>
      </c>
      <c r="K49" s="30">
        <f>COUNTIFS(Tracker!G:G,Daily!C49, Tracker!J:J,"Y (with hints)",Tracker!E:E,1)</f>
        <v>0</v>
      </c>
      <c r="L49" s="31">
        <f>COUNTIFS(Tracker!G:G,Daily!C49, Tracker!J:J,"N",Tracker!E:E,1)</f>
        <v>0</v>
      </c>
      <c r="M49" s="53">
        <f t="shared" si="51"/>
        <v>0</v>
      </c>
      <c r="N49" s="30">
        <f>COUNTIFS(Tracker!G:G,Daily!C49, Tracker!J:J,"Y",Tracker!E:E,2)</f>
        <v>0</v>
      </c>
      <c r="O49" s="30">
        <f>COUNTIFS(Tracker!G:G,Daily!C49, Tracker!J:J,"Y (with hints)",Tracker!E:E,2)</f>
        <v>0</v>
      </c>
      <c r="P49" s="31">
        <f>COUNTIFS(Tracker!G:G,Daily!C49, Tracker!J:J,"N",Tracker!E:E,2)</f>
        <v>0</v>
      </c>
      <c r="Q49" s="56">
        <f t="shared" si="52"/>
        <v>1</v>
      </c>
      <c r="R49" s="30">
        <f>COUNTIFS(Tracker!G:G,Daily!C49, Tracker!J:J,"Y",Tracker!E:E,3)</f>
        <v>1</v>
      </c>
      <c r="S49" s="30">
        <f>COUNTIFS(Tracker!G:G,Daily!C49, Tracker!J:J,"Y (with hints)",Tracker!E:E,3)</f>
        <v>0</v>
      </c>
      <c r="T49" s="31">
        <f>COUNTIFS(Tracker!G:G,Daily!C49, Tracker!J:J,"N",Tracker!E:E,3)</f>
        <v>0</v>
      </c>
      <c r="V49" s="38">
        <f t="shared" si="45"/>
        <v>53</v>
      </c>
      <c r="W49" s="30">
        <f t="shared" si="46"/>
        <v>49</v>
      </c>
      <c r="X49" s="73">
        <f t="shared" si="47"/>
        <v>0.92452830188679247</v>
      </c>
      <c r="Y49" s="75">
        <f>AVERAGEIFS(Tracker!I:I, Tracker!E:E, 1, Tracker!G:G, "&lt;="&amp;Daily!C49, Tracker!J:J, "Y")</f>
        <v>13.428571428571429</v>
      </c>
      <c r="Z49" s="76">
        <f>COUNTIFS(Tracker!E:E, 1, Tracker!G:G, "&lt;="&amp;Daily!C49, Tracker!L:L, "N") / V49</f>
        <v>0.73584905660377353</v>
      </c>
      <c r="AA49" s="38">
        <f t="shared" si="36"/>
        <v>57</v>
      </c>
      <c r="AB49" s="30">
        <f t="shared" si="37"/>
        <v>40</v>
      </c>
      <c r="AC49" s="73">
        <f t="shared" si="17"/>
        <v>0.70175438596491224</v>
      </c>
      <c r="AD49" s="75">
        <f>AVERAGEIFS(Tracker!I:I, Tracker!E:E, 2, Tracker!G:G, "&lt;="&amp;Daily!C49, Tracker!J:J, "Y")</f>
        <v>26.4</v>
      </c>
      <c r="AE49" s="76">
        <f>COUNTIFS(Tracker!E:E, 2, Tracker!G:G, "&lt;="&amp;Daily!C49, Tracker!L:L, "N") / AA49</f>
        <v>0.47368421052631576</v>
      </c>
      <c r="AF49" s="38">
        <f t="shared" si="38"/>
        <v>8</v>
      </c>
      <c r="AG49" s="30">
        <f t="shared" si="39"/>
        <v>5</v>
      </c>
      <c r="AH49" s="73">
        <f t="shared" si="12"/>
        <v>0.625</v>
      </c>
      <c r="AI49" s="75">
        <f>IFERROR(AVERAGEIFS(Tracker!I:I, Tracker!E:E, 3, Tracker!G:G, "&lt;="&amp;Daily!C49, Tracker!J:J, "Y"), 0)</f>
        <v>45.6</v>
      </c>
      <c r="AJ49" s="76">
        <f>IFERROR(COUNTIFS(Tracker!E:E, 3, Tracker!G:G, "&lt;="&amp;Daily!C49, Tracker!L:L, "N") / AF49,  0)</f>
        <v>0.125</v>
      </c>
      <c r="AK49" s="38">
        <f t="shared" si="34"/>
        <v>118</v>
      </c>
      <c r="AL49" s="30">
        <f t="shared" si="35"/>
        <v>94</v>
      </c>
      <c r="AM49" s="73">
        <f t="shared" si="13"/>
        <v>0.79661016949152541</v>
      </c>
      <c r="AN49" s="75">
        <f>IFERROR(AVERAGEIFS(Tracker!I:I,  Tracker!G:G, "&lt;="&amp;Daily!C49, Tracker!J:J, "Y"), 0)</f>
        <v>20.659574468085108</v>
      </c>
      <c r="AO49" s="76">
        <f>IFERROR(COUNTIFS(Tracker!G:G, "&lt;="&amp;Daily!C49, Tracker!L:L, "N") / AK49,  0)</f>
        <v>0.56779661016949157</v>
      </c>
    </row>
    <row r="50" spans="1:41" x14ac:dyDescent="0.25">
      <c r="A50" s="119"/>
      <c r="B50" s="32">
        <f t="shared" si="48"/>
        <v>45265</v>
      </c>
      <c r="C50" s="84">
        <f t="shared" si="23"/>
        <v>45265</v>
      </c>
      <c r="D50" s="112" t="b">
        <f t="shared" ca="1" si="7"/>
        <v>1</v>
      </c>
      <c r="E50" s="51">
        <f t="shared" si="49"/>
        <v>4</v>
      </c>
      <c r="F50" s="48">
        <f>COUNTIFS(Tracker!G:G,Daily!C50, Tracker!J:J,"Y")</f>
        <v>3</v>
      </c>
      <c r="G50" s="26">
        <f>COUNTIFS(Tracker!G:G,Daily!C50, Tracker!J:J,"Y (with hints)")</f>
        <v>0</v>
      </c>
      <c r="H50" s="33">
        <f>COUNTIFS(Tracker!G:G,Daily!C50, Tracker!J:J,"N")</f>
        <v>1</v>
      </c>
      <c r="I50" s="54">
        <f t="shared" si="50"/>
        <v>1</v>
      </c>
      <c r="J50" s="26">
        <f>COUNTIFS(Tracker!G:G,Daily!C50, Tracker!J:J,"Y",Tracker!E:E,1)</f>
        <v>1</v>
      </c>
      <c r="K50" s="26">
        <f>COUNTIFS(Tracker!G:G,Daily!C50, Tracker!J:J,"Y (with hints)",Tracker!E:E,1)</f>
        <v>0</v>
      </c>
      <c r="L50" s="33">
        <f>COUNTIFS(Tracker!G:G,Daily!C50, Tracker!J:J,"N",Tracker!E:E,1)</f>
        <v>0</v>
      </c>
      <c r="M50" s="54">
        <f t="shared" si="51"/>
        <v>2</v>
      </c>
      <c r="N50" s="26">
        <f>COUNTIFS(Tracker!G:G,Daily!C50, Tracker!J:J,"Y",Tracker!E:E,2)</f>
        <v>1</v>
      </c>
      <c r="O50" s="26">
        <f>COUNTIFS(Tracker!G:G,Daily!C50, Tracker!J:J,"Y (with hints)",Tracker!E:E,2)</f>
        <v>0</v>
      </c>
      <c r="P50" s="33">
        <f>COUNTIFS(Tracker!G:G,Daily!C50, Tracker!J:J,"N",Tracker!E:E,2)</f>
        <v>1</v>
      </c>
      <c r="Q50" s="57">
        <f t="shared" si="52"/>
        <v>1</v>
      </c>
      <c r="R50" s="26">
        <f>COUNTIFS(Tracker!G:G,Daily!C50, Tracker!J:J,"Y",Tracker!E:E,3)</f>
        <v>1</v>
      </c>
      <c r="S50" s="26">
        <f>COUNTIFS(Tracker!G:G,Daily!C50, Tracker!J:J,"Y (with hints)",Tracker!E:E,3)</f>
        <v>0</v>
      </c>
      <c r="T50" s="33">
        <f>COUNTIFS(Tracker!G:G,Daily!C50, Tracker!J:J,"N",Tracker!E:E,3)</f>
        <v>0</v>
      </c>
      <c r="V50" s="48">
        <f t="shared" si="45"/>
        <v>54</v>
      </c>
      <c r="W50" s="26">
        <f t="shared" si="46"/>
        <v>50</v>
      </c>
      <c r="X50" s="62">
        <f t="shared" si="47"/>
        <v>0.92592592592592593</v>
      </c>
      <c r="Y50" s="74">
        <f>AVERAGEIFS(Tracker!I:I, Tracker!E:E, 1, Tracker!G:G, "&lt;="&amp;Daily!C50, Tracker!J:J, "Y")</f>
        <v>13.24</v>
      </c>
      <c r="Z50" s="77">
        <f>COUNTIFS(Tracker!E:E, 1, Tracker!G:G, "&lt;="&amp;Daily!C50, Tracker!L:L, "N") / V50</f>
        <v>0.7407407407407407</v>
      </c>
      <c r="AA50" s="48">
        <f t="shared" si="36"/>
        <v>59</v>
      </c>
      <c r="AB50" s="26">
        <f t="shared" si="37"/>
        <v>41</v>
      </c>
      <c r="AC50" s="62">
        <f t="shared" si="17"/>
        <v>0.69491525423728817</v>
      </c>
      <c r="AD50" s="74">
        <f>AVERAGEIFS(Tracker!I:I, Tracker!E:E, 2, Tracker!G:G, "&lt;="&amp;Daily!C50, Tracker!J:J, "Y")</f>
        <v>26.26829268292683</v>
      </c>
      <c r="AE50" s="77">
        <f>COUNTIFS(Tracker!E:E, 2, Tracker!G:G, "&lt;="&amp;Daily!C50, Tracker!L:L, "N") / AA50</f>
        <v>0.47457627118644069</v>
      </c>
      <c r="AF50" s="48">
        <f t="shared" si="38"/>
        <v>9</v>
      </c>
      <c r="AG50" s="26">
        <f t="shared" si="39"/>
        <v>6</v>
      </c>
      <c r="AH50" s="62">
        <f t="shared" si="12"/>
        <v>0.66666666666666663</v>
      </c>
      <c r="AI50" s="74">
        <f>IFERROR(AVERAGEIFS(Tracker!I:I, Tracker!E:E, 3, Tracker!G:G, "&lt;="&amp;Daily!C50, Tracker!J:J, "Y"), 0)</f>
        <v>43.666666666666664</v>
      </c>
      <c r="AJ50" s="77">
        <f>IFERROR(COUNTIFS(Tracker!E:E, 3, Tracker!G:G, "&lt;="&amp;Daily!C50, Tracker!L:L, "N") / AF50,  0)</f>
        <v>0.22222222222222221</v>
      </c>
      <c r="AK50" s="48">
        <f t="shared" si="34"/>
        <v>122</v>
      </c>
      <c r="AL50" s="26">
        <f t="shared" si="35"/>
        <v>97</v>
      </c>
      <c r="AM50" s="62">
        <f t="shared" si="13"/>
        <v>0.79508196721311475</v>
      </c>
      <c r="AN50" s="74">
        <f>IFERROR(AVERAGEIFS(Tracker!I:I,  Tracker!G:G, "&lt;="&amp;Daily!C50, Tracker!J:J, "Y"), 0)</f>
        <v>20.628865979381445</v>
      </c>
      <c r="AO50" s="77">
        <f>IFERROR(COUNTIFS(Tracker!G:G, "&lt;="&amp;Daily!C50, Tracker!L:L, "N") / AK50,  0)</f>
        <v>0.57377049180327866</v>
      </c>
    </row>
    <row r="51" spans="1:41" x14ac:dyDescent="0.25">
      <c r="A51" s="119"/>
      <c r="B51" s="32">
        <f t="shared" si="48"/>
        <v>45266</v>
      </c>
      <c r="C51" s="84">
        <f t="shared" si="23"/>
        <v>45266</v>
      </c>
      <c r="D51" s="112" t="b">
        <f t="shared" ca="1" si="7"/>
        <v>1</v>
      </c>
      <c r="E51" s="51">
        <f t="shared" si="49"/>
        <v>3</v>
      </c>
      <c r="F51" s="48">
        <f>COUNTIFS(Tracker!G:G,Daily!C51, Tracker!J:J,"Y")</f>
        <v>3</v>
      </c>
      <c r="G51" s="26">
        <f>COUNTIFS(Tracker!G:G,Daily!C51, Tracker!J:J,"Y (with hints)")</f>
        <v>0</v>
      </c>
      <c r="H51" s="33">
        <f>COUNTIFS(Tracker!G:G,Daily!C51, Tracker!J:J,"N")</f>
        <v>0</v>
      </c>
      <c r="I51" s="54">
        <f t="shared" si="50"/>
        <v>2</v>
      </c>
      <c r="J51" s="26">
        <f>COUNTIFS(Tracker!G:G,Daily!C51, Tracker!J:J,"Y",Tracker!E:E,1)</f>
        <v>2</v>
      </c>
      <c r="K51" s="26">
        <f>COUNTIFS(Tracker!G:G,Daily!C51, Tracker!J:J,"Y (with hints)",Tracker!E:E,1)</f>
        <v>0</v>
      </c>
      <c r="L51" s="33">
        <f>COUNTIFS(Tracker!G:G,Daily!C51, Tracker!J:J,"N",Tracker!E:E,1)</f>
        <v>0</v>
      </c>
      <c r="M51" s="54">
        <f t="shared" si="51"/>
        <v>1</v>
      </c>
      <c r="N51" s="26">
        <f>COUNTIFS(Tracker!G:G,Daily!C51, Tracker!J:J,"Y",Tracker!E:E,2)</f>
        <v>1</v>
      </c>
      <c r="O51" s="26">
        <f>COUNTIFS(Tracker!G:G,Daily!C51, Tracker!J:J,"Y (with hints)",Tracker!E:E,2)</f>
        <v>0</v>
      </c>
      <c r="P51" s="33">
        <f>COUNTIFS(Tracker!G:G,Daily!C51, Tracker!J:J,"N",Tracker!E:E,2)</f>
        <v>0</v>
      </c>
      <c r="Q51" s="57">
        <f t="shared" si="52"/>
        <v>0</v>
      </c>
      <c r="R51" s="26">
        <f>COUNTIFS(Tracker!G:G,Daily!C51, Tracker!J:J,"Y",Tracker!E:E,3)</f>
        <v>0</v>
      </c>
      <c r="S51" s="26">
        <f>COUNTIFS(Tracker!G:G,Daily!C51, Tracker!J:J,"Y (with hints)",Tracker!E:E,3)</f>
        <v>0</v>
      </c>
      <c r="T51" s="33">
        <f>COUNTIFS(Tracker!G:G,Daily!C51, Tracker!J:J,"N",Tracker!E:E,3)</f>
        <v>0</v>
      </c>
      <c r="V51" s="48">
        <f t="shared" si="45"/>
        <v>56</v>
      </c>
      <c r="W51" s="26">
        <f t="shared" si="46"/>
        <v>52</v>
      </c>
      <c r="X51" s="62">
        <f t="shared" si="47"/>
        <v>0.9285714285714286</v>
      </c>
      <c r="Y51" s="74">
        <f>AVERAGEIFS(Tracker!I:I, Tracker!E:E, 1, Tracker!G:G, "&lt;="&amp;Daily!C51, Tracker!J:J, "Y")</f>
        <v>13.192307692307692</v>
      </c>
      <c r="Z51" s="77">
        <f>COUNTIFS(Tracker!E:E, 1, Tracker!G:G, "&lt;="&amp;Daily!C51, Tracker!L:L, "N") / V51</f>
        <v>0.7321428571428571</v>
      </c>
      <c r="AA51" s="48">
        <f t="shared" si="36"/>
        <v>60</v>
      </c>
      <c r="AB51" s="26">
        <f t="shared" si="37"/>
        <v>42</v>
      </c>
      <c r="AC51" s="62">
        <f t="shared" si="17"/>
        <v>0.7</v>
      </c>
      <c r="AD51" s="74">
        <f>AVERAGEIFS(Tracker!I:I, Tracker!E:E, 2, Tracker!G:G, "&lt;="&amp;Daily!C51, Tracker!J:J, "Y")</f>
        <v>26.214285714285715</v>
      </c>
      <c r="AE51" s="77">
        <f>COUNTIFS(Tracker!E:E, 2, Tracker!G:G, "&lt;="&amp;Daily!C51, Tracker!L:L, "N") / AA51</f>
        <v>0.48333333333333334</v>
      </c>
      <c r="AF51" s="48">
        <f t="shared" si="38"/>
        <v>9</v>
      </c>
      <c r="AG51" s="26">
        <f t="shared" si="39"/>
        <v>6</v>
      </c>
      <c r="AH51" s="62">
        <f t="shared" si="12"/>
        <v>0.66666666666666663</v>
      </c>
      <c r="AI51" s="74">
        <f>IFERROR(AVERAGEIFS(Tracker!I:I, Tracker!E:E, 3, Tracker!G:G, "&lt;="&amp;Daily!C51, Tracker!J:J, "Y"), 0)</f>
        <v>43.666666666666664</v>
      </c>
      <c r="AJ51" s="77">
        <f>IFERROR(COUNTIFS(Tracker!E:E, 3, Tracker!G:G, "&lt;="&amp;Daily!C51, Tracker!L:L, "N") / AF51,  0)</f>
        <v>0.22222222222222221</v>
      </c>
      <c r="AK51" s="48">
        <f t="shared" si="34"/>
        <v>125</v>
      </c>
      <c r="AL51" s="26">
        <f t="shared" si="35"/>
        <v>100</v>
      </c>
      <c r="AM51" s="62">
        <f t="shared" si="13"/>
        <v>0.8</v>
      </c>
      <c r="AN51" s="74">
        <f>IFERROR(AVERAGEIFS(Tracker!I:I,  Tracker!G:G, "&lt;="&amp;Daily!C51, Tracker!J:J, "Y"), 0)</f>
        <v>20.49</v>
      </c>
      <c r="AO51" s="77">
        <f>IFERROR(COUNTIFS(Tracker!G:G, "&lt;="&amp;Daily!C51, Tracker!L:L, "N") / AK51,  0)</f>
        <v>0.57599999999999996</v>
      </c>
    </row>
    <row r="52" spans="1:41" x14ac:dyDescent="0.25">
      <c r="A52" s="119"/>
      <c r="B52" s="32">
        <f t="shared" si="48"/>
        <v>45267</v>
      </c>
      <c r="C52" s="84">
        <f t="shared" si="23"/>
        <v>45267</v>
      </c>
      <c r="D52" s="112" t="b">
        <f t="shared" ca="1" si="7"/>
        <v>1</v>
      </c>
      <c r="E52" s="51">
        <f t="shared" si="49"/>
        <v>2</v>
      </c>
      <c r="F52" s="48">
        <f>COUNTIFS(Tracker!G:G,Daily!C52, Tracker!J:J,"Y")</f>
        <v>2</v>
      </c>
      <c r="G52" s="26">
        <f>COUNTIFS(Tracker!G:G,Daily!C52, Tracker!J:J,"Y (with hints)")</f>
        <v>0</v>
      </c>
      <c r="H52" s="33">
        <f>COUNTIFS(Tracker!G:G,Daily!C52, Tracker!J:J,"N")</f>
        <v>0</v>
      </c>
      <c r="I52" s="54">
        <f t="shared" si="50"/>
        <v>0</v>
      </c>
      <c r="J52" s="26">
        <f>COUNTIFS(Tracker!G:G,Daily!C52, Tracker!J:J,"Y",Tracker!E:E,1)</f>
        <v>0</v>
      </c>
      <c r="K52" s="26">
        <f>COUNTIFS(Tracker!G:G,Daily!C52, Tracker!J:J,"Y (with hints)",Tracker!E:E,1)</f>
        <v>0</v>
      </c>
      <c r="L52" s="33">
        <f>COUNTIFS(Tracker!G:G,Daily!C52, Tracker!J:J,"N",Tracker!E:E,1)</f>
        <v>0</v>
      </c>
      <c r="M52" s="54">
        <f t="shared" si="51"/>
        <v>2</v>
      </c>
      <c r="N52" s="26">
        <f>COUNTIFS(Tracker!G:G,Daily!C52, Tracker!J:J,"Y",Tracker!E:E,2)</f>
        <v>2</v>
      </c>
      <c r="O52" s="26">
        <f>COUNTIFS(Tracker!G:G,Daily!C52, Tracker!J:J,"Y (with hints)",Tracker!E:E,2)</f>
        <v>0</v>
      </c>
      <c r="P52" s="33">
        <f>COUNTIFS(Tracker!G:G,Daily!C52, Tracker!J:J,"N",Tracker!E:E,2)</f>
        <v>0</v>
      </c>
      <c r="Q52" s="57">
        <f t="shared" si="52"/>
        <v>0</v>
      </c>
      <c r="R52" s="26">
        <f>COUNTIFS(Tracker!G:G,Daily!C52, Tracker!J:J,"Y",Tracker!E:E,3)</f>
        <v>0</v>
      </c>
      <c r="S52" s="26">
        <f>COUNTIFS(Tracker!G:G,Daily!C52, Tracker!J:J,"Y (with hints)",Tracker!E:E,3)</f>
        <v>0</v>
      </c>
      <c r="T52" s="33">
        <f>COUNTIFS(Tracker!G:G,Daily!C52, Tracker!J:J,"N",Tracker!E:E,3)</f>
        <v>0</v>
      </c>
      <c r="V52" s="48">
        <f t="shared" si="45"/>
        <v>56</v>
      </c>
      <c r="W52" s="26">
        <f t="shared" si="46"/>
        <v>52</v>
      </c>
      <c r="X52" s="62">
        <f t="shared" si="47"/>
        <v>0.9285714285714286</v>
      </c>
      <c r="Y52" s="74">
        <f>AVERAGEIFS(Tracker!I:I, Tracker!E:E, 1, Tracker!G:G, "&lt;="&amp;Daily!C52, Tracker!J:J, "Y")</f>
        <v>13.192307692307692</v>
      </c>
      <c r="Z52" s="77">
        <f>COUNTIFS(Tracker!E:E, 1, Tracker!G:G, "&lt;="&amp;Daily!C52, Tracker!L:L, "N") / V52</f>
        <v>0.7321428571428571</v>
      </c>
      <c r="AA52" s="48">
        <f t="shared" si="36"/>
        <v>62</v>
      </c>
      <c r="AB52" s="26">
        <f t="shared" si="37"/>
        <v>44</v>
      </c>
      <c r="AC52" s="62">
        <f t="shared" si="17"/>
        <v>0.70967741935483875</v>
      </c>
      <c r="AD52" s="74">
        <f>AVERAGEIFS(Tracker!I:I, Tracker!E:E, 2, Tracker!G:G, "&lt;="&amp;Daily!C52, Tracker!J:J, "Y")</f>
        <v>26.227272727272727</v>
      </c>
      <c r="AE52" s="77">
        <f>COUNTIFS(Tracker!E:E, 2, Tracker!G:G, "&lt;="&amp;Daily!C52, Tracker!L:L, "N") / AA52</f>
        <v>0.4838709677419355</v>
      </c>
      <c r="AF52" s="48">
        <f t="shared" si="38"/>
        <v>9</v>
      </c>
      <c r="AG52" s="26">
        <f t="shared" si="39"/>
        <v>6</v>
      </c>
      <c r="AH52" s="62">
        <f t="shared" si="12"/>
        <v>0.66666666666666663</v>
      </c>
      <c r="AI52" s="74">
        <f>IFERROR(AVERAGEIFS(Tracker!I:I, Tracker!E:E, 3, Tracker!G:G, "&lt;="&amp;Daily!C52, Tracker!J:J, "Y"), 0)</f>
        <v>43.666666666666664</v>
      </c>
      <c r="AJ52" s="77">
        <f>IFERROR(COUNTIFS(Tracker!E:E, 3, Tracker!G:G, "&lt;="&amp;Daily!C52, Tracker!L:L, "N") / AF52,  0)</f>
        <v>0.22222222222222221</v>
      </c>
      <c r="AK52" s="48">
        <f t="shared" si="34"/>
        <v>127</v>
      </c>
      <c r="AL52" s="26">
        <f t="shared" si="35"/>
        <v>102</v>
      </c>
      <c r="AM52" s="62">
        <f t="shared" si="13"/>
        <v>0.80314960629921262</v>
      </c>
      <c r="AN52" s="74">
        <f>IFERROR(AVERAGEIFS(Tracker!I:I,  Tracker!G:G, "&lt;="&amp;Daily!C52, Tracker!J:J, "Y"), 0)</f>
        <v>20.607843137254903</v>
      </c>
      <c r="AO52" s="77">
        <f>IFERROR(COUNTIFS(Tracker!G:G, "&lt;="&amp;Daily!C52, Tracker!L:L, "N") / AK52,  0)</f>
        <v>0.57480314960629919</v>
      </c>
    </row>
    <row r="53" spans="1:41" x14ac:dyDescent="0.25">
      <c r="A53" s="119"/>
      <c r="B53" s="32">
        <f t="shared" si="48"/>
        <v>45268</v>
      </c>
      <c r="C53" s="84">
        <f t="shared" si="23"/>
        <v>45268</v>
      </c>
      <c r="D53" s="112" t="b">
        <f t="shared" ca="1" si="7"/>
        <v>1</v>
      </c>
      <c r="E53" s="51">
        <f t="shared" si="49"/>
        <v>1</v>
      </c>
      <c r="F53" s="48">
        <f>COUNTIFS(Tracker!G:G,Daily!C53, Tracker!J:J,"Y")</f>
        <v>1</v>
      </c>
      <c r="G53" s="26">
        <f>COUNTIFS(Tracker!G:G,Daily!C53, Tracker!J:J,"Y (with hints)")</f>
        <v>0</v>
      </c>
      <c r="H53" s="33">
        <f>COUNTIFS(Tracker!G:G,Daily!C53, Tracker!J:J,"N")</f>
        <v>0</v>
      </c>
      <c r="I53" s="54">
        <f t="shared" si="50"/>
        <v>0</v>
      </c>
      <c r="J53" s="26">
        <f>COUNTIFS(Tracker!G:G,Daily!C53, Tracker!J:J,"Y",Tracker!E:E,1)</f>
        <v>0</v>
      </c>
      <c r="K53" s="26">
        <f>COUNTIFS(Tracker!G:G,Daily!C53, Tracker!J:J,"Y (with hints)",Tracker!E:E,1)</f>
        <v>0</v>
      </c>
      <c r="L53" s="33">
        <f>COUNTIFS(Tracker!G:G,Daily!C53, Tracker!J:J,"N",Tracker!E:E,1)</f>
        <v>0</v>
      </c>
      <c r="M53" s="54">
        <f t="shared" si="51"/>
        <v>1</v>
      </c>
      <c r="N53" s="26">
        <f>COUNTIFS(Tracker!G:G,Daily!C53, Tracker!J:J,"Y",Tracker!E:E,2)</f>
        <v>1</v>
      </c>
      <c r="O53" s="26">
        <f>COUNTIFS(Tracker!G:G,Daily!C53, Tracker!J:J,"Y (with hints)",Tracker!E:E,2)</f>
        <v>0</v>
      </c>
      <c r="P53" s="33">
        <f>COUNTIFS(Tracker!G:G,Daily!C53, Tracker!J:J,"N",Tracker!E:E,2)</f>
        <v>0</v>
      </c>
      <c r="Q53" s="57">
        <f t="shared" si="52"/>
        <v>0</v>
      </c>
      <c r="R53" s="26">
        <f>COUNTIFS(Tracker!G:G,Daily!C53, Tracker!J:J,"Y",Tracker!E:E,3)</f>
        <v>0</v>
      </c>
      <c r="S53" s="26">
        <f>COUNTIFS(Tracker!G:G,Daily!C53, Tracker!J:J,"Y (with hints)",Tracker!E:E,3)</f>
        <v>0</v>
      </c>
      <c r="T53" s="33">
        <f>COUNTIFS(Tracker!G:G,Daily!C53, Tracker!J:J,"N",Tracker!E:E,3)</f>
        <v>0</v>
      </c>
      <c r="V53" s="48">
        <f t="shared" si="45"/>
        <v>56</v>
      </c>
      <c r="W53" s="26">
        <f t="shared" si="46"/>
        <v>52</v>
      </c>
      <c r="X53" s="62">
        <f t="shared" si="47"/>
        <v>0.9285714285714286</v>
      </c>
      <c r="Y53" s="74">
        <f>AVERAGEIFS(Tracker!I:I, Tracker!E:E, 1, Tracker!G:G, "&lt;="&amp;Daily!C53, Tracker!J:J, "Y")</f>
        <v>13.192307692307692</v>
      </c>
      <c r="Z53" s="77">
        <f>COUNTIFS(Tracker!E:E, 1, Tracker!G:G, "&lt;="&amp;Daily!C53, Tracker!L:L, "N") / V53</f>
        <v>0.7321428571428571</v>
      </c>
      <c r="AA53" s="48">
        <f t="shared" si="36"/>
        <v>63</v>
      </c>
      <c r="AB53" s="26">
        <f t="shared" si="37"/>
        <v>45</v>
      </c>
      <c r="AC53" s="62">
        <f t="shared" si="17"/>
        <v>0.7142857142857143</v>
      </c>
      <c r="AD53" s="74">
        <f>AVERAGEIFS(Tracker!I:I, Tracker!E:E, 2, Tracker!G:G, "&lt;="&amp;Daily!C53, Tracker!J:J, "Y")</f>
        <v>26</v>
      </c>
      <c r="AE53" s="77">
        <f>COUNTIFS(Tracker!E:E, 2, Tracker!G:G, "&lt;="&amp;Daily!C53, Tracker!L:L, "N") / AA53</f>
        <v>0.49206349206349204</v>
      </c>
      <c r="AF53" s="48">
        <f t="shared" si="38"/>
        <v>9</v>
      </c>
      <c r="AG53" s="26">
        <f t="shared" si="39"/>
        <v>6</v>
      </c>
      <c r="AH53" s="62">
        <f t="shared" si="12"/>
        <v>0.66666666666666663</v>
      </c>
      <c r="AI53" s="74">
        <f>IFERROR(AVERAGEIFS(Tracker!I:I, Tracker!E:E, 3, Tracker!G:G, "&lt;="&amp;Daily!C53, Tracker!J:J, "Y"), 0)</f>
        <v>43.666666666666664</v>
      </c>
      <c r="AJ53" s="77">
        <f>IFERROR(COUNTIFS(Tracker!E:E, 3, Tracker!G:G, "&lt;="&amp;Daily!C53, Tracker!L:L, "N") / AF53,  0)</f>
        <v>0.22222222222222221</v>
      </c>
      <c r="AK53" s="48">
        <f t="shared" si="34"/>
        <v>128</v>
      </c>
      <c r="AL53" s="26">
        <f t="shared" si="35"/>
        <v>103</v>
      </c>
      <c r="AM53" s="62">
        <f t="shared" si="13"/>
        <v>0.8046875</v>
      </c>
      <c r="AN53" s="74">
        <f>IFERROR(AVERAGEIFS(Tracker!I:I,  Tracker!G:G, "&lt;="&amp;Daily!C53, Tracker!J:J, "Y"), 0)</f>
        <v>20.563106796116504</v>
      </c>
      <c r="AO53" s="77">
        <f>IFERROR(COUNTIFS(Tracker!G:G, "&lt;="&amp;Daily!C53, Tracker!L:L, "N") / AK53,  0)</f>
        <v>0.578125</v>
      </c>
    </row>
    <row r="54" spans="1:41" x14ac:dyDescent="0.25">
      <c r="A54" s="119"/>
      <c r="B54" s="32">
        <f t="shared" si="48"/>
        <v>45269</v>
      </c>
      <c r="C54" s="27">
        <f t="shared" si="23"/>
        <v>45269</v>
      </c>
      <c r="D54" s="109" t="b">
        <f t="shared" ca="1" si="7"/>
        <v>1</v>
      </c>
      <c r="E54" s="51">
        <f t="shared" si="49"/>
        <v>0</v>
      </c>
      <c r="F54" s="48">
        <f>COUNTIFS(Tracker!G:G,Daily!C54, Tracker!J:J,"Y")</f>
        <v>0</v>
      </c>
      <c r="G54" s="26">
        <f>COUNTIFS(Tracker!G:G,Daily!C54, Tracker!J:J,"Y (with hints)")</f>
        <v>0</v>
      </c>
      <c r="H54" s="33">
        <f>COUNTIFS(Tracker!G:G,Daily!C54, Tracker!J:J,"N")</f>
        <v>0</v>
      </c>
      <c r="I54" s="54">
        <f t="shared" si="50"/>
        <v>0</v>
      </c>
      <c r="J54" s="26">
        <f>COUNTIFS(Tracker!G:G,Daily!C54, Tracker!J:J,"Y",Tracker!E:E,1)</f>
        <v>0</v>
      </c>
      <c r="K54" s="26">
        <f>COUNTIFS(Tracker!G:G,Daily!C54, Tracker!J:J,"Y (with hints)",Tracker!E:E,1)</f>
        <v>0</v>
      </c>
      <c r="L54" s="33">
        <f>COUNTIFS(Tracker!G:G,Daily!C54, Tracker!J:J,"N",Tracker!E:E,1)</f>
        <v>0</v>
      </c>
      <c r="M54" s="54">
        <f t="shared" si="51"/>
        <v>0</v>
      </c>
      <c r="N54" s="26">
        <f>COUNTIFS(Tracker!G:G,Daily!C54, Tracker!J:J,"Y",Tracker!E:E,2)</f>
        <v>0</v>
      </c>
      <c r="O54" s="26">
        <f>COUNTIFS(Tracker!G:G,Daily!C54, Tracker!J:J,"Y (with hints)",Tracker!E:E,2)</f>
        <v>0</v>
      </c>
      <c r="P54" s="33">
        <f>COUNTIFS(Tracker!G:G,Daily!C54, Tracker!J:J,"N",Tracker!E:E,2)</f>
        <v>0</v>
      </c>
      <c r="Q54" s="57">
        <f t="shared" si="52"/>
        <v>0</v>
      </c>
      <c r="R54" s="26">
        <f>COUNTIFS(Tracker!G:G,Daily!C54, Tracker!J:J,"Y",Tracker!E:E,3)</f>
        <v>0</v>
      </c>
      <c r="S54" s="26">
        <f>COUNTIFS(Tracker!G:G,Daily!C54, Tracker!J:J,"Y (with hints)",Tracker!E:E,3)</f>
        <v>0</v>
      </c>
      <c r="T54" s="33">
        <f>COUNTIFS(Tracker!G:G,Daily!C54, Tracker!J:J,"N",Tracker!E:E,3)</f>
        <v>0</v>
      </c>
      <c r="V54" s="48">
        <f t="shared" si="45"/>
        <v>56</v>
      </c>
      <c r="W54" s="26">
        <f t="shared" si="46"/>
        <v>52</v>
      </c>
      <c r="X54" s="62">
        <f t="shared" si="47"/>
        <v>0.9285714285714286</v>
      </c>
      <c r="Y54" s="74">
        <f>AVERAGEIFS(Tracker!I:I, Tracker!E:E, 1, Tracker!G:G, "&lt;="&amp;Daily!C54, Tracker!J:J, "Y")</f>
        <v>13.192307692307692</v>
      </c>
      <c r="Z54" s="77">
        <f>COUNTIFS(Tracker!E:E, 1, Tracker!G:G, "&lt;="&amp;Daily!C54, Tracker!L:L, "N") / V54</f>
        <v>0.7321428571428571</v>
      </c>
      <c r="AA54" s="48">
        <f t="shared" si="36"/>
        <v>63</v>
      </c>
      <c r="AB54" s="26">
        <f t="shared" si="37"/>
        <v>45</v>
      </c>
      <c r="AC54" s="62">
        <f t="shared" si="17"/>
        <v>0.7142857142857143</v>
      </c>
      <c r="AD54" s="74">
        <f>AVERAGEIFS(Tracker!I:I, Tracker!E:E, 2, Tracker!G:G, "&lt;="&amp;Daily!C54, Tracker!J:J, "Y")</f>
        <v>26</v>
      </c>
      <c r="AE54" s="77">
        <f>COUNTIFS(Tracker!E:E, 2, Tracker!G:G, "&lt;="&amp;Daily!C54, Tracker!L:L, "N") / AA54</f>
        <v>0.49206349206349204</v>
      </c>
      <c r="AF54" s="48">
        <f t="shared" si="38"/>
        <v>9</v>
      </c>
      <c r="AG54" s="26">
        <f t="shared" si="39"/>
        <v>6</v>
      </c>
      <c r="AH54" s="62">
        <f t="shared" si="12"/>
        <v>0.66666666666666663</v>
      </c>
      <c r="AI54" s="74">
        <f>IFERROR(AVERAGEIFS(Tracker!I:I, Tracker!E:E, 3, Tracker!G:G, "&lt;="&amp;Daily!C54, Tracker!J:J, "Y"), 0)</f>
        <v>43.666666666666664</v>
      </c>
      <c r="AJ54" s="77">
        <f>IFERROR(COUNTIFS(Tracker!E:E, 3, Tracker!G:G, "&lt;="&amp;Daily!C54, Tracker!L:L, "N") / AF54,  0)</f>
        <v>0.22222222222222221</v>
      </c>
      <c r="AK54" s="48">
        <f t="shared" si="34"/>
        <v>128</v>
      </c>
      <c r="AL54" s="26">
        <f t="shared" si="35"/>
        <v>103</v>
      </c>
      <c r="AM54" s="62">
        <f t="shared" si="13"/>
        <v>0.8046875</v>
      </c>
      <c r="AN54" s="74">
        <f>IFERROR(AVERAGEIFS(Tracker!I:I,  Tracker!G:G, "&lt;="&amp;Daily!C54, Tracker!J:J, "Y"), 0)</f>
        <v>20.563106796116504</v>
      </c>
      <c r="AO54" s="77">
        <f>IFERROR(COUNTIFS(Tracker!G:G, "&lt;="&amp;Daily!C54, Tracker!L:L, "N") / AK54,  0)</f>
        <v>0.578125</v>
      </c>
    </row>
    <row r="55" spans="1:41" ht="15.75" thickBot="1" x14ac:dyDescent="0.3">
      <c r="A55" s="120"/>
      <c r="B55" s="34">
        <f t="shared" si="48"/>
        <v>45270</v>
      </c>
      <c r="C55" s="35">
        <f t="shared" si="23"/>
        <v>45270</v>
      </c>
      <c r="D55" s="110" t="b">
        <f t="shared" ca="1" si="7"/>
        <v>1</v>
      </c>
      <c r="E55" s="52">
        <f t="shared" si="49"/>
        <v>0</v>
      </c>
      <c r="F55" s="39">
        <f>COUNTIFS(Tracker!G:G,Daily!C55, Tracker!J:J,"Y")</f>
        <v>0</v>
      </c>
      <c r="G55" s="36">
        <f>COUNTIFS(Tracker!G:G,Daily!C55, Tracker!J:J,"Y (with hints)")</f>
        <v>0</v>
      </c>
      <c r="H55" s="37">
        <f>COUNTIFS(Tracker!G:G,Daily!C55, Tracker!J:J,"N")</f>
        <v>0</v>
      </c>
      <c r="I55" s="55">
        <f t="shared" si="50"/>
        <v>0</v>
      </c>
      <c r="J55" s="36">
        <f>COUNTIFS(Tracker!G:G,Daily!C55, Tracker!J:J,"Y",Tracker!E:E,1)</f>
        <v>0</v>
      </c>
      <c r="K55" s="36">
        <f>COUNTIFS(Tracker!G:G,Daily!C55, Tracker!J:J,"Y (with hints)",Tracker!E:E,1)</f>
        <v>0</v>
      </c>
      <c r="L55" s="37">
        <f>COUNTIFS(Tracker!G:G,Daily!C55, Tracker!J:J,"N",Tracker!E:E,1)</f>
        <v>0</v>
      </c>
      <c r="M55" s="55">
        <f t="shared" si="51"/>
        <v>0</v>
      </c>
      <c r="N55" s="36">
        <f>COUNTIFS(Tracker!G:G,Daily!C55, Tracker!J:J,"Y",Tracker!E:E,2)</f>
        <v>0</v>
      </c>
      <c r="O55" s="36">
        <f>COUNTIFS(Tracker!G:G,Daily!C55, Tracker!J:J,"Y (with hints)",Tracker!E:E,2)</f>
        <v>0</v>
      </c>
      <c r="P55" s="37">
        <f>COUNTIFS(Tracker!G:G,Daily!C55, Tracker!J:J,"N",Tracker!E:E,2)</f>
        <v>0</v>
      </c>
      <c r="Q55" s="58">
        <f t="shared" si="52"/>
        <v>0</v>
      </c>
      <c r="R55" s="36">
        <f>COUNTIFS(Tracker!G:G,Daily!C55, Tracker!J:J,"Y",Tracker!E:E,3)</f>
        <v>0</v>
      </c>
      <c r="S55" s="36">
        <f>COUNTIFS(Tracker!G:G,Daily!C55, Tracker!J:J,"Y (with hints)",Tracker!E:E,3)</f>
        <v>0</v>
      </c>
      <c r="T55" s="37">
        <f>COUNTIFS(Tracker!G:G,Daily!C55, Tracker!J:J,"N",Tracker!E:E,3)</f>
        <v>0</v>
      </c>
      <c r="V55" s="39">
        <f t="shared" si="45"/>
        <v>56</v>
      </c>
      <c r="W55" s="36">
        <f t="shared" si="46"/>
        <v>52</v>
      </c>
      <c r="X55" s="64">
        <f t="shared" si="47"/>
        <v>0.9285714285714286</v>
      </c>
      <c r="Y55" s="78">
        <f>AVERAGEIFS(Tracker!I:I, Tracker!E:E, 1, Tracker!G:G, "&lt;="&amp;Daily!C55, Tracker!J:J, "Y")</f>
        <v>13.192307692307692</v>
      </c>
      <c r="Z55" s="79">
        <f>COUNTIFS(Tracker!E:E, 1, Tracker!G:G, "&lt;="&amp;Daily!C55, Tracker!L:L, "N") / V55</f>
        <v>0.7321428571428571</v>
      </c>
      <c r="AA55" s="39">
        <f t="shared" si="36"/>
        <v>63</v>
      </c>
      <c r="AB55" s="36">
        <f t="shared" si="37"/>
        <v>45</v>
      </c>
      <c r="AC55" s="64">
        <f t="shared" si="17"/>
        <v>0.7142857142857143</v>
      </c>
      <c r="AD55" s="78">
        <f>AVERAGEIFS(Tracker!I:I, Tracker!E:E, 2, Tracker!G:G, "&lt;="&amp;Daily!C55, Tracker!J:J, "Y")</f>
        <v>26</v>
      </c>
      <c r="AE55" s="79">
        <f>COUNTIFS(Tracker!E:E, 2, Tracker!G:G, "&lt;="&amp;Daily!C55, Tracker!L:L, "N") / AA55</f>
        <v>0.49206349206349204</v>
      </c>
      <c r="AF55" s="39">
        <f t="shared" si="38"/>
        <v>9</v>
      </c>
      <c r="AG55" s="36">
        <f t="shared" si="39"/>
        <v>6</v>
      </c>
      <c r="AH55" s="64">
        <f t="shared" si="12"/>
        <v>0.66666666666666663</v>
      </c>
      <c r="AI55" s="78">
        <f>IFERROR(AVERAGEIFS(Tracker!I:I, Tracker!E:E, 3, Tracker!G:G, "&lt;="&amp;Daily!C55, Tracker!J:J, "Y"), 0)</f>
        <v>43.666666666666664</v>
      </c>
      <c r="AJ55" s="79">
        <f>IFERROR(COUNTIFS(Tracker!E:E, 3, Tracker!G:G, "&lt;="&amp;Daily!C55, Tracker!L:L, "N") / AF55,  0)</f>
        <v>0.22222222222222221</v>
      </c>
      <c r="AK55" s="39">
        <f t="shared" si="34"/>
        <v>128</v>
      </c>
      <c r="AL55" s="36">
        <f t="shared" si="35"/>
        <v>103</v>
      </c>
      <c r="AM55" s="64">
        <f t="shared" si="13"/>
        <v>0.8046875</v>
      </c>
      <c r="AN55" s="78">
        <f>IFERROR(AVERAGEIFS(Tracker!I:I,  Tracker!G:G, "&lt;="&amp;Daily!C55, Tracker!J:J, "Y"), 0)</f>
        <v>20.563106796116504</v>
      </c>
      <c r="AO55" s="79">
        <f>IFERROR(COUNTIFS(Tracker!G:G, "&lt;="&amp;Daily!C55, Tracker!L:L, "N") / AK55,  0)</f>
        <v>0.578125</v>
      </c>
    </row>
    <row r="56" spans="1:41" x14ac:dyDescent="0.25">
      <c r="A56" s="118">
        <v>8</v>
      </c>
      <c r="B56" s="28">
        <f t="shared" si="48"/>
        <v>45271</v>
      </c>
      <c r="C56" s="85">
        <f t="shared" si="23"/>
        <v>45271</v>
      </c>
      <c r="D56" s="111" t="b">
        <f t="shared" ca="1" si="7"/>
        <v>1</v>
      </c>
      <c r="E56" s="50">
        <f t="shared" si="49"/>
        <v>4</v>
      </c>
      <c r="F56" s="38">
        <f>COUNTIFS(Tracker!G:G,Daily!C56, Tracker!J:J,"Y")</f>
        <v>4</v>
      </c>
      <c r="G56" s="30">
        <f>COUNTIFS(Tracker!G:G,Daily!C56, Tracker!J:J,"Y (with hints)")</f>
        <v>0</v>
      </c>
      <c r="H56" s="31">
        <f>COUNTIFS(Tracker!G:G,Daily!C56, Tracker!J:J,"N")</f>
        <v>0</v>
      </c>
      <c r="I56" s="53">
        <f t="shared" si="50"/>
        <v>0</v>
      </c>
      <c r="J56" s="30">
        <f>COUNTIFS(Tracker!G:G,Daily!C56, Tracker!J:J,"Y",Tracker!E:E,1)</f>
        <v>0</v>
      </c>
      <c r="K56" s="30">
        <f>COUNTIFS(Tracker!G:G,Daily!C56, Tracker!J:J,"Y (with hints)",Tracker!E:E,1)</f>
        <v>0</v>
      </c>
      <c r="L56" s="31">
        <f>COUNTIFS(Tracker!G:G,Daily!C56, Tracker!J:J,"N",Tracker!E:E,1)</f>
        <v>0</v>
      </c>
      <c r="M56" s="53">
        <f t="shared" si="51"/>
        <v>4</v>
      </c>
      <c r="N56" s="30">
        <f>COUNTIFS(Tracker!G:G,Daily!C56, Tracker!J:J,"Y",Tracker!E:E,2)</f>
        <v>4</v>
      </c>
      <c r="O56" s="30">
        <f>COUNTIFS(Tracker!G:G,Daily!C56, Tracker!J:J,"Y (with hints)",Tracker!E:E,2)</f>
        <v>0</v>
      </c>
      <c r="P56" s="31">
        <f>COUNTIFS(Tracker!G:G,Daily!C56, Tracker!J:J,"N",Tracker!E:E,2)</f>
        <v>0</v>
      </c>
      <c r="Q56" s="56">
        <f t="shared" si="52"/>
        <v>0</v>
      </c>
      <c r="R56" s="30">
        <f>COUNTIFS(Tracker!G:G,Daily!C56, Tracker!J:J,"Y",Tracker!E:E,3)</f>
        <v>0</v>
      </c>
      <c r="S56" s="30">
        <f>COUNTIFS(Tracker!G:G,Daily!C56, Tracker!J:J,"Y (with hints)",Tracker!E:E,3)</f>
        <v>0</v>
      </c>
      <c r="T56" s="31">
        <f>COUNTIFS(Tracker!G:G,Daily!C56, Tracker!J:J,"N",Tracker!E:E,3)</f>
        <v>0</v>
      </c>
      <c r="V56" s="38">
        <f t="shared" si="45"/>
        <v>56</v>
      </c>
      <c r="W56" s="30">
        <f t="shared" si="46"/>
        <v>52</v>
      </c>
      <c r="X56" s="73">
        <f t="shared" si="47"/>
        <v>0.9285714285714286</v>
      </c>
      <c r="Y56" s="75">
        <f>AVERAGEIFS(Tracker!I:I, Tracker!E:E, 1, Tracker!G:G, "&lt;="&amp;Daily!C56, Tracker!J:J, "Y")</f>
        <v>13.192307692307692</v>
      </c>
      <c r="Z56" s="76">
        <f>COUNTIFS(Tracker!E:E, 1, Tracker!G:G, "&lt;="&amp;Daily!C56, Tracker!L:L, "N") / V56</f>
        <v>0.7321428571428571</v>
      </c>
      <c r="AA56" s="38">
        <f t="shared" si="36"/>
        <v>67</v>
      </c>
      <c r="AB56" s="30">
        <f t="shared" si="37"/>
        <v>49</v>
      </c>
      <c r="AC56" s="73">
        <f t="shared" si="17"/>
        <v>0.73134328358208955</v>
      </c>
      <c r="AD56" s="75">
        <f>AVERAGEIFS(Tracker!I:I, Tracker!E:E, 2, Tracker!G:G, "&lt;="&amp;Daily!C56, Tracker!J:J, "Y")</f>
        <v>25.551020408163264</v>
      </c>
      <c r="AE56" s="76">
        <f>COUNTIFS(Tracker!E:E, 2, Tracker!G:G, "&lt;="&amp;Daily!C56, Tracker!L:L, "N") / AA56</f>
        <v>0.52238805970149249</v>
      </c>
      <c r="AF56" s="38">
        <f t="shared" si="38"/>
        <v>9</v>
      </c>
      <c r="AG56" s="30">
        <f t="shared" si="39"/>
        <v>6</v>
      </c>
      <c r="AH56" s="73">
        <f t="shared" si="12"/>
        <v>0.66666666666666663</v>
      </c>
      <c r="AI56" s="75">
        <f>IFERROR(AVERAGEIFS(Tracker!I:I, Tracker!E:E, 3, Tracker!G:G, "&lt;="&amp;Daily!C56, Tracker!J:J, "Y"), 0)</f>
        <v>43.666666666666664</v>
      </c>
      <c r="AJ56" s="76">
        <f>IFERROR(COUNTIFS(Tracker!E:E, 3, Tracker!G:G, "&lt;="&amp;Daily!C56, Tracker!L:L, "N") / AF56,  0)</f>
        <v>0.22222222222222221</v>
      </c>
      <c r="AK56" s="38">
        <f t="shared" si="34"/>
        <v>132</v>
      </c>
      <c r="AL56" s="30">
        <f t="shared" si="35"/>
        <v>107</v>
      </c>
      <c r="AM56" s="73">
        <f t="shared" si="13"/>
        <v>0.81060606060606055</v>
      </c>
      <c r="AN56" s="75">
        <f>IFERROR(AVERAGEIFS(Tracker!I:I,  Tracker!G:G, "&lt;="&amp;Daily!C56, Tracker!J:J, "Y"), 0)</f>
        <v>20.560747663551403</v>
      </c>
      <c r="AO56" s="76">
        <f>IFERROR(COUNTIFS(Tracker!G:G, "&lt;="&amp;Daily!C56, Tracker!L:L, "N") / AK56,  0)</f>
        <v>0.59090909090909094</v>
      </c>
    </row>
    <row r="57" spans="1:41" x14ac:dyDescent="0.25">
      <c r="A57" s="119"/>
      <c r="B57" s="32">
        <f t="shared" si="48"/>
        <v>45272</v>
      </c>
      <c r="C57" s="84">
        <f t="shared" si="23"/>
        <v>45272</v>
      </c>
      <c r="D57" s="112" t="b">
        <f t="shared" ca="1" si="7"/>
        <v>1</v>
      </c>
      <c r="E57" s="51">
        <f t="shared" si="49"/>
        <v>5</v>
      </c>
      <c r="F57" s="48">
        <f>COUNTIFS(Tracker!G:G,Daily!C57, Tracker!J:J,"Y")</f>
        <v>4</v>
      </c>
      <c r="G57" s="26">
        <f>COUNTIFS(Tracker!G:G,Daily!C57, Tracker!J:J,"Y (with hints)")</f>
        <v>0</v>
      </c>
      <c r="H57" s="33">
        <f>COUNTIFS(Tracker!G:G,Daily!C57, Tracker!J:J,"N")</f>
        <v>1</v>
      </c>
      <c r="I57" s="54">
        <f t="shared" si="50"/>
        <v>1</v>
      </c>
      <c r="J57" s="26">
        <f>COUNTIFS(Tracker!G:G,Daily!C57, Tracker!J:J,"Y",Tracker!E:E,1)</f>
        <v>1</v>
      </c>
      <c r="K57" s="26">
        <f>COUNTIFS(Tracker!G:G,Daily!C57, Tracker!J:J,"Y (with hints)",Tracker!E:E,1)</f>
        <v>0</v>
      </c>
      <c r="L57" s="33">
        <f>COUNTIFS(Tracker!G:G,Daily!C57, Tracker!J:J,"N",Tracker!E:E,1)</f>
        <v>0</v>
      </c>
      <c r="M57" s="54">
        <f t="shared" si="51"/>
        <v>3</v>
      </c>
      <c r="N57" s="26">
        <f>COUNTIFS(Tracker!G:G,Daily!C57, Tracker!J:J,"Y",Tracker!E:E,2)</f>
        <v>3</v>
      </c>
      <c r="O57" s="26">
        <f>COUNTIFS(Tracker!G:G,Daily!C57, Tracker!J:J,"Y (with hints)",Tracker!E:E,2)</f>
        <v>0</v>
      </c>
      <c r="P57" s="33">
        <f>COUNTIFS(Tracker!G:G,Daily!C57, Tracker!J:J,"N",Tracker!E:E,2)</f>
        <v>0</v>
      </c>
      <c r="Q57" s="57">
        <f t="shared" si="52"/>
        <v>1</v>
      </c>
      <c r="R57" s="26">
        <f>COUNTIFS(Tracker!G:G,Daily!C57, Tracker!J:J,"Y",Tracker!E:E,3)</f>
        <v>0</v>
      </c>
      <c r="S57" s="26">
        <f>COUNTIFS(Tracker!G:G,Daily!C57, Tracker!J:J,"Y (with hints)",Tracker!E:E,3)</f>
        <v>0</v>
      </c>
      <c r="T57" s="33">
        <f>COUNTIFS(Tracker!G:G,Daily!C57, Tracker!J:J,"N",Tracker!E:E,3)</f>
        <v>1</v>
      </c>
      <c r="V57" s="48">
        <f t="shared" si="45"/>
        <v>57</v>
      </c>
      <c r="W57" s="26">
        <f t="shared" si="46"/>
        <v>53</v>
      </c>
      <c r="X57" s="62">
        <f t="shared" si="47"/>
        <v>0.92982456140350878</v>
      </c>
      <c r="Y57" s="74">
        <f>AVERAGEIFS(Tracker!I:I, Tracker!E:E, 1, Tracker!G:G, "&lt;="&amp;Daily!C57, Tracker!J:J, "Y")</f>
        <v>13.132075471698114</v>
      </c>
      <c r="Z57" s="77">
        <f>COUNTIFS(Tracker!E:E, 1, Tracker!G:G, "&lt;="&amp;Daily!C57, Tracker!L:L, "N") / V57</f>
        <v>0.73684210526315785</v>
      </c>
      <c r="AA57" s="48">
        <f t="shared" si="36"/>
        <v>70</v>
      </c>
      <c r="AB57" s="26">
        <f t="shared" si="37"/>
        <v>52</v>
      </c>
      <c r="AC57" s="62">
        <f t="shared" si="17"/>
        <v>0.74285714285714288</v>
      </c>
      <c r="AD57" s="74">
        <f>AVERAGEIFS(Tracker!I:I, Tracker!E:E, 2, Tracker!G:G, "&lt;="&amp;Daily!C57, Tracker!J:J, "Y")</f>
        <v>25.403846153846153</v>
      </c>
      <c r="AE57" s="77">
        <f>COUNTIFS(Tracker!E:E, 2, Tracker!G:G, "&lt;="&amp;Daily!C57, Tracker!L:L, "N") / AA57</f>
        <v>0.52857142857142858</v>
      </c>
      <c r="AF57" s="48">
        <f t="shared" si="38"/>
        <v>10</v>
      </c>
      <c r="AG57" s="26">
        <f t="shared" si="39"/>
        <v>6</v>
      </c>
      <c r="AH57" s="62">
        <f t="shared" si="12"/>
        <v>0.6</v>
      </c>
      <c r="AI57" s="74">
        <f>IFERROR(AVERAGEIFS(Tracker!I:I, Tracker!E:E, 3, Tracker!G:G, "&lt;="&amp;Daily!C57, Tracker!J:J, "Y"), 0)</f>
        <v>43.666666666666664</v>
      </c>
      <c r="AJ57" s="77">
        <f>IFERROR(COUNTIFS(Tracker!E:E, 3, Tracker!G:G, "&lt;="&amp;Daily!C57, Tracker!L:L, "N") / AF57,  0)</f>
        <v>0.2</v>
      </c>
      <c r="AK57" s="48">
        <f t="shared" si="34"/>
        <v>137</v>
      </c>
      <c r="AL57" s="26">
        <f t="shared" si="35"/>
        <v>111</v>
      </c>
      <c r="AM57" s="62">
        <f t="shared" si="13"/>
        <v>0.81021897810218979</v>
      </c>
      <c r="AN57" s="74">
        <f>IFERROR(AVERAGEIFS(Tracker!I:I,  Tracker!G:G, "&lt;="&amp;Daily!C57, Tracker!J:J, "Y"), 0)</f>
        <v>20.531531531531531</v>
      </c>
      <c r="AO57" s="77">
        <f>IFERROR(COUNTIFS(Tracker!G:G, "&lt;="&amp;Daily!C57, Tracker!L:L, "N") / AK57,  0)</f>
        <v>0.59124087591240881</v>
      </c>
    </row>
    <row r="58" spans="1:41" x14ac:dyDescent="0.25">
      <c r="A58" s="119"/>
      <c r="B58" s="32">
        <f t="shared" si="48"/>
        <v>45273</v>
      </c>
      <c r="C58" s="27">
        <f t="shared" si="23"/>
        <v>45273</v>
      </c>
      <c r="D58" s="109" t="b">
        <f t="shared" ca="1" si="7"/>
        <v>1</v>
      </c>
      <c r="E58" s="51">
        <f t="shared" si="49"/>
        <v>2</v>
      </c>
      <c r="F58" s="48">
        <f>COUNTIFS(Tracker!G:G,Daily!C58, Tracker!J:J,"Y")</f>
        <v>2</v>
      </c>
      <c r="G58" s="26">
        <f>COUNTIFS(Tracker!G:G,Daily!C58, Tracker!J:J,"Y (with hints)")</f>
        <v>0</v>
      </c>
      <c r="H58" s="33">
        <f>COUNTIFS(Tracker!G:G,Daily!C58, Tracker!J:J,"N")</f>
        <v>0</v>
      </c>
      <c r="I58" s="54">
        <f t="shared" si="50"/>
        <v>0</v>
      </c>
      <c r="J58" s="26">
        <f>COUNTIFS(Tracker!G:G,Daily!C58, Tracker!J:J,"Y",Tracker!E:E,1)</f>
        <v>0</v>
      </c>
      <c r="K58" s="26">
        <f>COUNTIFS(Tracker!G:G,Daily!C58, Tracker!J:J,"Y (with hints)",Tracker!E:E,1)</f>
        <v>0</v>
      </c>
      <c r="L58" s="33">
        <f>COUNTIFS(Tracker!G:G,Daily!C58, Tracker!J:J,"N",Tracker!E:E,1)</f>
        <v>0</v>
      </c>
      <c r="M58" s="54">
        <f t="shared" si="51"/>
        <v>2</v>
      </c>
      <c r="N58" s="26">
        <f>COUNTIFS(Tracker!G:G,Daily!C58, Tracker!J:J,"Y",Tracker!E:E,2)</f>
        <v>2</v>
      </c>
      <c r="O58" s="26">
        <f>COUNTIFS(Tracker!G:G,Daily!C58, Tracker!J:J,"Y (with hints)",Tracker!E:E,2)</f>
        <v>0</v>
      </c>
      <c r="P58" s="33">
        <f>COUNTIFS(Tracker!G:G,Daily!C58, Tracker!J:J,"N",Tracker!E:E,2)</f>
        <v>0</v>
      </c>
      <c r="Q58" s="57">
        <f t="shared" si="52"/>
        <v>0</v>
      </c>
      <c r="R58" s="26">
        <f>COUNTIFS(Tracker!G:G,Daily!C58, Tracker!J:J,"Y",Tracker!E:E,3)</f>
        <v>0</v>
      </c>
      <c r="S58" s="26">
        <f>COUNTIFS(Tracker!G:G,Daily!C58, Tracker!J:J,"Y (with hints)",Tracker!E:E,3)</f>
        <v>0</v>
      </c>
      <c r="T58" s="33">
        <f>COUNTIFS(Tracker!G:G,Daily!C58, Tracker!J:J,"N",Tracker!E:E,3)</f>
        <v>0</v>
      </c>
      <c r="V58" s="48">
        <f t="shared" si="45"/>
        <v>57</v>
      </c>
      <c r="W58" s="26">
        <f t="shared" si="46"/>
        <v>53</v>
      </c>
      <c r="X58" s="62">
        <f t="shared" si="47"/>
        <v>0.92982456140350878</v>
      </c>
      <c r="Y58" s="74">
        <f>AVERAGEIFS(Tracker!I:I, Tracker!E:E, 1, Tracker!G:G, "&lt;="&amp;Daily!C58, Tracker!J:J, "Y")</f>
        <v>13.132075471698114</v>
      </c>
      <c r="Z58" s="77">
        <f>COUNTIFS(Tracker!E:E, 1, Tracker!G:G, "&lt;="&amp;Daily!C58, Tracker!L:L, "N") / V58</f>
        <v>0.73684210526315785</v>
      </c>
      <c r="AA58" s="48">
        <f t="shared" si="36"/>
        <v>72</v>
      </c>
      <c r="AB58" s="26">
        <f t="shared" si="37"/>
        <v>54</v>
      </c>
      <c r="AC58" s="62">
        <f t="shared" si="17"/>
        <v>0.75</v>
      </c>
      <c r="AD58" s="74">
        <f>AVERAGEIFS(Tracker!I:I, Tracker!E:E, 2, Tracker!G:G, "&lt;="&amp;Daily!C58, Tracker!J:J, "Y")</f>
        <v>26.37037037037037</v>
      </c>
      <c r="AE58" s="77">
        <f>COUNTIFS(Tracker!E:E, 2, Tracker!G:G, "&lt;="&amp;Daily!C58, Tracker!L:L, "N") / AA58</f>
        <v>0.51388888888888884</v>
      </c>
      <c r="AF58" s="48">
        <f t="shared" si="38"/>
        <v>10</v>
      </c>
      <c r="AG58" s="26">
        <f t="shared" si="39"/>
        <v>6</v>
      </c>
      <c r="AH58" s="62">
        <f t="shared" si="12"/>
        <v>0.6</v>
      </c>
      <c r="AI58" s="74">
        <f>IFERROR(AVERAGEIFS(Tracker!I:I, Tracker!E:E, 3, Tracker!G:G, "&lt;="&amp;Daily!C58, Tracker!J:J, "Y"), 0)</f>
        <v>43.666666666666664</v>
      </c>
      <c r="AJ58" s="77">
        <f>IFERROR(COUNTIFS(Tracker!E:E, 3, Tracker!G:G, "&lt;="&amp;Daily!C58, Tracker!L:L, "N") / AF58,  0)</f>
        <v>0.2</v>
      </c>
      <c r="AK58" s="48">
        <f t="shared" si="34"/>
        <v>139</v>
      </c>
      <c r="AL58" s="26">
        <f t="shared" si="35"/>
        <v>113</v>
      </c>
      <c r="AM58" s="62">
        <f t="shared" si="13"/>
        <v>0.81294964028776984</v>
      </c>
      <c r="AN58" s="74">
        <f>IFERROR(AVERAGEIFS(Tracker!I:I,  Tracker!G:G, "&lt;="&amp;Daily!C58, Tracker!J:J, "Y"), 0)</f>
        <v>21.079646017699115</v>
      </c>
      <c r="AO58" s="77">
        <f>IFERROR(COUNTIFS(Tracker!G:G, "&lt;="&amp;Daily!C58, Tracker!L:L, "N") / AK58,  0)</f>
        <v>0.58273381294964033</v>
      </c>
    </row>
    <row r="59" spans="1:41" x14ac:dyDescent="0.25">
      <c r="A59" s="119"/>
      <c r="B59" s="32">
        <f t="shared" si="48"/>
        <v>45274</v>
      </c>
      <c r="C59" s="27">
        <f t="shared" si="23"/>
        <v>45274</v>
      </c>
      <c r="D59" s="109" t="b">
        <f t="shared" ca="1" si="7"/>
        <v>1</v>
      </c>
      <c r="E59" s="51">
        <f t="shared" si="49"/>
        <v>3</v>
      </c>
      <c r="F59" s="48">
        <f>COUNTIFS(Tracker!G:G,Daily!C59, Tracker!J:J,"Y")</f>
        <v>2</v>
      </c>
      <c r="G59" s="26">
        <f>COUNTIFS(Tracker!G:G,Daily!C59, Tracker!J:J,"Y (with hints)")</f>
        <v>0</v>
      </c>
      <c r="H59" s="33">
        <f>COUNTIFS(Tracker!G:G,Daily!C59, Tracker!J:J,"N")</f>
        <v>1</v>
      </c>
      <c r="I59" s="54">
        <f t="shared" si="50"/>
        <v>0</v>
      </c>
      <c r="J59" s="26">
        <f>COUNTIFS(Tracker!G:G,Daily!C59, Tracker!J:J,"Y",Tracker!E:E,1)</f>
        <v>0</v>
      </c>
      <c r="K59" s="26">
        <f>COUNTIFS(Tracker!G:G,Daily!C59, Tracker!J:J,"Y (with hints)",Tracker!E:E,1)</f>
        <v>0</v>
      </c>
      <c r="L59" s="33">
        <f>COUNTIFS(Tracker!G:G,Daily!C59, Tracker!J:J,"N",Tracker!E:E,1)</f>
        <v>0</v>
      </c>
      <c r="M59" s="54">
        <f t="shared" si="51"/>
        <v>3</v>
      </c>
      <c r="N59" s="26">
        <f>COUNTIFS(Tracker!G:G,Daily!C59, Tracker!J:J,"Y",Tracker!E:E,2)</f>
        <v>2</v>
      </c>
      <c r="O59" s="26">
        <f>COUNTIFS(Tracker!G:G,Daily!C59, Tracker!J:J,"Y (with hints)",Tracker!E:E,2)</f>
        <v>0</v>
      </c>
      <c r="P59" s="33">
        <f>COUNTIFS(Tracker!G:G,Daily!C59, Tracker!J:J,"N",Tracker!E:E,2)</f>
        <v>1</v>
      </c>
      <c r="Q59" s="57">
        <f t="shared" si="52"/>
        <v>0</v>
      </c>
      <c r="R59" s="26">
        <f>COUNTIFS(Tracker!G:G,Daily!C59, Tracker!J:J,"Y",Tracker!E:E,3)</f>
        <v>0</v>
      </c>
      <c r="S59" s="26">
        <f>COUNTIFS(Tracker!G:G,Daily!C59, Tracker!J:J,"Y (with hints)",Tracker!E:E,3)</f>
        <v>0</v>
      </c>
      <c r="T59" s="33">
        <f>COUNTIFS(Tracker!G:G,Daily!C59, Tracker!J:J,"N",Tracker!E:E,3)</f>
        <v>0</v>
      </c>
      <c r="V59" s="48">
        <f t="shared" si="45"/>
        <v>57</v>
      </c>
      <c r="W59" s="26">
        <f t="shared" si="46"/>
        <v>53</v>
      </c>
      <c r="X59" s="62">
        <f t="shared" si="47"/>
        <v>0.92982456140350878</v>
      </c>
      <c r="Y59" s="74">
        <f>AVERAGEIFS(Tracker!I:I, Tracker!E:E, 1, Tracker!G:G, "&lt;="&amp;Daily!C59, Tracker!J:J, "Y")</f>
        <v>13.132075471698114</v>
      </c>
      <c r="Z59" s="77">
        <f>COUNTIFS(Tracker!E:E, 1, Tracker!G:G, "&lt;="&amp;Daily!C59, Tracker!L:L, "N") / V59</f>
        <v>0.73684210526315785</v>
      </c>
      <c r="AA59" s="48">
        <f t="shared" si="36"/>
        <v>75</v>
      </c>
      <c r="AB59" s="26">
        <f t="shared" si="37"/>
        <v>56</v>
      </c>
      <c r="AC59" s="62">
        <f t="shared" si="17"/>
        <v>0.7466666666666667</v>
      </c>
      <c r="AD59" s="74">
        <f>AVERAGEIFS(Tracker!I:I, Tracker!E:E, 2, Tracker!G:G, "&lt;="&amp;Daily!C59, Tracker!J:J, "Y")</f>
        <v>26.767857142857142</v>
      </c>
      <c r="AE59" s="77">
        <f>COUNTIFS(Tracker!E:E, 2, Tracker!G:G, "&lt;="&amp;Daily!C59, Tracker!L:L, "N") / AA59</f>
        <v>0.52</v>
      </c>
      <c r="AF59" s="48">
        <f t="shared" si="38"/>
        <v>10</v>
      </c>
      <c r="AG59" s="26">
        <f t="shared" si="39"/>
        <v>6</v>
      </c>
      <c r="AH59" s="62">
        <f t="shared" si="12"/>
        <v>0.6</v>
      </c>
      <c r="AI59" s="74">
        <f>IFERROR(AVERAGEIFS(Tracker!I:I, Tracker!E:E, 3, Tracker!G:G, "&lt;="&amp;Daily!C59, Tracker!J:J, "Y"), 0)</f>
        <v>43.666666666666664</v>
      </c>
      <c r="AJ59" s="77">
        <f>IFERROR(COUNTIFS(Tracker!E:E, 3, Tracker!G:G, "&lt;="&amp;Daily!C59, Tracker!L:L, "N") / AF59,  0)</f>
        <v>0.2</v>
      </c>
      <c r="AK59" s="48">
        <f t="shared" si="34"/>
        <v>142</v>
      </c>
      <c r="AL59" s="26">
        <f t="shared" si="35"/>
        <v>115</v>
      </c>
      <c r="AM59" s="62">
        <f t="shared" si="13"/>
        <v>0.8098591549295775</v>
      </c>
      <c r="AN59" s="74">
        <f>IFERROR(AVERAGEIFS(Tracker!I:I,  Tracker!G:G, "&lt;="&amp;Daily!C59, Tracker!J:J, "Y"), 0)</f>
        <v>21.365217391304348</v>
      </c>
      <c r="AO59" s="77">
        <f>IFERROR(COUNTIFS(Tracker!G:G, "&lt;="&amp;Daily!C59, Tracker!L:L, "N") / AK59,  0)</f>
        <v>0.58450704225352113</v>
      </c>
    </row>
    <row r="60" spans="1:41" x14ac:dyDescent="0.25">
      <c r="A60" s="119"/>
      <c r="B60" s="32">
        <f t="shared" si="48"/>
        <v>45275</v>
      </c>
      <c r="C60" s="27">
        <f t="shared" si="23"/>
        <v>45275</v>
      </c>
      <c r="D60" s="109" t="b">
        <f t="shared" ca="1" si="7"/>
        <v>1</v>
      </c>
      <c r="E60" s="51">
        <f t="shared" si="49"/>
        <v>4</v>
      </c>
      <c r="F60" s="48">
        <f>COUNTIFS(Tracker!G:G,Daily!C60, Tracker!J:J,"Y")</f>
        <v>2</v>
      </c>
      <c r="G60" s="26">
        <f>COUNTIFS(Tracker!G:G,Daily!C60, Tracker!J:J,"Y (with hints)")</f>
        <v>0</v>
      </c>
      <c r="H60" s="33">
        <f>COUNTIFS(Tracker!G:G,Daily!C60, Tracker!J:J,"N")</f>
        <v>2</v>
      </c>
      <c r="I60" s="54">
        <f t="shared" si="50"/>
        <v>0</v>
      </c>
      <c r="J60" s="26">
        <f>COUNTIFS(Tracker!G:G,Daily!C60, Tracker!J:J,"Y",Tracker!E:E,1)</f>
        <v>0</v>
      </c>
      <c r="K60" s="26">
        <f>COUNTIFS(Tracker!G:G,Daily!C60, Tracker!J:J,"Y (with hints)",Tracker!E:E,1)</f>
        <v>0</v>
      </c>
      <c r="L60" s="33">
        <f>COUNTIFS(Tracker!G:G,Daily!C60, Tracker!J:J,"N",Tracker!E:E,1)</f>
        <v>0</v>
      </c>
      <c r="M60" s="54">
        <f t="shared" si="51"/>
        <v>3</v>
      </c>
      <c r="N60" s="26">
        <f>COUNTIFS(Tracker!G:G,Daily!C60, Tracker!J:J,"Y",Tracker!E:E,2)</f>
        <v>2</v>
      </c>
      <c r="O60" s="26">
        <f>COUNTIFS(Tracker!G:G,Daily!C60, Tracker!J:J,"Y (with hints)",Tracker!E:E,2)</f>
        <v>0</v>
      </c>
      <c r="P60" s="33">
        <f>COUNTIFS(Tracker!G:G,Daily!C60, Tracker!J:J,"N",Tracker!E:E,2)</f>
        <v>1</v>
      </c>
      <c r="Q60" s="57">
        <f t="shared" si="52"/>
        <v>1</v>
      </c>
      <c r="R60" s="26">
        <f>COUNTIFS(Tracker!G:G,Daily!C60, Tracker!J:J,"Y",Tracker!E:E,3)</f>
        <v>0</v>
      </c>
      <c r="S60" s="26">
        <f>COUNTIFS(Tracker!G:G,Daily!C60, Tracker!J:J,"Y (with hints)",Tracker!E:E,3)</f>
        <v>0</v>
      </c>
      <c r="T60" s="33">
        <f>COUNTIFS(Tracker!G:G,Daily!C60, Tracker!J:J,"N",Tracker!E:E,3)</f>
        <v>1</v>
      </c>
      <c r="V60" s="48">
        <f t="shared" si="45"/>
        <v>57</v>
      </c>
      <c r="W60" s="26">
        <f t="shared" si="46"/>
        <v>53</v>
      </c>
      <c r="X60" s="62">
        <f t="shared" si="47"/>
        <v>0.92982456140350878</v>
      </c>
      <c r="Y60" s="74">
        <f>AVERAGEIFS(Tracker!I:I, Tracker!E:E, 1, Tracker!G:G, "&lt;="&amp;Daily!C60, Tracker!J:J, "Y")</f>
        <v>13.132075471698114</v>
      </c>
      <c r="Z60" s="77">
        <f>COUNTIFS(Tracker!E:E, 1, Tracker!G:G, "&lt;="&amp;Daily!C60, Tracker!L:L, "N") / V60</f>
        <v>0.73684210526315785</v>
      </c>
      <c r="AA60" s="48">
        <f t="shared" si="36"/>
        <v>78</v>
      </c>
      <c r="AB60" s="26">
        <f t="shared" si="37"/>
        <v>58</v>
      </c>
      <c r="AC60" s="62">
        <f t="shared" si="17"/>
        <v>0.74358974358974361</v>
      </c>
      <c r="AD60" s="74">
        <f>AVERAGEIFS(Tracker!I:I, Tracker!E:E, 2, Tracker!G:G, "&lt;="&amp;Daily!C60, Tracker!J:J, "Y")</f>
        <v>26.758620689655171</v>
      </c>
      <c r="AE60" s="77">
        <f>COUNTIFS(Tracker!E:E, 2, Tracker!G:G, "&lt;="&amp;Daily!C60, Tracker!L:L, "N") / AA60</f>
        <v>0.52564102564102566</v>
      </c>
      <c r="AF60" s="48">
        <f t="shared" si="38"/>
        <v>11</v>
      </c>
      <c r="AG60" s="26">
        <f t="shared" si="39"/>
        <v>6</v>
      </c>
      <c r="AH60" s="62">
        <f t="shared" si="12"/>
        <v>0.54545454545454541</v>
      </c>
      <c r="AI60" s="74">
        <f>IFERROR(AVERAGEIFS(Tracker!I:I, Tracker!E:E, 3, Tracker!G:G, "&lt;="&amp;Daily!C60, Tracker!J:J, "Y"), 0)</f>
        <v>43.666666666666664</v>
      </c>
      <c r="AJ60" s="77">
        <f>IFERROR(COUNTIFS(Tracker!E:E, 3, Tracker!G:G, "&lt;="&amp;Daily!C60, Tracker!L:L, "N") / AF60,  0)</f>
        <v>0.18181818181818182</v>
      </c>
      <c r="AK60" s="48">
        <f t="shared" si="34"/>
        <v>146</v>
      </c>
      <c r="AL60" s="26">
        <f t="shared" si="35"/>
        <v>117</v>
      </c>
      <c r="AM60" s="62">
        <f t="shared" si="13"/>
        <v>0.80136986301369861</v>
      </c>
      <c r="AN60" s="74">
        <f>IFERROR(AVERAGEIFS(Tracker!I:I,  Tracker!G:G, "&lt;="&amp;Daily!C60, Tracker!J:J, "Y"), 0)</f>
        <v>21.452991452991451</v>
      </c>
      <c r="AO60" s="77">
        <f>IFERROR(COUNTIFS(Tracker!G:G, "&lt;="&amp;Daily!C60, Tracker!L:L, "N") / AK60,  0)</f>
        <v>0.5821917808219178</v>
      </c>
    </row>
    <row r="61" spans="1:41" x14ac:dyDescent="0.25">
      <c r="A61" s="119"/>
      <c r="B61" s="32">
        <f t="shared" si="48"/>
        <v>45276</v>
      </c>
      <c r="C61" s="27">
        <f t="shared" si="23"/>
        <v>45276</v>
      </c>
      <c r="D61" s="109" t="b">
        <f t="shared" ca="1" si="7"/>
        <v>1</v>
      </c>
      <c r="E61" s="51">
        <f t="shared" si="49"/>
        <v>0</v>
      </c>
      <c r="F61" s="48">
        <f>COUNTIFS(Tracker!G:G,Daily!C61, Tracker!J:J,"Y")</f>
        <v>0</v>
      </c>
      <c r="G61" s="26">
        <f>COUNTIFS(Tracker!G:G,Daily!C61, Tracker!J:J,"Y (with hints)")</f>
        <v>0</v>
      </c>
      <c r="H61" s="33">
        <f>COUNTIFS(Tracker!G:G,Daily!C61, Tracker!J:J,"N")</f>
        <v>0</v>
      </c>
      <c r="I61" s="54">
        <f t="shared" si="50"/>
        <v>0</v>
      </c>
      <c r="J61" s="26">
        <f>COUNTIFS(Tracker!G:G,Daily!C61, Tracker!J:J,"Y",Tracker!E:E,1)</f>
        <v>0</v>
      </c>
      <c r="K61" s="26">
        <f>COUNTIFS(Tracker!G:G,Daily!C61, Tracker!J:J,"Y (with hints)",Tracker!E:E,1)</f>
        <v>0</v>
      </c>
      <c r="L61" s="33">
        <f>COUNTIFS(Tracker!G:G,Daily!C61, Tracker!J:J,"N",Tracker!E:E,1)</f>
        <v>0</v>
      </c>
      <c r="M61" s="54">
        <f t="shared" si="51"/>
        <v>0</v>
      </c>
      <c r="N61" s="26">
        <f>COUNTIFS(Tracker!G:G,Daily!C61, Tracker!J:J,"Y",Tracker!E:E,2)</f>
        <v>0</v>
      </c>
      <c r="O61" s="26">
        <f>COUNTIFS(Tracker!G:G,Daily!C61, Tracker!J:J,"Y (with hints)",Tracker!E:E,2)</f>
        <v>0</v>
      </c>
      <c r="P61" s="33">
        <f>COUNTIFS(Tracker!G:G,Daily!C61, Tracker!J:J,"N",Tracker!E:E,2)</f>
        <v>0</v>
      </c>
      <c r="Q61" s="57">
        <f t="shared" si="52"/>
        <v>0</v>
      </c>
      <c r="R61" s="26">
        <f>COUNTIFS(Tracker!G:G,Daily!C61, Tracker!J:J,"Y",Tracker!E:E,3)</f>
        <v>0</v>
      </c>
      <c r="S61" s="26">
        <f>COUNTIFS(Tracker!G:G,Daily!C61, Tracker!J:J,"Y (with hints)",Tracker!E:E,3)</f>
        <v>0</v>
      </c>
      <c r="T61" s="33">
        <f>COUNTIFS(Tracker!G:G,Daily!C61, Tracker!J:J,"N",Tracker!E:E,3)</f>
        <v>0</v>
      </c>
      <c r="V61" s="48">
        <f t="shared" si="45"/>
        <v>57</v>
      </c>
      <c r="W61" s="26">
        <f t="shared" si="46"/>
        <v>53</v>
      </c>
      <c r="X61" s="62">
        <f t="shared" si="47"/>
        <v>0.92982456140350878</v>
      </c>
      <c r="Y61" s="74">
        <f>AVERAGEIFS(Tracker!I:I, Tracker!E:E, 1, Tracker!G:G, "&lt;="&amp;Daily!C61, Tracker!J:J, "Y")</f>
        <v>13.132075471698114</v>
      </c>
      <c r="Z61" s="77">
        <f>COUNTIFS(Tracker!E:E, 1, Tracker!G:G, "&lt;="&amp;Daily!C61, Tracker!L:L, "N") / V61</f>
        <v>0.73684210526315785</v>
      </c>
      <c r="AA61" s="48">
        <f t="shared" si="36"/>
        <v>78</v>
      </c>
      <c r="AB61" s="26">
        <f t="shared" si="37"/>
        <v>58</v>
      </c>
      <c r="AC61" s="62">
        <f t="shared" si="17"/>
        <v>0.74358974358974361</v>
      </c>
      <c r="AD61" s="74">
        <f>AVERAGEIFS(Tracker!I:I, Tracker!E:E, 2, Tracker!G:G, "&lt;="&amp;Daily!C61, Tracker!J:J, "Y")</f>
        <v>26.758620689655171</v>
      </c>
      <c r="AE61" s="77">
        <f>COUNTIFS(Tracker!E:E, 2, Tracker!G:G, "&lt;="&amp;Daily!C61, Tracker!L:L, "N") / AA61</f>
        <v>0.52564102564102566</v>
      </c>
      <c r="AF61" s="48">
        <f t="shared" si="38"/>
        <v>11</v>
      </c>
      <c r="AG61" s="26">
        <f t="shared" si="39"/>
        <v>6</v>
      </c>
      <c r="AH61" s="62">
        <f t="shared" si="12"/>
        <v>0.54545454545454541</v>
      </c>
      <c r="AI61" s="74">
        <f>IFERROR(AVERAGEIFS(Tracker!I:I, Tracker!E:E, 3, Tracker!G:G, "&lt;="&amp;Daily!C61, Tracker!J:J, "Y"), 0)</f>
        <v>43.666666666666664</v>
      </c>
      <c r="AJ61" s="77">
        <f>IFERROR(COUNTIFS(Tracker!E:E, 3, Tracker!G:G, "&lt;="&amp;Daily!C61, Tracker!L:L, "N") / AF61,  0)</f>
        <v>0.18181818181818182</v>
      </c>
      <c r="AK61" s="48">
        <f t="shared" si="34"/>
        <v>146</v>
      </c>
      <c r="AL61" s="26">
        <f t="shared" si="35"/>
        <v>117</v>
      </c>
      <c r="AM61" s="62">
        <f t="shared" si="13"/>
        <v>0.80136986301369861</v>
      </c>
      <c r="AN61" s="74">
        <f>IFERROR(AVERAGEIFS(Tracker!I:I,  Tracker!G:G, "&lt;="&amp;Daily!C61, Tracker!J:J, "Y"), 0)</f>
        <v>21.452991452991451</v>
      </c>
      <c r="AO61" s="77">
        <f>IFERROR(COUNTIFS(Tracker!G:G, "&lt;="&amp;Daily!C61, Tracker!L:L, "N") / AK61,  0)</f>
        <v>0.5821917808219178</v>
      </c>
    </row>
    <row r="62" spans="1:41" ht="15.75" thickBot="1" x14ac:dyDescent="0.3">
      <c r="A62" s="120"/>
      <c r="B62" s="34">
        <f t="shared" si="48"/>
        <v>45277</v>
      </c>
      <c r="C62" s="35">
        <f t="shared" si="23"/>
        <v>45277</v>
      </c>
      <c r="D62" s="110" t="b">
        <f t="shared" ca="1" si="7"/>
        <v>1</v>
      </c>
      <c r="E62" s="52">
        <f t="shared" si="49"/>
        <v>0</v>
      </c>
      <c r="F62" s="39">
        <f>COUNTIFS(Tracker!G:G,Daily!C62, Tracker!J:J,"Y")</f>
        <v>0</v>
      </c>
      <c r="G62" s="36">
        <f>COUNTIFS(Tracker!G:G,Daily!C62, Tracker!J:J,"Y (with hints)")</f>
        <v>0</v>
      </c>
      <c r="H62" s="37">
        <f>COUNTIFS(Tracker!G:G,Daily!C62, Tracker!J:J,"N")</f>
        <v>0</v>
      </c>
      <c r="I62" s="55">
        <f t="shared" si="50"/>
        <v>0</v>
      </c>
      <c r="J62" s="36">
        <f>COUNTIFS(Tracker!G:G,Daily!C62, Tracker!J:J,"Y",Tracker!E:E,1)</f>
        <v>0</v>
      </c>
      <c r="K62" s="36">
        <f>COUNTIFS(Tracker!G:G,Daily!C62, Tracker!J:J,"Y (with hints)",Tracker!E:E,1)</f>
        <v>0</v>
      </c>
      <c r="L62" s="37">
        <f>COUNTIFS(Tracker!G:G,Daily!C62, Tracker!J:J,"N",Tracker!E:E,1)</f>
        <v>0</v>
      </c>
      <c r="M62" s="55">
        <f t="shared" si="51"/>
        <v>0</v>
      </c>
      <c r="N62" s="36">
        <f>COUNTIFS(Tracker!G:G,Daily!C62, Tracker!J:J,"Y",Tracker!E:E,2)</f>
        <v>0</v>
      </c>
      <c r="O62" s="36">
        <f>COUNTIFS(Tracker!G:G,Daily!C62, Tracker!J:J,"Y (with hints)",Tracker!E:E,2)</f>
        <v>0</v>
      </c>
      <c r="P62" s="37">
        <f>COUNTIFS(Tracker!G:G,Daily!C62, Tracker!J:J,"N",Tracker!E:E,2)</f>
        <v>0</v>
      </c>
      <c r="Q62" s="58">
        <f t="shared" si="52"/>
        <v>0</v>
      </c>
      <c r="R62" s="36">
        <f>COUNTIFS(Tracker!G:G,Daily!C62, Tracker!J:J,"Y",Tracker!E:E,3)</f>
        <v>0</v>
      </c>
      <c r="S62" s="36">
        <f>COUNTIFS(Tracker!G:G,Daily!C62, Tracker!J:J,"Y (with hints)",Tracker!E:E,3)</f>
        <v>0</v>
      </c>
      <c r="T62" s="37">
        <f>COUNTIFS(Tracker!G:G,Daily!C62, Tracker!J:J,"N",Tracker!E:E,3)</f>
        <v>0</v>
      </c>
      <c r="V62" s="39">
        <f t="shared" si="45"/>
        <v>57</v>
      </c>
      <c r="W62" s="36">
        <f t="shared" si="46"/>
        <v>53</v>
      </c>
      <c r="X62" s="64">
        <f t="shared" si="47"/>
        <v>0.92982456140350878</v>
      </c>
      <c r="Y62" s="78">
        <f>AVERAGEIFS(Tracker!I:I, Tracker!E:E, 1, Tracker!G:G, "&lt;="&amp;Daily!C62, Tracker!J:J, "Y")</f>
        <v>13.132075471698114</v>
      </c>
      <c r="Z62" s="79">
        <f>COUNTIFS(Tracker!E:E, 1, Tracker!G:G, "&lt;="&amp;Daily!C62, Tracker!L:L, "N") / V62</f>
        <v>0.73684210526315785</v>
      </c>
      <c r="AA62" s="39">
        <f t="shared" si="36"/>
        <v>78</v>
      </c>
      <c r="AB62" s="36">
        <f t="shared" si="37"/>
        <v>58</v>
      </c>
      <c r="AC62" s="64">
        <f t="shared" si="17"/>
        <v>0.74358974358974361</v>
      </c>
      <c r="AD62" s="78">
        <f>AVERAGEIFS(Tracker!I:I, Tracker!E:E, 2, Tracker!G:G, "&lt;="&amp;Daily!C62, Tracker!J:J, "Y")</f>
        <v>26.758620689655171</v>
      </c>
      <c r="AE62" s="79">
        <f>COUNTIFS(Tracker!E:E, 2, Tracker!G:G, "&lt;="&amp;Daily!C62, Tracker!L:L, "N") / AA62</f>
        <v>0.52564102564102566</v>
      </c>
      <c r="AF62" s="39">
        <f t="shared" si="38"/>
        <v>11</v>
      </c>
      <c r="AG62" s="36">
        <f t="shared" si="39"/>
        <v>6</v>
      </c>
      <c r="AH62" s="64">
        <f t="shared" si="12"/>
        <v>0.54545454545454541</v>
      </c>
      <c r="AI62" s="78">
        <f>IFERROR(AVERAGEIFS(Tracker!I:I, Tracker!E:E, 3, Tracker!G:G, "&lt;="&amp;Daily!C62, Tracker!J:J, "Y"), 0)</f>
        <v>43.666666666666664</v>
      </c>
      <c r="AJ62" s="79">
        <f>IFERROR(COUNTIFS(Tracker!E:E, 3, Tracker!G:G, "&lt;="&amp;Daily!C62, Tracker!L:L, "N") / AF62,  0)</f>
        <v>0.18181818181818182</v>
      </c>
      <c r="AK62" s="39">
        <f t="shared" si="34"/>
        <v>146</v>
      </c>
      <c r="AL62" s="36">
        <f t="shared" si="35"/>
        <v>117</v>
      </c>
      <c r="AM62" s="64">
        <f t="shared" si="13"/>
        <v>0.80136986301369861</v>
      </c>
      <c r="AN62" s="78">
        <f>IFERROR(AVERAGEIFS(Tracker!I:I,  Tracker!G:G, "&lt;="&amp;Daily!C62, Tracker!J:J, "Y"), 0)</f>
        <v>21.452991452991451</v>
      </c>
      <c r="AO62" s="79">
        <f>IFERROR(COUNTIFS(Tracker!G:G, "&lt;="&amp;Daily!C62, Tracker!L:L, "N") / AK62,  0)</f>
        <v>0.5821917808219178</v>
      </c>
    </row>
    <row r="63" spans="1:41" x14ac:dyDescent="0.25">
      <c r="A63" s="118">
        <v>9</v>
      </c>
      <c r="B63" s="28">
        <f t="shared" si="48"/>
        <v>45278</v>
      </c>
      <c r="C63" s="29">
        <f t="shared" si="23"/>
        <v>45278</v>
      </c>
      <c r="D63" s="108" t="b">
        <f t="shared" ca="1" si="7"/>
        <v>1</v>
      </c>
      <c r="E63" s="50">
        <f t="shared" si="49"/>
        <v>8</v>
      </c>
      <c r="F63" s="38">
        <f>COUNTIFS(Tracker!G:G,Daily!C63, Tracker!J:J,"Y")</f>
        <v>7</v>
      </c>
      <c r="G63" s="30">
        <f>COUNTIFS(Tracker!G:G,Daily!C63, Tracker!J:J,"Y (with hints)")</f>
        <v>0</v>
      </c>
      <c r="H63" s="31">
        <f>COUNTIFS(Tracker!G:G,Daily!C63, Tracker!J:J,"N")</f>
        <v>1</v>
      </c>
      <c r="I63" s="53">
        <f t="shared" si="50"/>
        <v>2</v>
      </c>
      <c r="J63" s="30">
        <f>COUNTIFS(Tracker!G:G,Daily!C63, Tracker!J:J,"Y",Tracker!E:E,1)</f>
        <v>2</v>
      </c>
      <c r="K63" s="30">
        <f>COUNTIFS(Tracker!G:G,Daily!C63, Tracker!J:J,"Y (with hints)",Tracker!E:E,1)</f>
        <v>0</v>
      </c>
      <c r="L63" s="31">
        <f>COUNTIFS(Tracker!G:G,Daily!C63, Tracker!J:J,"N",Tracker!E:E,1)</f>
        <v>0</v>
      </c>
      <c r="M63" s="53">
        <f t="shared" si="51"/>
        <v>5</v>
      </c>
      <c r="N63" s="30">
        <f>COUNTIFS(Tracker!G:G,Daily!C63, Tracker!J:J,"Y",Tracker!E:E,2)</f>
        <v>4</v>
      </c>
      <c r="O63" s="30">
        <f>COUNTIFS(Tracker!G:G,Daily!C63, Tracker!J:J,"Y (with hints)",Tracker!E:E,2)</f>
        <v>0</v>
      </c>
      <c r="P63" s="31">
        <f>COUNTIFS(Tracker!G:G,Daily!C63, Tracker!J:J,"N",Tracker!E:E,2)</f>
        <v>1</v>
      </c>
      <c r="Q63" s="56">
        <f t="shared" si="52"/>
        <v>1</v>
      </c>
      <c r="R63" s="30">
        <f>COUNTIFS(Tracker!G:G,Daily!C63, Tracker!J:J,"Y",Tracker!E:E,3)</f>
        <v>1</v>
      </c>
      <c r="S63" s="30">
        <f>COUNTIFS(Tracker!G:G,Daily!C63, Tracker!J:J,"Y (with hints)",Tracker!E:E,3)</f>
        <v>0</v>
      </c>
      <c r="T63" s="31">
        <f>COUNTIFS(Tracker!G:G,Daily!C63, Tracker!J:J,"N",Tracker!E:E,3)</f>
        <v>0</v>
      </c>
      <c r="V63" s="38">
        <f t="shared" si="45"/>
        <v>59</v>
      </c>
      <c r="W63" s="30">
        <f t="shared" si="46"/>
        <v>55</v>
      </c>
      <c r="X63" s="73">
        <f t="shared" si="47"/>
        <v>0.93220338983050843</v>
      </c>
      <c r="Y63" s="75">
        <f>AVERAGEIFS(Tracker!I:I, Tracker!E:E, 1, Tracker!G:G, "&lt;="&amp;Daily!C63, Tracker!J:J, "Y")</f>
        <v>13.072727272727272</v>
      </c>
      <c r="Z63" s="76">
        <f>COUNTIFS(Tracker!E:E, 1, Tracker!G:G, "&lt;="&amp;Daily!C63, Tracker!L:L, "N") / V63</f>
        <v>0.74576271186440679</v>
      </c>
      <c r="AA63" s="38">
        <f t="shared" si="36"/>
        <v>83</v>
      </c>
      <c r="AB63" s="30">
        <f t="shared" si="37"/>
        <v>62</v>
      </c>
      <c r="AC63" s="73">
        <f t="shared" si="17"/>
        <v>0.74698795180722888</v>
      </c>
      <c r="AD63" s="75">
        <f>AVERAGEIFS(Tracker!I:I, Tracker!E:E, 2, Tracker!G:G, "&lt;="&amp;Daily!C63, Tracker!J:J, "Y")</f>
        <v>25.887096774193548</v>
      </c>
      <c r="AE63" s="76">
        <f>COUNTIFS(Tracker!E:E, 2, Tracker!G:G, "&lt;="&amp;Daily!C63, Tracker!L:L, "N") / AA63</f>
        <v>0.54216867469879515</v>
      </c>
      <c r="AF63" s="38">
        <f t="shared" si="38"/>
        <v>12</v>
      </c>
      <c r="AG63" s="30">
        <f t="shared" si="39"/>
        <v>7</v>
      </c>
      <c r="AH63" s="73">
        <f t="shared" si="12"/>
        <v>0.58333333333333337</v>
      </c>
      <c r="AI63" s="75">
        <f>IFERROR(AVERAGEIFS(Tracker!I:I, Tracker!E:E, 3, Tracker!G:G, "&lt;="&amp;Daily!C63, Tracker!J:J, "Y"), 0)</f>
        <v>48</v>
      </c>
      <c r="AJ63" s="76">
        <f>IFERROR(COUNTIFS(Tracker!E:E, 3, Tracker!G:G, "&lt;="&amp;Daily!C63, Tracker!L:L, "N") / AF63,  0)</f>
        <v>0.16666666666666666</v>
      </c>
      <c r="AK63" s="38">
        <f t="shared" si="34"/>
        <v>154</v>
      </c>
      <c r="AL63" s="30">
        <f t="shared" si="35"/>
        <v>124</v>
      </c>
      <c r="AM63" s="73">
        <f t="shared" si="13"/>
        <v>0.80519480519480524</v>
      </c>
      <c r="AN63" s="75">
        <f>IFERROR(AVERAGEIFS(Tracker!I:I,  Tracker!G:G, "&lt;="&amp;Daily!C63, Tracker!J:J, "Y"), 0)</f>
        <v>21.451612903225808</v>
      </c>
      <c r="AO63" s="76">
        <f>IFERROR(COUNTIFS(Tracker!G:G, "&lt;="&amp;Daily!C63, Tracker!L:L, "N") / AK63,  0)</f>
        <v>0.59090909090909094</v>
      </c>
    </row>
    <row r="64" spans="1:41" x14ac:dyDescent="0.25">
      <c r="A64" s="119"/>
      <c r="B64" s="32">
        <f t="shared" si="48"/>
        <v>45279</v>
      </c>
      <c r="C64" s="27">
        <f t="shared" si="23"/>
        <v>45279</v>
      </c>
      <c r="D64" s="109" t="b">
        <f t="shared" ca="1" si="7"/>
        <v>1</v>
      </c>
      <c r="E64" s="51">
        <f t="shared" si="49"/>
        <v>7</v>
      </c>
      <c r="F64" s="48">
        <f>COUNTIFS(Tracker!G:G,Daily!C64, Tracker!J:J,"Y")</f>
        <v>6</v>
      </c>
      <c r="G64" s="26">
        <f>COUNTIFS(Tracker!G:G,Daily!C64, Tracker!J:J,"Y (with hints)")</f>
        <v>0</v>
      </c>
      <c r="H64" s="33">
        <f>COUNTIFS(Tracker!G:G,Daily!C64, Tracker!J:J,"N")</f>
        <v>1</v>
      </c>
      <c r="I64" s="54">
        <f t="shared" si="50"/>
        <v>1</v>
      </c>
      <c r="J64" s="26">
        <f>COUNTIFS(Tracker!G:G,Daily!C64, Tracker!J:J,"Y",Tracker!E:E,1)</f>
        <v>1</v>
      </c>
      <c r="K64" s="26">
        <f>COUNTIFS(Tracker!G:G,Daily!C64, Tracker!J:J,"Y (with hints)",Tracker!E:E,1)</f>
        <v>0</v>
      </c>
      <c r="L64" s="33">
        <f>COUNTIFS(Tracker!G:G,Daily!C64, Tracker!J:J,"N",Tracker!E:E,1)</f>
        <v>0</v>
      </c>
      <c r="M64" s="54">
        <f t="shared" si="51"/>
        <v>3</v>
      </c>
      <c r="N64" s="26">
        <f>COUNTIFS(Tracker!G:G,Daily!C64, Tracker!J:J,"Y",Tracker!E:E,2)</f>
        <v>3</v>
      </c>
      <c r="O64" s="26">
        <f>COUNTIFS(Tracker!G:G,Daily!C64, Tracker!J:J,"Y (with hints)",Tracker!E:E,2)</f>
        <v>0</v>
      </c>
      <c r="P64" s="33">
        <f>COUNTIFS(Tracker!G:G,Daily!C64, Tracker!J:J,"N",Tracker!E:E,2)</f>
        <v>0</v>
      </c>
      <c r="Q64" s="57">
        <f t="shared" si="52"/>
        <v>3</v>
      </c>
      <c r="R64" s="26">
        <f>COUNTIFS(Tracker!G:G,Daily!C64, Tracker!J:J,"Y",Tracker!E:E,3)</f>
        <v>2</v>
      </c>
      <c r="S64" s="26">
        <f>COUNTIFS(Tracker!G:G,Daily!C64, Tracker!J:J,"Y (with hints)",Tracker!E:E,3)</f>
        <v>0</v>
      </c>
      <c r="T64" s="33">
        <f>COUNTIFS(Tracker!G:G,Daily!C64, Tracker!J:J,"N",Tracker!E:E,3)</f>
        <v>1</v>
      </c>
      <c r="V64" s="48">
        <f t="shared" si="45"/>
        <v>60</v>
      </c>
      <c r="W64" s="26">
        <f t="shared" si="46"/>
        <v>56</v>
      </c>
      <c r="X64" s="62">
        <f t="shared" si="47"/>
        <v>0.93333333333333335</v>
      </c>
      <c r="Y64" s="74">
        <f>AVERAGEIFS(Tracker!I:I, Tracker!E:E, 1, Tracker!G:G, "&lt;="&amp;Daily!C64, Tracker!J:J, "Y")</f>
        <v>13.035714285714286</v>
      </c>
      <c r="Z64" s="77">
        <f>COUNTIFS(Tracker!E:E, 1, Tracker!G:G, "&lt;="&amp;Daily!C64, Tracker!L:L, "N") / V64</f>
        <v>0.75</v>
      </c>
      <c r="AA64" s="48">
        <f t="shared" si="36"/>
        <v>86</v>
      </c>
      <c r="AB64" s="26">
        <f t="shared" si="37"/>
        <v>65</v>
      </c>
      <c r="AC64" s="62">
        <f t="shared" si="17"/>
        <v>0.7558139534883721</v>
      </c>
      <c r="AD64" s="74">
        <f>AVERAGEIFS(Tracker!I:I, Tracker!E:E, 2, Tracker!G:G, "&lt;="&amp;Daily!C64, Tracker!J:J, "Y")</f>
        <v>25.246153846153845</v>
      </c>
      <c r="AE64" s="77">
        <f>COUNTIFS(Tracker!E:E, 2, Tracker!G:G, "&lt;="&amp;Daily!C64, Tracker!L:L, "N") / AA64</f>
        <v>0.55813953488372092</v>
      </c>
      <c r="AF64" s="48">
        <f t="shared" si="38"/>
        <v>15</v>
      </c>
      <c r="AG64" s="26">
        <f t="shared" si="39"/>
        <v>9</v>
      </c>
      <c r="AH64" s="62">
        <f t="shared" si="12"/>
        <v>0.6</v>
      </c>
      <c r="AI64" s="74">
        <f>IFERROR(AVERAGEIFS(Tracker!I:I, Tracker!E:E, 3, Tracker!G:G, "&lt;="&amp;Daily!C64, Tracker!J:J, "Y"), 0)</f>
        <v>41.888888888888886</v>
      </c>
      <c r="AJ64" s="77">
        <f>IFERROR(COUNTIFS(Tracker!E:E, 3, Tracker!G:G, "&lt;="&amp;Daily!C64, Tracker!L:L, "N") / AF64,  0)</f>
        <v>0.13333333333333333</v>
      </c>
      <c r="AK64" s="48">
        <f t="shared" si="34"/>
        <v>161</v>
      </c>
      <c r="AL64" s="26">
        <f t="shared" si="35"/>
        <v>130</v>
      </c>
      <c r="AM64" s="62">
        <f t="shared" si="13"/>
        <v>0.80745341614906829</v>
      </c>
      <c r="AN64" s="74">
        <f>IFERROR(AVERAGEIFS(Tracker!I:I,  Tracker!G:G, "&lt;="&amp;Daily!C64, Tracker!J:J, "Y"), 0)</f>
        <v>21.138461538461538</v>
      </c>
      <c r="AO64" s="77">
        <f>IFERROR(COUNTIFS(Tracker!G:G, "&lt;="&amp;Daily!C64, Tracker!L:L, "N") / AK64,  0)</f>
        <v>0.59006211180124224</v>
      </c>
    </row>
    <row r="65" spans="1:41" x14ac:dyDescent="0.25">
      <c r="A65" s="119"/>
      <c r="B65" s="32">
        <f t="shared" si="48"/>
        <v>45280</v>
      </c>
      <c r="C65" s="27">
        <f t="shared" si="23"/>
        <v>45280</v>
      </c>
      <c r="D65" s="109" t="b">
        <f t="shared" ca="1" si="7"/>
        <v>1</v>
      </c>
      <c r="E65" s="51">
        <f t="shared" si="49"/>
        <v>4</v>
      </c>
      <c r="F65" s="48">
        <f>COUNTIFS(Tracker!G:G,Daily!C65, Tracker!J:J,"Y")</f>
        <v>3</v>
      </c>
      <c r="G65" s="26">
        <f>COUNTIFS(Tracker!G:G,Daily!C65, Tracker!J:J,"Y (with hints)")</f>
        <v>0</v>
      </c>
      <c r="H65" s="33">
        <f>COUNTIFS(Tracker!G:G,Daily!C65, Tracker!J:J,"N")</f>
        <v>1</v>
      </c>
      <c r="I65" s="54">
        <f t="shared" si="50"/>
        <v>0</v>
      </c>
      <c r="J65" s="26">
        <f>COUNTIFS(Tracker!G:G,Daily!C65, Tracker!J:J,"Y",Tracker!E:E,1)</f>
        <v>0</v>
      </c>
      <c r="K65" s="26">
        <f>COUNTIFS(Tracker!G:G,Daily!C65, Tracker!J:J,"Y (with hints)",Tracker!E:E,1)</f>
        <v>0</v>
      </c>
      <c r="L65" s="33">
        <f>COUNTIFS(Tracker!G:G,Daily!C65, Tracker!J:J,"N",Tracker!E:E,1)</f>
        <v>0</v>
      </c>
      <c r="M65" s="54">
        <f t="shared" si="51"/>
        <v>4</v>
      </c>
      <c r="N65" s="26">
        <f>COUNTIFS(Tracker!G:G,Daily!C65, Tracker!J:J,"Y",Tracker!E:E,2)</f>
        <v>3</v>
      </c>
      <c r="O65" s="26">
        <f>COUNTIFS(Tracker!G:G,Daily!C65, Tracker!J:J,"Y (with hints)",Tracker!E:E,2)</f>
        <v>0</v>
      </c>
      <c r="P65" s="33">
        <f>COUNTIFS(Tracker!G:G,Daily!C65, Tracker!J:J,"N",Tracker!E:E,2)</f>
        <v>1</v>
      </c>
      <c r="Q65" s="57">
        <f t="shared" si="52"/>
        <v>0</v>
      </c>
      <c r="R65" s="26">
        <f>COUNTIFS(Tracker!G:G,Daily!C65, Tracker!J:J,"Y",Tracker!E:E,3)</f>
        <v>0</v>
      </c>
      <c r="S65" s="26">
        <f>COUNTIFS(Tracker!G:G,Daily!C65, Tracker!J:J,"Y (with hints)",Tracker!E:E,3)</f>
        <v>0</v>
      </c>
      <c r="T65" s="33">
        <f>COUNTIFS(Tracker!G:G,Daily!C65, Tracker!J:J,"N",Tracker!E:E,3)</f>
        <v>0</v>
      </c>
      <c r="V65" s="48">
        <f t="shared" si="45"/>
        <v>60</v>
      </c>
      <c r="W65" s="26">
        <f t="shared" si="46"/>
        <v>56</v>
      </c>
      <c r="X65" s="62">
        <f t="shared" si="47"/>
        <v>0.93333333333333335</v>
      </c>
      <c r="Y65" s="74">
        <f>AVERAGEIFS(Tracker!I:I, Tracker!E:E, 1, Tracker!G:G, "&lt;="&amp;Daily!C65, Tracker!J:J, "Y")</f>
        <v>13.035714285714286</v>
      </c>
      <c r="Z65" s="77">
        <f>COUNTIFS(Tracker!E:E, 1, Tracker!G:G, "&lt;="&amp;Daily!C65, Tracker!L:L, "N") / V65</f>
        <v>0.75</v>
      </c>
      <c r="AA65" s="48">
        <f t="shared" si="36"/>
        <v>90</v>
      </c>
      <c r="AB65" s="26">
        <f t="shared" si="37"/>
        <v>68</v>
      </c>
      <c r="AC65" s="62">
        <f t="shared" si="17"/>
        <v>0.75555555555555554</v>
      </c>
      <c r="AD65" s="74">
        <f>AVERAGEIFS(Tracker!I:I, Tracker!E:E, 2, Tracker!G:G, "&lt;="&amp;Daily!C65, Tracker!J:J, "Y")</f>
        <v>25.676470588235293</v>
      </c>
      <c r="AE65" s="77">
        <f>COUNTIFS(Tracker!E:E, 2, Tracker!G:G, "&lt;="&amp;Daily!C65, Tracker!L:L, "N") / AA65</f>
        <v>0.55555555555555558</v>
      </c>
      <c r="AF65" s="48">
        <f t="shared" si="38"/>
        <v>15</v>
      </c>
      <c r="AG65" s="26">
        <f t="shared" si="39"/>
        <v>9</v>
      </c>
      <c r="AH65" s="62">
        <f t="shared" si="12"/>
        <v>0.6</v>
      </c>
      <c r="AI65" s="74">
        <f>IFERROR(AVERAGEIFS(Tracker!I:I, Tracker!E:E, 3, Tracker!G:G, "&lt;="&amp;Daily!C65, Tracker!J:J, "Y"), 0)</f>
        <v>41.888888888888886</v>
      </c>
      <c r="AJ65" s="77">
        <f>IFERROR(COUNTIFS(Tracker!E:E, 3, Tracker!G:G, "&lt;="&amp;Daily!C65, Tracker!L:L, "N") / AF65,  0)</f>
        <v>0.13333333333333333</v>
      </c>
      <c r="AK65" s="48">
        <f t="shared" si="34"/>
        <v>165</v>
      </c>
      <c r="AL65" s="26">
        <f t="shared" si="35"/>
        <v>133</v>
      </c>
      <c r="AM65" s="62">
        <f t="shared" si="13"/>
        <v>0.80606060606060603</v>
      </c>
      <c r="AN65" s="74">
        <f>IFERROR(AVERAGEIFS(Tracker!I:I,  Tracker!G:G, "&lt;="&amp;Daily!C65, Tracker!J:J, "Y"), 0)</f>
        <v>21.451127819548873</v>
      </c>
      <c r="AO65" s="77">
        <f>IFERROR(COUNTIFS(Tracker!G:G, "&lt;="&amp;Daily!C65, Tracker!L:L, "N") / AK65,  0)</f>
        <v>0.58787878787878789</v>
      </c>
    </row>
    <row r="66" spans="1:41" x14ac:dyDescent="0.25">
      <c r="A66" s="119"/>
      <c r="B66" s="32">
        <f t="shared" si="48"/>
        <v>45281</v>
      </c>
      <c r="C66" s="27">
        <f t="shared" si="23"/>
        <v>45281</v>
      </c>
      <c r="D66" s="109" t="b">
        <f t="shared" ca="1" si="7"/>
        <v>1</v>
      </c>
      <c r="E66" s="51">
        <f t="shared" si="49"/>
        <v>3</v>
      </c>
      <c r="F66" s="48">
        <f>COUNTIFS(Tracker!G:G,Daily!C66, Tracker!J:J,"Y")</f>
        <v>2</v>
      </c>
      <c r="G66" s="26">
        <f>COUNTIFS(Tracker!G:G,Daily!C66, Tracker!J:J,"Y (with hints)")</f>
        <v>0</v>
      </c>
      <c r="H66" s="33">
        <f>COUNTIFS(Tracker!G:G,Daily!C66, Tracker!J:J,"N")</f>
        <v>1</v>
      </c>
      <c r="I66" s="54">
        <f t="shared" si="50"/>
        <v>0</v>
      </c>
      <c r="J66" s="26">
        <f>COUNTIFS(Tracker!G:G,Daily!C66, Tracker!J:J,"Y",Tracker!E:E,1)</f>
        <v>0</v>
      </c>
      <c r="K66" s="26">
        <f>COUNTIFS(Tracker!G:G,Daily!C66, Tracker!J:J,"Y (with hints)",Tracker!E:E,1)</f>
        <v>0</v>
      </c>
      <c r="L66" s="33">
        <f>COUNTIFS(Tracker!G:G,Daily!C66, Tracker!J:J,"N",Tracker!E:E,1)</f>
        <v>0</v>
      </c>
      <c r="M66" s="54">
        <f t="shared" si="51"/>
        <v>3</v>
      </c>
      <c r="N66" s="26">
        <f>COUNTIFS(Tracker!G:G,Daily!C66, Tracker!J:J,"Y",Tracker!E:E,2)</f>
        <v>2</v>
      </c>
      <c r="O66" s="26">
        <f>COUNTIFS(Tracker!G:G,Daily!C66, Tracker!J:J,"Y (with hints)",Tracker!E:E,2)</f>
        <v>0</v>
      </c>
      <c r="P66" s="33">
        <f>COUNTIFS(Tracker!G:G,Daily!C66, Tracker!J:J,"N",Tracker!E:E,2)</f>
        <v>1</v>
      </c>
      <c r="Q66" s="57">
        <f t="shared" si="52"/>
        <v>0</v>
      </c>
      <c r="R66" s="26">
        <f>COUNTIFS(Tracker!G:G,Daily!C66, Tracker!J:J,"Y",Tracker!E:E,3)</f>
        <v>0</v>
      </c>
      <c r="S66" s="26">
        <f>COUNTIFS(Tracker!G:G,Daily!C66, Tracker!J:J,"Y (with hints)",Tracker!E:E,3)</f>
        <v>0</v>
      </c>
      <c r="T66" s="33">
        <f>COUNTIFS(Tracker!G:G,Daily!C66, Tracker!J:J,"N",Tracker!E:E,3)</f>
        <v>0</v>
      </c>
      <c r="V66" s="48">
        <f t="shared" si="45"/>
        <v>60</v>
      </c>
      <c r="W66" s="26">
        <f t="shared" si="46"/>
        <v>56</v>
      </c>
      <c r="X66" s="62">
        <f t="shared" si="47"/>
        <v>0.93333333333333335</v>
      </c>
      <c r="Y66" s="74">
        <f>AVERAGEIFS(Tracker!I:I, Tracker!E:E, 1, Tracker!G:G, "&lt;="&amp;Daily!C66, Tracker!J:J, "Y")</f>
        <v>13.035714285714286</v>
      </c>
      <c r="Z66" s="77">
        <f>COUNTIFS(Tracker!E:E, 1, Tracker!G:G, "&lt;="&amp;Daily!C66, Tracker!L:L, "N") / V66</f>
        <v>0.75</v>
      </c>
      <c r="AA66" s="48">
        <f t="shared" si="36"/>
        <v>93</v>
      </c>
      <c r="AB66" s="26">
        <f t="shared" si="37"/>
        <v>70</v>
      </c>
      <c r="AC66" s="62">
        <f t="shared" si="17"/>
        <v>0.75268817204301075</v>
      </c>
      <c r="AD66" s="74">
        <f>AVERAGEIFS(Tracker!I:I, Tracker!E:E, 2, Tracker!G:G, "&lt;="&amp;Daily!C66, Tracker!J:J, "Y")</f>
        <v>25.557142857142857</v>
      </c>
      <c r="AE66" s="77">
        <f>COUNTIFS(Tracker!E:E, 2, Tracker!G:G, "&lt;="&amp;Daily!C66, Tracker!L:L, "N") / AA66</f>
        <v>0.55913978494623651</v>
      </c>
      <c r="AF66" s="48">
        <f t="shared" si="38"/>
        <v>15</v>
      </c>
      <c r="AG66" s="26">
        <f t="shared" si="39"/>
        <v>9</v>
      </c>
      <c r="AH66" s="62">
        <f t="shared" si="12"/>
        <v>0.6</v>
      </c>
      <c r="AI66" s="74">
        <f>IFERROR(AVERAGEIFS(Tracker!I:I, Tracker!E:E, 3, Tracker!G:G, "&lt;="&amp;Daily!C66, Tracker!J:J, "Y"), 0)</f>
        <v>41.888888888888886</v>
      </c>
      <c r="AJ66" s="77">
        <f>IFERROR(COUNTIFS(Tracker!E:E, 3, Tracker!G:G, "&lt;="&amp;Daily!C66, Tracker!L:L, "N") / AF66,  0)</f>
        <v>0.13333333333333333</v>
      </c>
      <c r="AK66" s="48">
        <f t="shared" si="34"/>
        <v>168</v>
      </c>
      <c r="AL66" s="26">
        <f t="shared" si="35"/>
        <v>135</v>
      </c>
      <c r="AM66" s="62">
        <f t="shared" si="13"/>
        <v>0.8035714285714286</v>
      </c>
      <c r="AN66" s="74">
        <f>IFERROR(AVERAGEIFS(Tracker!I:I,  Tracker!G:G, "&lt;="&amp;Daily!C66, Tracker!J:J, "Y"), 0)</f>
        <v>21.451851851851853</v>
      </c>
      <c r="AO66" s="77">
        <f>IFERROR(COUNTIFS(Tracker!G:G, "&lt;="&amp;Daily!C66, Tracker!L:L, "N") / AK66,  0)</f>
        <v>0.5892857142857143</v>
      </c>
    </row>
    <row r="67" spans="1:41" x14ac:dyDescent="0.25">
      <c r="A67" s="119"/>
      <c r="B67" s="32">
        <f t="shared" si="48"/>
        <v>45282</v>
      </c>
      <c r="C67" s="27">
        <f t="shared" si="23"/>
        <v>45282</v>
      </c>
      <c r="D67" s="109" t="b">
        <f t="shared" ca="1" si="7"/>
        <v>1</v>
      </c>
      <c r="E67" s="51">
        <f t="shared" si="49"/>
        <v>8</v>
      </c>
      <c r="F67" s="48">
        <f>COUNTIFS(Tracker!G:G,Daily!C67, Tracker!J:J,"Y")</f>
        <v>8</v>
      </c>
      <c r="G67" s="26">
        <f>COUNTIFS(Tracker!G:G,Daily!C67, Tracker!J:J,"Y (with hints)")</f>
        <v>0</v>
      </c>
      <c r="H67" s="33">
        <f>COUNTIFS(Tracker!G:G,Daily!C67, Tracker!J:J,"N")</f>
        <v>0</v>
      </c>
      <c r="I67" s="54">
        <f t="shared" si="50"/>
        <v>0</v>
      </c>
      <c r="J67" s="26">
        <f>COUNTIFS(Tracker!G:G,Daily!C67, Tracker!J:J,"Y",Tracker!E:E,1)</f>
        <v>0</v>
      </c>
      <c r="K67" s="26">
        <f>COUNTIFS(Tracker!G:G,Daily!C67, Tracker!J:J,"Y (with hints)",Tracker!E:E,1)</f>
        <v>0</v>
      </c>
      <c r="L67" s="33">
        <f>COUNTIFS(Tracker!G:G,Daily!C67, Tracker!J:J,"N",Tracker!E:E,1)</f>
        <v>0</v>
      </c>
      <c r="M67" s="54">
        <f t="shared" si="51"/>
        <v>5</v>
      </c>
      <c r="N67" s="26">
        <f>COUNTIFS(Tracker!G:G,Daily!C67, Tracker!J:J,"Y",Tracker!E:E,2)</f>
        <v>5</v>
      </c>
      <c r="O67" s="26">
        <f>COUNTIFS(Tracker!G:G,Daily!C67, Tracker!J:J,"Y (with hints)",Tracker!E:E,2)</f>
        <v>0</v>
      </c>
      <c r="P67" s="33">
        <f>COUNTIFS(Tracker!G:G,Daily!C67, Tracker!J:J,"N",Tracker!E:E,2)</f>
        <v>0</v>
      </c>
      <c r="Q67" s="57">
        <f t="shared" si="52"/>
        <v>3</v>
      </c>
      <c r="R67" s="26">
        <f>COUNTIFS(Tracker!G:G,Daily!C67, Tracker!J:J,"Y",Tracker!E:E,3)</f>
        <v>3</v>
      </c>
      <c r="S67" s="26">
        <f>COUNTIFS(Tracker!G:G,Daily!C67, Tracker!J:J,"Y (with hints)",Tracker!E:E,3)</f>
        <v>0</v>
      </c>
      <c r="T67" s="33">
        <f>COUNTIFS(Tracker!G:G,Daily!C67, Tracker!J:J,"N",Tracker!E:E,3)</f>
        <v>0</v>
      </c>
      <c r="V67" s="48">
        <f t="shared" si="45"/>
        <v>60</v>
      </c>
      <c r="W67" s="26">
        <f t="shared" si="46"/>
        <v>56</v>
      </c>
      <c r="X67" s="62">
        <f t="shared" si="47"/>
        <v>0.93333333333333335</v>
      </c>
      <c r="Y67" s="74">
        <f>AVERAGEIFS(Tracker!I:I, Tracker!E:E, 1, Tracker!G:G, "&lt;="&amp;Daily!C67, Tracker!J:J, "Y")</f>
        <v>13.035714285714286</v>
      </c>
      <c r="Z67" s="77">
        <f>COUNTIFS(Tracker!E:E, 1, Tracker!G:G, "&lt;="&amp;Daily!C67, Tracker!L:L, "N") / V67</f>
        <v>0.75</v>
      </c>
      <c r="AA67" s="48">
        <f t="shared" si="36"/>
        <v>98</v>
      </c>
      <c r="AB67" s="26">
        <f t="shared" si="37"/>
        <v>75</v>
      </c>
      <c r="AC67" s="62">
        <f t="shared" si="17"/>
        <v>0.76530612244897955</v>
      </c>
      <c r="AD67" s="74">
        <f>AVERAGEIFS(Tracker!I:I, Tracker!E:E, 2, Tracker!G:G, "&lt;="&amp;Daily!C67, Tracker!J:J, "Y")</f>
        <v>25.106666666666666</v>
      </c>
      <c r="AE67" s="77">
        <f>COUNTIFS(Tracker!E:E, 2, Tracker!G:G, "&lt;="&amp;Daily!C67, Tracker!L:L, "N") / AA67</f>
        <v>0.58163265306122447</v>
      </c>
      <c r="AF67" s="48">
        <f t="shared" si="38"/>
        <v>18</v>
      </c>
      <c r="AG67" s="26">
        <f t="shared" si="39"/>
        <v>12</v>
      </c>
      <c r="AH67" s="62">
        <f t="shared" si="12"/>
        <v>0.66666666666666663</v>
      </c>
      <c r="AI67" s="74">
        <f>IFERROR(AVERAGEIFS(Tracker!I:I, Tracker!E:E, 3, Tracker!G:G, "&lt;="&amp;Daily!C67, Tracker!J:J, "Y"), 0)</f>
        <v>41.916666666666664</v>
      </c>
      <c r="AJ67" s="77">
        <f>IFERROR(COUNTIFS(Tracker!E:E, 3, Tracker!G:G, "&lt;="&amp;Daily!C67, Tracker!L:L, "N") / AF67,  0)</f>
        <v>0.22222222222222221</v>
      </c>
      <c r="AK67" s="48">
        <f t="shared" si="34"/>
        <v>176</v>
      </c>
      <c r="AL67" s="26">
        <f t="shared" si="35"/>
        <v>143</v>
      </c>
      <c r="AM67" s="62">
        <f t="shared" si="13"/>
        <v>0.8125</v>
      </c>
      <c r="AN67" s="74">
        <f>IFERROR(AVERAGEIFS(Tracker!I:I,  Tracker!G:G, "&lt;="&amp;Daily!C67, Tracker!J:J, "Y"), 0)</f>
        <v>21.79020979020979</v>
      </c>
      <c r="AO67" s="77">
        <f>IFERROR(COUNTIFS(Tracker!G:G, "&lt;="&amp;Daily!C67, Tracker!L:L, "N") / AK67,  0)</f>
        <v>0.60227272727272729</v>
      </c>
    </row>
    <row r="68" spans="1:41" x14ac:dyDescent="0.25">
      <c r="A68" s="119"/>
      <c r="B68" s="32">
        <f t="shared" si="48"/>
        <v>45283</v>
      </c>
      <c r="C68" s="27">
        <f t="shared" si="23"/>
        <v>45283</v>
      </c>
      <c r="D68" s="109" t="b">
        <f t="shared" ca="1" si="7"/>
        <v>1</v>
      </c>
      <c r="E68" s="51">
        <f t="shared" si="49"/>
        <v>0</v>
      </c>
      <c r="F68" s="48">
        <f>COUNTIFS(Tracker!G:G,Daily!C68, Tracker!J:J,"Y")</f>
        <v>0</v>
      </c>
      <c r="G68" s="26">
        <f>COUNTIFS(Tracker!G:G,Daily!C68, Tracker!J:J,"Y (with hints)")</f>
        <v>0</v>
      </c>
      <c r="H68" s="33">
        <f>COUNTIFS(Tracker!G:G,Daily!C68, Tracker!J:J,"N")</f>
        <v>0</v>
      </c>
      <c r="I68" s="54">
        <f t="shared" si="50"/>
        <v>0</v>
      </c>
      <c r="J68" s="26">
        <f>COUNTIFS(Tracker!G:G,Daily!C68, Tracker!J:J,"Y",Tracker!E:E,1)</f>
        <v>0</v>
      </c>
      <c r="K68" s="26">
        <f>COUNTIFS(Tracker!G:G,Daily!C68, Tracker!J:J,"Y (with hints)",Tracker!E:E,1)</f>
        <v>0</v>
      </c>
      <c r="L68" s="33">
        <f>COUNTIFS(Tracker!G:G,Daily!C68, Tracker!J:J,"N",Tracker!E:E,1)</f>
        <v>0</v>
      </c>
      <c r="M68" s="54">
        <f t="shared" si="51"/>
        <v>0</v>
      </c>
      <c r="N68" s="26">
        <f>COUNTIFS(Tracker!G:G,Daily!C68, Tracker!J:J,"Y",Tracker!E:E,2)</f>
        <v>0</v>
      </c>
      <c r="O68" s="26">
        <f>COUNTIFS(Tracker!G:G,Daily!C68, Tracker!J:J,"Y (with hints)",Tracker!E:E,2)</f>
        <v>0</v>
      </c>
      <c r="P68" s="33">
        <f>COUNTIFS(Tracker!G:G,Daily!C68, Tracker!J:J,"N",Tracker!E:E,2)</f>
        <v>0</v>
      </c>
      <c r="Q68" s="57">
        <f t="shared" si="52"/>
        <v>0</v>
      </c>
      <c r="R68" s="26">
        <f>COUNTIFS(Tracker!G:G,Daily!C68, Tracker!J:J,"Y",Tracker!E:E,3)</f>
        <v>0</v>
      </c>
      <c r="S68" s="26">
        <f>COUNTIFS(Tracker!G:G,Daily!C68, Tracker!J:J,"Y (with hints)",Tracker!E:E,3)</f>
        <v>0</v>
      </c>
      <c r="T68" s="33">
        <f>COUNTIFS(Tracker!G:G,Daily!C68, Tracker!J:J,"N",Tracker!E:E,3)</f>
        <v>0</v>
      </c>
      <c r="V68" s="48">
        <f t="shared" si="45"/>
        <v>60</v>
      </c>
      <c r="W68" s="26">
        <f t="shared" si="46"/>
        <v>56</v>
      </c>
      <c r="X68" s="62">
        <f t="shared" si="47"/>
        <v>0.93333333333333335</v>
      </c>
      <c r="Y68" s="74">
        <f>AVERAGEIFS(Tracker!I:I, Tracker!E:E, 1, Tracker!G:G, "&lt;="&amp;Daily!C68, Tracker!J:J, "Y")</f>
        <v>13.035714285714286</v>
      </c>
      <c r="Z68" s="77">
        <f>COUNTIFS(Tracker!E:E, 1, Tracker!G:G, "&lt;="&amp;Daily!C68, Tracker!L:L, "N") / V68</f>
        <v>0.75</v>
      </c>
      <c r="AA68" s="48">
        <f t="shared" si="36"/>
        <v>98</v>
      </c>
      <c r="AB68" s="26">
        <f t="shared" si="37"/>
        <v>75</v>
      </c>
      <c r="AC68" s="62">
        <f t="shared" si="17"/>
        <v>0.76530612244897955</v>
      </c>
      <c r="AD68" s="74">
        <f>AVERAGEIFS(Tracker!I:I, Tracker!E:E, 2, Tracker!G:G, "&lt;="&amp;Daily!C68, Tracker!J:J, "Y")</f>
        <v>25.106666666666666</v>
      </c>
      <c r="AE68" s="77">
        <f>COUNTIFS(Tracker!E:E, 2, Tracker!G:G, "&lt;="&amp;Daily!C68, Tracker!L:L, "N") / AA68</f>
        <v>0.58163265306122447</v>
      </c>
      <c r="AF68" s="48">
        <f t="shared" si="38"/>
        <v>18</v>
      </c>
      <c r="AG68" s="26">
        <f t="shared" si="39"/>
        <v>12</v>
      </c>
      <c r="AH68" s="62">
        <f t="shared" si="12"/>
        <v>0.66666666666666663</v>
      </c>
      <c r="AI68" s="74">
        <f>IFERROR(AVERAGEIFS(Tracker!I:I, Tracker!E:E, 3, Tracker!G:G, "&lt;="&amp;Daily!C68, Tracker!J:J, "Y"), 0)</f>
        <v>41.916666666666664</v>
      </c>
      <c r="AJ68" s="77">
        <f>IFERROR(COUNTIFS(Tracker!E:E, 3, Tracker!G:G, "&lt;="&amp;Daily!C68, Tracker!L:L, "N") / AF68,  0)</f>
        <v>0.22222222222222221</v>
      </c>
      <c r="AK68" s="48">
        <f t="shared" ref="AK68:AK99" si="53">V68+AA68+AF68</f>
        <v>176</v>
      </c>
      <c r="AL68" s="26">
        <f t="shared" ref="AL68:AL99" si="54">W68+AB68+AG68</f>
        <v>143</v>
      </c>
      <c r="AM68" s="62">
        <f t="shared" si="13"/>
        <v>0.8125</v>
      </c>
      <c r="AN68" s="74">
        <f>IFERROR(AVERAGEIFS(Tracker!I:I,  Tracker!G:G, "&lt;="&amp;Daily!C68, Tracker!J:J, "Y"), 0)</f>
        <v>21.79020979020979</v>
      </c>
      <c r="AO68" s="77">
        <f>IFERROR(COUNTIFS(Tracker!G:G, "&lt;="&amp;Daily!C68, Tracker!L:L, "N") / AK68,  0)</f>
        <v>0.60227272727272729</v>
      </c>
    </row>
    <row r="69" spans="1:41" ht="15.75" thickBot="1" x14ac:dyDescent="0.3">
      <c r="A69" s="120"/>
      <c r="B69" s="34">
        <f t="shared" si="48"/>
        <v>45284</v>
      </c>
      <c r="C69" s="35">
        <f t="shared" si="23"/>
        <v>45284</v>
      </c>
      <c r="D69" s="110" t="b">
        <f t="shared" ref="D69:D132" ca="1" si="55">C69&lt;=TODAY()</f>
        <v>1</v>
      </c>
      <c r="E69" s="52">
        <f t="shared" si="49"/>
        <v>0</v>
      </c>
      <c r="F69" s="39">
        <f>COUNTIFS(Tracker!G:G,Daily!C69, Tracker!J:J,"Y")</f>
        <v>0</v>
      </c>
      <c r="G69" s="36">
        <f>COUNTIFS(Tracker!G:G,Daily!C69, Tracker!J:J,"Y (with hints)")</f>
        <v>0</v>
      </c>
      <c r="H69" s="37">
        <f>COUNTIFS(Tracker!G:G,Daily!C69, Tracker!J:J,"N")</f>
        <v>0</v>
      </c>
      <c r="I69" s="55">
        <f t="shared" si="50"/>
        <v>0</v>
      </c>
      <c r="J69" s="36">
        <f>COUNTIFS(Tracker!G:G,Daily!C69, Tracker!J:J,"Y",Tracker!E:E,1)</f>
        <v>0</v>
      </c>
      <c r="K69" s="36">
        <f>COUNTIFS(Tracker!G:G,Daily!C69, Tracker!J:J,"Y (with hints)",Tracker!E:E,1)</f>
        <v>0</v>
      </c>
      <c r="L69" s="37">
        <f>COUNTIFS(Tracker!G:G,Daily!C69, Tracker!J:J,"N",Tracker!E:E,1)</f>
        <v>0</v>
      </c>
      <c r="M69" s="55">
        <f t="shared" si="51"/>
        <v>0</v>
      </c>
      <c r="N69" s="36">
        <f>COUNTIFS(Tracker!G:G,Daily!C69, Tracker!J:J,"Y",Tracker!E:E,2)</f>
        <v>0</v>
      </c>
      <c r="O69" s="36">
        <f>COUNTIFS(Tracker!G:G,Daily!C69, Tracker!J:J,"Y (with hints)",Tracker!E:E,2)</f>
        <v>0</v>
      </c>
      <c r="P69" s="37">
        <f>COUNTIFS(Tracker!G:G,Daily!C69, Tracker!J:J,"N",Tracker!E:E,2)</f>
        <v>0</v>
      </c>
      <c r="Q69" s="58">
        <f t="shared" si="52"/>
        <v>0</v>
      </c>
      <c r="R69" s="36">
        <f>COUNTIFS(Tracker!G:G,Daily!C69, Tracker!J:J,"Y",Tracker!E:E,3)</f>
        <v>0</v>
      </c>
      <c r="S69" s="36">
        <f>COUNTIFS(Tracker!G:G,Daily!C69, Tracker!J:J,"Y (with hints)",Tracker!E:E,3)</f>
        <v>0</v>
      </c>
      <c r="T69" s="37">
        <f>COUNTIFS(Tracker!G:G,Daily!C69, Tracker!J:J,"N",Tracker!E:E,3)</f>
        <v>0</v>
      </c>
      <c r="V69" s="39">
        <f t="shared" si="45"/>
        <v>60</v>
      </c>
      <c r="W69" s="36">
        <f t="shared" si="46"/>
        <v>56</v>
      </c>
      <c r="X69" s="64">
        <f t="shared" si="47"/>
        <v>0.93333333333333335</v>
      </c>
      <c r="Y69" s="78">
        <f>AVERAGEIFS(Tracker!I:I, Tracker!E:E, 1, Tracker!G:G, "&lt;="&amp;Daily!C69, Tracker!J:J, "Y")</f>
        <v>13.035714285714286</v>
      </c>
      <c r="Z69" s="79">
        <f>COUNTIFS(Tracker!E:E, 1, Tracker!G:G, "&lt;="&amp;Daily!C69, Tracker!L:L, "N") / V69</f>
        <v>0.75</v>
      </c>
      <c r="AA69" s="39">
        <f t="shared" ref="AA69:AA100" si="56">AA68+M69</f>
        <v>98</v>
      </c>
      <c r="AB69" s="36">
        <f t="shared" ref="AB69:AB100" si="57">AB68+N69</f>
        <v>75</v>
      </c>
      <c r="AC69" s="64">
        <f t="shared" si="17"/>
        <v>0.76530612244897955</v>
      </c>
      <c r="AD69" s="78">
        <f>AVERAGEIFS(Tracker!I:I, Tracker!E:E, 2, Tracker!G:G, "&lt;="&amp;Daily!C69, Tracker!J:J, "Y")</f>
        <v>25.106666666666666</v>
      </c>
      <c r="AE69" s="79">
        <f>COUNTIFS(Tracker!E:E, 2, Tracker!G:G, "&lt;="&amp;Daily!C69, Tracker!L:L, "N") / AA69</f>
        <v>0.58163265306122447</v>
      </c>
      <c r="AF69" s="39">
        <f t="shared" ref="AF69:AF100" si="58">AF68+Q69</f>
        <v>18</v>
      </c>
      <c r="AG69" s="36">
        <f t="shared" ref="AG69:AG100" si="59">AG68+R69</f>
        <v>12</v>
      </c>
      <c r="AH69" s="64">
        <f t="shared" ref="AH69:AH132" si="60">IFERROR(AG69/AF69, 0)</f>
        <v>0.66666666666666663</v>
      </c>
      <c r="AI69" s="78">
        <f>IFERROR(AVERAGEIFS(Tracker!I:I, Tracker!E:E, 3, Tracker!G:G, "&lt;="&amp;Daily!C69, Tracker!J:J, "Y"), 0)</f>
        <v>41.916666666666664</v>
      </c>
      <c r="AJ69" s="79">
        <f>IFERROR(COUNTIFS(Tracker!E:E, 3, Tracker!G:G, "&lt;="&amp;Daily!C69, Tracker!L:L, "N") / AF69,  0)</f>
        <v>0.22222222222222221</v>
      </c>
      <c r="AK69" s="39">
        <f t="shared" si="53"/>
        <v>176</v>
      </c>
      <c r="AL69" s="36">
        <f t="shared" si="54"/>
        <v>143</v>
      </c>
      <c r="AM69" s="64">
        <f t="shared" ref="AM69:AM132" si="61">IFERROR(AL69/AK69, 0)</f>
        <v>0.8125</v>
      </c>
      <c r="AN69" s="78">
        <f>IFERROR(AVERAGEIFS(Tracker!I:I,  Tracker!G:G, "&lt;="&amp;Daily!C69, Tracker!J:J, "Y"), 0)</f>
        <v>21.79020979020979</v>
      </c>
      <c r="AO69" s="79">
        <f>IFERROR(COUNTIFS(Tracker!G:G, "&lt;="&amp;Daily!C69, Tracker!L:L, "N") / AK69,  0)</f>
        <v>0.60227272727272729</v>
      </c>
    </row>
    <row r="70" spans="1:41" x14ac:dyDescent="0.25">
      <c r="A70" s="118">
        <v>10</v>
      </c>
      <c r="B70" s="28">
        <f t="shared" si="48"/>
        <v>45285</v>
      </c>
      <c r="C70" s="29">
        <f t="shared" si="23"/>
        <v>45285</v>
      </c>
      <c r="D70" s="108" t="b">
        <f t="shared" ca="1" si="55"/>
        <v>1</v>
      </c>
      <c r="E70" s="50">
        <f t="shared" si="49"/>
        <v>0</v>
      </c>
      <c r="F70" s="38">
        <f>COUNTIFS(Tracker!G:G,Daily!C70, Tracker!J:J,"Y")</f>
        <v>0</v>
      </c>
      <c r="G70" s="30">
        <f>COUNTIFS(Tracker!G:G,Daily!C70, Tracker!J:J,"Y (with hints)")</f>
        <v>0</v>
      </c>
      <c r="H70" s="31">
        <f>COUNTIFS(Tracker!G:G,Daily!C70, Tracker!J:J,"N")</f>
        <v>0</v>
      </c>
      <c r="I70" s="53">
        <f t="shared" si="50"/>
        <v>0</v>
      </c>
      <c r="J70" s="30">
        <f>COUNTIFS(Tracker!G:G,Daily!C70, Tracker!J:J,"Y",Tracker!E:E,1)</f>
        <v>0</v>
      </c>
      <c r="K70" s="30">
        <f>COUNTIFS(Tracker!G:G,Daily!C70, Tracker!J:J,"Y (with hints)",Tracker!E:E,1)</f>
        <v>0</v>
      </c>
      <c r="L70" s="31">
        <f>COUNTIFS(Tracker!G:G,Daily!C70, Tracker!J:J,"N",Tracker!E:E,1)</f>
        <v>0</v>
      </c>
      <c r="M70" s="53">
        <f t="shared" si="51"/>
        <v>0</v>
      </c>
      <c r="N70" s="30">
        <f>COUNTIFS(Tracker!G:G,Daily!C70, Tracker!J:J,"Y",Tracker!E:E,2)</f>
        <v>0</v>
      </c>
      <c r="O70" s="30">
        <f>COUNTIFS(Tracker!G:G,Daily!C70, Tracker!J:J,"Y (with hints)",Tracker!E:E,2)</f>
        <v>0</v>
      </c>
      <c r="P70" s="31">
        <f>COUNTIFS(Tracker!G:G,Daily!C70, Tracker!J:J,"N",Tracker!E:E,2)</f>
        <v>0</v>
      </c>
      <c r="Q70" s="56">
        <f t="shared" si="52"/>
        <v>0</v>
      </c>
      <c r="R70" s="30">
        <f>COUNTIFS(Tracker!G:G,Daily!C70, Tracker!J:J,"Y",Tracker!E:E,3)</f>
        <v>0</v>
      </c>
      <c r="S70" s="30">
        <f>COUNTIFS(Tracker!G:G,Daily!C70, Tracker!J:J,"Y (with hints)",Tracker!E:E,3)</f>
        <v>0</v>
      </c>
      <c r="T70" s="31">
        <f>COUNTIFS(Tracker!G:G,Daily!C70, Tracker!J:J,"N",Tracker!E:E,3)</f>
        <v>0</v>
      </c>
      <c r="V70" s="38">
        <f t="shared" si="45"/>
        <v>60</v>
      </c>
      <c r="W70" s="30">
        <f t="shared" si="46"/>
        <v>56</v>
      </c>
      <c r="X70" s="73">
        <f t="shared" si="47"/>
        <v>0.93333333333333335</v>
      </c>
      <c r="Y70" s="75">
        <f>AVERAGEIFS(Tracker!I:I, Tracker!E:E, 1, Tracker!G:G, "&lt;="&amp;Daily!C70, Tracker!J:J, "Y")</f>
        <v>13.035714285714286</v>
      </c>
      <c r="Z70" s="76">
        <f>COUNTIFS(Tracker!E:E, 1, Tracker!G:G, "&lt;="&amp;Daily!C70, Tracker!L:L, "N") / V70</f>
        <v>0.75</v>
      </c>
      <c r="AA70" s="38">
        <f t="shared" si="56"/>
        <v>98</v>
      </c>
      <c r="AB70" s="30">
        <f t="shared" si="57"/>
        <v>75</v>
      </c>
      <c r="AC70" s="73">
        <f t="shared" ref="AC70:AC132" si="62">AB70/AA70</f>
        <v>0.76530612244897955</v>
      </c>
      <c r="AD70" s="75">
        <f>AVERAGEIFS(Tracker!I:I, Tracker!E:E, 2, Tracker!G:G, "&lt;="&amp;Daily!C70, Tracker!J:J, "Y")</f>
        <v>25.106666666666666</v>
      </c>
      <c r="AE70" s="76">
        <f>COUNTIFS(Tracker!E:E, 2, Tracker!G:G, "&lt;="&amp;Daily!C70, Tracker!L:L, "N") / AA70</f>
        <v>0.58163265306122447</v>
      </c>
      <c r="AF70" s="38">
        <f t="shared" si="58"/>
        <v>18</v>
      </c>
      <c r="AG70" s="30">
        <f t="shared" si="59"/>
        <v>12</v>
      </c>
      <c r="AH70" s="73">
        <f t="shared" si="60"/>
        <v>0.66666666666666663</v>
      </c>
      <c r="AI70" s="75">
        <f>IFERROR(AVERAGEIFS(Tracker!I:I, Tracker!E:E, 3, Tracker!G:G, "&lt;="&amp;Daily!C70, Tracker!J:J, "Y"), 0)</f>
        <v>41.916666666666664</v>
      </c>
      <c r="AJ70" s="76">
        <f>IFERROR(COUNTIFS(Tracker!E:E, 3, Tracker!G:G, "&lt;="&amp;Daily!C70, Tracker!L:L, "N") / AF70,  0)</f>
        <v>0.22222222222222221</v>
      </c>
      <c r="AK70" s="38">
        <f t="shared" si="53"/>
        <v>176</v>
      </c>
      <c r="AL70" s="30">
        <f t="shared" si="54"/>
        <v>143</v>
      </c>
      <c r="AM70" s="73">
        <f t="shared" si="61"/>
        <v>0.8125</v>
      </c>
      <c r="AN70" s="75">
        <f>IFERROR(AVERAGEIFS(Tracker!I:I,  Tracker!G:G, "&lt;="&amp;Daily!C70, Tracker!J:J, "Y"), 0)</f>
        <v>21.79020979020979</v>
      </c>
      <c r="AO70" s="76">
        <f>IFERROR(COUNTIFS(Tracker!G:G, "&lt;="&amp;Daily!C70, Tracker!L:L, "N") / AK70,  0)</f>
        <v>0.60227272727272729</v>
      </c>
    </row>
    <row r="71" spans="1:41" x14ac:dyDescent="0.25">
      <c r="A71" s="119"/>
      <c r="B71" s="32">
        <f t="shared" si="48"/>
        <v>45286</v>
      </c>
      <c r="C71" s="27">
        <f t="shared" si="23"/>
        <v>45286</v>
      </c>
      <c r="D71" s="109" t="b">
        <f t="shared" ca="1" si="55"/>
        <v>1</v>
      </c>
      <c r="E71" s="51">
        <f t="shared" si="49"/>
        <v>0</v>
      </c>
      <c r="F71" s="48">
        <f>COUNTIFS(Tracker!G:G,Daily!C71, Tracker!J:J,"Y")</f>
        <v>0</v>
      </c>
      <c r="G71" s="26">
        <f>COUNTIFS(Tracker!G:G,Daily!C71, Tracker!J:J,"Y (with hints)")</f>
        <v>0</v>
      </c>
      <c r="H71" s="33">
        <f>COUNTIFS(Tracker!G:G,Daily!C71, Tracker!J:J,"N")</f>
        <v>0</v>
      </c>
      <c r="I71" s="54">
        <f t="shared" si="50"/>
        <v>0</v>
      </c>
      <c r="J71" s="26">
        <f>COUNTIFS(Tracker!G:G,Daily!C71, Tracker!J:J,"Y",Tracker!E:E,1)</f>
        <v>0</v>
      </c>
      <c r="K71" s="26">
        <f>COUNTIFS(Tracker!G:G,Daily!C71, Tracker!J:J,"Y (with hints)",Tracker!E:E,1)</f>
        <v>0</v>
      </c>
      <c r="L71" s="33">
        <f>COUNTIFS(Tracker!G:G,Daily!C71, Tracker!J:J,"N",Tracker!E:E,1)</f>
        <v>0</v>
      </c>
      <c r="M71" s="54">
        <f t="shared" si="51"/>
        <v>0</v>
      </c>
      <c r="N71" s="26">
        <f>COUNTIFS(Tracker!G:G,Daily!C71, Tracker!J:J,"Y",Tracker!E:E,2)</f>
        <v>0</v>
      </c>
      <c r="O71" s="26">
        <f>COUNTIFS(Tracker!G:G,Daily!C71, Tracker!J:J,"Y (with hints)",Tracker!E:E,2)</f>
        <v>0</v>
      </c>
      <c r="P71" s="33">
        <f>COUNTIFS(Tracker!G:G,Daily!C71, Tracker!J:J,"N",Tracker!E:E,2)</f>
        <v>0</v>
      </c>
      <c r="Q71" s="57">
        <f t="shared" si="52"/>
        <v>0</v>
      </c>
      <c r="R71" s="26">
        <f>COUNTIFS(Tracker!G:G,Daily!C71, Tracker!J:J,"Y",Tracker!E:E,3)</f>
        <v>0</v>
      </c>
      <c r="S71" s="26">
        <f>COUNTIFS(Tracker!G:G,Daily!C71, Tracker!J:J,"Y (with hints)",Tracker!E:E,3)</f>
        <v>0</v>
      </c>
      <c r="T71" s="33">
        <f>COUNTIFS(Tracker!G:G,Daily!C71, Tracker!J:J,"N",Tracker!E:E,3)</f>
        <v>0</v>
      </c>
      <c r="V71" s="48">
        <f t="shared" si="45"/>
        <v>60</v>
      </c>
      <c r="W71" s="26">
        <f t="shared" si="46"/>
        <v>56</v>
      </c>
      <c r="X71" s="62">
        <f t="shared" si="47"/>
        <v>0.93333333333333335</v>
      </c>
      <c r="Y71" s="74">
        <f>AVERAGEIFS(Tracker!I:I, Tracker!E:E, 1, Tracker!G:G, "&lt;="&amp;Daily!C71, Tracker!J:J, "Y")</f>
        <v>13.035714285714286</v>
      </c>
      <c r="Z71" s="77">
        <f>COUNTIFS(Tracker!E:E, 1, Tracker!G:G, "&lt;="&amp;Daily!C71, Tracker!L:L, "N") / V71</f>
        <v>0.75</v>
      </c>
      <c r="AA71" s="48">
        <f t="shared" si="56"/>
        <v>98</v>
      </c>
      <c r="AB71" s="26">
        <f t="shared" si="57"/>
        <v>75</v>
      </c>
      <c r="AC71" s="62">
        <f t="shared" si="62"/>
        <v>0.76530612244897955</v>
      </c>
      <c r="AD71" s="74">
        <f>AVERAGEIFS(Tracker!I:I, Tracker!E:E, 2, Tracker!G:G, "&lt;="&amp;Daily!C71, Tracker!J:J, "Y")</f>
        <v>25.106666666666666</v>
      </c>
      <c r="AE71" s="77">
        <f>COUNTIFS(Tracker!E:E, 2, Tracker!G:G, "&lt;="&amp;Daily!C71, Tracker!L:L, "N") / AA71</f>
        <v>0.58163265306122447</v>
      </c>
      <c r="AF71" s="48">
        <f t="shared" si="58"/>
        <v>18</v>
      </c>
      <c r="AG71" s="26">
        <f t="shared" si="59"/>
        <v>12</v>
      </c>
      <c r="AH71" s="62">
        <f t="shared" si="60"/>
        <v>0.66666666666666663</v>
      </c>
      <c r="AI71" s="74">
        <f>IFERROR(AVERAGEIFS(Tracker!I:I, Tracker!E:E, 3, Tracker!G:G, "&lt;="&amp;Daily!C71, Tracker!J:J, "Y"), 0)</f>
        <v>41.916666666666664</v>
      </c>
      <c r="AJ71" s="77">
        <f>IFERROR(COUNTIFS(Tracker!E:E, 3, Tracker!G:G, "&lt;="&amp;Daily!C71, Tracker!L:L, "N") / AF71,  0)</f>
        <v>0.22222222222222221</v>
      </c>
      <c r="AK71" s="48">
        <f t="shared" si="53"/>
        <v>176</v>
      </c>
      <c r="AL71" s="26">
        <f t="shared" si="54"/>
        <v>143</v>
      </c>
      <c r="AM71" s="62">
        <f t="shared" si="61"/>
        <v>0.8125</v>
      </c>
      <c r="AN71" s="74">
        <f>IFERROR(AVERAGEIFS(Tracker!I:I,  Tracker!G:G, "&lt;="&amp;Daily!C71, Tracker!J:J, "Y"), 0)</f>
        <v>21.79020979020979</v>
      </c>
      <c r="AO71" s="77">
        <f>IFERROR(COUNTIFS(Tracker!G:G, "&lt;="&amp;Daily!C71, Tracker!L:L, "N") / AK71,  0)</f>
        <v>0.60227272727272729</v>
      </c>
    </row>
    <row r="72" spans="1:41" x14ac:dyDescent="0.25">
      <c r="A72" s="119"/>
      <c r="B72" s="32">
        <f t="shared" si="48"/>
        <v>45287</v>
      </c>
      <c r="C72" s="27">
        <f t="shared" si="23"/>
        <v>45287</v>
      </c>
      <c r="D72" s="109" t="b">
        <f t="shared" ca="1" si="55"/>
        <v>1</v>
      </c>
      <c r="E72" s="51">
        <f t="shared" si="49"/>
        <v>0</v>
      </c>
      <c r="F72" s="48">
        <f>COUNTIFS(Tracker!G:G,Daily!C72, Tracker!J:J,"Y")</f>
        <v>0</v>
      </c>
      <c r="G72" s="26">
        <f>COUNTIFS(Tracker!G:G,Daily!C72, Tracker!J:J,"Y (with hints)")</f>
        <v>0</v>
      </c>
      <c r="H72" s="33">
        <f>COUNTIFS(Tracker!G:G,Daily!C72, Tracker!J:J,"N")</f>
        <v>0</v>
      </c>
      <c r="I72" s="54">
        <f t="shared" si="50"/>
        <v>0</v>
      </c>
      <c r="J72" s="26">
        <f>COUNTIFS(Tracker!G:G,Daily!C72, Tracker!J:J,"Y",Tracker!E:E,1)</f>
        <v>0</v>
      </c>
      <c r="K72" s="26">
        <f>COUNTIFS(Tracker!G:G,Daily!C72, Tracker!J:J,"Y (with hints)",Tracker!E:E,1)</f>
        <v>0</v>
      </c>
      <c r="L72" s="33">
        <f>COUNTIFS(Tracker!G:G,Daily!C72, Tracker!J:J,"N",Tracker!E:E,1)</f>
        <v>0</v>
      </c>
      <c r="M72" s="54">
        <f t="shared" si="51"/>
        <v>0</v>
      </c>
      <c r="N72" s="26">
        <f>COUNTIFS(Tracker!G:G,Daily!C72, Tracker!J:J,"Y",Tracker!E:E,2)</f>
        <v>0</v>
      </c>
      <c r="O72" s="26">
        <f>COUNTIFS(Tracker!G:G,Daily!C72, Tracker!J:J,"Y (with hints)",Tracker!E:E,2)</f>
        <v>0</v>
      </c>
      <c r="P72" s="33">
        <f>COUNTIFS(Tracker!G:G,Daily!C72, Tracker!J:J,"N",Tracker!E:E,2)</f>
        <v>0</v>
      </c>
      <c r="Q72" s="57">
        <f t="shared" si="52"/>
        <v>0</v>
      </c>
      <c r="R72" s="26">
        <f>COUNTIFS(Tracker!G:G,Daily!C72, Tracker!J:J,"Y",Tracker!E:E,3)</f>
        <v>0</v>
      </c>
      <c r="S72" s="26">
        <f>COUNTIFS(Tracker!G:G,Daily!C72, Tracker!J:J,"Y (with hints)",Tracker!E:E,3)</f>
        <v>0</v>
      </c>
      <c r="T72" s="33">
        <f>COUNTIFS(Tracker!G:G,Daily!C72, Tracker!J:J,"N",Tracker!E:E,3)</f>
        <v>0</v>
      </c>
      <c r="V72" s="48">
        <f t="shared" si="45"/>
        <v>60</v>
      </c>
      <c r="W72" s="26">
        <f t="shared" si="46"/>
        <v>56</v>
      </c>
      <c r="X72" s="62">
        <f t="shared" si="47"/>
        <v>0.93333333333333335</v>
      </c>
      <c r="Y72" s="74">
        <f>AVERAGEIFS(Tracker!I:I, Tracker!E:E, 1, Tracker!G:G, "&lt;="&amp;Daily!C72, Tracker!J:J, "Y")</f>
        <v>13.035714285714286</v>
      </c>
      <c r="Z72" s="77">
        <f>COUNTIFS(Tracker!E:E, 1, Tracker!G:G, "&lt;="&amp;Daily!C72, Tracker!L:L, "N") / V72</f>
        <v>0.75</v>
      </c>
      <c r="AA72" s="48">
        <f t="shared" si="56"/>
        <v>98</v>
      </c>
      <c r="AB72" s="26">
        <f t="shared" si="57"/>
        <v>75</v>
      </c>
      <c r="AC72" s="62">
        <f t="shared" si="62"/>
        <v>0.76530612244897955</v>
      </c>
      <c r="AD72" s="74">
        <f>AVERAGEIFS(Tracker!I:I, Tracker!E:E, 2, Tracker!G:G, "&lt;="&amp;Daily!C72, Tracker!J:J, "Y")</f>
        <v>25.106666666666666</v>
      </c>
      <c r="AE72" s="77">
        <f>COUNTIFS(Tracker!E:E, 2, Tracker!G:G, "&lt;="&amp;Daily!C72, Tracker!L:L, "N") / AA72</f>
        <v>0.58163265306122447</v>
      </c>
      <c r="AF72" s="48">
        <f t="shared" si="58"/>
        <v>18</v>
      </c>
      <c r="AG72" s="26">
        <f t="shared" si="59"/>
        <v>12</v>
      </c>
      <c r="AH72" s="62">
        <f t="shared" si="60"/>
        <v>0.66666666666666663</v>
      </c>
      <c r="AI72" s="74">
        <f>IFERROR(AVERAGEIFS(Tracker!I:I, Tracker!E:E, 3, Tracker!G:G, "&lt;="&amp;Daily!C72, Tracker!J:J, "Y"), 0)</f>
        <v>41.916666666666664</v>
      </c>
      <c r="AJ72" s="77">
        <f>IFERROR(COUNTIFS(Tracker!E:E, 3, Tracker!G:G, "&lt;="&amp;Daily!C72, Tracker!L:L, "N") / AF72,  0)</f>
        <v>0.22222222222222221</v>
      </c>
      <c r="AK72" s="48">
        <f t="shared" si="53"/>
        <v>176</v>
      </c>
      <c r="AL72" s="26">
        <f t="shared" si="54"/>
        <v>143</v>
      </c>
      <c r="AM72" s="62">
        <f t="shared" si="61"/>
        <v>0.8125</v>
      </c>
      <c r="AN72" s="74">
        <f>IFERROR(AVERAGEIFS(Tracker!I:I,  Tracker!G:G, "&lt;="&amp;Daily!C72, Tracker!J:J, "Y"), 0)</f>
        <v>21.79020979020979</v>
      </c>
      <c r="AO72" s="77">
        <f>IFERROR(COUNTIFS(Tracker!G:G, "&lt;="&amp;Daily!C72, Tracker!L:L, "N") / AK72,  0)</f>
        <v>0.60227272727272729</v>
      </c>
    </row>
    <row r="73" spans="1:41" x14ac:dyDescent="0.25">
      <c r="A73" s="119"/>
      <c r="B73" s="32">
        <f t="shared" si="48"/>
        <v>45288</v>
      </c>
      <c r="C73" s="27">
        <f t="shared" si="23"/>
        <v>45288</v>
      </c>
      <c r="D73" s="109" t="b">
        <f t="shared" ca="1" si="55"/>
        <v>1</v>
      </c>
      <c r="E73" s="51">
        <f t="shared" si="49"/>
        <v>0</v>
      </c>
      <c r="F73" s="48">
        <f>COUNTIFS(Tracker!G:G,Daily!C73, Tracker!J:J,"Y")</f>
        <v>0</v>
      </c>
      <c r="G73" s="26">
        <f>COUNTIFS(Tracker!G:G,Daily!C73, Tracker!J:J,"Y (with hints)")</f>
        <v>0</v>
      </c>
      <c r="H73" s="33">
        <f>COUNTIFS(Tracker!G:G,Daily!C73, Tracker!J:J,"N")</f>
        <v>0</v>
      </c>
      <c r="I73" s="54">
        <f t="shared" si="50"/>
        <v>0</v>
      </c>
      <c r="J73" s="26">
        <f>COUNTIFS(Tracker!G:G,Daily!C73, Tracker!J:J,"Y",Tracker!E:E,1)</f>
        <v>0</v>
      </c>
      <c r="K73" s="26">
        <f>COUNTIFS(Tracker!G:G,Daily!C73, Tracker!J:J,"Y (with hints)",Tracker!E:E,1)</f>
        <v>0</v>
      </c>
      <c r="L73" s="33">
        <f>COUNTIFS(Tracker!G:G,Daily!C73, Tracker!J:J,"N",Tracker!E:E,1)</f>
        <v>0</v>
      </c>
      <c r="M73" s="54">
        <f t="shared" si="51"/>
        <v>0</v>
      </c>
      <c r="N73" s="26">
        <f>COUNTIFS(Tracker!G:G,Daily!C73, Tracker!J:J,"Y",Tracker!E:E,2)</f>
        <v>0</v>
      </c>
      <c r="O73" s="26">
        <f>COUNTIFS(Tracker!G:G,Daily!C73, Tracker!J:J,"Y (with hints)",Tracker!E:E,2)</f>
        <v>0</v>
      </c>
      <c r="P73" s="33">
        <f>COUNTIFS(Tracker!G:G,Daily!C73, Tracker!J:J,"N",Tracker!E:E,2)</f>
        <v>0</v>
      </c>
      <c r="Q73" s="57">
        <f t="shared" si="52"/>
        <v>0</v>
      </c>
      <c r="R73" s="26">
        <f>COUNTIFS(Tracker!G:G,Daily!C73, Tracker!J:J,"Y",Tracker!E:E,3)</f>
        <v>0</v>
      </c>
      <c r="S73" s="26">
        <f>COUNTIFS(Tracker!G:G,Daily!C73, Tracker!J:J,"Y (with hints)",Tracker!E:E,3)</f>
        <v>0</v>
      </c>
      <c r="T73" s="33">
        <f>COUNTIFS(Tracker!G:G,Daily!C73, Tracker!J:J,"N",Tracker!E:E,3)</f>
        <v>0</v>
      </c>
      <c r="V73" s="48">
        <f t="shared" si="45"/>
        <v>60</v>
      </c>
      <c r="W73" s="26">
        <f t="shared" si="46"/>
        <v>56</v>
      </c>
      <c r="X73" s="62">
        <f t="shared" si="47"/>
        <v>0.93333333333333335</v>
      </c>
      <c r="Y73" s="74">
        <f>AVERAGEIFS(Tracker!I:I, Tracker!E:E, 1, Tracker!G:G, "&lt;="&amp;Daily!C73, Tracker!J:J, "Y")</f>
        <v>13.035714285714286</v>
      </c>
      <c r="Z73" s="77">
        <f>COUNTIFS(Tracker!E:E, 1, Tracker!G:G, "&lt;="&amp;Daily!C73, Tracker!L:L, "N") / V73</f>
        <v>0.75</v>
      </c>
      <c r="AA73" s="48">
        <f t="shared" si="56"/>
        <v>98</v>
      </c>
      <c r="AB73" s="26">
        <f t="shared" si="57"/>
        <v>75</v>
      </c>
      <c r="AC73" s="62">
        <f t="shared" si="62"/>
        <v>0.76530612244897955</v>
      </c>
      <c r="AD73" s="74">
        <f>AVERAGEIFS(Tracker!I:I, Tracker!E:E, 2, Tracker!G:G, "&lt;="&amp;Daily!C73, Tracker!J:J, "Y")</f>
        <v>25.106666666666666</v>
      </c>
      <c r="AE73" s="77">
        <f>COUNTIFS(Tracker!E:E, 2, Tracker!G:G, "&lt;="&amp;Daily!C73, Tracker!L:L, "N") / AA73</f>
        <v>0.58163265306122447</v>
      </c>
      <c r="AF73" s="48">
        <f t="shared" si="58"/>
        <v>18</v>
      </c>
      <c r="AG73" s="26">
        <f t="shared" si="59"/>
        <v>12</v>
      </c>
      <c r="AH73" s="62">
        <f t="shared" si="60"/>
        <v>0.66666666666666663</v>
      </c>
      <c r="AI73" s="74">
        <f>IFERROR(AVERAGEIFS(Tracker!I:I, Tracker!E:E, 3, Tracker!G:G, "&lt;="&amp;Daily!C73, Tracker!J:J, "Y"), 0)</f>
        <v>41.916666666666664</v>
      </c>
      <c r="AJ73" s="77">
        <f>IFERROR(COUNTIFS(Tracker!E:E, 3, Tracker!G:G, "&lt;="&amp;Daily!C73, Tracker!L:L, "N") / AF73,  0)</f>
        <v>0.22222222222222221</v>
      </c>
      <c r="AK73" s="48">
        <f t="shared" si="53"/>
        <v>176</v>
      </c>
      <c r="AL73" s="26">
        <f t="shared" si="54"/>
        <v>143</v>
      </c>
      <c r="AM73" s="62">
        <f t="shared" si="61"/>
        <v>0.8125</v>
      </c>
      <c r="AN73" s="74">
        <f>IFERROR(AVERAGEIFS(Tracker!I:I,  Tracker!G:G, "&lt;="&amp;Daily!C73, Tracker!J:J, "Y"), 0)</f>
        <v>21.79020979020979</v>
      </c>
      <c r="AO73" s="77">
        <f>IFERROR(COUNTIFS(Tracker!G:G, "&lt;="&amp;Daily!C73, Tracker!L:L, "N") / AK73,  0)</f>
        <v>0.60227272727272729</v>
      </c>
    </row>
    <row r="74" spans="1:41" x14ac:dyDescent="0.25">
      <c r="A74" s="119"/>
      <c r="B74" s="32">
        <f t="shared" si="48"/>
        <v>45289</v>
      </c>
      <c r="C74" s="27">
        <f t="shared" si="23"/>
        <v>45289</v>
      </c>
      <c r="D74" s="109" t="b">
        <f t="shared" ca="1" si="55"/>
        <v>1</v>
      </c>
      <c r="E74" s="51">
        <f t="shared" si="49"/>
        <v>1</v>
      </c>
      <c r="F74" s="48">
        <f>COUNTIFS(Tracker!G:G,Daily!C74, Tracker!J:J,"Y")</f>
        <v>1</v>
      </c>
      <c r="G74" s="26">
        <f>COUNTIFS(Tracker!G:G,Daily!C74, Tracker!J:J,"Y (with hints)")</f>
        <v>0</v>
      </c>
      <c r="H74" s="33">
        <f>COUNTIFS(Tracker!G:G,Daily!C74, Tracker!J:J,"N")</f>
        <v>0</v>
      </c>
      <c r="I74" s="54">
        <f t="shared" si="50"/>
        <v>1</v>
      </c>
      <c r="J74" s="26">
        <f>COUNTIFS(Tracker!G:G,Daily!C74, Tracker!J:J,"Y",Tracker!E:E,1)</f>
        <v>1</v>
      </c>
      <c r="K74" s="26">
        <f>COUNTIFS(Tracker!G:G,Daily!C74, Tracker!J:J,"Y (with hints)",Tracker!E:E,1)</f>
        <v>0</v>
      </c>
      <c r="L74" s="33">
        <f>COUNTIFS(Tracker!G:G,Daily!C74, Tracker!J:J,"N",Tracker!E:E,1)</f>
        <v>0</v>
      </c>
      <c r="M74" s="54">
        <f t="shared" si="51"/>
        <v>0</v>
      </c>
      <c r="N74" s="26">
        <f>COUNTIFS(Tracker!G:G,Daily!C74, Tracker!J:J,"Y",Tracker!E:E,2)</f>
        <v>0</v>
      </c>
      <c r="O74" s="26">
        <f>COUNTIFS(Tracker!G:G,Daily!C74, Tracker!J:J,"Y (with hints)",Tracker!E:E,2)</f>
        <v>0</v>
      </c>
      <c r="P74" s="33">
        <f>COUNTIFS(Tracker!G:G,Daily!C74, Tracker!J:J,"N",Tracker!E:E,2)</f>
        <v>0</v>
      </c>
      <c r="Q74" s="57">
        <f t="shared" si="52"/>
        <v>0</v>
      </c>
      <c r="R74" s="26">
        <f>COUNTIFS(Tracker!G:G,Daily!C74, Tracker!J:J,"Y",Tracker!E:E,3)</f>
        <v>0</v>
      </c>
      <c r="S74" s="26">
        <f>COUNTIFS(Tracker!G:G,Daily!C74, Tracker!J:J,"Y (with hints)",Tracker!E:E,3)</f>
        <v>0</v>
      </c>
      <c r="T74" s="33">
        <f>COUNTIFS(Tracker!G:G,Daily!C74, Tracker!J:J,"N",Tracker!E:E,3)</f>
        <v>0</v>
      </c>
      <c r="V74" s="48">
        <f t="shared" si="45"/>
        <v>61</v>
      </c>
      <c r="W74" s="26">
        <f t="shared" si="46"/>
        <v>57</v>
      </c>
      <c r="X74" s="62">
        <f t="shared" si="47"/>
        <v>0.93442622950819676</v>
      </c>
      <c r="Y74" s="74">
        <f>AVERAGEIFS(Tracker!I:I, Tracker!E:E, 1, Tracker!G:G, "&lt;="&amp;Daily!C74, Tracker!J:J, "Y")</f>
        <v>12.964912280701755</v>
      </c>
      <c r="Z74" s="77">
        <f>COUNTIFS(Tracker!E:E, 1, Tracker!G:G, "&lt;="&amp;Daily!C74, Tracker!L:L, "N") / V74</f>
        <v>0.75409836065573765</v>
      </c>
      <c r="AA74" s="48">
        <f t="shared" si="56"/>
        <v>98</v>
      </c>
      <c r="AB74" s="26">
        <f t="shared" si="57"/>
        <v>75</v>
      </c>
      <c r="AC74" s="62">
        <f t="shared" si="62"/>
        <v>0.76530612244897955</v>
      </c>
      <c r="AD74" s="74">
        <f>AVERAGEIFS(Tracker!I:I, Tracker!E:E, 2, Tracker!G:G, "&lt;="&amp;Daily!C74, Tracker!J:J, "Y")</f>
        <v>25.106666666666666</v>
      </c>
      <c r="AE74" s="77">
        <f>COUNTIFS(Tracker!E:E, 2, Tracker!G:G, "&lt;="&amp;Daily!C74, Tracker!L:L, "N") / AA74</f>
        <v>0.58163265306122447</v>
      </c>
      <c r="AF74" s="48">
        <f t="shared" si="58"/>
        <v>18</v>
      </c>
      <c r="AG74" s="26">
        <f t="shared" si="59"/>
        <v>12</v>
      </c>
      <c r="AH74" s="62">
        <f t="shared" si="60"/>
        <v>0.66666666666666663</v>
      </c>
      <c r="AI74" s="74">
        <f>IFERROR(AVERAGEIFS(Tracker!I:I, Tracker!E:E, 3, Tracker!G:G, "&lt;="&amp;Daily!C74, Tracker!J:J, "Y"), 0)</f>
        <v>41.916666666666664</v>
      </c>
      <c r="AJ74" s="77">
        <f>IFERROR(COUNTIFS(Tracker!E:E, 3, Tracker!G:G, "&lt;="&amp;Daily!C74, Tracker!L:L, "N") / AF74,  0)</f>
        <v>0.22222222222222221</v>
      </c>
      <c r="AK74" s="48">
        <f t="shared" si="53"/>
        <v>177</v>
      </c>
      <c r="AL74" s="26">
        <f t="shared" si="54"/>
        <v>144</v>
      </c>
      <c r="AM74" s="62">
        <f t="shared" si="61"/>
        <v>0.81355932203389836</v>
      </c>
      <c r="AN74" s="74">
        <f>IFERROR(AVERAGEIFS(Tracker!I:I,  Tracker!G:G, "&lt;="&amp;Daily!C74, Tracker!J:J, "Y"), 0)</f>
        <v>21.701388888888889</v>
      </c>
      <c r="AO74" s="77">
        <f>IFERROR(COUNTIFS(Tracker!G:G, "&lt;="&amp;Daily!C74, Tracker!L:L, "N") / AK74,  0)</f>
        <v>0.60451977401129942</v>
      </c>
    </row>
    <row r="75" spans="1:41" x14ac:dyDescent="0.25">
      <c r="A75" s="119"/>
      <c r="B75" s="32">
        <f t="shared" si="48"/>
        <v>45290</v>
      </c>
      <c r="C75" s="27">
        <f t="shared" si="23"/>
        <v>45290</v>
      </c>
      <c r="D75" s="109" t="b">
        <f t="shared" ca="1" si="55"/>
        <v>1</v>
      </c>
      <c r="E75" s="51">
        <f t="shared" si="49"/>
        <v>0</v>
      </c>
      <c r="F75" s="48">
        <f>COUNTIFS(Tracker!G:G,Daily!C75, Tracker!J:J,"Y")</f>
        <v>0</v>
      </c>
      <c r="G75" s="26">
        <f>COUNTIFS(Tracker!G:G,Daily!C75, Tracker!J:J,"Y (with hints)")</f>
        <v>0</v>
      </c>
      <c r="H75" s="33">
        <f>COUNTIFS(Tracker!G:G,Daily!C75, Tracker!J:J,"N")</f>
        <v>0</v>
      </c>
      <c r="I75" s="54">
        <f t="shared" si="50"/>
        <v>0</v>
      </c>
      <c r="J75" s="26">
        <f>COUNTIFS(Tracker!G:G,Daily!C75, Tracker!J:J,"Y",Tracker!E:E,1)</f>
        <v>0</v>
      </c>
      <c r="K75" s="26">
        <f>COUNTIFS(Tracker!G:G,Daily!C75, Tracker!J:J,"Y (with hints)",Tracker!E:E,1)</f>
        <v>0</v>
      </c>
      <c r="L75" s="33">
        <f>COUNTIFS(Tracker!G:G,Daily!C75, Tracker!J:J,"N",Tracker!E:E,1)</f>
        <v>0</v>
      </c>
      <c r="M75" s="54">
        <f t="shared" si="51"/>
        <v>0</v>
      </c>
      <c r="N75" s="26">
        <f>COUNTIFS(Tracker!G:G,Daily!C75, Tracker!J:J,"Y",Tracker!E:E,2)</f>
        <v>0</v>
      </c>
      <c r="O75" s="26">
        <f>COUNTIFS(Tracker!G:G,Daily!C75, Tracker!J:J,"Y (with hints)",Tracker!E:E,2)</f>
        <v>0</v>
      </c>
      <c r="P75" s="33">
        <f>COUNTIFS(Tracker!G:G,Daily!C75, Tracker!J:J,"N",Tracker!E:E,2)</f>
        <v>0</v>
      </c>
      <c r="Q75" s="57">
        <f t="shared" si="52"/>
        <v>0</v>
      </c>
      <c r="R75" s="26">
        <f>COUNTIFS(Tracker!G:G,Daily!C75, Tracker!J:J,"Y",Tracker!E:E,3)</f>
        <v>0</v>
      </c>
      <c r="S75" s="26">
        <f>COUNTIFS(Tracker!G:G,Daily!C75, Tracker!J:J,"Y (with hints)",Tracker!E:E,3)</f>
        <v>0</v>
      </c>
      <c r="T75" s="33">
        <f>COUNTIFS(Tracker!G:G,Daily!C75, Tracker!J:J,"N",Tracker!E:E,3)</f>
        <v>0</v>
      </c>
      <c r="V75" s="48">
        <f t="shared" si="45"/>
        <v>61</v>
      </c>
      <c r="W75" s="26">
        <f t="shared" si="46"/>
        <v>57</v>
      </c>
      <c r="X75" s="62">
        <f t="shared" si="47"/>
        <v>0.93442622950819676</v>
      </c>
      <c r="Y75" s="74">
        <f>AVERAGEIFS(Tracker!I:I, Tracker!E:E, 1, Tracker!G:G, "&lt;="&amp;Daily!C75, Tracker!J:J, "Y")</f>
        <v>12.964912280701755</v>
      </c>
      <c r="Z75" s="77">
        <f>COUNTIFS(Tracker!E:E, 1, Tracker!G:G, "&lt;="&amp;Daily!C75, Tracker!L:L, "N") / V75</f>
        <v>0.75409836065573765</v>
      </c>
      <c r="AA75" s="48">
        <f t="shared" si="56"/>
        <v>98</v>
      </c>
      <c r="AB75" s="26">
        <f t="shared" si="57"/>
        <v>75</v>
      </c>
      <c r="AC75" s="62">
        <f t="shared" si="62"/>
        <v>0.76530612244897955</v>
      </c>
      <c r="AD75" s="74">
        <f>AVERAGEIFS(Tracker!I:I, Tracker!E:E, 2, Tracker!G:G, "&lt;="&amp;Daily!C75, Tracker!J:J, "Y")</f>
        <v>25.106666666666666</v>
      </c>
      <c r="AE75" s="77">
        <f>COUNTIFS(Tracker!E:E, 2, Tracker!G:G, "&lt;="&amp;Daily!C75, Tracker!L:L, "N") / AA75</f>
        <v>0.58163265306122447</v>
      </c>
      <c r="AF75" s="48">
        <f t="shared" si="58"/>
        <v>18</v>
      </c>
      <c r="AG75" s="26">
        <f t="shared" si="59"/>
        <v>12</v>
      </c>
      <c r="AH75" s="62">
        <f t="shared" si="60"/>
        <v>0.66666666666666663</v>
      </c>
      <c r="AI75" s="74">
        <f>IFERROR(AVERAGEIFS(Tracker!I:I, Tracker!E:E, 3, Tracker!G:G, "&lt;="&amp;Daily!C75, Tracker!J:J, "Y"), 0)</f>
        <v>41.916666666666664</v>
      </c>
      <c r="AJ75" s="77">
        <f>IFERROR(COUNTIFS(Tracker!E:E, 3, Tracker!G:G, "&lt;="&amp;Daily!C75, Tracker!L:L, "N") / AF75,  0)</f>
        <v>0.22222222222222221</v>
      </c>
      <c r="AK75" s="48">
        <f t="shared" si="53"/>
        <v>177</v>
      </c>
      <c r="AL75" s="26">
        <f t="shared" si="54"/>
        <v>144</v>
      </c>
      <c r="AM75" s="62">
        <f t="shared" si="61"/>
        <v>0.81355932203389836</v>
      </c>
      <c r="AN75" s="74">
        <f>IFERROR(AVERAGEIFS(Tracker!I:I,  Tracker!G:G, "&lt;="&amp;Daily!C75, Tracker!J:J, "Y"), 0)</f>
        <v>21.701388888888889</v>
      </c>
      <c r="AO75" s="77">
        <f>IFERROR(COUNTIFS(Tracker!G:G, "&lt;="&amp;Daily!C75, Tracker!L:L, "N") / AK75,  0)</f>
        <v>0.60451977401129942</v>
      </c>
    </row>
    <row r="76" spans="1:41" ht="15.75" thickBot="1" x14ac:dyDescent="0.3">
      <c r="A76" s="120"/>
      <c r="B76" s="34">
        <f t="shared" si="48"/>
        <v>45291</v>
      </c>
      <c r="C76" s="35">
        <f t="shared" si="23"/>
        <v>45291</v>
      </c>
      <c r="D76" s="110" t="b">
        <f t="shared" ca="1" si="55"/>
        <v>1</v>
      </c>
      <c r="E76" s="52">
        <f t="shared" si="49"/>
        <v>0</v>
      </c>
      <c r="F76" s="39">
        <f>COUNTIFS(Tracker!G:G,Daily!C76, Tracker!J:J,"Y")</f>
        <v>0</v>
      </c>
      <c r="G76" s="36">
        <f>COUNTIFS(Tracker!G:G,Daily!C76, Tracker!J:J,"Y (with hints)")</f>
        <v>0</v>
      </c>
      <c r="H76" s="37">
        <f>COUNTIFS(Tracker!G:G,Daily!C76, Tracker!J:J,"N")</f>
        <v>0</v>
      </c>
      <c r="I76" s="55">
        <f t="shared" si="50"/>
        <v>0</v>
      </c>
      <c r="J76" s="36">
        <f>COUNTIFS(Tracker!G:G,Daily!C76, Tracker!J:J,"Y",Tracker!E:E,1)</f>
        <v>0</v>
      </c>
      <c r="K76" s="36">
        <f>COUNTIFS(Tracker!G:G,Daily!C76, Tracker!J:J,"Y (with hints)",Tracker!E:E,1)</f>
        <v>0</v>
      </c>
      <c r="L76" s="37">
        <f>COUNTIFS(Tracker!G:G,Daily!C76, Tracker!J:J,"N",Tracker!E:E,1)</f>
        <v>0</v>
      </c>
      <c r="M76" s="55">
        <f t="shared" si="51"/>
        <v>0</v>
      </c>
      <c r="N76" s="36">
        <f>COUNTIFS(Tracker!G:G,Daily!C76, Tracker!J:J,"Y",Tracker!E:E,2)</f>
        <v>0</v>
      </c>
      <c r="O76" s="36">
        <f>COUNTIFS(Tracker!G:G,Daily!C76, Tracker!J:J,"Y (with hints)",Tracker!E:E,2)</f>
        <v>0</v>
      </c>
      <c r="P76" s="37">
        <f>COUNTIFS(Tracker!G:G,Daily!C76, Tracker!J:J,"N",Tracker!E:E,2)</f>
        <v>0</v>
      </c>
      <c r="Q76" s="58">
        <f t="shared" si="52"/>
        <v>0</v>
      </c>
      <c r="R76" s="36">
        <f>COUNTIFS(Tracker!G:G,Daily!C76, Tracker!J:J,"Y",Tracker!E:E,3)</f>
        <v>0</v>
      </c>
      <c r="S76" s="36">
        <f>COUNTIFS(Tracker!G:G,Daily!C76, Tracker!J:J,"Y (with hints)",Tracker!E:E,3)</f>
        <v>0</v>
      </c>
      <c r="T76" s="37">
        <f>COUNTIFS(Tracker!G:G,Daily!C76, Tracker!J:J,"N",Tracker!E:E,3)</f>
        <v>0</v>
      </c>
      <c r="V76" s="39">
        <f t="shared" si="45"/>
        <v>61</v>
      </c>
      <c r="W76" s="36">
        <f t="shared" si="46"/>
        <v>57</v>
      </c>
      <c r="X76" s="64">
        <f t="shared" si="47"/>
        <v>0.93442622950819676</v>
      </c>
      <c r="Y76" s="78">
        <f>AVERAGEIFS(Tracker!I:I, Tracker!E:E, 1, Tracker!G:G, "&lt;="&amp;Daily!C76, Tracker!J:J, "Y")</f>
        <v>12.964912280701755</v>
      </c>
      <c r="Z76" s="79">
        <f>COUNTIFS(Tracker!E:E, 1, Tracker!G:G, "&lt;="&amp;Daily!C76, Tracker!L:L, "N") / V76</f>
        <v>0.75409836065573765</v>
      </c>
      <c r="AA76" s="39">
        <f t="shared" si="56"/>
        <v>98</v>
      </c>
      <c r="AB76" s="36">
        <f t="shared" si="57"/>
        <v>75</v>
      </c>
      <c r="AC76" s="64">
        <f t="shared" si="62"/>
        <v>0.76530612244897955</v>
      </c>
      <c r="AD76" s="78">
        <f>AVERAGEIFS(Tracker!I:I, Tracker!E:E, 2, Tracker!G:G, "&lt;="&amp;Daily!C76, Tracker!J:J, "Y")</f>
        <v>25.106666666666666</v>
      </c>
      <c r="AE76" s="79">
        <f>COUNTIFS(Tracker!E:E, 2, Tracker!G:G, "&lt;="&amp;Daily!C76, Tracker!L:L, "N") / AA76</f>
        <v>0.58163265306122447</v>
      </c>
      <c r="AF76" s="39">
        <f t="shared" si="58"/>
        <v>18</v>
      </c>
      <c r="AG76" s="36">
        <f t="shared" si="59"/>
        <v>12</v>
      </c>
      <c r="AH76" s="64">
        <f t="shared" si="60"/>
        <v>0.66666666666666663</v>
      </c>
      <c r="AI76" s="78">
        <f>IFERROR(AVERAGEIFS(Tracker!I:I, Tracker!E:E, 3, Tracker!G:G, "&lt;="&amp;Daily!C76, Tracker!J:J, "Y"), 0)</f>
        <v>41.916666666666664</v>
      </c>
      <c r="AJ76" s="79">
        <f>IFERROR(COUNTIFS(Tracker!E:E, 3, Tracker!G:G, "&lt;="&amp;Daily!C76, Tracker!L:L, "N") / AF76,  0)</f>
        <v>0.22222222222222221</v>
      </c>
      <c r="AK76" s="39">
        <f t="shared" si="53"/>
        <v>177</v>
      </c>
      <c r="AL76" s="36">
        <f t="shared" si="54"/>
        <v>144</v>
      </c>
      <c r="AM76" s="64">
        <f t="shared" si="61"/>
        <v>0.81355932203389836</v>
      </c>
      <c r="AN76" s="78">
        <f>IFERROR(AVERAGEIFS(Tracker!I:I,  Tracker!G:G, "&lt;="&amp;Daily!C76, Tracker!J:J, "Y"), 0)</f>
        <v>21.701388888888889</v>
      </c>
      <c r="AO76" s="79">
        <f>IFERROR(COUNTIFS(Tracker!G:G, "&lt;="&amp;Daily!C76, Tracker!L:L, "N") / AK76,  0)</f>
        <v>0.60451977401129942</v>
      </c>
    </row>
    <row r="77" spans="1:41" x14ac:dyDescent="0.25">
      <c r="A77" s="118">
        <v>11</v>
      </c>
      <c r="B77" s="28">
        <f t="shared" si="48"/>
        <v>45292</v>
      </c>
      <c r="C77" s="29">
        <f t="shared" si="23"/>
        <v>45292</v>
      </c>
      <c r="D77" s="108" t="b">
        <f t="shared" ca="1" si="55"/>
        <v>1</v>
      </c>
      <c r="E77" s="50">
        <f t="shared" si="49"/>
        <v>0</v>
      </c>
      <c r="F77" s="38">
        <f>COUNTIFS(Tracker!G:G,Daily!C77, Tracker!J:J,"Y")</f>
        <v>0</v>
      </c>
      <c r="G77" s="30">
        <f>COUNTIFS(Tracker!G:G,Daily!C77, Tracker!J:J,"Y (with hints)")</f>
        <v>0</v>
      </c>
      <c r="H77" s="31">
        <f>COUNTIFS(Tracker!G:G,Daily!C77, Tracker!J:J,"N")</f>
        <v>0</v>
      </c>
      <c r="I77" s="53">
        <f t="shared" si="50"/>
        <v>0</v>
      </c>
      <c r="J77" s="30">
        <f>COUNTIFS(Tracker!G:G,Daily!C77, Tracker!J:J,"Y",Tracker!E:E,1)</f>
        <v>0</v>
      </c>
      <c r="K77" s="30">
        <f>COUNTIFS(Tracker!G:G,Daily!C77, Tracker!J:J,"Y (with hints)",Tracker!E:E,1)</f>
        <v>0</v>
      </c>
      <c r="L77" s="31">
        <f>COUNTIFS(Tracker!G:G,Daily!C77, Tracker!J:J,"N",Tracker!E:E,1)</f>
        <v>0</v>
      </c>
      <c r="M77" s="53">
        <f t="shared" si="51"/>
        <v>0</v>
      </c>
      <c r="N77" s="30">
        <f>COUNTIFS(Tracker!G:G,Daily!C77, Tracker!J:J,"Y",Tracker!E:E,2)</f>
        <v>0</v>
      </c>
      <c r="O77" s="30">
        <f>COUNTIFS(Tracker!G:G,Daily!C77, Tracker!J:J,"Y (with hints)",Tracker!E:E,2)</f>
        <v>0</v>
      </c>
      <c r="P77" s="31">
        <f>COUNTIFS(Tracker!G:G,Daily!C77, Tracker!J:J,"N",Tracker!E:E,2)</f>
        <v>0</v>
      </c>
      <c r="Q77" s="56">
        <f t="shared" si="52"/>
        <v>0</v>
      </c>
      <c r="R77" s="30">
        <f>COUNTIFS(Tracker!G:G,Daily!C77, Tracker!J:J,"Y",Tracker!E:E,3)</f>
        <v>0</v>
      </c>
      <c r="S77" s="30">
        <f>COUNTIFS(Tracker!G:G,Daily!C77, Tracker!J:J,"Y (with hints)",Tracker!E:E,3)</f>
        <v>0</v>
      </c>
      <c r="T77" s="31">
        <f>COUNTIFS(Tracker!G:G,Daily!C77, Tracker!J:J,"N",Tracker!E:E,3)</f>
        <v>0</v>
      </c>
      <c r="V77" s="38">
        <f t="shared" si="45"/>
        <v>61</v>
      </c>
      <c r="W77" s="30">
        <f t="shared" si="46"/>
        <v>57</v>
      </c>
      <c r="X77" s="73">
        <f t="shared" si="47"/>
        <v>0.93442622950819676</v>
      </c>
      <c r="Y77" s="75">
        <f>AVERAGEIFS(Tracker!I:I, Tracker!E:E, 1, Tracker!G:G, "&lt;="&amp;Daily!C77, Tracker!J:J, "Y")</f>
        <v>12.964912280701755</v>
      </c>
      <c r="Z77" s="76">
        <f>COUNTIFS(Tracker!E:E, 1, Tracker!G:G, "&lt;="&amp;Daily!C77, Tracker!L:L, "N") / V77</f>
        <v>0.75409836065573765</v>
      </c>
      <c r="AA77" s="38">
        <f t="shared" si="56"/>
        <v>98</v>
      </c>
      <c r="AB77" s="30">
        <f t="shared" si="57"/>
        <v>75</v>
      </c>
      <c r="AC77" s="73">
        <f t="shared" si="62"/>
        <v>0.76530612244897955</v>
      </c>
      <c r="AD77" s="75">
        <f>AVERAGEIFS(Tracker!I:I, Tracker!E:E, 2, Tracker!G:G, "&lt;="&amp;Daily!C77, Tracker!J:J, "Y")</f>
        <v>25.106666666666666</v>
      </c>
      <c r="AE77" s="76">
        <f>COUNTIFS(Tracker!E:E, 2, Tracker!G:G, "&lt;="&amp;Daily!C77, Tracker!L:L, "N") / AA77</f>
        <v>0.58163265306122447</v>
      </c>
      <c r="AF77" s="38">
        <f t="shared" si="58"/>
        <v>18</v>
      </c>
      <c r="AG77" s="30">
        <f t="shared" si="59"/>
        <v>12</v>
      </c>
      <c r="AH77" s="73">
        <f t="shared" si="60"/>
        <v>0.66666666666666663</v>
      </c>
      <c r="AI77" s="75">
        <f>IFERROR(AVERAGEIFS(Tracker!I:I, Tracker!E:E, 3, Tracker!G:G, "&lt;="&amp;Daily!C77, Tracker!J:J, "Y"), 0)</f>
        <v>41.916666666666664</v>
      </c>
      <c r="AJ77" s="76">
        <f>IFERROR(COUNTIFS(Tracker!E:E, 3, Tracker!G:G, "&lt;="&amp;Daily!C77, Tracker!L:L, "N") / AF77,  0)</f>
        <v>0.22222222222222221</v>
      </c>
      <c r="AK77" s="38">
        <f t="shared" si="53"/>
        <v>177</v>
      </c>
      <c r="AL77" s="30">
        <f t="shared" si="54"/>
        <v>144</v>
      </c>
      <c r="AM77" s="73">
        <f t="shared" si="61"/>
        <v>0.81355932203389836</v>
      </c>
      <c r="AN77" s="75">
        <f>IFERROR(AVERAGEIFS(Tracker!I:I,  Tracker!G:G, "&lt;="&amp;Daily!C77, Tracker!J:J, "Y"), 0)</f>
        <v>21.701388888888889</v>
      </c>
      <c r="AO77" s="76">
        <f>IFERROR(COUNTIFS(Tracker!G:G, "&lt;="&amp;Daily!C77, Tracker!L:L, "N") / AK77,  0)</f>
        <v>0.60451977401129942</v>
      </c>
    </row>
    <row r="78" spans="1:41" x14ac:dyDescent="0.25">
      <c r="A78" s="119"/>
      <c r="B78" s="32">
        <f t="shared" si="48"/>
        <v>45293</v>
      </c>
      <c r="C78" s="27">
        <f t="shared" si="23"/>
        <v>45293</v>
      </c>
      <c r="D78" s="109" t="b">
        <f t="shared" ca="1" si="55"/>
        <v>1</v>
      </c>
      <c r="E78" s="51">
        <f t="shared" si="49"/>
        <v>4</v>
      </c>
      <c r="F78" s="48">
        <f>COUNTIFS(Tracker!G:G,Daily!C78, Tracker!J:J,"Y")</f>
        <v>4</v>
      </c>
      <c r="G78" s="26">
        <f>COUNTIFS(Tracker!G:G,Daily!C78, Tracker!J:J,"Y (with hints)")</f>
        <v>0</v>
      </c>
      <c r="H78" s="33">
        <f>COUNTIFS(Tracker!G:G,Daily!C78, Tracker!J:J,"N")</f>
        <v>0</v>
      </c>
      <c r="I78" s="54">
        <f t="shared" si="50"/>
        <v>0</v>
      </c>
      <c r="J78" s="26">
        <f>COUNTIFS(Tracker!G:G,Daily!C78, Tracker!J:J,"Y",Tracker!E:E,1)</f>
        <v>0</v>
      </c>
      <c r="K78" s="26">
        <f>COUNTIFS(Tracker!G:G,Daily!C78, Tracker!J:J,"Y (with hints)",Tracker!E:E,1)</f>
        <v>0</v>
      </c>
      <c r="L78" s="33">
        <f>COUNTIFS(Tracker!G:G,Daily!C78, Tracker!J:J,"N",Tracker!E:E,1)</f>
        <v>0</v>
      </c>
      <c r="M78" s="54">
        <f t="shared" si="51"/>
        <v>4</v>
      </c>
      <c r="N78" s="26">
        <f>COUNTIFS(Tracker!G:G,Daily!C78, Tracker!J:J,"Y",Tracker!E:E,2)</f>
        <v>4</v>
      </c>
      <c r="O78" s="26">
        <f>COUNTIFS(Tracker!G:G,Daily!C78, Tracker!J:J,"Y (with hints)",Tracker!E:E,2)</f>
        <v>0</v>
      </c>
      <c r="P78" s="33">
        <f>COUNTIFS(Tracker!G:G,Daily!C78, Tracker!J:J,"N",Tracker!E:E,2)</f>
        <v>0</v>
      </c>
      <c r="Q78" s="57">
        <f t="shared" si="52"/>
        <v>0</v>
      </c>
      <c r="R78" s="26">
        <f>COUNTIFS(Tracker!G:G,Daily!C78, Tracker!J:J,"Y",Tracker!E:E,3)</f>
        <v>0</v>
      </c>
      <c r="S78" s="26">
        <f>COUNTIFS(Tracker!G:G,Daily!C78, Tracker!J:J,"Y (with hints)",Tracker!E:E,3)</f>
        <v>0</v>
      </c>
      <c r="T78" s="33">
        <f>COUNTIFS(Tracker!G:G,Daily!C78, Tracker!J:J,"N",Tracker!E:E,3)</f>
        <v>0</v>
      </c>
      <c r="V78" s="48">
        <f t="shared" si="45"/>
        <v>61</v>
      </c>
      <c r="W78" s="26">
        <f t="shared" si="46"/>
        <v>57</v>
      </c>
      <c r="X78" s="62">
        <f t="shared" si="47"/>
        <v>0.93442622950819676</v>
      </c>
      <c r="Y78" s="74">
        <f>AVERAGEIFS(Tracker!I:I, Tracker!E:E, 1, Tracker!G:G, "&lt;="&amp;Daily!C78, Tracker!J:J, "Y")</f>
        <v>12.964912280701755</v>
      </c>
      <c r="Z78" s="77">
        <f>COUNTIFS(Tracker!E:E, 1, Tracker!G:G, "&lt;="&amp;Daily!C78, Tracker!L:L, "N") / V78</f>
        <v>0.75409836065573765</v>
      </c>
      <c r="AA78" s="48">
        <f t="shared" si="56"/>
        <v>102</v>
      </c>
      <c r="AB78" s="26">
        <f t="shared" si="57"/>
        <v>79</v>
      </c>
      <c r="AC78" s="62">
        <f t="shared" si="62"/>
        <v>0.77450980392156865</v>
      </c>
      <c r="AD78" s="74">
        <f>AVERAGEIFS(Tracker!I:I, Tracker!E:E, 2, Tracker!G:G, "&lt;="&amp;Daily!C78, Tracker!J:J, "Y")</f>
        <v>25.164556962025316</v>
      </c>
      <c r="AE78" s="77">
        <f>COUNTIFS(Tracker!E:E, 2, Tracker!G:G, "&lt;="&amp;Daily!C78, Tracker!L:L, "N") / AA78</f>
        <v>0.57843137254901966</v>
      </c>
      <c r="AF78" s="48">
        <f t="shared" si="58"/>
        <v>18</v>
      </c>
      <c r="AG78" s="26">
        <f t="shared" si="59"/>
        <v>12</v>
      </c>
      <c r="AH78" s="62">
        <f t="shared" si="60"/>
        <v>0.66666666666666663</v>
      </c>
      <c r="AI78" s="74">
        <f>IFERROR(AVERAGEIFS(Tracker!I:I, Tracker!E:E, 3, Tracker!G:G, "&lt;="&amp;Daily!C78, Tracker!J:J, "Y"), 0)</f>
        <v>41.916666666666664</v>
      </c>
      <c r="AJ78" s="77">
        <f>IFERROR(COUNTIFS(Tracker!E:E, 3, Tracker!G:G, "&lt;="&amp;Daily!C78, Tracker!L:L, "N") / AF78,  0)</f>
        <v>0.22222222222222221</v>
      </c>
      <c r="AK78" s="48">
        <f t="shared" si="53"/>
        <v>181</v>
      </c>
      <c r="AL78" s="26">
        <f t="shared" si="54"/>
        <v>148</v>
      </c>
      <c r="AM78" s="62">
        <f t="shared" si="61"/>
        <v>0.81767955801104975</v>
      </c>
      <c r="AN78" s="74">
        <f>IFERROR(AVERAGEIFS(Tracker!I:I,  Tracker!G:G, "&lt;="&amp;Daily!C78, Tracker!J:J, "Y"), 0)</f>
        <v>21.824324324324323</v>
      </c>
      <c r="AO78" s="77">
        <f>IFERROR(COUNTIFS(Tracker!G:G, "&lt;="&amp;Daily!C78, Tracker!L:L, "N") / AK78,  0)</f>
        <v>0.60220994475138123</v>
      </c>
    </row>
    <row r="79" spans="1:41" x14ac:dyDescent="0.25">
      <c r="A79" s="119"/>
      <c r="B79" s="32">
        <f t="shared" si="48"/>
        <v>45294</v>
      </c>
      <c r="C79" s="27">
        <f t="shared" ref="C79:C142" si="63">C72+7</f>
        <v>45294</v>
      </c>
      <c r="D79" s="109" t="b">
        <f t="shared" ca="1" si="55"/>
        <v>1</v>
      </c>
      <c r="E79" s="51">
        <f t="shared" si="49"/>
        <v>3</v>
      </c>
      <c r="F79" s="48">
        <f>COUNTIFS(Tracker!G:G,Daily!C79, Tracker!J:J,"Y")</f>
        <v>3</v>
      </c>
      <c r="G79" s="26">
        <f>COUNTIFS(Tracker!G:G,Daily!C79, Tracker!J:J,"Y (with hints)")</f>
        <v>0</v>
      </c>
      <c r="H79" s="33">
        <f>COUNTIFS(Tracker!G:G,Daily!C79, Tracker!J:J,"N")</f>
        <v>0</v>
      </c>
      <c r="I79" s="54">
        <f t="shared" si="50"/>
        <v>1</v>
      </c>
      <c r="J79" s="26">
        <f>COUNTIFS(Tracker!G:G,Daily!C79, Tracker!J:J,"Y",Tracker!E:E,1)</f>
        <v>1</v>
      </c>
      <c r="K79" s="26">
        <f>COUNTIFS(Tracker!G:G,Daily!C79, Tracker!J:J,"Y (with hints)",Tracker!E:E,1)</f>
        <v>0</v>
      </c>
      <c r="L79" s="33">
        <f>COUNTIFS(Tracker!G:G,Daily!C79, Tracker!J:J,"N",Tracker!E:E,1)</f>
        <v>0</v>
      </c>
      <c r="M79" s="54">
        <f t="shared" si="51"/>
        <v>2</v>
      </c>
      <c r="N79" s="26">
        <f>COUNTIFS(Tracker!G:G,Daily!C79, Tracker!J:J,"Y",Tracker!E:E,2)</f>
        <v>2</v>
      </c>
      <c r="O79" s="26">
        <f>COUNTIFS(Tracker!G:G,Daily!C79, Tracker!J:J,"Y (with hints)",Tracker!E:E,2)</f>
        <v>0</v>
      </c>
      <c r="P79" s="33">
        <f>COUNTIFS(Tracker!G:G,Daily!C79, Tracker!J:J,"N",Tracker!E:E,2)</f>
        <v>0</v>
      </c>
      <c r="Q79" s="57">
        <f t="shared" si="52"/>
        <v>0</v>
      </c>
      <c r="R79" s="26">
        <f>COUNTIFS(Tracker!G:G,Daily!C79, Tracker!J:J,"Y",Tracker!E:E,3)</f>
        <v>0</v>
      </c>
      <c r="S79" s="26">
        <f>COUNTIFS(Tracker!G:G,Daily!C79, Tracker!J:J,"Y (with hints)",Tracker!E:E,3)</f>
        <v>0</v>
      </c>
      <c r="T79" s="33">
        <f>COUNTIFS(Tracker!G:G,Daily!C79, Tracker!J:J,"N",Tracker!E:E,3)</f>
        <v>0</v>
      </c>
      <c r="V79" s="48">
        <f t="shared" si="45"/>
        <v>62</v>
      </c>
      <c r="W79" s="26">
        <f t="shared" si="46"/>
        <v>58</v>
      </c>
      <c r="X79" s="62">
        <f t="shared" si="47"/>
        <v>0.93548387096774188</v>
      </c>
      <c r="Y79" s="74">
        <f>AVERAGEIFS(Tracker!I:I, Tracker!E:E, 1, Tracker!G:G, "&lt;="&amp;Daily!C79, Tracker!J:J, "Y")</f>
        <v>12.896551724137931</v>
      </c>
      <c r="Z79" s="77">
        <f>COUNTIFS(Tracker!E:E, 1, Tracker!G:G, "&lt;="&amp;Daily!C79, Tracker!L:L, "N") / V79</f>
        <v>0.75806451612903225</v>
      </c>
      <c r="AA79" s="48">
        <f t="shared" si="56"/>
        <v>104</v>
      </c>
      <c r="AB79" s="26">
        <f t="shared" si="57"/>
        <v>81</v>
      </c>
      <c r="AC79" s="62">
        <f t="shared" si="62"/>
        <v>0.77884615384615385</v>
      </c>
      <c r="AD79" s="74">
        <f>AVERAGEIFS(Tracker!I:I, Tracker!E:E, 2, Tracker!G:G, "&lt;="&amp;Daily!C79, Tracker!J:J, "Y")</f>
        <v>24.901234567901234</v>
      </c>
      <c r="AE79" s="77">
        <f>COUNTIFS(Tracker!E:E, 2, Tracker!G:G, "&lt;="&amp;Daily!C79, Tracker!L:L, "N") / AA79</f>
        <v>0.58653846153846156</v>
      </c>
      <c r="AF79" s="48">
        <f t="shared" si="58"/>
        <v>18</v>
      </c>
      <c r="AG79" s="26">
        <f t="shared" si="59"/>
        <v>12</v>
      </c>
      <c r="AH79" s="62">
        <f t="shared" si="60"/>
        <v>0.66666666666666663</v>
      </c>
      <c r="AI79" s="74">
        <f>IFERROR(AVERAGEIFS(Tracker!I:I, Tracker!E:E, 3, Tracker!G:G, "&lt;="&amp;Daily!C79, Tracker!J:J, "Y"), 0)</f>
        <v>41.916666666666664</v>
      </c>
      <c r="AJ79" s="77">
        <f>IFERROR(COUNTIFS(Tracker!E:E, 3, Tracker!G:G, "&lt;="&amp;Daily!C79, Tracker!L:L, "N") / AF79,  0)</f>
        <v>0.22222222222222221</v>
      </c>
      <c r="AK79" s="48">
        <f t="shared" si="53"/>
        <v>184</v>
      </c>
      <c r="AL79" s="26">
        <f t="shared" si="54"/>
        <v>151</v>
      </c>
      <c r="AM79" s="62">
        <f t="shared" si="61"/>
        <v>0.82065217391304346</v>
      </c>
      <c r="AN79" s="74">
        <f>IFERROR(AVERAGEIFS(Tracker!I:I,  Tracker!G:G, "&lt;="&amp;Daily!C79, Tracker!J:J, "Y"), 0)</f>
        <v>21.642384105960264</v>
      </c>
      <c r="AO79" s="77">
        <f>IFERROR(COUNTIFS(Tracker!G:G, "&lt;="&amp;Daily!C79, Tracker!L:L, "N") / AK79,  0)</f>
        <v>0.60869565217391308</v>
      </c>
    </row>
    <row r="80" spans="1:41" x14ac:dyDescent="0.25">
      <c r="A80" s="119"/>
      <c r="B80" s="32">
        <f t="shared" si="48"/>
        <v>45295</v>
      </c>
      <c r="C80" s="27">
        <f t="shared" si="63"/>
        <v>45295</v>
      </c>
      <c r="D80" s="109" t="b">
        <f t="shared" ca="1" si="55"/>
        <v>1</v>
      </c>
      <c r="E80" s="51">
        <f t="shared" si="49"/>
        <v>2</v>
      </c>
      <c r="F80" s="48">
        <f>COUNTIFS(Tracker!G:G,Daily!C80, Tracker!J:J,"Y")</f>
        <v>2</v>
      </c>
      <c r="G80" s="26">
        <f>COUNTIFS(Tracker!G:G,Daily!C80, Tracker!J:J,"Y (with hints)")</f>
        <v>0</v>
      </c>
      <c r="H80" s="33">
        <f>COUNTIFS(Tracker!G:G,Daily!C80, Tracker!J:J,"N")</f>
        <v>0</v>
      </c>
      <c r="I80" s="54">
        <f t="shared" si="50"/>
        <v>1</v>
      </c>
      <c r="J80" s="26">
        <f>COUNTIFS(Tracker!G:G,Daily!C80, Tracker!J:J,"Y",Tracker!E:E,1)</f>
        <v>1</v>
      </c>
      <c r="K80" s="26">
        <f>COUNTIFS(Tracker!G:G,Daily!C80, Tracker!J:J,"Y (with hints)",Tracker!E:E,1)</f>
        <v>0</v>
      </c>
      <c r="L80" s="33">
        <f>COUNTIFS(Tracker!G:G,Daily!C80, Tracker!J:J,"N",Tracker!E:E,1)</f>
        <v>0</v>
      </c>
      <c r="M80" s="54">
        <f t="shared" si="51"/>
        <v>1</v>
      </c>
      <c r="N80" s="26">
        <f>COUNTIFS(Tracker!G:G,Daily!C80, Tracker!J:J,"Y",Tracker!E:E,2)</f>
        <v>1</v>
      </c>
      <c r="O80" s="26">
        <f>COUNTIFS(Tracker!G:G,Daily!C80, Tracker!J:J,"Y (with hints)",Tracker!E:E,2)</f>
        <v>0</v>
      </c>
      <c r="P80" s="33">
        <f>COUNTIFS(Tracker!G:G,Daily!C80, Tracker!J:J,"N",Tracker!E:E,2)</f>
        <v>0</v>
      </c>
      <c r="Q80" s="57">
        <f t="shared" si="52"/>
        <v>0</v>
      </c>
      <c r="R80" s="26">
        <f>COUNTIFS(Tracker!G:G,Daily!C80, Tracker!J:J,"Y",Tracker!E:E,3)</f>
        <v>0</v>
      </c>
      <c r="S80" s="26">
        <f>COUNTIFS(Tracker!G:G,Daily!C80, Tracker!J:J,"Y (with hints)",Tracker!E:E,3)</f>
        <v>0</v>
      </c>
      <c r="T80" s="33">
        <f>COUNTIFS(Tracker!G:G,Daily!C80, Tracker!J:J,"N",Tracker!E:E,3)</f>
        <v>0</v>
      </c>
      <c r="V80" s="48">
        <f t="shared" si="45"/>
        <v>63</v>
      </c>
      <c r="W80" s="26">
        <f t="shared" si="46"/>
        <v>59</v>
      </c>
      <c r="X80" s="62">
        <f t="shared" si="47"/>
        <v>0.93650793650793651</v>
      </c>
      <c r="Y80" s="74">
        <f>AVERAGEIFS(Tracker!I:I, Tracker!E:E, 1, Tracker!G:G, "&lt;="&amp;Daily!C80, Tracker!J:J, "Y")</f>
        <v>12.830508474576272</v>
      </c>
      <c r="Z80" s="77">
        <f>COUNTIFS(Tracker!E:E, 1, Tracker!G:G, "&lt;="&amp;Daily!C80, Tracker!L:L, "N") / V80</f>
        <v>0.76190476190476186</v>
      </c>
      <c r="AA80" s="48">
        <f t="shared" si="56"/>
        <v>105</v>
      </c>
      <c r="AB80" s="26">
        <f t="shared" si="57"/>
        <v>82</v>
      </c>
      <c r="AC80" s="62">
        <f t="shared" si="62"/>
        <v>0.78095238095238095</v>
      </c>
      <c r="AD80" s="74">
        <f>AVERAGEIFS(Tracker!I:I, Tracker!E:E, 2, Tracker!G:G, "&lt;="&amp;Daily!C80, Tracker!J:J, "Y")</f>
        <v>24.695121951219512</v>
      </c>
      <c r="AE80" s="77">
        <f>COUNTIFS(Tracker!E:E, 2, Tracker!G:G, "&lt;="&amp;Daily!C80, Tracker!L:L, "N") / AA80</f>
        <v>0.580952380952381</v>
      </c>
      <c r="AF80" s="48">
        <f t="shared" si="58"/>
        <v>18</v>
      </c>
      <c r="AG80" s="26">
        <f t="shared" si="59"/>
        <v>12</v>
      </c>
      <c r="AH80" s="62">
        <f t="shared" si="60"/>
        <v>0.66666666666666663</v>
      </c>
      <c r="AI80" s="74">
        <f>IFERROR(AVERAGEIFS(Tracker!I:I, Tracker!E:E, 3, Tracker!G:G, "&lt;="&amp;Daily!C80, Tracker!J:J, "Y"), 0)</f>
        <v>41.916666666666664</v>
      </c>
      <c r="AJ80" s="77">
        <f>IFERROR(COUNTIFS(Tracker!E:E, 3, Tracker!G:G, "&lt;="&amp;Daily!C80, Tracker!L:L, "N") / AF80,  0)</f>
        <v>0.22222222222222221</v>
      </c>
      <c r="AK80" s="48">
        <f t="shared" si="53"/>
        <v>186</v>
      </c>
      <c r="AL80" s="26">
        <f t="shared" si="54"/>
        <v>153</v>
      </c>
      <c r="AM80" s="62">
        <f t="shared" si="61"/>
        <v>0.82258064516129037</v>
      </c>
      <c r="AN80" s="74">
        <f>IFERROR(AVERAGEIFS(Tracker!I:I,  Tracker!G:G, "&lt;="&amp;Daily!C80, Tracker!J:J, "Y"), 0)</f>
        <v>21.470588235294116</v>
      </c>
      <c r="AO80" s="77">
        <f>IFERROR(COUNTIFS(Tracker!G:G, "&lt;="&amp;Daily!C80, Tracker!L:L, "N") / AK80,  0)</f>
        <v>0.60752688172043012</v>
      </c>
    </row>
    <row r="81" spans="1:41" x14ac:dyDescent="0.25">
      <c r="A81" s="119"/>
      <c r="B81" s="32">
        <f t="shared" si="48"/>
        <v>45296</v>
      </c>
      <c r="C81" s="27">
        <f t="shared" si="63"/>
        <v>45296</v>
      </c>
      <c r="D81" s="109" t="b">
        <f t="shared" ca="1" si="55"/>
        <v>1</v>
      </c>
      <c r="E81" s="51">
        <f t="shared" si="49"/>
        <v>3</v>
      </c>
      <c r="F81" s="48">
        <f>COUNTIFS(Tracker!G:G,Daily!C81, Tracker!J:J,"Y")</f>
        <v>2</v>
      </c>
      <c r="G81" s="26">
        <f>COUNTIFS(Tracker!G:G,Daily!C81, Tracker!J:J,"Y (with hints)")</f>
        <v>0</v>
      </c>
      <c r="H81" s="33">
        <f>COUNTIFS(Tracker!G:G,Daily!C81, Tracker!J:J,"N")</f>
        <v>1</v>
      </c>
      <c r="I81" s="54">
        <f t="shared" si="50"/>
        <v>1</v>
      </c>
      <c r="J81" s="26">
        <f>COUNTIFS(Tracker!G:G,Daily!C81, Tracker!J:J,"Y",Tracker!E:E,1)</f>
        <v>1</v>
      </c>
      <c r="K81" s="26">
        <f>COUNTIFS(Tracker!G:G,Daily!C81, Tracker!J:J,"Y (with hints)",Tracker!E:E,1)</f>
        <v>0</v>
      </c>
      <c r="L81" s="33">
        <f>COUNTIFS(Tracker!G:G,Daily!C81, Tracker!J:J,"N",Tracker!E:E,1)</f>
        <v>0</v>
      </c>
      <c r="M81" s="54">
        <f t="shared" si="51"/>
        <v>1</v>
      </c>
      <c r="N81" s="26">
        <f>COUNTIFS(Tracker!G:G,Daily!C81, Tracker!J:J,"Y",Tracker!E:E,2)</f>
        <v>1</v>
      </c>
      <c r="O81" s="26">
        <f>COUNTIFS(Tracker!G:G,Daily!C81, Tracker!J:J,"Y (with hints)",Tracker!E:E,2)</f>
        <v>0</v>
      </c>
      <c r="P81" s="33">
        <f>COUNTIFS(Tracker!G:G,Daily!C81, Tracker!J:J,"N",Tracker!E:E,2)</f>
        <v>0</v>
      </c>
      <c r="Q81" s="57">
        <f t="shared" si="52"/>
        <v>1</v>
      </c>
      <c r="R81" s="26">
        <f>COUNTIFS(Tracker!G:G,Daily!C81, Tracker!J:J,"Y",Tracker!E:E,3)</f>
        <v>0</v>
      </c>
      <c r="S81" s="26">
        <f>COUNTIFS(Tracker!G:G,Daily!C81, Tracker!J:J,"Y (with hints)",Tracker!E:E,3)</f>
        <v>0</v>
      </c>
      <c r="T81" s="33">
        <f>COUNTIFS(Tracker!G:G,Daily!C81, Tracker!J:J,"N",Tracker!E:E,3)</f>
        <v>1</v>
      </c>
      <c r="V81" s="48">
        <f t="shared" si="45"/>
        <v>64</v>
      </c>
      <c r="W81" s="26">
        <f t="shared" si="46"/>
        <v>60</v>
      </c>
      <c r="X81" s="62">
        <f t="shared" si="47"/>
        <v>0.9375</v>
      </c>
      <c r="Y81" s="74">
        <f>AVERAGEIFS(Tracker!I:I, Tracker!E:E, 1, Tracker!G:G, "&lt;="&amp;Daily!C81, Tracker!J:J, "Y")</f>
        <v>12.716666666666667</v>
      </c>
      <c r="Z81" s="77">
        <f>COUNTIFS(Tracker!E:E, 1, Tracker!G:G, "&lt;="&amp;Daily!C81, Tracker!L:L, "N") / V81</f>
        <v>0.765625</v>
      </c>
      <c r="AA81" s="48">
        <f t="shared" si="56"/>
        <v>106</v>
      </c>
      <c r="AB81" s="26">
        <f t="shared" si="57"/>
        <v>83</v>
      </c>
      <c r="AC81" s="62">
        <f t="shared" si="62"/>
        <v>0.78301886792452835</v>
      </c>
      <c r="AD81" s="74">
        <f>AVERAGEIFS(Tracker!I:I, Tracker!E:E, 2, Tracker!G:G, "&lt;="&amp;Daily!C81, Tracker!J:J, "Y")</f>
        <v>24.783132530120483</v>
      </c>
      <c r="AE81" s="77">
        <f>COUNTIFS(Tracker!E:E, 2, Tracker!G:G, "&lt;="&amp;Daily!C81, Tracker!L:L, "N") / AA81</f>
        <v>0.58490566037735847</v>
      </c>
      <c r="AF81" s="48">
        <f t="shared" si="58"/>
        <v>19</v>
      </c>
      <c r="AG81" s="26">
        <f t="shared" si="59"/>
        <v>12</v>
      </c>
      <c r="AH81" s="62">
        <f t="shared" si="60"/>
        <v>0.63157894736842102</v>
      </c>
      <c r="AI81" s="74">
        <f>IFERROR(AVERAGEIFS(Tracker!I:I, Tracker!E:E, 3, Tracker!G:G, "&lt;="&amp;Daily!C81, Tracker!J:J, "Y"), 0)</f>
        <v>41.916666666666664</v>
      </c>
      <c r="AJ81" s="77">
        <f>IFERROR(COUNTIFS(Tracker!E:E, 3, Tracker!G:G, "&lt;="&amp;Daily!C81, Tracker!L:L, "N") / AF81,  0)</f>
        <v>0.21052631578947367</v>
      </c>
      <c r="AK81" s="48">
        <f t="shared" si="53"/>
        <v>189</v>
      </c>
      <c r="AL81" s="26">
        <f t="shared" si="54"/>
        <v>155</v>
      </c>
      <c r="AM81" s="62">
        <f t="shared" si="61"/>
        <v>0.82010582010582012</v>
      </c>
      <c r="AN81" s="74">
        <f>IFERROR(AVERAGEIFS(Tracker!I:I,  Tracker!G:G, "&lt;="&amp;Daily!C81, Tracker!J:J, "Y"), 0)</f>
        <v>21.438709677419354</v>
      </c>
      <c r="AO81" s="77">
        <f>IFERROR(COUNTIFS(Tracker!G:G, "&lt;="&amp;Daily!C81, Tracker!L:L, "N") / AK81,  0)</f>
        <v>0.60846560846560849</v>
      </c>
    </row>
    <row r="82" spans="1:41" x14ac:dyDescent="0.25">
      <c r="A82" s="119"/>
      <c r="B82" s="32">
        <f t="shared" si="48"/>
        <v>45297</v>
      </c>
      <c r="C82" s="27">
        <f t="shared" si="63"/>
        <v>45297</v>
      </c>
      <c r="D82" s="109" t="b">
        <f t="shared" ca="1" si="55"/>
        <v>1</v>
      </c>
      <c r="E82" s="51">
        <f t="shared" si="49"/>
        <v>2</v>
      </c>
      <c r="F82" s="48">
        <f>COUNTIFS(Tracker!G:G,Daily!C82, Tracker!J:J,"Y")</f>
        <v>2</v>
      </c>
      <c r="G82" s="26">
        <f>COUNTIFS(Tracker!G:G,Daily!C82, Tracker!J:J,"Y (with hints)")</f>
        <v>0</v>
      </c>
      <c r="H82" s="33">
        <f>COUNTIFS(Tracker!G:G,Daily!C82, Tracker!J:J,"N")</f>
        <v>0</v>
      </c>
      <c r="I82" s="54">
        <f t="shared" si="50"/>
        <v>1</v>
      </c>
      <c r="J82" s="26">
        <f>COUNTIFS(Tracker!G:G,Daily!C82, Tracker!J:J,"Y",Tracker!E:E,1)</f>
        <v>1</v>
      </c>
      <c r="K82" s="26">
        <f>COUNTIFS(Tracker!G:G,Daily!C82, Tracker!J:J,"Y (with hints)",Tracker!E:E,1)</f>
        <v>0</v>
      </c>
      <c r="L82" s="33">
        <f>COUNTIFS(Tracker!G:G,Daily!C82, Tracker!J:J,"N",Tracker!E:E,1)</f>
        <v>0</v>
      </c>
      <c r="M82" s="54">
        <f t="shared" si="51"/>
        <v>1</v>
      </c>
      <c r="N82" s="26">
        <f>COUNTIFS(Tracker!G:G,Daily!C82, Tracker!J:J,"Y",Tracker!E:E,2)</f>
        <v>1</v>
      </c>
      <c r="O82" s="26">
        <f>COUNTIFS(Tracker!G:G,Daily!C82, Tracker!J:J,"Y (with hints)",Tracker!E:E,2)</f>
        <v>0</v>
      </c>
      <c r="P82" s="33">
        <f>COUNTIFS(Tracker!G:G,Daily!C82, Tracker!J:J,"N",Tracker!E:E,2)</f>
        <v>0</v>
      </c>
      <c r="Q82" s="57">
        <f t="shared" si="52"/>
        <v>0</v>
      </c>
      <c r="R82" s="26">
        <f>COUNTIFS(Tracker!G:G,Daily!C82, Tracker!J:J,"Y",Tracker!E:E,3)</f>
        <v>0</v>
      </c>
      <c r="S82" s="26">
        <f>COUNTIFS(Tracker!G:G,Daily!C82, Tracker!J:J,"Y (with hints)",Tracker!E:E,3)</f>
        <v>0</v>
      </c>
      <c r="T82" s="33">
        <f>COUNTIFS(Tracker!G:G,Daily!C82, Tracker!J:J,"N",Tracker!E:E,3)</f>
        <v>0</v>
      </c>
      <c r="V82" s="48">
        <f t="shared" si="45"/>
        <v>65</v>
      </c>
      <c r="W82" s="26">
        <f t="shared" si="46"/>
        <v>61</v>
      </c>
      <c r="X82" s="62">
        <f t="shared" si="47"/>
        <v>0.93846153846153846</v>
      </c>
      <c r="Y82" s="74">
        <f>AVERAGEIFS(Tracker!I:I, Tracker!E:E, 1, Tracker!G:G, "&lt;="&amp;Daily!C82, Tracker!J:J, "Y")</f>
        <v>12.655737704918034</v>
      </c>
      <c r="Z82" s="77">
        <f>COUNTIFS(Tracker!E:E, 1, Tracker!G:G, "&lt;="&amp;Daily!C82, Tracker!L:L, "N") / V82</f>
        <v>0.76923076923076927</v>
      </c>
      <c r="AA82" s="48">
        <f t="shared" si="56"/>
        <v>107</v>
      </c>
      <c r="AB82" s="26">
        <f t="shared" si="57"/>
        <v>84</v>
      </c>
      <c r="AC82" s="62">
        <f t="shared" si="62"/>
        <v>0.78504672897196259</v>
      </c>
      <c r="AD82" s="74">
        <f>AVERAGEIFS(Tracker!I:I, Tracker!E:E, 2, Tracker!G:G, "&lt;="&amp;Daily!C82, Tracker!J:J, "Y")</f>
        <v>24.69047619047619</v>
      </c>
      <c r="AE82" s="77">
        <f>COUNTIFS(Tracker!E:E, 2, Tracker!G:G, "&lt;="&amp;Daily!C82, Tracker!L:L, "N") / AA82</f>
        <v>0.58878504672897192</v>
      </c>
      <c r="AF82" s="48">
        <f t="shared" si="58"/>
        <v>19</v>
      </c>
      <c r="AG82" s="26">
        <f t="shared" si="59"/>
        <v>12</v>
      </c>
      <c r="AH82" s="62">
        <f t="shared" si="60"/>
        <v>0.63157894736842102</v>
      </c>
      <c r="AI82" s="74">
        <f>IFERROR(AVERAGEIFS(Tracker!I:I, Tracker!E:E, 3, Tracker!G:G, "&lt;="&amp;Daily!C82, Tracker!J:J, "Y"), 0)</f>
        <v>41.916666666666664</v>
      </c>
      <c r="AJ82" s="77">
        <f>IFERROR(COUNTIFS(Tracker!E:E, 3, Tracker!G:G, "&lt;="&amp;Daily!C82, Tracker!L:L, "N") / AF82,  0)</f>
        <v>0.21052631578947367</v>
      </c>
      <c r="AK82" s="48">
        <f t="shared" si="53"/>
        <v>191</v>
      </c>
      <c r="AL82" s="26">
        <f t="shared" si="54"/>
        <v>157</v>
      </c>
      <c r="AM82" s="62">
        <f t="shared" si="61"/>
        <v>0.82198952879581155</v>
      </c>
      <c r="AN82" s="74">
        <f>IFERROR(AVERAGEIFS(Tracker!I:I,  Tracker!G:G, "&lt;="&amp;Daily!C82, Tracker!J:J, "Y"), 0)</f>
        <v>21.331210191082803</v>
      </c>
      <c r="AO82" s="77">
        <f>IFERROR(COUNTIFS(Tracker!G:G, "&lt;="&amp;Daily!C82, Tracker!L:L, "N") / AK82,  0)</f>
        <v>0.61256544502617805</v>
      </c>
    </row>
    <row r="83" spans="1:41" ht="15.75" thickBot="1" x14ac:dyDescent="0.3">
      <c r="A83" s="120"/>
      <c r="B83" s="34">
        <f t="shared" si="48"/>
        <v>45298</v>
      </c>
      <c r="C83" s="35">
        <f t="shared" si="63"/>
        <v>45298</v>
      </c>
      <c r="D83" s="110" t="b">
        <f t="shared" ca="1" si="55"/>
        <v>1</v>
      </c>
      <c r="E83" s="52">
        <f t="shared" si="49"/>
        <v>2</v>
      </c>
      <c r="F83" s="39">
        <f>COUNTIFS(Tracker!G:G,Daily!C83, Tracker!J:J,"Y")</f>
        <v>2</v>
      </c>
      <c r="G83" s="36">
        <f>COUNTIFS(Tracker!G:G,Daily!C83, Tracker!J:J,"Y (with hints)")</f>
        <v>0</v>
      </c>
      <c r="H83" s="37">
        <f>COUNTIFS(Tracker!G:G,Daily!C83, Tracker!J:J,"N")</f>
        <v>0</v>
      </c>
      <c r="I83" s="55">
        <f t="shared" si="50"/>
        <v>1</v>
      </c>
      <c r="J83" s="36">
        <f>COUNTIFS(Tracker!G:G,Daily!C83, Tracker!J:J,"Y",Tracker!E:E,1)</f>
        <v>1</v>
      </c>
      <c r="K83" s="36">
        <f>COUNTIFS(Tracker!G:G,Daily!C83, Tracker!J:J,"Y (with hints)",Tracker!E:E,1)</f>
        <v>0</v>
      </c>
      <c r="L83" s="37">
        <f>COUNTIFS(Tracker!G:G,Daily!C83, Tracker!J:J,"N",Tracker!E:E,1)</f>
        <v>0</v>
      </c>
      <c r="M83" s="55">
        <f t="shared" si="51"/>
        <v>1</v>
      </c>
      <c r="N83" s="36">
        <f>COUNTIFS(Tracker!G:G,Daily!C83, Tracker!J:J,"Y",Tracker!E:E,2)</f>
        <v>1</v>
      </c>
      <c r="O83" s="36">
        <f>COUNTIFS(Tracker!G:G,Daily!C83, Tracker!J:J,"Y (with hints)",Tracker!E:E,2)</f>
        <v>0</v>
      </c>
      <c r="P83" s="37">
        <f>COUNTIFS(Tracker!G:G,Daily!C83, Tracker!J:J,"N",Tracker!E:E,2)</f>
        <v>0</v>
      </c>
      <c r="Q83" s="58">
        <f t="shared" si="52"/>
        <v>0</v>
      </c>
      <c r="R83" s="36">
        <f>COUNTIFS(Tracker!G:G,Daily!C83, Tracker!J:J,"Y",Tracker!E:E,3)</f>
        <v>0</v>
      </c>
      <c r="S83" s="36">
        <f>COUNTIFS(Tracker!G:G,Daily!C83, Tracker!J:J,"Y (with hints)",Tracker!E:E,3)</f>
        <v>0</v>
      </c>
      <c r="T83" s="37">
        <f>COUNTIFS(Tracker!G:G,Daily!C83, Tracker!J:J,"N",Tracker!E:E,3)</f>
        <v>0</v>
      </c>
      <c r="V83" s="39">
        <f t="shared" si="45"/>
        <v>66</v>
      </c>
      <c r="W83" s="36">
        <f t="shared" si="46"/>
        <v>62</v>
      </c>
      <c r="X83" s="64">
        <f t="shared" si="47"/>
        <v>0.93939393939393945</v>
      </c>
      <c r="Y83" s="78">
        <f>AVERAGEIFS(Tracker!I:I, Tracker!E:E, 1, Tracker!G:G, "&lt;="&amp;Daily!C83, Tracker!J:J, "Y")</f>
        <v>12.693548387096774</v>
      </c>
      <c r="Z83" s="79">
        <f>COUNTIFS(Tracker!E:E, 1, Tracker!G:G, "&lt;="&amp;Daily!C83, Tracker!L:L, "N") / V83</f>
        <v>0.77272727272727271</v>
      </c>
      <c r="AA83" s="39">
        <f t="shared" si="56"/>
        <v>108</v>
      </c>
      <c r="AB83" s="36">
        <f t="shared" si="57"/>
        <v>85</v>
      </c>
      <c r="AC83" s="64">
        <f t="shared" si="62"/>
        <v>0.78703703703703709</v>
      </c>
      <c r="AD83" s="78">
        <f>AVERAGEIFS(Tracker!I:I, Tracker!E:E, 2, Tracker!G:G, "&lt;="&amp;Daily!C83, Tracker!J:J, "Y")</f>
        <v>24.941176470588236</v>
      </c>
      <c r="AE83" s="79">
        <f>COUNTIFS(Tracker!E:E, 2, Tracker!G:G, "&lt;="&amp;Daily!C83, Tracker!L:L, "N") / AA83</f>
        <v>0.58333333333333337</v>
      </c>
      <c r="AF83" s="39">
        <f t="shared" si="58"/>
        <v>19</v>
      </c>
      <c r="AG83" s="36">
        <f t="shared" si="59"/>
        <v>12</v>
      </c>
      <c r="AH83" s="64">
        <f t="shared" si="60"/>
        <v>0.63157894736842102</v>
      </c>
      <c r="AI83" s="78">
        <f>IFERROR(AVERAGEIFS(Tracker!I:I, Tracker!E:E, 3, Tracker!G:G, "&lt;="&amp;Daily!C83, Tracker!J:J, "Y"), 0)</f>
        <v>41.916666666666664</v>
      </c>
      <c r="AJ83" s="79">
        <f>IFERROR(COUNTIFS(Tracker!E:E, 3, Tracker!G:G, "&lt;="&amp;Daily!C83, Tracker!L:L, "N") / AF83,  0)</f>
        <v>0.21052631578947367</v>
      </c>
      <c r="AK83" s="39">
        <f t="shared" si="53"/>
        <v>193</v>
      </c>
      <c r="AL83" s="36">
        <f t="shared" si="54"/>
        <v>159</v>
      </c>
      <c r="AM83" s="64">
        <f t="shared" si="61"/>
        <v>0.82383419689119175</v>
      </c>
      <c r="AN83" s="78">
        <f>IFERROR(AVERAGEIFS(Tracker!I:I,  Tracker!G:G, "&lt;="&amp;Daily!C83, Tracker!J:J, "Y"), 0)</f>
        <v>21.446540880503143</v>
      </c>
      <c r="AO83" s="79">
        <f>IFERROR(COUNTIFS(Tracker!G:G, "&lt;="&amp;Daily!C83, Tracker!L:L, "N") / AK83,  0)</f>
        <v>0.6113989637305699</v>
      </c>
    </row>
    <row r="84" spans="1:41" x14ac:dyDescent="0.25">
      <c r="A84" s="118">
        <v>12</v>
      </c>
      <c r="B84" s="28">
        <f t="shared" si="48"/>
        <v>45299</v>
      </c>
      <c r="C84" s="29">
        <f t="shared" si="63"/>
        <v>45299</v>
      </c>
      <c r="D84" s="108" t="b">
        <f t="shared" ca="1" si="55"/>
        <v>1</v>
      </c>
      <c r="E84" s="50">
        <f t="shared" si="49"/>
        <v>4</v>
      </c>
      <c r="F84" s="38">
        <f>COUNTIFS(Tracker!G:G,Daily!C84, Tracker!J:J,"Y")</f>
        <v>3</v>
      </c>
      <c r="G84" s="30">
        <f>COUNTIFS(Tracker!G:G,Daily!C84, Tracker!J:J,"Y (with hints)")</f>
        <v>1</v>
      </c>
      <c r="H84" s="31">
        <f>COUNTIFS(Tracker!G:G,Daily!C84, Tracker!J:J,"N")</f>
        <v>0</v>
      </c>
      <c r="I84" s="53">
        <f t="shared" si="50"/>
        <v>1</v>
      </c>
      <c r="J84" s="30">
        <f>COUNTIFS(Tracker!G:G,Daily!C84, Tracker!J:J,"Y",Tracker!E:E,1)</f>
        <v>1</v>
      </c>
      <c r="K84" s="30">
        <f>COUNTIFS(Tracker!G:G,Daily!C84, Tracker!J:J,"Y (with hints)",Tracker!E:E,1)</f>
        <v>0</v>
      </c>
      <c r="L84" s="31">
        <f>COUNTIFS(Tracker!G:G,Daily!C84, Tracker!J:J,"N",Tracker!E:E,1)</f>
        <v>0</v>
      </c>
      <c r="M84" s="53">
        <f t="shared" si="51"/>
        <v>2</v>
      </c>
      <c r="N84" s="30">
        <f>COUNTIFS(Tracker!G:G,Daily!C84, Tracker!J:J,"Y",Tracker!E:E,2)</f>
        <v>1</v>
      </c>
      <c r="O84" s="30">
        <f>COUNTIFS(Tracker!G:G,Daily!C84, Tracker!J:J,"Y (with hints)",Tracker!E:E,2)</f>
        <v>1</v>
      </c>
      <c r="P84" s="31">
        <f>COUNTIFS(Tracker!G:G,Daily!C84, Tracker!J:J,"N",Tracker!E:E,2)</f>
        <v>0</v>
      </c>
      <c r="Q84" s="56">
        <f t="shared" si="52"/>
        <v>1</v>
      </c>
      <c r="R84" s="30">
        <f>COUNTIFS(Tracker!G:G,Daily!C84, Tracker!J:J,"Y",Tracker!E:E,3)</f>
        <v>1</v>
      </c>
      <c r="S84" s="30">
        <f>COUNTIFS(Tracker!G:G,Daily!C84, Tracker!J:J,"Y (with hints)",Tracker!E:E,3)</f>
        <v>0</v>
      </c>
      <c r="T84" s="31">
        <f>COUNTIFS(Tracker!G:G,Daily!C84, Tracker!J:J,"N",Tracker!E:E,3)</f>
        <v>0</v>
      </c>
      <c r="V84" s="38">
        <f t="shared" si="45"/>
        <v>67</v>
      </c>
      <c r="W84" s="30">
        <f t="shared" si="46"/>
        <v>63</v>
      </c>
      <c r="X84" s="73">
        <f t="shared" si="47"/>
        <v>0.94029850746268662</v>
      </c>
      <c r="Y84" s="75">
        <f>AVERAGEIFS(Tracker!I:I, Tracker!E:E, 1, Tracker!G:G, "&lt;="&amp;Daily!C84, Tracker!J:J, "Y")</f>
        <v>12.682539682539682</v>
      </c>
      <c r="Z84" s="76">
        <f>COUNTIFS(Tracker!E:E, 1, Tracker!G:G, "&lt;="&amp;Daily!C84, Tracker!L:L, "N") / V84</f>
        <v>0.77611940298507465</v>
      </c>
      <c r="AA84" s="38">
        <f t="shared" si="56"/>
        <v>110</v>
      </c>
      <c r="AB84" s="30">
        <f t="shared" si="57"/>
        <v>86</v>
      </c>
      <c r="AC84" s="73">
        <f t="shared" si="62"/>
        <v>0.78181818181818186</v>
      </c>
      <c r="AD84" s="75">
        <f>AVERAGEIFS(Tracker!I:I, Tracker!E:E, 2, Tracker!G:G, "&lt;="&amp;Daily!C84, Tracker!J:J, "Y")</f>
        <v>25.069767441860463</v>
      </c>
      <c r="AE84" s="76">
        <f>COUNTIFS(Tracker!E:E, 2, Tracker!G:G, "&lt;="&amp;Daily!C84, Tracker!L:L, "N") / AA84</f>
        <v>0.57272727272727275</v>
      </c>
      <c r="AF84" s="38">
        <f t="shared" si="58"/>
        <v>20</v>
      </c>
      <c r="AG84" s="30">
        <f t="shared" si="59"/>
        <v>13</v>
      </c>
      <c r="AH84" s="73">
        <f t="shared" si="60"/>
        <v>0.65</v>
      </c>
      <c r="AI84" s="75">
        <f>IFERROR(AVERAGEIFS(Tracker!I:I, Tracker!E:E, 3, Tracker!G:G, "&lt;="&amp;Daily!C84, Tracker!J:J, "Y"), 0)</f>
        <v>40.769230769230766</v>
      </c>
      <c r="AJ84" s="76">
        <f>IFERROR(COUNTIFS(Tracker!E:E, 3, Tracker!G:G, "&lt;="&amp;Daily!C84, Tracker!L:L, "N") / AF84,  0)</f>
        <v>0.25</v>
      </c>
      <c r="AK84" s="38">
        <f t="shared" si="53"/>
        <v>197</v>
      </c>
      <c r="AL84" s="30">
        <f t="shared" si="54"/>
        <v>162</v>
      </c>
      <c r="AM84" s="73">
        <f t="shared" si="61"/>
        <v>0.82233502538071068</v>
      </c>
      <c r="AN84" s="75">
        <f>IFERROR(AVERAGEIFS(Tracker!I:I,  Tracker!G:G, "&lt;="&amp;Daily!C84, Tracker!J:J, "Y"), 0)</f>
        <v>21.512345679012345</v>
      </c>
      <c r="AO84" s="76">
        <f>IFERROR(COUNTIFS(Tracker!G:G, "&lt;="&amp;Daily!C84, Tracker!L:L, "N") / AK84,  0)</f>
        <v>0.6091370558375635</v>
      </c>
    </row>
    <row r="85" spans="1:41" x14ac:dyDescent="0.25">
      <c r="A85" s="119"/>
      <c r="B85" s="32">
        <f t="shared" si="48"/>
        <v>45300</v>
      </c>
      <c r="C85" s="27">
        <f t="shared" si="63"/>
        <v>45300</v>
      </c>
      <c r="D85" s="109" t="b">
        <f t="shared" ca="1" si="55"/>
        <v>1</v>
      </c>
      <c r="E85" s="51">
        <f t="shared" si="49"/>
        <v>3</v>
      </c>
      <c r="F85" s="48">
        <f>COUNTIFS(Tracker!G:G,Daily!C85, Tracker!J:J,"Y")</f>
        <v>3</v>
      </c>
      <c r="G85" s="26">
        <f>COUNTIFS(Tracker!G:G,Daily!C85, Tracker!J:J,"Y (with hints)")</f>
        <v>0</v>
      </c>
      <c r="H85" s="33">
        <f>COUNTIFS(Tracker!G:G,Daily!C85, Tracker!J:J,"N")</f>
        <v>0</v>
      </c>
      <c r="I85" s="54">
        <f t="shared" si="50"/>
        <v>1</v>
      </c>
      <c r="J85" s="26">
        <f>COUNTIFS(Tracker!G:G,Daily!C85, Tracker!J:J,"Y",Tracker!E:E,1)</f>
        <v>1</v>
      </c>
      <c r="K85" s="26">
        <f>COUNTIFS(Tracker!G:G,Daily!C85, Tracker!J:J,"Y (with hints)",Tracker!E:E,1)</f>
        <v>0</v>
      </c>
      <c r="L85" s="33">
        <f>COUNTIFS(Tracker!G:G,Daily!C85, Tracker!J:J,"N",Tracker!E:E,1)</f>
        <v>0</v>
      </c>
      <c r="M85" s="54">
        <f t="shared" si="51"/>
        <v>1</v>
      </c>
      <c r="N85" s="26">
        <f>COUNTIFS(Tracker!G:G,Daily!C85, Tracker!J:J,"Y",Tracker!E:E,2)</f>
        <v>1</v>
      </c>
      <c r="O85" s="26">
        <f>COUNTIFS(Tracker!G:G,Daily!C85, Tracker!J:J,"Y (with hints)",Tracker!E:E,2)</f>
        <v>0</v>
      </c>
      <c r="P85" s="33">
        <f>COUNTIFS(Tracker!G:G,Daily!C85, Tracker!J:J,"N",Tracker!E:E,2)</f>
        <v>0</v>
      </c>
      <c r="Q85" s="57">
        <f t="shared" si="52"/>
        <v>1</v>
      </c>
      <c r="R85" s="26">
        <f>COUNTIFS(Tracker!G:G,Daily!C85, Tracker!J:J,"Y",Tracker!E:E,3)</f>
        <v>1</v>
      </c>
      <c r="S85" s="26">
        <f>COUNTIFS(Tracker!G:G,Daily!C85, Tracker!J:J,"Y (with hints)",Tracker!E:E,3)</f>
        <v>0</v>
      </c>
      <c r="T85" s="33">
        <f>COUNTIFS(Tracker!G:G,Daily!C85, Tracker!J:J,"N",Tracker!E:E,3)</f>
        <v>0</v>
      </c>
      <c r="V85" s="48">
        <f t="shared" si="45"/>
        <v>68</v>
      </c>
      <c r="W85" s="26">
        <f t="shared" si="46"/>
        <v>64</v>
      </c>
      <c r="X85" s="62">
        <f t="shared" si="47"/>
        <v>0.94117647058823528</v>
      </c>
      <c r="Y85" s="74">
        <f>AVERAGEIFS(Tracker!I:I, Tracker!E:E, 1, Tracker!G:G, "&lt;="&amp;Daily!C85, Tracker!J:J, "Y")</f>
        <v>12.703125</v>
      </c>
      <c r="Z85" s="77">
        <f>COUNTIFS(Tracker!E:E, 1, Tracker!G:G, "&lt;="&amp;Daily!C85, Tracker!L:L, "N") / V85</f>
        <v>0.77941176470588236</v>
      </c>
      <c r="AA85" s="48">
        <f t="shared" si="56"/>
        <v>111</v>
      </c>
      <c r="AB85" s="26">
        <f t="shared" si="57"/>
        <v>87</v>
      </c>
      <c r="AC85" s="62">
        <f t="shared" si="62"/>
        <v>0.78378378378378377</v>
      </c>
      <c r="AD85" s="74">
        <f>AVERAGEIFS(Tracker!I:I, Tracker!E:E, 2, Tracker!G:G, "&lt;="&amp;Daily!C85, Tracker!J:J, "Y")</f>
        <v>25.011494252873565</v>
      </c>
      <c r="AE85" s="77">
        <f>COUNTIFS(Tracker!E:E, 2, Tracker!G:G, "&lt;="&amp;Daily!C85, Tracker!L:L, "N") / AA85</f>
        <v>0.57657657657657657</v>
      </c>
      <c r="AF85" s="48">
        <f t="shared" si="58"/>
        <v>21</v>
      </c>
      <c r="AG85" s="26">
        <f t="shared" si="59"/>
        <v>14</v>
      </c>
      <c r="AH85" s="62">
        <f t="shared" si="60"/>
        <v>0.66666666666666663</v>
      </c>
      <c r="AI85" s="74">
        <f>IFERROR(AVERAGEIFS(Tracker!I:I, Tracker!E:E, 3, Tracker!G:G, "&lt;="&amp;Daily!C85, Tracker!J:J, "Y"), 0)</f>
        <v>40.928571428571431</v>
      </c>
      <c r="AJ85" s="77">
        <f>IFERROR(COUNTIFS(Tracker!E:E, 3, Tracker!G:G, "&lt;="&amp;Daily!C85, Tracker!L:L, "N") / AF85,  0)</f>
        <v>0.23809523809523808</v>
      </c>
      <c r="AK85" s="48">
        <f t="shared" si="53"/>
        <v>200</v>
      </c>
      <c r="AL85" s="26">
        <f t="shared" si="54"/>
        <v>165</v>
      </c>
      <c r="AM85" s="62">
        <f t="shared" si="61"/>
        <v>0.82499999999999996</v>
      </c>
      <c r="AN85" s="74">
        <f>IFERROR(AVERAGEIFS(Tracker!I:I,  Tracker!G:G, "&lt;="&amp;Daily!C85, Tracker!J:J, "Y"), 0)</f>
        <v>21.587878787878786</v>
      </c>
      <c r="AO85" s="77">
        <f>IFERROR(COUNTIFS(Tracker!G:G, "&lt;="&amp;Daily!C85, Tracker!L:L, "N") / AK85,  0)</f>
        <v>0.61</v>
      </c>
    </row>
    <row r="86" spans="1:41" x14ac:dyDescent="0.25">
      <c r="A86" s="119"/>
      <c r="B86" s="32">
        <f t="shared" si="48"/>
        <v>45301</v>
      </c>
      <c r="C86" s="27">
        <f t="shared" si="63"/>
        <v>45301</v>
      </c>
      <c r="D86" s="109" t="b">
        <f t="shared" ca="1" si="55"/>
        <v>1</v>
      </c>
      <c r="E86" s="51">
        <f t="shared" si="49"/>
        <v>3</v>
      </c>
      <c r="F86" s="48">
        <f>COUNTIFS(Tracker!G:G,Daily!C86, Tracker!J:J,"Y")</f>
        <v>2</v>
      </c>
      <c r="G86" s="26">
        <f>COUNTIFS(Tracker!G:G,Daily!C86, Tracker!J:J,"Y (with hints)")</f>
        <v>0</v>
      </c>
      <c r="H86" s="33">
        <f>COUNTIFS(Tracker!G:G,Daily!C86, Tracker!J:J,"N")</f>
        <v>1</v>
      </c>
      <c r="I86" s="54">
        <f t="shared" si="50"/>
        <v>1</v>
      </c>
      <c r="J86" s="26">
        <f>COUNTIFS(Tracker!G:G,Daily!C86, Tracker!J:J,"Y",Tracker!E:E,1)</f>
        <v>1</v>
      </c>
      <c r="K86" s="26">
        <f>COUNTIFS(Tracker!G:G,Daily!C86, Tracker!J:J,"Y (with hints)",Tracker!E:E,1)</f>
        <v>0</v>
      </c>
      <c r="L86" s="33">
        <f>COUNTIFS(Tracker!G:G,Daily!C86, Tracker!J:J,"N",Tracker!E:E,1)</f>
        <v>0</v>
      </c>
      <c r="M86" s="54">
        <f t="shared" si="51"/>
        <v>1</v>
      </c>
      <c r="N86" s="26">
        <f>COUNTIFS(Tracker!G:G,Daily!C86, Tracker!J:J,"Y",Tracker!E:E,2)</f>
        <v>1</v>
      </c>
      <c r="O86" s="26">
        <f>COUNTIFS(Tracker!G:G,Daily!C86, Tracker!J:J,"Y (with hints)",Tracker!E:E,2)</f>
        <v>0</v>
      </c>
      <c r="P86" s="33">
        <f>COUNTIFS(Tracker!G:G,Daily!C86, Tracker!J:J,"N",Tracker!E:E,2)</f>
        <v>0</v>
      </c>
      <c r="Q86" s="57">
        <f t="shared" si="52"/>
        <v>1</v>
      </c>
      <c r="R86" s="26">
        <f>COUNTIFS(Tracker!G:G,Daily!C86, Tracker!J:J,"Y",Tracker!E:E,3)</f>
        <v>0</v>
      </c>
      <c r="S86" s="26">
        <f>COUNTIFS(Tracker!G:G,Daily!C86, Tracker!J:J,"Y (with hints)",Tracker!E:E,3)</f>
        <v>0</v>
      </c>
      <c r="T86" s="33">
        <f>COUNTIFS(Tracker!G:G,Daily!C86, Tracker!J:J,"N",Tracker!E:E,3)</f>
        <v>1</v>
      </c>
      <c r="V86" s="48">
        <f t="shared" si="45"/>
        <v>69</v>
      </c>
      <c r="W86" s="26">
        <f t="shared" si="46"/>
        <v>65</v>
      </c>
      <c r="X86" s="62">
        <f t="shared" si="47"/>
        <v>0.94202898550724634</v>
      </c>
      <c r="Y86" s="74">
        <f>AVERAGEIFS(Tracker!I:I, Tracker!E:E, 1, Tracker!G:G, "&lt;="&amp;Daily!C86, Tracker!J:J, "Y")</f>
        <v>12.676923076923076</v>
      </c>
      <c r="Z86" s="77">
        <f>COUNTIFS(Tracker!E:E, 1, Tracker!G:G, "&lt;="&amp;Daily!C86, Tracker!L:L, "N") / V86</f>
        <v>0.78260869565217395</v>
      </c>
      <c r="AA86" s="48">
        <f t="shared" si="56"/>
        <v>112</v>
      </c>
      <c r="AB86" s="26">
        <f t="shared" si="57"/>
        <v>88</v>
      </c>
      <c r="AC86" s="62">
        <f t="shared" si="62"/>
        <v>0.7857142857142857</v>
      </c>
      <c r="AD86" s="74">
        <f>AVERAGEIFS(Tracker!I:I, Tracker!E:E, 2, Tracker!G:G, "&lt;="&amp;Daily!C86, Tracker!J:J, "Y")</f>
        <v>24.886363636363637</v>
      </c>
      <c r="AE86" s="77">
        <f>COUNTIFS(Tracker!E:E, 2, Tracker!G:G, "&lt;="&amp;Daily!C86, Tracker!L:L, "N") / AA86</f>
        <v>0.5803571428571429</v>
      </c>
      <c r="AF86" s="48">
        <f t="shared" si="58"/>
        <v>22</v>
      </c>
      <c r="AG86" s="26">
        <f t="shared" si="59"/>
        <v>14</v>
      </c>
      <c r="AH86" s="62">
        <f t="shared" si="60"/>
        <v>0.63636363636363635</v>
      </c>
      <c r="AI86" s="74">
        <f>IFERROR(AVERAGEIFS(Tracker!I:I, Tracker!E:E, 3, Tracker!G:G, "&lt;="&amp;Daily!C86, Tracker!J:J, "Y"), 0)</f>
        <v>40.928571428571431</v>
      </c>
      <c r="AJ86" s="77">
        <f>IFERROR(COUNTIFS(Tracker!E:E, 3, Tracker!G:G, "&lt;="&amp;Daily!C86, Tracker!L:L, "N") / AF86,  0)</f>
        <v>0.22727272727272727</v>
      </c>
      <c r="AK86" s="48">
        <f t="shared" si="53"/>
        <v>203</v>
      </c>
      <c r="AL86" s="26">
        <f t="shared" si="54"/>
        <v>167</v>
      </c>
      <c r="AM86" s="62">
        <f t="shared" si="61"/>
        <v>0.82266009852216748</v>
      </c>
      <c r="AN86" s="74">
        <f>IFERROR(AVERAGEIFS(Tracker!I:I,  Tracker!G:G, "&lt;="&amp;Daily!C86, Tracker!J:J, "Y"), 0)</f>
        <v>21.479041916167663</v>
      </c>
      <c r="AO86" s="77">
        <f>IFERROR(COUNTIFS(Tracker!G:G, "&lt;="&amp;Daily!C86, Tracker!L:L, "N") / AK86,  0)</f>
        <v>0.61083743842364535</v>
      </c>
    </row>
    <row r="87" spans="1:41" x14ac:dyDescent="0.25">
      <c r="A87" s="119"/>
      <c r="B87" s="32">
        <f t="shared" si="48"/>
        <v>45302</v>
      </c>
      <c r="C87" s="27">
        <f t="shared" si="63"/>
        <v>45302</v>
      </c>
      <c r="D87" s="109" t="b">
        <f t="shared" ca="1" si="55"/>
        <v>1</v>
      </c>
      <c r="E87" s="51">
        <f t="shared" si="49"/>
        <v>2</v>
      </c>
      <c r="F87" s="48">
        <f>COUNTIFS(Tracker!G:G,Daily!C87, Tracker!J:J,"Y")</f>
        <v>2</v>
      </c>
      <c r="G87" s="26">
        <f>COUNTIFS(Tracker!G:G,Daily!C87, Tracker!J:J,"Y (with hints)")</f>
        <v>0</v>
      </c>
      <c r="H87" s="33">
        <f>COUNTIFS(Tracker!G:G,Daily!C87, Tracker!J:J,"N")</f>
        <v>0</v>
      </c>
      <c r="I87" s="54">
        <f t="shared" si="50"/>
        <v>1</v>
      </c>
      <c r="J87" s="26">
        <f>COUNTIFS(Tracker!G:G,Daily!C87, Tracker!J:J,"Y",Tracker!E:E,1)</f>
        <v>1</v>
      </c>
      <c r="K87" s="26">
        <f>COUNTIFS(Tracker!G:G,Daily!C87, Tracker!J:J,"Y (with hints)",Tracker!E:E,1)</f>
        <v>0</v>
      </c>
      <c r="L87" s="33">
        <f>COUNTIFS(Tracker!G:G,Daily!C87, Tracker!J:J,"N",Tracker!E:E,1)</f>
        <v>0</v>
      </c>
      <c r="M87" s="54">
        <f t="shared" si="51"/>
        <v>1</v>
      </c>
      <c r="N87" s="26">
        <f>COUNTIFS(Tracker!G:G,Daily!C87, Tracker!J:J,"Y",Tracker!E:E,2)</f>
        <v>1</v>
      </c>
      <c r="O87" s="26">
        <f>COUNTIFS(Tracker!G:G,Daily!C87, Tracker!J:J,"Y (with hints)",Tracker!E:E,2)</f>
        <v>0</v>
      </c>
      <c r="P87" s="33">
        <f>COUNTIFS(Tracker!G:G,Daily!C87, Tracker!J:J,"N",Tracker!E:E,2)</f>
        <v>0</v>
      </c>
      <c r="Q87" s="57">
        <f t="shared" si="52"/>
        <v>0</v>
      </c>
      <c r="R87" s="26">
        <f>COUNTIFS(Tracker!G:G,Daily!C87, Tracker!J:J,"Y",Tracker!E:E,3)</f>
        <v>0</v>
      </c>
      <c r="S87" s="26">
        <f>COUNTIFS(Tracker!G:G,Daily!C87, Tracker!J:J,"Y (with hints)",Tracker!E:E,3)</f>
        <v>0</v>
      </c>
      <c r="T87" s="33">
        <f>COUNTIFS(Tracker!G:G,Daily!C87, Tracker!J:J,"N",Tracker!E:E,3)</f>
        <v>0</v>
      </c>
      <c r="V87" s="48">
        <f t="shared" si="45"/>
        <v>70</v>
      </c>
      <c r="W87" s="26">
        <f t="shared" si="46"/>
        <v>66</v>
      </c>
      <c r="X87" s="62">
        <f t="shared" si="47"/>
        <v>0.94285714285714284</v>
      </c>
      <c r="Y87" s="74">
        <f>AVERAGEIFS(Tracker!I:I, Tracker!E:E, 1, Tracker!G:G, "&lt;="&amp;Daily!C87, Tracker!J:J, "Y")</f>
        <v>12.606060606060606</v>
      </c>
      <c r="Z87" s="77">
        <f>COUNTIFS(Tracker!E:E, 1, Tracker!G:G, "&lt;="&amp;Daily!C87, Tracker!L:L, "N") / V87</f>
        <v>0.7857142857142857</v>
      </c>
      <c r="AA87" s="48">
        <f t="shared" si="56"/>
        <v>113</v>
      </c>
      <c r="AB87" s="26">
        <f t="shared" si="57"/>
        <v>89</v>
      </c>
      <c r="AC87" s="62">
        <f t="shared" si="62"/>
        <v>0.78761061946902655</v>
      </c>
      <c r="AD87" s="74">
        <f>AVERAGEIFS(Tracker!I:I, Tracker!E:E, 2, Tracker!G:G, "&lt;="&amp;Daily!C87, Tracker!J:J, "Y")</f>
        <v>25.011235955056179</v>
      </c>
      <c r="AE87" s="77">
        <f>COUNTIFS(Tracker!E:E, 2, Tracker!G:G, "&lt;="&amp;Daily!C87, Tracker!L:L, "N") / AA87</f>
        <v>0.5752212389380531</v>
      </c>
      <c r="AF87" s="48">
        <f t="shared" si="58"/>
        <v>22</v>
      </c>
      <c r="AG87" s="26">
        <f t="shared" si="59"/>
        <v>14</v>
      </c>
      <c r="AH87" s="62">
        <f t="shared" si="60"/>
        <v>0.63636363636363635</v>
      </c>
      <c r="AI87" s="74">
        <f>IFERROR(AVERAGEIFS(Tracker!I:I, Tracker!E:E, 3, Tracker!G:G, "&lt;="&amp;Daily!C87, Tracker!J:J, "Y"), 0)</f>
        <v>40.928571428571431</v>
      </c>
      <c r="AJ87" s="77">
        <f>IFERROR(COUNTIFS(Tracker!E:E, 3, Tracker!G:G, "&lt;="&amp;Daily!C87, Tracker!L:L, "N") / AF87,  0)</f>
        <v>0.22727272727272727</v>
      </c>
      <c r="AK87" s="48">
        <f t="shared" si="53"/>
        <v>205</v>
      </c>
      <c r="AL87" s="26">
        <f t="shared" si="54"/>
        <v>169</v>
      </c>
      <c r="AM87" s="62">
        <f t="shared" si="61"/>
        <v>0.82439024390243898</v>
      </c>
      <c r="AN87" s="74">
        <f>IFERROR(AVERAGEIFS(Tracker!I:I,  Tracker!G:G, "&lt;="&amp;Daily!C87, Tracker!J:J, "Y"), 0)</f>
        <v>21.485207100591715</v>
      </c>
      <c r="AO87" s="77">
        <f>IFERROR(COUNTIFS(Tracker!G:G, "&lt;="&amp;Daily!C87, Tracker!L:L, "N") / AK87,  0)</f>
        <v>0.6097560975609756</v>
      </c>
    </row>
    <row r="88" spans="1:41" x14ac:dyDescent="0.25">
      <c r="A88" s="119"/>
      <c r="B88" s="32">
        <f t="shared" si="48"/>
        <v>45303</v>
      </c>
      <c r="C88" s="27">
        <f t="shared" si="63"/>
        <v>45303</v>
      </c>
      <c r="D88" s="109" t="b">
        <f t="shared" ca="1" si="55"/>
        <v>1</v>
      </c>
      <c r="E88" s="51">
        <f t="shared" si="49"/>
        <v>5</v>
      </c>
      <c r="F88" s="48">
        <f>COUNTIFS(Tracker!G:G,Daily!C88, Tracker!J:J,"Y")</f>
        <v>3</v>
      </c>
      <c r="G88" s="26">
        <f>COUNTIFS(Tracker!G:G,Daily!C88, Tracker!J:J,"Y (with hints)")</f>
        <v>1</v>
      </c>
      <c r="H88" s="33">
        <f>COUNTIFS(Tracker!G:G,Daily!C88, Tracker!J:J,"N")</f>
        <v>1</v>
      </c>
      <c r="I88" s="54">
        <f t="shared" si="50"/>
        <v>2</v>
      </c>
      <c r="J88" s="26">
        <f>COUNTIFS(Tracker!G:G,Daily!C88, Tracker!J:J,"Y",Tracker!E:E,1)</f>
        <v>2</v>
      </c>
      <c r="K88" s="26">
        <f>COUNTIFS(Tracker!G:G,Daily!C88, Tracker!J:J,"Y (with hints)",Tracker!E:E,1)</f>
        <v>0</v>
      </c>
      <c r="L88" s="33">
        <f>COUNTIFS(Tracker!G:G,Daily!C88, Tracker!J:J,"N",Tracker!E:E,1)</f>
        <v>0</v>
      </c>
      <c r="M88" s="54">
        <f t="shared" si="51"/>
        <v>1</v>
      </c>
      <c r="N88" s="26">
        <f>COUNTIFS(Tracker!G:G,Daily!C88, Tracker!J:J,"Y",Tracker!E:E,2)</f>
        <v>1</v>
      </c>
      <c r="O88" s="26">
        <f>COUNTIFS(Tracker!G:G,Daily!C88, Tracker!J:J,"Y (with hints)",Tracker!E:E,2)</f>
        <v>0</v>
      </c>
      <c r="P88" s="33">
        <f>COUNTIFS(Tracker!G:G,Daily!C88, Tracker!J:J,"N",Tracker!E:E,2)</f>
        <v>0</v>
      </c>
      <c r="Q88" s="57">
        <f t="shared" si="52"/>
        <v>2</v>
      </c>
      <c r="R88" s="26">
        <f>COUNTIFS(Tracker!G:G,Daily!C88, Tracker!J:J,"Y",Tracker!E:E,3)</f>
        <v>0</v>
      </c>
      <c r="S88" s="26">
        <f>COUNTIFS(Tracker!G:G,Daily!C88, Tracker!J:J,"Y (with hints)",Tracker!E:E,3)</f>
        <v>1</v>
      </c>
      <c r="T88" s="33">
        <f>COUNTIFS(Tracker!G:G,Daily!C88, Tracker!J:J,"N",Tracker!E:E,3)</f>
        <v>1</v>
      </c>
      <c r="V88" s="48">
        <f t="shared" si="45"/>
        <v>72</v>
      </c>
      <c r="W88" s="26">
        <f t="shared" si="46"/>
        <v>68</v>
      </c>
      <c r="X88" s="62">
        <f t="shared" si="47"/>
        <v>0.94444444444444442</v>
      </c>
      <c r="Y88" s="74">
        <f>AVERAGEIFS(Tracker!I:I, Tracker!E:E, 1, Tracker!G:G, "&lt;="&amp;Daily!C88, Tracker!J:J, "Y")</f>
        <v>12.676470588235293</v>
      </c>
      <c r="Z88" s="77">
        <f>COUNTIFS(Tracker!E:E, 1, Tracker!G:G, "&lt;="&amp;Daily!C88, Tracker!L:L, "N") / V88</f>
        <v>0.79166666666666663</v>
      </c>
      <c r="AA88" s="48">
        <f t="shared" si="56"/>
        <v>114</v>
      </c>
      <c r="AB88" s="26">
        <f t="shared" si="57"/>
        <v>90</v>
      </c>
      <c r="AC88" s="62">
        <f t="shared" si="62"/>
        <v>0.78947368421052633</v>
      </c>
      <c r="AD88" s="74">
        <f>AVERAGEIFS(Tracker!I:I, Tracker!E:E, 2, Tracker!G:G, "&lt;="&amp;Daily!C88, Tracker!J:J, "Y")</f>
        <v>25.233333333333334</v>
      </c>
      <c r="AE88" s="77">
        <f>COUNTIFS(Tracker!E:E, 2, Tracker!G:G, "&lt;="&amp;Daily!C88, Tracker!L:L, "N") / AA88</f>
        <v>0.57017543859649122</v>
      </c>
      <c r="AF88" s="48">
        <f t="shared" si="58"/>
        <v>24</v>
      </c>
      <c r="AG88" s="26">
        <f t="shared" si="59"/>
        <v>14</v>
      </c>
      <c r="AH88" s="62">
        <f t="shared" si="60"/>
        <v>0.58333333333333337</v>
      </c>
      <c r="AI88" s="74">
        <f>IFERROR(AVERAGEIFS(Tracker!I:I, Tracker!E:E, 3, Tracker!G:G, "&lt;="&amp;Daily!C88, Tracker!J:J, "Y"), 0)</f>
        <v>40.928571428571431</v>
      </c>
      <c r="AJ88" s="77">
        <f>IFERROR(COUNTIFS(Tracker!E:E, 3, Tracker!G:G, "&lt;="&amp;Daily!C88, Tracker!L:L, "N") / AF88,  0)</f>
        <v>0.20833333333333334</v>
      </c>
      <c r="AK88" s="48">
        <f t="shared" si="53"/>
        <v>210</v>
      </c>
      <c r="AL88" s="26">
        <f t="shared" si="54"/>
        <v>172</v>
      </c>
      <c r="AM88" s="62">
        <f t="shared" si="61"/>
        <v>0.81904761904761902</v>
      </c>
      <c r="AN88" s="74">
        <f>IFERROR(AVERAGEIFS(Tracker!I:I,  Tracker!G:G, "&lt;="&amp;Daily!C88, Tracker!J:J, "Y"), 0)</f>
        <v>21.546511627906977</v>
      </c>
      <c r="AO88" s="77">
        <f>IFERROR(COUNTIFS(Tracker!G:G, "&lt;="&amp;Daily!C88, Tracker!L:L, "N") / AK88,  0)</f>
        <v>0.60476190476190472</v>
      </c>
    </row>
    <row r="89" spans="1:41" x14ac:dyDescent="0.25">
      <c r="A89" s="119"/>
      <c r="B89" s="32">
        <f t="shared" si="48"/>
        <v>45304</v>
      </c>
      <c r="C89" s="27">
        <f t="shared" si="63"/>
        <v>45304</v>
      </c>
      <c r="D89" s="109" t="b">
        <f t="shared" ca="1" si="55"/>
        <v>1</v>
      </c>
      <c r="E89" s="51">
        <f t="shared" si="49"/>
        <v>0</v>
      </c>
      <c r="F89" s="48">
        <f>COUNTIFS(Tracker!G:G,Daily!C89, Tracker!J:J,"Y")</f>
        <v>0</v>
      </c>
      <c r="G89" s="26">
        <f>COUNTIFS(Tracker!G:G,Daily!C89, Tracker!J:J,"Y (with hints)")</f>
        <v>0</v>
      </c>
      <c r="H89" s="33">
        <f>COUNTIFS(Tracker!G:G,Daily!C89, Tracker!J:J,"N")</f>
        <v>0</v>
      </c>
      <c r="I89" s="54">
        <f t="shared" si="50"/>
        <v>0</v>
      </c>
      <c r="J89" s="26">
        <f>COUNTIFS(Tracker!G:G,Daily!C89, Tracker!J:J,"Y",Tracker!E:E,1)</f>
        <v>0</v>
      </c>
      <c r="K89" s="26">
        <f>COUNTIFS(Tracker!G:G,Daily!C89, Tracker!J:J,"Y (with hints)",Tracker!E:E,1)</f>
        <v>0</v>
      </c>
      <c r="L89" s="33">
        <f>COUNTIFS(Tracker!G:G,Daily!C89, Tracker!J:J,"N",Tracker!E:E,1)</f>
        <v>0</v>
      </c>
      <c r="M89" s="54">
        <f t="shared" si="51"/>
        <v>0</v>
      </c>
      <c r="N89" s="26">
        <f>COUNTIFS(Tracker!G:G,Daily!C89, Tracker!J:J,"Y",Tracker!E:E,2)</f>
        <v>0</v>
      </c>
      <c r="O89" s="26">
        <f>COUNTIFS(Tracker!G:G,Daily!C89, Tracker!J:J,"Y (with hints)",Tracker!E:E,2)</f>
        <v>0</v>
      </c>
      <c r="P89" s="33">
        <f>COUNTIFS(Tracker!G:G,Daily!C89, Tracker!J:J,"N",Tracker!E:E,2)</f>
        <v>0</v>
      </c>
      <c r="Q89" s="57">
        <f t="shared" si="52"/>
        <v>0</v>
      </c>
      <c r="R89" s="26">
        <f>COUNTIFS(Tracker!G:G,Daily!C89, Tracker!J:J,"Y",Tracker!E:E,3)</f>
        <v>0</v>
      </c>
      <c r="S89" s="26">
        <f>COUNTIFS(Tracker!G:G,Daily!C89, Tracker!J:J,"Y (with hints)",Tracker!E:E,3)</f>
        <v>0</v>
      </c>
      <c r="T89" s="33">
        <f>COUNTIFS(Tracker!G:G,Daily!C89, Tracker!J:J,"N",Tracker!E:E,3)</f>
        <v>0</v>
      </c>
      <c r="V89" s="48">
        <f t="shared" si="45"/>
        <v>72</v>
      </c>
      <c r="W89" s="26">
        <f t="shared" si="46"/>
        <v>68</v>
      </c>
      <c r="X89" s="62">
        <f t="shared" si="47"/>
        <v>0.94444444444444442</v>
      </c>
      <c r="Y89" s="74">
        <f>AVERAGEIFS(Tracker!I:I, Tracker!E:E, 1, Tracker!G:G, "&lt;="&amp;Daily!C89, Tracker!J:J, "Y")</f>
        <v>12.676470588235293</v>
      </c>
      <c r="Z89" s="77">
        <f>COUNTIFS(Tracker!E:E, 1, Tracker!G:G, "&lt;="&amp;Daily!C89, Tracker!L:L, "N") / V89</f>
        <v>0.79166666666666663</v>
      </c>
      <c r="AA89" s="48">
        <f t="shared" si="56"/>
        <v>114</v>
      </c>
      <c r="AB89" s="26">
        <f t="shared" si="57"/>
        <v>90</v>
      </c>
      <c r="AC89" s="62">
        <f t="shared" si="62"/>
        <v>0.78947368421052633</v>
      </c>
      <c r="AD89" s="74">
        <f>AVERAGEIFS(Tracker!I:I, Tracker!E:E, 2, Tracker!G:G, "&lt;="&amp;Daily!C89, Tracker!J:J, "Y")</f>
        <v>25.233333333333334</v>
      </c>
      <c r="AE89" s="77">
        <f>COUNTIFS(Tracker!E:E, 2, Tracker!G:G, "&lt;="&amp;Daily!C89, Tracker!L:L, "N") / AA89</f>
        <v>0.57017543859649122</v>
      </c>
      <c r="AF89" s="48">
        <f t="shared" si="58"/>
        <v>24</v>
      </c>
      <c r="AG89" s="26">
        <f t="shared" si="59"/>
        <v>14</v>
      </c>
      <c r="AH89" s="62">
        <f t="shared" si="60"/>
        <v>0.58333333333333337</v>
      </c>
      <c r="AI89" s="74">
        <f>IFERROR(AVERAGEIFS(Tracker!I:I, Tracker!E:E, 3, Tracker!G:G, "&lt;="&amp;Daily!C89, Tracker!J:J, "Y"), 0)</f>
        <v>40.928571428571431</v>
      </c>
      <c r="AJ89" s="77">
        <f>IFERROR(COUNTIFS(Tracker!E:E, 3, Tracker!G:G, "&lt;="&amp;Daily!C89, Tracker!L:L, "N") / AF89,  0)</f>
        <v>0.20833333333333334</v>
      </c>
      <c r="AK89" s="48">
        <f t="shared" si="53"/>
        <v>210</v>
      </c>
      <c r="AL89" s="26">
        <f t="shared" si="54"/>
        <v>172</v>
      </c>
      <c r="AM89" s="62">
        <f t="shared" si="61"/>
        <v>0.81904761904761902</v>
      </c>
      <c r="AN89" s="74">
        <f>IFERROR(AVERAGEIFS(Tracker!I:I,  Tracker!G:G, "&lt;="&amp;Daily!C89, Tracker!J:J, "Y"), 0)</f>
        <v>21.546511627906977</v>
      </c>
      <c r="AO89" s="77">
        <f>IFERROR(COUNTIFS(Tracker!G:G, "&lt;="&amp;Daily!C89, Tracker!L:L, "N") / AK89,  0)</f>
        <v>0.60476190476190472</v>
      </c>
    </row>
    <row r="90" spans="1:41" ht="15.75" thickBot="1" x14ac:dyDescent="0.3">
      <c r="A90" s="120"/>
      <c r="B90" s="34">
        <f t="shared" si="48"/>
        <v>45305</v>
      </c>
      <c r="C90" s="35">
        <f t="shared" si="63"/>
        <v>45305</v>
      </c>
      <c r="D90" s="110" t="b">
        <f t="shared" ca="1" si="55"/>
        <v>1</v>
      </c>
      <c r="E90" s="52">
        <f t="shared" si="49"/>
        <v>0</v>
      </c>
      <c r="F90" s="39">
        <f>COUNTIFS(Tracker!G:G,Daily!C90, Tracker!J:J,"Y")</f>
        <v>0</v>
      </c>
      <c r="G90" s="36">
        <f>COUNTIFS(Tracker!G:G,Daily!C90, Tracker!J:J,"Y (with hints)")</f>
        <v>0</v>
      </c>
      <c r="H90" s="37">
        <f>COUNTIFS(Tracker!G:G,Daily!C90, Tracker!J:J,"N")</f>
        <v>0</v>
      </c>
      <c r="I90" s="55">
        <f t="shared" si="50"/>
        <v>0</v>
      </c>
      <c r="J90" s="36">
        <f>COUNTIFS(Tracker!G:G,Daily!C90, Tracker!J:J,"Y",Tracker!E:E,1)</f>
        <v>0</v>
      </c>
      <c r="K90" s="36">
        <f>COUNTIFS(Tracker!G:G,Daily!C90, Tracker!J:J,"Y (with hints)",Tracker!E:E,1)</f>
        <v>0</v>
      </c>
      <c r="L90" s="37">
        <f>COUNTIFS(Tracker!G:G,Daily!C90, Tracker!J:J,"N",Tracker!E:E,1)</f>
        <v>0</v>
      </c>
      <c r="M90" s="55">
        <f t="shared" si="51"/>
        <v>0</v>
      </c>
      <c r="N90" s="36">
        <f>COUNTIFS(Tracker!G:G,Daily!C90, Tracker!J:J,"Y",Tracker!E:E,2)</f>
        <v>0</v>
      </c>
      <c r="O90" s="36">
        <f>COUNTIFS(Tracker!G:G,Daily!C90, Tracker!J:J,"Y (with hints)",Tracker!E:E,2)</f>
        <v>0</v>
      </c>
      <c r="P90" s="37">
        <f>COUNTIFS(Tracker!G:G,Daily!C90, Tracker!J:J,"N",Tracker!E:E,2)</f>
        <v>0</v>
      </c>
      <c r="Q90" s="58">
        <f t="shared" si="52"/>
        <v>0</v>
      </c>
      <c r="R90" s="36">
        <f>COUNTIFS(Tracker!G:G,Daily!C90, Tracker!J:J,"Y",Tracker!E:E,3)</f>
        <v>0</v>
      </c>
      <c r="S90" s="36">
        <f>COUNTIFS(Tracker!G:G,Daily!C90, Tracker!J:J,"Y (with hints)",Tracker!E:E,3)</f>
        <v>0</v>
      </c>
      <c r="T90" s="37">
        <f>COUNTIFS(Tracker!G:G,Daily!C90, Tracker!J:J,"N",Tracker!E:E,3)</f>
        <v>0</v>
      </c>
      <c r="V90" s="39">
        <f t="shared" si="45"/>
        <v>72</v>
      </c>
      <c r="W90" s="36">
        <f t="shared" si="46"/>
        <v>68</v>
      </c>
      <c r="X90" s="64">
        <f t="shared" si="47"/>
        <v>0.94444444444444442</v>
      </c>
      <c r="Y90" s="78">
        <f>AVERAGEIFS(Tracker!I:I, Tracker!E:E, 1, Tracker!G:G, "&lt;="&amp;Daily!C90, Tracker!J:J, "Y")</f>
        <v>12.676470588235293</v>
      </c>
      <c r="Z90" s="79">
        <f>COUNTIFS(Tracker!E:E, 1, Tracker!G:G, "&lt;="&amp;Daily!C90, Tracker!L:L, "N") / V90</f>
        <v>0.79166666666666663</v>
      </c>
      <c r="AA90" s="39">
        <f t="shared" si="56"/>
        <v>114</v>
      </c>
      <c r="AB90" s="36">
        <f t="shared" si="57"/>
        <v>90</v>
      </c>
      <c r="AC90" s="64">
        <f t="shared" si="62"/>
        <v>0.78947368421052633</v>
      </c>
      <c r="AD90" s="78">
        <f>AVERAGEIFS(Tracker!I:I, Tracker!E:E, 2, Tracker!G:G, "&lt;="&amp;Daily!C90, Tracker!J:J, "Y")</f>
        <v>25.233333333333334</v>
      </c>
      <c r="AE90" s="79">
        <f>COUNTIFS(Tracker!E:E, 2, Tracker!G:G, "&lt;="&amp;Daily!C90, Tracker!L:L, "N") / AA90</f>
        <v>0.57017543859649122</v>
      </c>
      <c r="AF90" s="39">
        <f t="shared" si="58"/>
        <v>24</v>
      </c>
      <c r="AG90" s="36">
        <f t="shared" si="59"/>
        <v>14</v>
      </c>
      <c r="AH90" s="64">
        <f t="shared" si="60"/>
        <v>0.58333333333333337</v>
      </c>
      <c r="AI90" s="78">
        <f>IFERROR(AVERAGEIFS(Tracker!I:I, Tracker!E:E, 3, Tracker!G:G, "&lt;="&amp;Daily!C90, Tracker!J:J, "Y"), 0)</f>
        <v>40.928571428571431</v>
      </c>
      <c r="AJ90" s="79">
        <f>IFERROR(COUNTIFS(Tracker!E:E, 3, Tracker!G:G, "&lt;="&amp;Daily!C90, Tracker!L:L, "N") / AF90,  0)</f>
        <v>0.20833333333333334</v>
      </c>
      <c r="AK90" s="39">
        <f t="shared" si="53"/>
        <v>210</v>
      </c>
      <c r="AL90" s="36">
        <f t="shared" si="54"/>
        <v>172</v>
      </c>
      <c r="AM90" s="64">
        <f t="shared" si="61"/>
        <v>0.81904761904761902</v>
      </c>
      <c r="AN90" s="78">
        <f>IFERROR(AVERAGEIFS(Tracker!I:I,  Tracker!G:G, "&lt;="&amp;Daily!C90, Tracker!J:J, "Y"), 0)</f>
        <v>21.546511627906977</v>
      </c>
      <c r="AO90" s="79">
        <f>IFERROR(COUNTIFS(Tracker!G:G, "&lt;="&amp;Daily!C90, Tracker!L:L, "N") / AK90,  0)</f>
        <v>0.60476190476190472</v>
      </c>
    </row>
    <row r="91" spans="1:41" x14ac:dyDescent="0.25">
      <c r="A91" s="118">
        <v>13</v>
      </c>
      <c r="B91" s="28">
        <f t="shared" si="48"/>
        <v>45306</v>
      </c>
      <c r="C91" s="29">
        <f t="shared" si="63"/>
        <v>45306</v>
      </c>
      <c r="D91" s="108" t="b">
        <f t="shared" ca="1" si="55"/>
        <v>1</v>
      </c>
      <c r="E91" s="50">
        <f t="shared" si="49"/>
        <v>5</v>
      </c>
      <c r="F91" s="38">
        <f>COUNTIFS(Tracker!G:G,Daily!C91, Tracker!J:J,"Y")</f>
        <v>5</v>
      </c>
      <c r="G91" s="30">
        <f>COUNTIFS(Tracker!G:G,Daily!C91, Tracker!J:J,"Y (with hints)")</f>
        <v>0</v>
      </c>
      <c r="H91" s="31">
        <f>COUNTIFS(Tracker!G:G,Daily!C91, Tracker!J:J,"N")</f>
        <v>0</v>
      </c>
      <c r="I91" s="53">
        <f t="shared" si="50"/>
        <v>2</v>
      </c>
      <c r="J91" s="30">
        <f>COUNTIFS(Tracker!G:G,Daily!C91, Tracker!J:J,"Y",Tracker!E:E,1)</f>
        <v>2</v>
      </c>
      <c r="K91" s="30">
        <f>COUNTIFS(Tracker!G:G,Daily!C91, Tracker!J:J,"Y (with hints)",Tracker!E:E,1)</f>
        <v>0</v>
      </c>
      <c r="L91" s="31">
        <f>COUNTIFS(Tracker!G:G,Daily!C91, Tracker!J:J,"N",Tracker!E:E,1)</f>
        <v>0</v>
      </c>
      <c r="M91" s="53">
        <f t="shared" si="51"/>
        <v>2</v>
      </c>
      <c r="N91" s="30">
        <f>COUNTIFS(Tracker!G:G,Daily!C91, Tracker!J:J,"Y",Tracker!E:E,2)</f>
        <v>2</v>
      </c>
      <c r="O91" s="30">
        <f>COUNTIFS(Tracker!G:G,Daily!C91, Tracker!J:J,"Y (with hints)",Tracker!E:E,2)</f>
        <v>0</v>
      </c>
      <c r="P91" s="31">
        <f>COUNTIFS(Tracker!G:G,Daily!C91, Tracker!J:J,"N",Tracker!E:E,2)</f>
        <v>0</v>
      </c>
      <c r="Q91" s="56">
        <f t="shared" si="52"/>
        <v>1</v>
      </c>
      <c r="R91" s="30">
        <f>COUNTIFS(Tracker!G:G,Daily!C91, Tracker!J:J,"Y",Tracker!E:E,3)</f>
        <v>1</v>
      </c>
      <c r="S91" s="30">
        <f>COUNTIFS(Tracker!G:G,Daily!C91, Tracker!J:J,"Y (with hints)",Tracker!E:E,3)</f>
        <v>0</v>
      </c>
      <c r="T91" s="31">
        <f>COUNTIFS(Tracker!G:G,Daily!C91, Tracker!J:J,"N",Tracker!E:E,3)</f>
        <v>0</v>
      </c>
      <c r="V91" s="38">
        <f t="shared" si="45"/>
        <v>74</v>
      </c>
      <c r="W91" s="30">
        <f t="shared" si="46"/>
        <v>70</v>
      </c>
      <c r="X91" s="73">
        <f t="shared" si="47"/>
        <v>0.94594594594594594</v>
      </c>
      <c r="Y91" s="75">
        <f>AVERAGEIFS(Tracker!I:I, Tracker!E:E, 1, Tracker!G:G, "&lt;="&amp;Daily!C91, Tracker!J:J, "Y")</f>
        <v>12.485714285714286</v>
      </c>
      <c r="Z91" s="76">
        <f>COUNTIFS(Tracker!E:E, 1, Tracker!G:G, "&lt;="&amp;Daily!C91, Tracker!L:L, "N") / V91</f>
        <v>0.79729729729729726</v>
      </c>
      <c r="AA91" s="38">
        <f t="shared" si="56"/>
        <v>116</v>
      </c>
      <c r="AB91" s="30">
        <f t="shared" si="57"/>
        <v>92</v>
      </c>
      <c r="AC91" s="73">
        <f t="shared" si="62"/>
        <v>0.7931034482758621</v>
      </c>
      <c r="AD91" s="75">
        <f>AVERAGEIFS(Tracker!I:I, Tracker!E:E, 2, Tracker!G:G, "&lt;="&amp;Daily!C91, Tracker!J:J, "Y")</f>
        <v>25.130434782608695</v>
      </c>
      <c r="AE91" s="76">
        <f>COUNTIFS(Tracker!E:E, 2, Tracker!G:G, "&lt;="&amp;Daily!C91, Tracker!L:L, "N") / AA91</f>
        <v>0.57758620689655171</v>
      </c>
      <c r="AF91" s="38">
        <f t="shared" si="58"/>
        <v>25</v>
      </c>
      <c r="AG91" s="30">
        <f t="shared" si="59"/>
        <v>15</v>
      </c>
      <c r="AH91" s="73">
        <f t="shared" si="60"/>
        <v>0.6</v>
      </c>
      <c r="AI91" s="75">
        <f>IFERROR(AVERAGEIFS(Tracker!I:I, Tracker!E:E, 3, Tracker!G:G, "&lt;="&amp;Daily!C91, Tracker!J:J, "Y"), 0)</f>
        <v>39.93333333333333</v>
      </c>
      <c r="AJ91" s="76">
        <f>IFERROR(COUNTIFS(Tracker!E:E, 3, Tracker!G:G, "&lt;="&amp;Daily!C91, Tracker!L:L, "N") / AF91,  0)</f>
        <v>0.24</v>
      </c>
      <c r="AK91" s="38">
        <f t="shared" si="53"/>
        <v>215</v>
      </c>
      <c r="AL91" s="30">
        <f t="shared" si="54"/>
        <v>177</v>
      </c>
      <c r="AM91" s="73">
        <f t="shared" si="61"/>
        <v>0.82325581395348835</v>
      </c>
      <c r="AN91" s="75">
        <f>IFERROR(AVERAGEIFS(Tracker!I:I,  Tracker!G:G, "&lt;="&amp;Daily!C91, Tracker!J:J, "Y"), 0)</f>
        <v>21.384180790960453</v>
      </c>
      <c r="AO91" s="76">
        <f>IFERROR(COUNTIFS(Tracker!G:G, "&lt;="&amp;Daily!C91, Tracker!L:L, "N") / AK91,  0)</f>
        <v>0.61395348837209307</v>
      </c>
    </row>
    <row r="92" spans="1:41" x14ac:dyDescent="0.25">
      <c r="A92" s="119"/>
      <c r="B92" s="32">
        <f t="shared" si="48"/>
        <v>45307</v>
      </c>
      <c r="C92" s="27">
        <f t="shared" si="63"/>
        <v>45307</v>
      </c>
      <c r="D92" s="109" t="b">
        <f t="shared" ca="1" si="55"/>
        <v>1</v>
      </c>
      <c r="E92" s="51">
        <f t="shared" si="49"/>
        <v>5</v>
      </c>
      <c r="F92" s="48">
        <f>COUNTIFS(Tracker!G:G,Daily!C92, Tracker!J:J,"Y")</f>
        <v>5</v>
      </c>
      <c r="G92" s="26">
        <f>COUNTIFS(Tracker!G:G,Daily!C92, Tracker!J:J,"Y (with hints)")</f>
        <v>0</v>
      </c>
      <c r="H92" s="33">
        <f>COUNTIFS(Tracker!G:G,Daily!C92, Tracker!J:J,"N")</f>
        <v>0</v>
      </c>
      <c r="I92" s="54">
        <f t="shared" si="50"/>
        <v>1</v>
      </c>
      <c r="J92" s="26">
        <f>COUNTIFS(Tracker!G:G,Daily!C92, Tracker!J:J,"Y",Tracker!E:E,1)</f>
        <v>1</v>
      </c>
      <c r="K92" s="26">
        <f>COUNTIFS(Tracker!G:G,Daily!C92, Tracker!J:J,"Y (with hints)",Tracker!E:E,1)</f>
        <v>0</v>
      </c>
      <c r="L92" s="33">
        <f>COUNTIFS(Tracker!G:G,Daily!C92, Tracker!J:J,"N",Tracker!E:E,1)</f>
        <v>0</v>
      </c>
      <c r="M92" s="54">
        <f t="shared" si="51"/>
        <v>3</v>
      </c>
      <c r="N92" s="26">
        <f>COUNTIFS(Tracker!G:G,Daily!C92, Tracker!J:J,"Y",Tracker!E:E,2)</f>
        <v>3</v>
      </c>
      <c r="O92" s="26">
        <f>COUNTIFS(Tracker!G:G,Daily!C92, Tracker!J:J,"Y (with hints)",Tracker!E:E,2)</f>
        <v>0</v>
      </c>
      <c r="P92" s="33">
        <f>COUNTIFS(Tracker!G:G,Daily!C92, Tracker!J:J,"N",Tracker!E:E,2)</f>
        <v>0</v>
      </c>
      <c r="Q92" s="57">
        <f t="shared" si="52"/>
        <v>1</v>
      </c>
      <c r="R92" s="26">
        <f>COUNTIFS(Tracker!G:G,Daily!C92, Tracker!J:J,"Y",Tracker!E:E,3)</f>
        <v>1</v>
      </c>
      <c r="S92" s="26">
        <f>COUNTIFS(Tracker!G:G,Daily!C92, Tracker!J:J,"Y (with hints)",Tracker!E:E,3)</f>
        <v>0</v>
      </c>
      <c r="T92" s="33">
        <f>COUNTIFS(Tracker!G:G,Daily!C92, Tracker!J:J,"N",Tracker!E:E,3)</f>
        <v>0</v>
      </c>
      <c r="V92" s="48">
        <f t="shared" si="45"/>
        <v>75</v>
      </c>
      <c r="W92" s="26">
        <f t="shared" si="46"/>
        <v>71</v>
      </c>
      <c r="X92" s="62">
        <f t="shared" si="47"/>
        <v>0.94666666666666666</v>
      </c>
      <c r="Y92" s="74">
        <f>AVERAGEIFS(Tracker!I:I, Tracker!E:E, 1, Tracker!G:G, "&lt;="&amp;Daily!C92, Tracker!J:J, "Y")</f>
        <v>12.47887323943662</v>
      </c>
      <c r="Z92" s="77">
        <f>COUNTIFS(Tracker!E:E, 1, Tracker!G:G, "&lt;="&amp;Daily!C92, Tracker!L:L, "N") / V92</f>
        <v>0.8</v>
      </c>
      <c r="AA92" s="48">
        <f t="shared" si="56"/>
        <v>119</v>
      </c>
      <c r="AB92" s="26">
        <f t="shared" si="57"/>
        <v>95</v>
      </c>
      <c r="AC92" s="62">
        <f t="shared" si="62"/>
        <v>0.79831932773109249</v>
      </c>
      <c r="AD92" s="74">
        <f>AVERAGEIFS(Tracker!I:I, Tracker!E:E, 2, Tracker!G:G, "&lt;="&amp;Daily!C92, Tracker!J:J, "Y")</f>
        <v>25.515789473684212</v>
      </c>
      <c r="AE92" s="77">
        <f>COUNTIFS(Tracker!E:E, 2, Tracker!G:G, "&lt;="&amp;Daily!C92, Tracker!L:L, "N") / AA92</f>
        <v>0.57983193277310929</v>
      </c>
      <c r="AF92" s="48">
        <f t="shared" si="58"/>
        <v>26</v>
      </c>
      <c r="AG92" s="26">
        <f t="shared" si="59"/>
        <v>16</v>
      </c>
      <c r="AH92" s="62">
        <f t="shared" si="60"/>
        <v>0.61538461538461542</v>
      </c>
      <c r="AI92" s="74">
        <f>IFERROR(AVERAGEIFS(Tracker!I:I, Tracker!E:E, 3, Tracker!G:G, "&lt;="&amp;Daily!C92, Tracker!J:J, "Y"), 0)</f>
        <v>41.0625</v>
      </c>
      <c r="AJ92" s="77">
        <f>IFERROR(COUNTIFS(Tracker!E:E, 3, Tracker!G:G, "&lt;="&amp;Daily!C92, Tracker!L:L, "N") / AF92,  0)</f>
        <v>0.23076923076923078</v>
      </c>
      <c r="AK92" s="48">
        <f t="shared" si="53"/>
        <v>220</v>
      </c>
      <c r="AL92" s="26">
        <f t="shared" si="54"/>
        <v>182</v>
      </c>
      <c r="AM92" s="62">
        <f t="shared" si="61"/>
        <v>0.82727272727272727</v>
      </c>
      <c r="AN92" s="74">
        <f>IFERROR(AVERAGEIFS(Tracker!I:I,  Tracker!G:G, "&lt;="&amp;Daily!C92, Tracker!J:J, "Y"), 0)</f>
        <v>21.796703296703296</v>
      </c>
      <c r="AO92" s="77">
        <f>IFERROR(COUNTIFS(Tracker!G:G, "&lt;="&amp;Daily!C92, Tracker!L:L, "N") / AK92,  0)</f>
        <v>0.61363636363636365</v>
      </c>
    </row>
    <row r="93" spans="1:41" x14ac:dyDescent="0.25">
      <c r="A93" s="119"/>
      <c r="B93" s="32">
        <f t="shared" si="48"/>
        <v>45308</v>
      </c>
      <c r="C93" s="27">
        <f t="shared" si="63"/>
        <v>45308</v>
      </c>
      <c r="D93" s="109" t="b">
        <f t="shared" ca="1" si="55"/>
        <v>1</v>
      </c>
      <c r="E93" s="51">
        <f t="shared" si="49"/>
        <v>4</v>
      </c>
      <c r="F93" s="48">
        <f>COUNTIFS(Tracker!G:G,Daily!C93, Tracker!J:J,"Y")</f>
        <v>3</v>
      </c>
      <c r="G93" s="26">
        <f>COUNTIFS(Tracker!G:G,Daily!C93, Tracker!J:J,"Y (with hints)")</f>
        <v>0</v>
      </c>
      <c r="H93" s="33">
        <f>COUNTIFS(Tracker!G:G,Daily!C93, Tracker!J:J,"N")</f>
        <v>1</v>
      </c>
      <c r="I93" s="54">
        <f t="shared" si="50"/>
        <v>2</v>
      </c>
      <c r="J93" s="26">
        <f>COUNTIFS(Tracker!G:G,Daily!C93, Tracker!J:J,"Y",Tracker!E:E,1)</f>
        <v>2</v>
      </c>
      <c r="K93" s="26">
        <f>COUNTIFS(Tracker!G:G,Daily!C93, Tracker!J:J,"Y (with hints)",Tracker!E:E,1)</f>
        <v>0</v>
      </c>
      <c r="L93" s="33">
        <f>COUNTIFS(Tracker!G:G,Daily!C93, Tracker!J:J,"N",Tracker!E:E,1)</f>
        <v>0</v>
      </c>
      <c r="M93" s="54">
        <f t="shared" si="51"/>
        <v>2</v>
      </c>
      <c r="N93" s="26">
        <f>COUNTIFS(Tracker!G:G,Daily!C93, Tracker!J:J,"Y",Tracker!E:E,2)</f>
        <v>1</v>
      </c>
      <c r="O93" s="26">
        <f>COUNTIFS(Tracker!G:G,Daily!C93, Tracker!J:J,"Y (with hints)",Tracker!E:E,2)</f>
        <v>0</v>
      </c>
      <c r="P93" s="33">
        <f>COUNTIFS(Tracker!G:G,Daily!C93, Tracker!J:J,"N",Tracker!E:E,2)</f>
        <v>1</v>
      </c>
      <c r="Q93" s="57">
        <f t="shared" si="52"/>
        <v>0</v>
      </c>
      <c r="R93" s="26">
        <f>COUNTIFS(Tracker!G:G,Daily!C93, Tracker!J:J,"Y",Tracker!E:E,3)</f>
        <v>0</v>
      </c>
      <c r="S93" s="26">
        <f>COUNTIFS(Tracker!G:G,Daily!C93, Tracker!J:J,"Y (with hints)",Tracker!E:E,3)</f>
        <v>0</v>
      </c>
      <c r="T93" s="33">
        <f>COUNTIFS(Tracker!G:G,Daily!C93, Tracker!J:J,"N",Tracker!E:E,3)</f>
        <v>0</v>
      </c>
      <c r="V93" s="48">
        <f t="shared" si="45"/>
        <v>77</v>
      </c>
      <c r="W93" s="26">
        <f t="shared" si="46"/>
        <v>73</v>
      </c>
      <c r="X93" s="62">
        <f t="shared" si="47"/>
        <v>0.94805194805194803</v>
      </c>
      <c r="Y93" s="74">
        <f>AVERAGEIFS(Tracker!I:I, Tracker!E:E, 1, Tracker!G:G, "&lt;="&amp;Daily!C93, Tracker!J:J, "Y")</f>
        <v>12.493150684931507</v>
      </c>
      <c r="Z93" s="77">
        <f>COUNTIFS(Tracker!E:E, 1, Tracker!G:G, "&lt;="&amp;Daily!C93, Tracker!L:L, "N") / V93</f>
        <v>0.77922077922077926</v>
      </c>
      <c r="AA93" s="48">
        <f t="shared" si="56"/>
        <v>121</v>
      </c>
      <c r="AB93" s="26">
        <f t="shared" si="57"/>
        <v>96</v>
      </c>
      <c r="AC93" s="62">
        <f t="shared" si="62"/>
        <v>0.79338842975206614</v>
      </c>
      <c r="AD93" s="74">
        <f>AVERAGEIFS(Tracker!I:I, Tracker!E:E, 2, Tracker!G:G, "&lt;="&amp;Daily!C93, Tracker!J:J, "Y")</f>
        <v>25.34375</v>
      </c>
      <c r="AE93" s="77">
        <f>COUNTIFS(Tracker!E:E, 2, Tracker!G:G, "&lt;="&amp;Daily!C93, Tracker!L:L, "N") / AA93</f>
        <v>0.57851239669421484</v>
      </c>
      <c r="AF93" s="48">
        <f t="shared" si="58"/>
        <v>26</v>
      </c>
      <c r="AG93" s="26">
        <f t="shared" si="59"/>
        <v>16</v>
      </c>
      <c r="AH93" s="62">
        <f t="shared" si="60"/>
        <v>0.61538461538461542</v>
      </c>
      <c r="AI93" s="74">
        <f>IFERROR(AVERAGEIFS(Tracker!I:I, Tracker!E:E, 3, Tracker!G:G, "&lt;="&amp;Daily!C93, Tracker!J:J, "Y"), 0)</f>
        <v>41.0625</v>
      </c>
      <c r="AJ93" s="77">
        <f>IFERROR(COUNTIFS(Tracker!E:E, 3, Tracker!G:G, "&lt;="&amp;Daily!C93, Tracker!L:L, "N") / AF93,  0)</f>
        <v>0.23076923076923078</v>
      </c>
      <c r="AK93" s="48">
        <f t="shared" si="53"/>
        <v>224</v>
      </c>
      <c r="AL93" s="26">
        <f t="shared" si="54"/>
        <v>185</v>
      </c>
      <c r="AM93" s="62">
        <f t="shared" si="61"/>
        <v>0.8258928571428571</v>
      </c>
      <c r="AN93" s="74">
        <f>IFERROR(AVERAGEIFS(Tracker!I:I,  Tracker!G:G, "&lt;="&amp;Daily!C93, Tracker!J:J, "Y"), 0)</f>
        <v>21.632432432432431</v>
      </c>
      <c r="AO93" s="77">
        <f>IFERROR(COUNTIFS(Tracker!G:G, "&lt;="&amp;Daily!C93, Tracker!L:L, "N") / AK93,  0)</f>
        <v>0.6071428571428571</v>
      </c>
    </row>
    <row r="94" spans="1:41" x14ac:dyDescent="0.25">
      <c r="A94" s="119"/>
      <c r="B94" s="32">
        <f t="shared" si="48"/>
        <v>45309</v>
      </c>
      <c r="C94" s="27">
        <f t="shared" si="63"/>
        <v>45309</v>
      </c>
      <c r="D94" s="109" t="b">
        <f t="shared" ca="1" si="55"/>
        <v>1</v>
      </c>
      <c r="E94" s="51">
        <f t="shared" si="49"/>
        <v>3</v>
      </c>
      <c r="F94" s="48">
        <f>COUNTIFS(Tracker!G:G,Daily!C94, Tracker!J:J,"Y")</f>
        <v>2</v>
      </c>
      <c r="G94" s="26">
        <f>COUNTIFS(Tracker!G:G,Daily!C94, Tracker!J:J,"Y (with hints)")</f>
        <v>0</v>
      </c>
      <c r="H94" s="33">
        <f>COUNTIFS(Tracker!G:G,Daily!C94, Tracker!J:J,"N")</f>
        <v>1</v>
      </c>
      <c r="I94" s="54">
        <f t="shared" si="50"/>
        <v>0</v>
      </c>
      <c r="J94" s="26">
        <f>COUNTIFS(Tracker!G:G,Daily!C94, Tracker!J:J,"Y",Tracker!E:E,1)</f>
        <v>0</v>
      </c>
      <c r="K94" s="26">
        <f>COUNTIFS(Tracker!G:G,Daily!C94, Tracker!J:J,"Y (with hints)",Tracker!E:E,1)</f>
        <v>0</v>
      </c>
      <c r="L94" s="33">
        <f>COUNTIFS(Tracker!G:G,Daily!C94, Tracker!J:J,"N",Tracker!E:E,1)</f>
        <v>0</v>
      </c>
      <c r="M94" s="54">
        <f t="shared" si="51"/>
        <v>1</v>
      </c>
      <c r="N94" s="26">
        <f>COUNTIFS(Tracker!G:G,Daily!C94, Tracker!J:J,"Y",Tracker!E:E,2)</f>
        <v>1</v>
      </c>
      <c r="O94" s="26">
        <f>COUNTIFS(Tracker!G:G,Daily!C94, Tracker!J:J,"Y (with hints)",Tracker!E:E,2)</f>
        <v>0</v>
      </c>
      <c r="P94" s="33">
        <f>COUNTIFS(Tracker!G:G,Daily!C94, Tracker!J:J,"N",Tracker!E:E,2)</f>
        <v>0</v>
      </c>
      <c r="Q94" s="57">
        <f t="shared" si="52"/>
        <v>2</v>
      </c>
      <c r="R94" s="26">
        <f>COUNTIFS(Tracker!G:G,Daily!C94, Tracker!J:J,"Y",Tracker!E:E,3)</f>
        <v>1</v>
      </c>
      <c r="S94" s="26">
        <f>COUNTIFS(Tracker!G:G,Daily!C94, Tracker!J:J,"Y (with hints)",Tracker!E:E,3)</f>
        <v>0</v>
      </c>
      <c r="T94" s="33">
        <f>COUNTIFS(Tracker!G:G,Daily!C94, Tracker!J:J,"N",Tracker!E:E,3)</f>
        <v>1</v>
      </c>
      <c r="V94" s="48">
        <f t="shared" si="45"/>
        <v>77</v>
      </c>
      <c r="W94" s="26">
        <f t="shared" si="46"/>
        <v>73</v>
      </c>
      <c r="X94" s="62">
        <f t="shared" si="47"/>
        <v>0.94805194805194803</v>
      </c>
      <c r="Y94" s="74">
        <f>AVERAGEIFS(Tracker!I:I, Tracker!E:E, 1, Tracker!G:G, "&lt;="&amp;Daily!C94, Tracker!J:J, "Y")</f>
        <v>12.493150684931507</v>
      </c>
      <c r="Z94" s="77">
        <f>COUNTIFS(Tracker!E:E, 1, Tracker!G:G, "&lt;="&amp;Daily!C94, Tracker!L:L, "N") / V94</f>
        <v>0.77922077922077926</v>
      </c>
      <c r="AA94" s="48">
        <f t="shared" si="56"/>
        <v>122</v>
      </c>
      <c r="AB94" s="26">
        <f t="shared" si="57"/>
        <v>97</v>
      </c>
      <c r="AC94" s="62">
        <f t="shared" si="62"/>
        <v>0.79508196721311475</v>
      </c>
      <c r="AD94" s="74">
        <f>AVERAGEIFS(Tracker!I:I, Tracker!E:E, 2, Tracker!G:G, "&lt;="&amp;Daily!C94, Tracker!J:J, "Y")</f>
        <v>25.298969072164947</v>
      </c>
      <c r="AE94" s="77">
        <f>COUNTIFS(Tracker!E:E, 2, Tracker!G:G, "&lt;="&amp;Daily!C94, Tracker!L:L, "N") / AA94</f>
        <v>0.58196721311475408</v>
      </c>
      <c r="AF94" s="48">
        <f t="shared" si="58"/>
        <v>28</v>
      </c>
      <c r="AG94" s="26">
        <f t="shared" si="59"/>
        <v>17</v>
      </c>
      <c r="AH94" s="62">
        <f t="shared" si="60"/>
        <v>0.6071428571428571</v>
      </c>
      <c r="AI94" s="74">
        <f>IFERROR(AVERAGEIFS(Tracker!I:I, Tracker!E:E, 3, Tracker!G:G, "&lt;="&amp;Daily!C94, Tracker!J:J, "Y"), 0)</f>
        <v>39.588235294117645</v>
      </c>
      <c r="AJ94" s="77">
        <f>IFERROR(COUNTIFS(Tracker!E:E, 3, Tracker!G:G, "&lt;="&amp;Daily!C94, Tracker!L:L, "N") / AF94,  0)</f>
        <v>0.25</v>
      </c>
      <c r="AK94" s="48">
        <f t="shared" si="53"/>
        <v>227</v>
      </c>
      <c r="AL94" s="26">
        <f t="shared" si="54"/>
        <v>187</v>
      </c>
      <c r="AM94" s="62">
        <f t="shared" si="61"/>
        <v>0.82378854625550657</v>
      </c>
      <c r="AN94" s="74">
        <f>IFERROR(AVERAGEIFS(Tracker!I:I,  Tracker!G:G, "&lt;="&amp;Daily!C94, Tracker!J:J, "Y"), 0)</f>
        <v>21.598930481283421</v>
      </c>
      <c r="AO94" s="77">
        <f>IFERROR(COUNTIFS(Tracker!G:G, "&lt;="&amp;Daily!C94, Tracker!L:L, "N") / AK94,  0)</f>
        <v>0.60792951541850215</v>
      </c>
    </row>
    <row r="95" spans="1:41" x14ac:dyDescent="0.25">
      <c r="A95" s="119"/>
      <c r="B95" s="32">
        <f t="shared" si="48"/>
        <v>45310</v>
      </c>
      <c r="C95" s="27">
        <f t="shared" si="63"/>
        <v>45310</v>
      </c>
      <c r="D95" s="109" t="b">
        <f t="shared" ca="1" si="55"/>
        <v>1</v>
      </c>
      <c r="E95" s="51">
        <f t="shared" si="49"/>
        <v>5</v>
      </c>
      <c r="F95" s="48">
        <f>COUNTIFS(Tracker!G:G,Daily!C95, Tracker!J:J,"Y")</f>
        <v>5</v>
      </c>
      <c r="G95" s="26">
        <f>COUNTIFS(Tracker!G:G,Daily!C95, Tracker!J:J,"Y (with hints)")</f>
        <v>0</v>
      </c>
      <c r="H95" s="33">
        <f>COUNTIFS(Tracker!G:G,Daily!C95, Tracker!J:J,"N")</f>
        <v>0</v>
      </c>
      <c r="I95" s="54">
        <f t="shared" si="50"/>
        <v>1</v>
      </c>
      <c r="J95" s="26">
        <f>COUNTIFS(Tracker!G:G,Daily!C95, Tracker!J:J,"Y",Tracker!E:E,1)</f>
        <v>1</v>
      </c>
      <c r="K95" s="26">
        <f>COUNTIFS(Tracker!G:G,Daily!C95, Tracker!J:J,"Y (with hints)",Tracker!E:E,1)</f>
        <v>0</v>
      </c>
      <c r="L95" s="33">
        <f>COUNTIFS(Tracker!G:G,Daily!C95, Tracker!J:J,"N",Tracker!E:E,1)</f>
        <v>0</v>
      </c>
      <c r="M95" s="54">
        <f t="shared" si="51"/>
        <v>3</v>
      </c>
      <c r="N95" s="26">
        <f>COUNTIFS(Tracker!G:G,Daily!C95, Tracker!J:J,"Y",Tracker!E:E,2)</f>
        <v>3</v>
      </c>
      <c r="O95" s="26">
        <f>COUNTIFS(Tracker!G:G,Daily!C95, Tracker!J:J,"Y (with hints)",Tracker!E:E,2)</f>
        <v>0</v>
      </c>
      <c r="P95" s="33">
        <f>COUNTIFS(Tracker!G:G,Daily!C95, Tracker!J:J,"N",Tracker!E:E,2)</f>
        <v>0</v>
      </c>
      <c r="Q95" s="57">
        <f t="shared" si="52"/>
        <v>1</v>
      </c>
      <c r="R95" s="26">
        <f>COUNTIFS(Tracker!G:G,Daily!C95, Tracker!J:J,"Y",Tracker!E:E,3)</f>
        <v>1</v>
      </c>
      <c r="S95" s="26">
        <f>COUNTIFS(Tracker!G:G,Daily!C95, Tracker!J:J,"Y (with hints)",Tracker!E:E,3)</f>
        <v>0</v>
      </c>
      <c r="T95" s="33">
        <f>COUNTIFS(Tracker!G:G,Daily!C95, Tracker!J:J,"N",Tracker!E:E,3)</f>
        <v>0</v>
      </c>
      <c r="V95" s="48">
        <f t="shared" si="45"/>
        <v>78</v>
      </c>
      <c r="W95" s="26">
        <f t="shared" si="46"/>
        <v>74</v>
      </c>
      <c r="X95" s="62">
        <f t="shared" si="47"/>
        <v>0.94871794871794868</v>
      </c>
      <c r="Y95" s="74">
        <f>AVERAGEIFS(Tracker!I:I, Tracker!E:E, 1, Tracker!G:G, "&lt;="&amp;Daily!C95, Tracker!J:J, "Y")</f>
        <v>12.486486486486486</v>
      </c>
      <c r="Z95" s="77">
        <f>COUNTIFS(Tracker!E:E, 1, Tracker!G:G, "&lt;="&amp;Daily!C95, Tracker!L:L, "N") / V95</f>
        <v>0.78205128205128205</v>
      </c>
      <c r="AA95" s="48">
        <f t="shared" si="56"/>
        <v>125</v>
      </c>
      <c r="AB95" s="26">
        <f t="shared" si="57"/>
        <v>100</v>
      </c>
      <c r="AC95" s="62">
        <f t="shared" si="62"/>
        <v>0.8</v>
      </c>
      <c r="AD95" s="74">
        <f>AVERAGEIFS(Tracker!I:I, Tracker!E:E, 2, Tracker!G:G, "&lt;="&amp;Daily!C95, Tracker!J:J, "Y")</f>
        <v>25.56</v>
      </c>
      <c r="AE95" s="77">
        <f>COUNTIFS(Tracker!E:E, 2, Tracker!G:G, "&lt;="&amp;Daily!C95, Tracker!L:L, "N") / AA95</f>
        <v>0.59199999999999997</v>
      </c>
      <c r="AF95" s="48">
        <f t="shared" si="58"/>
        <v>29</v>
      </c>
      <c r="AG95" s="26">
        <f t="shared" si="59"/>
        <v>18</v>
      </c>
      <c r="AH95" s="62">
        <f t="shared" si="60"/>
        <v>0.62068965517241381</v>
      </c>
      <c r="AI95" s="74">
        <f>IFERROR(AVERAGEIFS(Tracker!I:I, Tracker!E:E, 3, Tracker!G:G, "&lt;="&amp;Daily!C95, Tracker!J:J, "Y"), 0)</f>
        <v>39.833333333333336</v>
      </c>
      <c r="AJ95" s="77">
        <f>IFERROR(COUNTIFS(Tracker!E:E, 3, Tracker!G:G, "&lt;="&amp;Daily!C95, Tracker!L:L, "N") / AF95,  0)</f>
        <v>0.27586206896551724</v>
      </c>
      <c r="AK95" s="48">
        <f t="shared" si="53"/>
        <v>232</v>
      </c>
      <c r="AL95" s="26">
        <f t="shared" si="54"/>
        <v>192</v>
      </c>
      <c r="AM95" s="62">
        <f t="shared" si="61"/>
        <v>0.82758620689655171</v>
      </c>
      <c r="AN95" s="74">
        <f>IFERROR(AVERAGEIFS(Tracker!I:I,  Tracker!G:G, "&lt;="&amp;Daily!C95, Tracker!J:J, "Y"), 0)</f>
        <v>21.859375</v>
      </c>
      <c r="AO95" s="77">
        <f>IFERROR(COUNTIFS(Tracker!G:G, "&lt;="&amp;Daily!C95, Tracker!L:L, "N") / AK95,  0)</f>
        <v>0.61637931034482762</v>
      </c>
    </row>
    <row r="96" spans="1:41" x14ac:dyDescent="0.25">
      <c r="A96" s="119"/>
      <c r="B96" s="32">
        <f t="shared" si="48"/>
        <v>45311</v>
      </c>
      <c r="C96" s="27">
        <f t="shared" si="63"/>
        <v>45311</v>
      </c>
      <c r="D96" s="109" t="b">
        <f t="shared" ca="1" si="55"/>
        <v>1</v>
      </c>
      <c r="E96" s="51">
        <f t="shared" si="49"/>
        <v>0</v>
      </c>
      <c r="F96" s="48">
        <f>COUNTIFS(Tracker!G:G,Daily!C96, Tracker!J:J,"Y")</f>
        <v>0</v>
      </c>
      <c r="G96" s="26">
        <f>COUNTIFS(Tracker!G:G,Daily!C96, Tracker!J:J,"Y (with hints)")</f>
        <v>0</v>
      </c>
      <c r="H96" s="33">
        <f>COUNTIFS(Tracker!G:G,Daily!C96, Tracker!J:J,"N")</f>
        <v>0</v>
      </c>
      <c r="I96" s="54">
        <f t="shared" si="50"/>
        <v>0</v>
      </c>
      <c r="J96" s="26">
        <f>COUNTIFS(Tracker!G:G,Daily!C96, Tracker!J:J,"Y",Tracker!E:E,1)</f>
        <v>0</v>
      </c>
      <c r="K96" s="26">
        <f>COUNTIFS(Tracker!G:G,Daily!C96, Tracker!J:J,"Y (with hints)",Tracker!E:E,1)</f>
        <v>0</v>
      </c>
      <c r="L96" s="33">
        <f>COUNTIFS(Tracker!G:G,Daily!C96, Tracker!J:J,"N",Tracker!E:E,1)</f>
        <v>0</v>
      </c>
      <c r="M96" s="54">
        <f t="shared" si="51"/>
        <v>0</v>
      </c>
      <c r="N96" s="26">
        <f>COUNTIFS(Tracker!G:G,Daily!C96, Tracker!J:J,"Y",Tracker!E:E,2)</f>
        <v>0</v>
      </c>
      <c r="O96" s="26">
        <f>COUNTIFS(Tracker!G:G,Daily!C96, Tracker!J:J,"Y (with hints)",Tracker!E:E,2)</f>
        <v>0</v>
      </c>
      <c r="P96" s="33">
        <f>COUNTIFS(Tracker!G:G,Daily!C96, Tracker!J:J,"N",Tracker!E:E,2)</f>
        <v>0</v>
      </c>
      <c r="Q96" s="57">
        <f t="shared" si="52"/>
        <v>0</v>
      </c>
      <c r="R96" s="26">
        <f>COUNTIFS(Tracker!G:G,Daily!C96, Tracker!J:J,"Y",Tracker!E:E,3)</f>
        <v>0</v>
      </c>
      <c r="S96" s="26">
        <f>COUNTIFS(Tracker!G:G,Daily!C96, Tracker!J:J,"Y (with hints)",Tracker!E:E,3)</f>
        <v>0</v>
      </c>
      <c r="T96" s="33">
        <f>COUNTIFS(Tracker!G:G,Daily!C96, Tracker!J:J,"N",Tracker!E:E,3)</f>
        <v>0</v>
      </c>
      <c r="V96" s="48">
        <f t="shared" si="45"/>
        <v>78</v>
      </c>
      <c r="W96" s="26">
        <f t="shared" si="46"/>
        <v>74</v>
      </c>
      <c r="X96" s="62">
        <f t="shared" si="47"/>
        <v>0.94871794871794868</v>
      </c>
      <c r="Y96" s="74">
        <f>AVERAGEIFS(Tracker!I:I, Tracker!E:E, 1, Tracker!G:G, "&lt;="&amp;Daily!C96, Tracker!J:J, "Y")</f>
        <v>12.486486486486486</v>
      </c>
      <c r="Z96" s="77">
        <f>COUNTIFS(Tracker!E:E, 1, Tracker!G:G, "&lt;="&amp;Daily!C96, Tracker!L:L, "N") / V96</f>
        <v>0.78205128205128205</v>
      </c>
      <c r="AA96" s="48">
        <f t="shared" si="56"/>
        <v>125</v>
      </c>
      <c r="AB96" s="26">
        <f t="shared" si="57"/>
        <v>100</v>
      </c>
      <c r="AC96" s="62">
        <f t="shared" si="62"/>
        <v>0.8</v>
      </c>
      <c r="AD96" s="74">
        <f>AVERAGEIFS(Tracker!I:I, Tracker!E:E, 2, Tracker!G:G, "&lt;="&amp;Daily!C96, Tracker!J:J, "Y")</f>
        <v>25.56</v>
      </c>
      <c r="AE96" s="77">
        <f>COUNTIFS(Tracker!E:E, 2, Tracker!G:G, "&lt;="&amp;Daily!C96, Tracker!L:L, "N") / AA96</f>
        <v>0.59199999999999997</v>
      </c>
      <c r="AF96" s="48">
        <f t="shared" si="58"/>
        <v>29</v>
      </c>
      <c r="AG96" s="26">
        <f t="shared" si="59"/>
        <v>18</v>
      </c>
      <c r="AH96" s="62">
        <f t="shared" si="60"/>
        <v>0.62068965517241381</v>
      </c>
      <c r="AI96" s="74">
        <f>IFERROR(AVERAGEIFS(Tracker!I:I, Tracker!E:E, 3, Tracker!G:G, "&lt;="&amp;Daily!C96, Tracker!J:J, "Y"), 0)</f>
        <v>39.833333333333336</v>
      </c>
      <c r="AJ96" s="77">
        <f>IFERROR(COUNTIFS(Tracker!E:E, 3, Tracker!G:G, "&lt;="&amp;Daily!C96, Tracker!L:L, "N") / AF96,  0)</f>
        <v>0.27586206896551724</v>
      </c>
      <c r="AK96" s="48">
        <f t="shared" si="53"/>
        <v>232</v>
      </c>
      <c r="AL96" s="26">
        <f t="shared" si="54"/>
        <v>192</v>
      </c>
      <c r="AM96" s="62">
        <f t="shared" si="61"/>
        <v>0.82758620689655171</v>
      </c>
      <c r="AN96" s="74">
        <f>IFERROR(AVERAGEIFS(Tracker!I:I,  Tracker!G:G, "&lt;="&amp;Daily!C96, Tracker!J:J, "Y"), 0)</f>
        <v>21.859375</v>
      </c>
      <c r="AO96" s="77">
        <f>IFERROR(COUNTIFS(Tracker!G:G, "&lt;="&amp;Daily!C96, Tracker!L:L, "N") / AK96,  0)</f>
        <v>0.61637931034482762</v>
      </c>
    </row>
    <row r="97" spans="1:41" ht="15.75" thickBot="1" x14ac:dyDescent="0.3">
      <c r="A97" s="120"/>
      <c r="B97" s="34">
        <f t="shared" si="48"/>
        <v>45312</v>
      </c>
      <c r="C97" s="35">
        <f t="shared" si="63"/>
        <v>45312</v>
      </c>
      <c r="D97" s="110" t="b">
        <f t="shared" ca="1" si="55"/>
        <v>1</v>
      </c>
      <c r="E97" s="52">
        <f t="shared" si="49"/>
        <v>0</v>
      </c>
      <c r="F97" s="39">
        <f>COUNTIFS(Tracker!G:G,Daily!C97, Tracker!J:J,"Y")</f>
        <v>0</v>
      </c>
      <c r="G97" s="36">
        <f>COUNTIFS(Tracker!G:G,Daily!C97, Tracker!J:J,"Y (with hints)")</f>
        <v>0</v>
      </c>
      <c r="H97" s="37">
        <f>COUNTIFS(Tracker!G:G,Daily!C97, Tracker!J:J,"N")</f>
        <v>0</v>
      </c>
      <c r="I97" s="55">
        <f t="shared" si="50"/>
        <v>0</v>
      </c>
      <c r="J97" s="36">
        <f>COUNTIFS(Tracker!G:G,Daily!C97, Tracker!J:J,"Y",Tracker!E:E,1)</f>
        <v>0</v>
      </c>
      <c r="K97" s="36">
        <f>COUNTIFS(Tracker!G:G,Daily!C97, Tracker!J:J,"Y (with hints)",Tracker!E:E,1)</f>
        <v>0</v>
      </c>
      <c r="L97" s="37">
        <f>COUNTIFS(Tracker!G:G,Daily!C97, Tracker!J:J,"N",Tracker!E:E,1)</f>
        <v>0</v>
      </c>
      <c r="M97" s="55">
        <f t="shared" si="51"/>
        <v>0</v>
      </c>
      <c r="N97" s="36">
        <f>COUNTIFS(Tracker!G:G,Daily!C97, Tracker!J:J,"Y",Tracker!E:E,2)</f>
        <v>0</v>
      </c>
      <c r="O97" s="36">
        <f>COUNTIFS(Tracker!G:G,Daily!C97, Tracker!J:J,"Y (with hints)",Tracker!E:E,2)</f>
        <v>0</v>
      </c>
      <c r="P97" s="37">
        <f>COUNTIFS(Tracker!G:G,Daily!C97, Tracker!J:J,"N",Tracker!E:E,2)</f>
        <v>0</v>
      </c>
      <c r="Q97" s="58">
        <f t="shared" si="52"/>
        <v>0</v>
      </c>
      <c r="R97" s="36">
        <f>COUNTIFS(Tracker!G:G,Daily!C97, Tracker!J:J,"Y",Tracker!E:E,3)</f>
        <v>0</v>
      </c>
      <c r="S97" s="36">
        <f>COUNTIFS(Tracker!G:G,Daily!C97, Tracker!J:J,"Y (with hints)",Tracker!E:E,3)</f>
        <v>0</v>
      </c>
      <c r="T97" s="37">
        <f>COUNTIFS(Tracker!G:G,Daily!C97, Tracker!J:J,"N",Tracker!E:E,3)</f>
        <v>0</v>
      </c>
      <c r="V97" s="39">
        <f t="shared" si="45"/>
        <v>78</v>
      </c>
      <c r="W97" s="36">
        <f t="shared" si="46"/>
        <v>74</v>
      </c>
      <c r="X97" s="64">
        <f t="shared" si="47"/>
        <v>0.94871794871794868</v>
      </c>
      <c r="Y97" s="78">
        <f>AVERAGEIFS(Tracker!I:I, Tracker!E:E, 1, Tracker!G:G, "&lt;="&amp;Daily!C97, Tracker!J:J, "Y")</f>
        <v>12.486486486486486</v>
      </c>
      <c r="Z97" s="79">
        <f>COUNTIFS(Tracker!E:E, 1, Tracker!G:G, "&lt;="&amp;Daily!C97, Tracker!L:L, "N") / V97</f>
        <v>0.78205128205128205</v>
      </c>
      <c r="AA97" s="39">
        <f t="shared" si="56"/>
        <v>125</v>
      </c>
      <c r="AB97" s="36">
        <f t="shared" si="57"/>
        <v>100</v>
      </c>
      <c r="AC97" s="64">
        <f t="shared" si="62"/>
        <v>0.8</v>
      </c>
      <c r="AD97" s="78">
        <f>AVERAGEIFS(Tracker!I:I, Tracker!E:E, 2, Tracker!G:G, "&lt;="&amp;Daily!C97, Tracker!J:J, "Y")</f>
        <v>25.56</v>
      </c>
      <c r="AE97" s="79">
        <f>COUNTIFS(Tracker!E:E, 2, Tracker!G:G, "&lt;="&amp;Daily!C97, Tracker!L:L, "N") / AA97</f>
        <v>0.59199999999999997</v>
      </c>
      <c r="AF97" s="39">
        <f t="shared" si="58"/>
        <v>29</v>
      </c>
      <c r="AG97" s="36">
        <f t="shared" si="59"/>
        <v>18</v>
      </c>
      <c r="AH97" s="64">
        <f t="shared" si="60"/>
        <v>0.62068965517241381</v>
      </c>
      <c r="AI97" s="78">
        <f>IFERROR(AVERAGEIFS(Tracker!I:I, Tracker!E:E, 3, Tracker!G:G, "&lt;="&amp;Daily!C97, Tracker!J:J, "Y"), 0)</f>
        <v>39.833333333333336</v>
      </c>
      <c r="AJ97" s="79">
        <f>IFERROR(COUNTIFS(Tracker!E:E, 3, Tracker!G:G, "&lt;="&amp;Daily!C97, Tracker!L:L, "N") / AF97,  0)</f>
        <v>0.27586206896551724</v>
      </c>
      <c r="AK97" s="39">
        <f t="shared" si="53"/>
        <v>232</v>
      </c>
      <c r="AL97" s="36">
        <f t="shared" si="54"/>
        <v>192</v>
      </c>
      <c r="AM97" s="64">
        <f t="shared" si="61"/>
        <v>0.82758620689655171</v>
      </c>
      <c r="AN97" s="78">
        <f>IFERROR(AVERAGEIFS(Tracker!I:I,  Tracker!G:G, "&lt;="&amp;Daily!C97, Tracker!J:J, "Y"), 0)</f>
        <v>21.859375</v>
      </c>
      <c r="AO97" s="79">
        <f>IFERROR(COUNTIFS(Tracker!G:G, "&lt;="&amp;Daily!C97, Tracker!L:L, "N") / AK97,  0)</f>
        <v>0.61637931034482762</v>
      </c>
    </row>
    <row r="98" spans="1:41" x14ac:dyDescent="0.25">
      <c r="A98" s="118">
        <v>14</v>
      </c>
      <c r="B98" s="28">
        <f t="shared" si="48"/>
        <v>45313</v>
      </c>
      <c r="C98" s="29">
        <f t="shared" si="63"/>
        <v>45313</v>
      </c>
      <c r="D98" s="108" t="b">
        <f t="shared" ca="1" si="55"/>
        <v>1</v>
      </c>
      <c r="E98" s="50">
        <f t="shared" si="49"/>
        <v>3</v>
      </c>
      <c r="F98" s="38">
        <f>COUNTIFS(Tracker!G:G,Daily!C98, Tracker!J:J,"Y")</f>
        <v>2</v>
      </c>
      <c r="G98" s="30">
        <f>COUNTIFS(Tracker!G:G,Daily!C98, Tracker!J:J,"Y (with hints)")</f>
        <v>0</v>
      </c>
      <c r="H98" s="31">
        <f>COUNTIFS(Tracker!G:G,Daily!C98, Tracker!J:J,"N")</f>
        <v>1</v>
      </c>
      <c r="I98" s="53">
        <f t="shared" si="50"/>
        <v>1</v>
      </c>
      <c r="J98" s="30">
        <f>COUNTIFS(Tracker!G:G,Daily!C98, Tracker!J:J,"Y",Tracker!E:E,1)</f>
        <v>1</v>
      </c>
      <c r="K98" s="30">
        <f>COUNTIFS(Tracker!G:G,Daily!C98, Tracker!J:J,"Y (with hints)",Tracker!E:E,1)</f>
        <v>0</v>
      </c>
      <c r="L98" s="31">
        <f>COUNTIFS(Tracker!G:G,Daily!C98, Tracker!J:J,"N",Tracker!E:E,1)</f>
        <v>0</v>
      </c>
      <c r="M98" s="53">
        <f t="shared" si="51"/>
        <v>1</v>
      </c>
      <c r="N98" s="30">
        <f>COUNTIFS(Tracker!G:G,Daily!C98, Tracker!J:J,"Y",Tracker!E:E,2)</f>
        <v>1</v>
      </c>
      <c r="O98" s="30">
        <f>COUNTIFS(Tracker!G:G,Daily!C98, Tracker!J:J,"Y (with hints)",Tracker!E:E,2)</f>
        <v>0</v>
      </c>
      <c r="P98" s="31">
        <f>COUNTIFS(Tracker!G:G,Daily!C98, Tracker!J:J,"N",Tracker!E:E,2)</f>
        <v>0</v>
      </c>
      <c r="Q98" s="56">
        <f t="shared" si="52"/>
        <v>1</v>
      </c>
      <c r="R98" s="30">
        <f>COUNTIFS(Tracker!G:G,Daily!C98, Tracker!J:J,"Y",Tracker!E:E,3)</f>
        <v>0</v>
      </c>
      <c r="S98" s="30">
        <f>COUNTIFS(Tracker!G:G,Daily!C98, Tracker!J:J,"Y (with hints)",Tracker!E:E,3)</f>
        <v>0</v>
      </c>
      <c r="T98" s="31">
        <f>COUNTIFS(Tracker!G:G,Daily!C98, Tracker!J:J,"N",Tracker!E:E,3)</f>
        <v>1</v>
      </c>
      <c r="V98" s="38">
        <f t="shared" si="45"/>
        <v>79</v>
      </c>
      <c r="W98" s="30">
        <f t="shared" si="46"/>
        <v>75</v>
      </c>
      <c r="X98" s="73">
        <f t="shared" si="47"/>
        <v>0.94936708860759489</v>
      </c>
      <c r="Y98" s="75">
        <f>AVERAGEIFS(Tracker!I:I, Tracker!E:E, 1, Tracker!G:G, "&lt;="&amp;Daily!C98, Tracker!J:J, "Y")</f>
        <v>12.533333333333333</v>
      </c>
      <c r="Z98" s="76">
        <f>COUNTIFS(Tracker!E:E, 1, Tracker!G:G, "&lt;="&amp;Daily!C98, Tracker!L:L, "N") / V98</f>
        <v>0.78481012658227844</v>
      </c>
      <c r="AA98" s="38">
        <f t="shared" si="56"/>
        <v>126</v>
      </c>
      <c r="AB98" s="30">
        <f t="shared" si="57"/>
        <v>101</v>
      </c>
      <c r="AC98" s="73">
        <f t="shared" si="62"/>
        <v>0.80158730158730163</v>
      </c>
      <c r="AD98" s="75">
        <f>AVERAGEIFS(Tracker!I:I, Tracker!E:E, 2, Tracker!G:G, "&lt;="&amp;Daily!C98, Tracker!J:J, "Y")</f>
        <v>25.613861386138613</v>
      </c>
      <c r="AE98" s="76">
        <f>COUNTIFS(Tracker!E:E, 2, Tracker!G:G, "&lt;="&amp;Daily!C98, Tracker!L:L, "N") / AA98</f>
        <v>0.59523809523809523</v>
      </c>
      <c r="AF98" s="38">
        <f t="shared" si="58"/>
        <v>30</v>
      </c>
      <c r="AG98" s="30">
        <f t="shared" si="59"/>
        <v>18</v>
      </c>
      <c r="AH98" s="73">
        <f t="shared" si="60"/>
        <v>0.6</v>
      </c>
      <c r="AI98" s="75">
        <f>IFERROR(AVERAGEIFS(Tracker!I:I, Tracker!E:E, 3, Tracker!G:G, "&lt;="&amp;Daily!C98, Tracker!J:J, "Y"), 0)</f>
        <v>39.833333333333336</v>
      </c>
      <c r="AJ98" s="76">
        <f>IFERROR(COUNTIFS(Tracker!E:E, 3, Tracker!G:G, "&lt;="&amp;Daily!C98, Tracker!L:L, "N") / AF98,  0)</f>
        <v>0.26666666666666666</v>
      </c>
      <c r="AK98" s="38">
        <f t="shared" si="53"/>
        <v>235</v>
      </c>
      <c r="AL98" s="30">
        <f t="shared" si="54"/>
        <v>194</v>
      </c>
      <c r="AM98" s="73">
        <f t="shared" si="61"/>
        <v>0.82553191489361699</v>
      </c>
      <c r="AN98" s="75">
        <f>IFERROR(AVERAGEIFS(Tracker!I:I,  Tracker!G:G, "&lt;="&amp;Daily!C98, Tracker!J:J, "Y"), 0)</f>
        <v>21.876288659793815</v>
      </c>
      <c r="AO98" s="76">
        <f>IFERROR(COUNTIFS(Tracker!G:G, "&lt;="&amp;Daily!C98, Tracker!L:L, "N") / AK98,  0)</f>
        <v>0.61702127659574468</v>
      </c>
    </row>
    <row r="99" spans="1:41" x14ac:dyDescent="0.25">
      <c r="A99" s="119"/>
      <c r="B99" s="32">
        <f t="shared" si="48"/>
        <v>45314</v>
      </c>
      <c r="C99" s="27">
        <f t="shared" si="63"/>
        <v>45314</v>
      </c>
      <c r="D99" s="109" t="b">
        <f t="shared" ca="1" si="55"/>
        <v>1</v>
      </c>
      <c r="E99" s="51">
        <f t="shared" si="49"/>
        <v>6</v>
      </c>
      <c r="F99" s="48">
        <f>COUNTIFS(Tracker!G:G,Daily!C99, Tracker!J:J,"Y")</f>
        <v>6</v>
      </c>
      <c r="G99" s="26">
        <f>COUNTIFS(Tracker!G:G,Daily!C99, Tracker!J:J,"Y (with hints)")</f>
        <v>0</v>
      </c>
      <c r="H99" s="33">
        <f>COUNTIFS(Tracker!G:G,Daily!C99, Tracker!J:J,"N")</f>
        <v>0</v>
      </c>
      <c r="I99" s="54">
        <f t="shared" si="50"/>
        <v>1</v>
      </c>
      <c r="J99" s="26">
        <f>COUNTIFS(Tracker!G:G,Daily!C99, Tracker!J:J,"Y",Tracker!E:E,1)</f>
        <v>1</v>
      </c>
      <c r="K99" s="26">
        <f>COUNTIFS(Tracker!G:G,Daily!C99, Tracker!J:J,"Y (with hints)",Tracker!E:E,1)</f>
        <v>0</v>
      </c>
      <c r="L99" s="33">
        <f>COUNTIFS(Tracker!G:G,Daily!C99, Tracker!J:J,"N",Tracker!E:E,1)</f>
        <v>0</v>
      </c>
      <c r="M99" s="54">
        <f t="shared" si="51"/>
        <v>3</v>
      </c>
      <c r="N99" s="26">
        <f>COUNTIFS(Tracker!G:G,Daily!C99, Tracker!J:J,"Y",Tracker!E:E,2)</f>
        <v>3</v>
      </c>
      <c r="O99" s="26">
        <f>COUNTIFS(Tracker!G:G,Daily!C99, Tracker!J:J,"Y (with hints)",Tracker!E:E,2)</f>
        <v>0</v>
      </c>
      <c r="P99" s="33">
        <f>COUNTIFS(Tracker!G:G,Daily!C99, Tracker!J:J,"N",Tracker!E:E,2)</f>
        <v>0</v>
      </c>
      <c r="Q99" s="57">
        <f t="shared" si="52"/>
        <v>2</v>
      </c>
      <c r="R99" s="26">
        <f>COUNTIFS(Tracker!G:G,Daily!C99, Tracker!J:J,"Y",Tracker!E:E,3)</f>
        <v>2</v>
      </c>
      <c r="S99" s="26">
        <f>COUNTIFS(Tracker!G:G,Daily!C99, Tracker!J:J,"Y (with hints)",Tracker!E:E,3)</f>
        <v>0</v>
      </c>
      <c r="T99" s="33">
        <f>COUNTIFS(Tracker!G:G,Daily!C99, Tracker!J:J,"N",Tracker!E:E,3)</f>
        <v>0</v>
      </c>
      <c r="V99" s="48">
        <f t="shared" si="45"/>
        <v>80</v>
      </c>
      <c r="W99" s="26">
        <f t="shared" si="46"/>
        <v>76</v>
      </c>
      <c r="X99" s="62">
        <f t="shared" si="47"/>
        <v>0.95</v>
      </c>
      <c r="Y99" s="74">
        <f>AVERAGEIFS(Tracker!I:I, Tracker!E:E, 1, Tracker!G:G, "&lt;="&amp;Daily!C99, Tracker!J:J, "Y")</f>
        <v>12.486842105263158</v>
      </c>
      <c r="Z99" s="77">
        <f>COUNTIFS(Tracker!E:E, 1, Tracker!G:G, "&lt;="&amp;Daily!C99, Tracker!L:L, "N") / V99</f>
        <v>0.78749999999999998</v>
      </c>
      <c r="AA99" s="48">
        <f t="shared" si="56"/>
        <v>129</v>
      </c>
      <c r="AB99" s="26">
        <f t="shared" si="57"/>
        <v>104</v>
      </c>
      <c r="AC99" s="62">
        <f t="shared" si="62"/>
        <v>0.80620155038759689</v>
      </c>
      <c r="AD99" s="74">
        <f>AVERAGEIFS(Tracker!I:I, Tracker!E:E, 2, Tracker!G:G, "&lt;="&amp;Daily!C99, Tracker!J:J, "Y")</f>
        <v>25.846153846153847</v>
      </c>
      <c r="AE99" s="77">
        <f>COUNTIFS(Tracker!E:E, 2, Tracker!G:G, "&lt;="&amp;Daily!C99, Tracker!L:L, "N") / AA99</f>
        <v>0.5968992248062015</v>
      </c>
      <c r="AF99" s="48">
        <f t="shared" si="58"/>
        <v>32</v>
      </c>
      <c r="AG99" s="26">
        <f t="shared" si="59"/>
        <v>20</v>
      </c>
      <c r="AH99" s="62">
        <f t="shared" si="60"/>
        <v>0.625</v>
      </c>
      <c r="AI99" s="74">
        <f>IFERROR(AVERAGEIFS(Tracker!I:I, Tracker!E:E, 3, Tracker!G:G, "&lt;="&amp;Daily!C99, Tracker!J:J, "Y"), 0)</f>
        <v>39.15</v>
      </c>
      <c r="AJ99" s="77">
        <f>IFERROR(COUNTIFS(Tracker!E:E, 3, Tracker!G:G, "&lt;="&amp;Daily!C99, Tracker!L:L, "N") / AF99,  0)</f>
        <v>0.3125</v>
      </c>
      <c r="AK99" s="48">
        <f t="shared" si="53"/>
        <v>241</v>
      </c>
      <c r="AL99" s="26">
        <f t="shared" si="54"/>
        <v>200</v>
      </c>
      <c r="AM99" s="62">
        <f t="shared" si="61"/>
        <v>0.82987551867219922</v>
      </c>
      <c r="AN99" s="74">
        <f>IFERROR(AVERAGEIFS(Tracker!I:I,  Tracker!G:G, "&lt;="&amp;Daily!C99, Tracker!J:J, "Y"), 0)</f>
        <v>22.1</v>
      </c>
      <c r="AO99" s="77">
        <f>IFERROR(COUNTIFS(Tracker!G:G, "&lt;="&amp;Daily!C99, Tracker!L:L, "N") / AK99,  0)</f>
        <v>0.62240663900414939</v>
      </c>
    </row>
    <row r="100" spans="1:41" x14ac:dyDescent="0.25">
      <c r="A100" s="119"/>
      <c r="B100" s="32">
        <f t="shared" si="48"/>
        <v>45315</v>
      </c>
      <c r="C100" s="27">
        <f t="shared" si="63"/>
        <v>45315</v>
      </c>
      <c r="D100" s="109" t="b">
        <f t="shared" ca="1" si="55"/>
        <v>1</v>
      </c>
      <c r="E100" s="51">
        <f t="shared" si="49"/>
        <v>3</v>
      </c>
      <c r="F100" s="48">
        <f>COUNTIFS(Tracker!G:G,Daily!C100, Tracker!J:J,"Y")</f>
        <v>3</v>
      </c>
      <c r="G100" s="26">
        <f>COUNTIFS(Tracker!G:G,Daily!C100, Tracker!J:J,"Y (with hints)")</f>
        <v>0</v>
      </c>
      <c r="H100" s="33">
        <f>COUNTIFS(Tracker!G:G,Daily!C100, Tracker!J:J,"N")</f>
        <v>0</v>
      </c>
      <c r="I100" s="54">
        <f t="shared" si="50"/>
        <v>0</v>
      </c>
      <c r="J100" s="26">
        <f>COUNTIFS(Tracker!G:G,Daily!C100, Tracker!J:J,"Y",Tracker!E:E,1)</f>
        <v>0</v>
      </c>
      <c r="K100" s="26">
        <f>COUNTIFS(Tracker!G:G,Daily!C100, Tracker!J:J,"Y (with hints)",Tracker!E:E,1)</f>
        <v>0</v>
      </c>
      <c r="L100" s="33">
        <f>COUNTIFS(Tracker!G:G,Daily!C100, Tracker!J:J,"N",Tracker!E:E,1)</f>
        <v>0</v>
      </c>
      <c r="M100" s="54">
        <f t="shared" si="51"/>
        <v>3</v>
      </c>
      <c r="N100" s="26">
        <f>COUNTIFS(Tracker!G:G,Daily!C100, Tracker!J:J,"Y",Tracker!E:E,2)</f>
        <v>3</v>
      </c>
      <c r="O100" s="26">
        <f>COUNTIFS(Tracker!G:G,Daily!C100, Tracker!J:J,"Y (with hints)",Tracker!E:E,2)</f>
        <v>0</v>
      </c>
      <c r="P100" s="33">
        <f>COUNTIFS(Tracker!G:G,Daily!C100, Tracker!J:J,"N",Tracker!E:E,2)</f>
        <v>0</v>
      </c>
      <c r="Q100" s="57">
        <f t="shared" si="52"/>
        <v>0</v>
      </c>
      <c r="R100" s="26">
        <f>COUNTIFS(Tracker!G:G,Daily!C100, Tracker!J:J,"Y",Tracker!E:E,3)</f>
        <v>0</v>
      </c>
      <c r="S100" s="26">
        <f>COUNTIFS(Tracker!G:G,Daily!C100, Tracker!J:J,"Y (with hints)",Tracker!E:E,3)</f>
        <v>0</v>
      </c>
      <c r="T100" s="33">
        <f>COUNTIFS(Tracker!G:G,Daily!C100, Tracker!J:J,"N",Tracker!E:E,3)</f>
        <v>0</v>
      </c>
      <c r="V100" s="48">
        <f t="shared" si="45"/>
        <v>80</v>
      </c>
      <c r="W100" s="26">
        <f t="shared" si="46"/>
        <v>76</v>
      </c>
      <c r="X100" s="62">
        <f t="shared" si="47"/>
        <v>0.95</v>
      </c>
      <c r="Y100" s="74">
        <f>AVERAGEIFS(Tracker!I:I, Tracker!E:E, 1, Tracker!G:G, "&lt;="&amp;Daily!C100, Tracker!J:J, "Y")</f>
        <v>12.486842105263158</v>
      </c>
      <c r="Z100" s="77">
        <f>COUNTIFS(Tracker!E:E, 1, Tracker!G:G, "&lt;="&amp;Daily!C100, Tracker!L:L, "N") / V100</f>
        <v>0.78749999999999998</v>
      </c>
      <c r="AA100" s="48">
        <f t="shared" si="56"/>
        <v>132</v>
      </c>
      <c r="AB100" s="26">
        <f t="shared" si="57"/>
        <v>107</v>
      </c>
      <c r="AC100" s="62">
        <f t="shared" si="62"/>
        <v>0.81060606060606055</v>
      </c>
      <c r="AD100" s="74">
        <f>AVERAGEIFS(Tracker!I:I, Tracker!E:E, 2, Tracker!G:G, "&lt;="&amp;Daily!C100, Tracker!J:J, "Y")</f>
        <v>25.635514018691588</v>
      </c>
      <c r="AE100" s="77">
        <f>COUNTIFS(Tracker!E:E, 2, Tracker!G:G, "&lt;="&amp;Daily!C100, Tracker!L:L, "N") / AA100</f>
        <v>0.59848484848484851</v>
      </c>
      <c r="AF100" s="48">
        <f t="shared" si="58"/>
        <v>32</v>
      </c>
      <c r="AG100" s="26">
        <f t="shared" si="59"/>
        <v>20</v>
      </c>
      <c r="AH100" s="62">
        <f t="shared" si="60"/>
        <v>0.625</v>
      </c>
      <c r="AI100" s="74">
        <f>IFERROR(AVERAGEIFS(Tracker!I:I, Tracker!E:E, 3, Tracker!G:G, "&lt;="&amp;Daily!C100, Tracker!J:J, "Y"), 0)</f>
        <v>39.15</v>
      </c>
      <c r="AJ100" s="77">
        <f>IFERROR(COUNTIFS(Tracker!E:E, 3, Tracker!G:G, "&lt;="&amp;Daily!C100, Tracker!L:L, "N") / AF100,  0)</f>
        <v>0.3125</v>
      </c>
      <c r="AK100" s="48">
        <f t="shared" ref="AK100:AK132" si="64">V100+AA100+AF100</f>
        <v>244</v>
      </c>
      <c r="AL100" s="26">
        <f t="shared" ref="AL100:AL132" si="65">W100+AB100+AG100</f>
        <v>203</v>
      </c>
      <c r="AM100" s="62">
        <f t="shared" si="61"/>
        <v>0.83196721311475408</v>
      </c>
      <c r="AN100" s="74">
        <f>IFERROR(AVERAGEIFS(Tracker!I:I,  Tracker!G:G, "&lt;="&amp;Daily!C100, Tracker!J:J, "Y"), 0)</f>
        <v>22.044334975369459</v>
      </c>
      <c r="AO100" s="77">
        <f>IFERROR(COUNTIFS(Tracker!G:G, "&lt;="&amp;Daily!C100, Tracker!L:L, "N") / AK100,  0)</f>
        <v>0.62295081967213117</v>
      </c>
    </row>
    <row r="101" spans="1:41" x14ac:dyDescent="0.25">
      <c r="A101" s="119"/>
      <c r="B101" s="32">
        <f t="shared" si="48"/>
        <v>45316</v>
      </c>
      <c r="C101" s="27">
        <f t="shared" si="63"/>
        <v>45316</v>
      </c>
      <c r="D101" s="109" t="b">
        <f t="shared" ca="1" si="55"/>
        <v>1</v>
      </c>
      <c r="E101" s="51">
        <f t="shared" si="49"/>
        <v>5</v>
      </c>
      <c r="F101" s="48">
        <f>COUNTIFS(Tracker!G:G,Daily!C101, Tracker!J:J,"Y")</f>
        <v>4</v>
      </c>
      <c r="G101" s="26">
        <f>COUNTIFS(Tracker!G:G,Daily!C101, Tracker!J:J,"Y (with hints)")</f>
        <v>1</v>
      </c>
      <c r="H101" s="33">
        <f>COUNTIFS(Tracker!G:G,Daily!C101, Tracker!J:J,"N")</f>
        <v>0</v>
      </c>
      <c r="I101" s="54">
        <f t="shared" si="50"/>
        <v>0</v>
      </c>
      <c r="J101" s="26">
        <f>COUNTIFS(Tracker!G:G,Daily!C101, Tracker!J:J,"Y",Tracker!E:E,1)</f>
        <v>0</v>
      </c>
      <c r="K101" s="26">
        <f>COUNTIFS(Tracker!G:G,Daily!C101, Tracker!J:J,"Y (with hints)",Tracker!E:E,1)</f>
        <v>0</v>
      </c>
      <c r="L101" s="33">
        <f>COUNTIFS(Tracker!G:G,Daily!C101, Tracker!J:J,"N",Tracker!E:E,1)</f>
        <v>0</v>
      </c>
      <c r="M101" s="54">
        <f t="shared" si="51"/>
        <v>4</v>
      </c>
      <c r="N101" s="26">
        <f>COUNTIFS(Tracker!G:G,Daily!C101, Tracker!J:J,"Y",Tracker!E:E,2)</f>
        <v>3</v>
      </c>
      <c r="O101" s="26">
        <f>COUNTIFS(Tracker!G:G,Daily!C101, Tracker!J:J,"Y (with hints)",Tracker!E:E,2)</f>
        <v>1</v>
      </c>
      <c r="P101" s="33">
        <f>COUNTIFS(Tracker!G:G,Daily!C101, Tracker!J:J,"N",Tracker!E:E,2)</f>
        <v>0</v>
      </c>
      <c r="Q101" s="57">
        <f t="shared" si="52"/>
        <v>1</v>
      </c>
      <c r="R101" s="26">
        <f>COUNTIFS(Tracker!G:G,Daily!C101, Tracker!J:J,"Y",Tracker!E:E,3)</f>
        <v>1</v>
      </c>
      <c r="S101" s="26">
        <f>COUNTIFS(Tracker!G:G,Daily!C101, Tracker!J:J,"Y (with hints)",Tracker!E:E,3)</f>
        <v>0</v>
      </c>
      <c r="T101" s="33">
        <f>COUNTIFS(Tracker!G:G,Daily!C101, Tracker!J:J,"N",Tracker!E:E,3)</f>
        <v>0</v>
      </c>
      <c r="V101" s="48">
        <f t="shared" si="45"/>
        <v>80</v>
      </c>
      <c r="W101" s="26">
        <f t="shared" si="46"/>
        <v>76</v>
      </c>
      <c r="X101" s="62">
        <f t="shared" si="47"/>
        <v>0.95</v>
      </c>
      <c r="Y101" s="74">
        <f>AVERAGEIFS(Tracker!I:I, Tracker!E:E, 1, Tracker!G:G, "&lt;="&amp;Daily!C101, Tracker!J:J, "Y")</f>
        <v>12.486842105263158</v>
      </c>
      <c r="Z101" s="77">
        <f>COUNTIFS(Tracker!E:E, 1, Tracker!G:G, "&lt;="&amp;Daily!C101, Tracker!L:L, "N") / V101</f>
        <v>0.78749999999999998</v>
      </c>
      <c r="AA101" s="48">
        <f t="shared" ref="AA101:AA132" si="66">AA100+M101</f>
        <v>136</v>
      </c>
      <c r="AB101" s="26">
        <f t="shared" ref="AB101:AB132" si="67">AB100+N101</f>
        <v>110</v>
      </c>
      <c r="AC101" s="62">
        <f t="shared" si="62"/>
        <v>0.80882352941176472</v>
      </c>
      <c r="AD101" s="74">
        <f>AVERAGEIFS(Tracker!I:I, Tracker!E:E, 2, Tracker!G:G, "&lt;="&amp;Daily!C101, Tracker!J:J, "Y")</f>
        <v>26.045454545454547</v>
      </c>
      <c r="AE101" s="77">
        <f>COUNTIFS(Tracker!E:E, 2, Tracker!G:G, "&lt;="&amp;Daily!C101, Tracker!L:L, "N") / AA101</f>
        <v>0.59558823529411764</v>
      </c>
      <c r="AF101" s="48">
        <f t="shared" ref="AF101:AF132" si="68">AF100+Q101</f>
        <v>33</v>
      </c>
      <c r="AG101" s="26">
        <f t="shared" ref="AG101:AG132" si="69">AG100+R101</f>
        <v>21</v>
      </c>
      <c r="AH101" s="62">
        <f t="shared" si="60"/>
        <v>0.63636363636363635</v>
      </c>
      <c r="AI101" s="74">
        <f>IFERROR(AVERAGEIFS(Tracker!I:I, Tracker!E:E, 3, Tracker!G:G, "&lt;="&amp;Daily!C101, Tracker!J:J, "Y"), 0)</f>
        <v>38.571428571428569</v>
      </c>
      <c r="AJ101" s="77">
        <f>IFERROR(COUNTIFS(Tracker!E:E, 3, Tracker!G:G, "&lt;="&amp;Daily!C101, Tracker!L:L, "N") / AF101,  0)</f>
        <v>0.30303030303030304</v>
      </c>
      <c r="AK101" s="48">
        <f t="shared" si="64"/>
        <v>249</v>
      </c>
      <c r="AL101" s="26">
        <f t="shared" si="65"/>
        <v>207</v>
      </c>
      <c r="AM101" s="62">
        <f t="shared" si="61"/>
        <v>0.83132530120481929</v>
      </c>
      <c r="AN101" s="74">
        <f>IFERROR(AVERAGEIFS(Tracker!I:I,  Tracker!G:G, "&lt;="&amp;Daily!C101, Tracker!J:J, "Y"), 0)</f>
        <v>22.338164251207729</v>
      </c>
      <c r="AO101" s="77">
        <f>IFERROR(COUNTIFS(Tracker!G:G, "&lt;="&amp;Daily!C101, Tracker!L:L, "N") / AK101,  0)</f>
        <v>0.61847389558232935</v>
      </c>
    </row>
    <row r="102" spans="1:41" x14ac:dyDescent="0.25">
      <c r="A102" s="119"/>
      <c r="B102" s="32">
        <f t="shared" si="48"/>
        <v>45317</v>
      </c>
      <c r="C102" s="27">
        <f t="shared" si="63"/>
        <v>45317</v>
      </c>
      <c r="D102" s="109" t="b">
        <f t="shared" ca="1" si="55"/>
        <v>1</v>
      </c>
      <c r="E102" s="51">
        <f t="shared" si="49"/>
        <v>0</v>
      </c>
      <c r="F102" s="48">
        <f>COUNTIFS(Tracker!G:G,Daily!C102, Tracker!J:J,"Y")</f>
        <v>0</v>
      </c>
      <c r="G102" s="26">
        <f>COUNTIFS(Tracker!G:G,Daily!C102, Tracker!J:J,"Y (with hints)")</f>
        <v>0</v>
      </c>
      <c r="H102" s="33">
        <f>COUNTIFS(Tracker!G:G,Daily!C102, Tracker!J:J,"N")</f>
        <v>0</v>
      </c>
      <c r="I102" s="54">
        <f t="shared" si="50"/>
        <v>0</v>
      </c>
      <c r="J102" s="26">
        <f>COUNTIFS(Tracker!G:G,Daily!C102, Tracker!J:J,"Y",Tracker!E:E,1)</f>
        <v>0</v>
      </c>
      <c r="K102" s="26">
        <f>COUNTIFS(Tracker!G:G,Daily!C102, Tracker!J:J,"Y (with hints)",Tracker!E:E,1)</f>
        <v>0</v>
      </c>
      <c r="L102" s="33">
        <f>COUNTIFS(Tracker!G:G,Daily!C102, Tracker!J:J,"N",Tracker!E:E,1)</f>
        <v>0</v>
      </c>
      <c r="M102" s="54">
        <f t="shared" si="51"/>
        <v>0</v>
      </c>
      <c r="N102" s="26">
        <f>COUNTIFS(Tracker!G:G,Daily!C102, Tracker!J:J,"Y",Tracker!E:E,2)</f>
        <v>0</v>
      </c>
      <c r="O102" s="26">
        <f>COUNTIFS(Tracker!G:G,Daily!C102, Tracker!J:J,"Y (with hints)",Tracker!E:E,2)</f>
        <v>0</v>
      </c>
      <c r="P102" s="33">
        <f>COUNTIFS(Tracker!G:G,Daily!C102, Tracker!J:J,"N",Tracker!E:E,2)</f>
        <v>0</v>
      </c>
      <c r="Q102" s="57">
        <f t="shared" si="52"/>
        <v>0</v>
      </c>
      <c r="R102" s="26">
        <f>COUNTIFS(Tracker!G:G,Daily!C102, Tracker!J:J,"Y",Tracker!E:E,3)</f>
        <v>0</v>
      </c>
      <c r="S102" s="26">
        <f>COUNTIFS(Tracker!G:G,Daily!C102, Tracker!J:J,"Y (with hints)",Tracker!E:E,3)</f>
        <v>0</v>
      </c>
      <c r="T102" s="33">
        <f>COUNTIFS(Tracker!G:G,Daily!C102, Tracker!J:J,"N",Tracker!E:E,3)</f>
        <v>0</v>
      </c>
      <c r="V102" s="48">
        <f t="shared" si="45"/>
        <v>80</v>
      </c>
      <c r="W102" s="26">
        <f t="shared" si="46"/>
        <v>76</v>
      </c>
      <c r="X102" s="62">
        <f t="shared" si="47"/>
        <v>0.95</v>
      </c>
      <c r="Y102" s="74">
        <f>AVERAGEIFS(Tracker!I:I, Tracker!E:E, 1, Tracker!G:G, "&lt;="&amp;Daily!C102, Tracker!J:J, "Y")</f>
        <v>12.486842105263158</v>
      </c>
      <c r="Z102" s="77">
        <f>COUNTIFS(Tracker!E:E, 1, Tracker!G:G, "&lt;="&amp;Daily!C102, Tracker!L:L, "N") / V102</f>
        <v>0.78749999999999998</v>
      </c>
      <c r="AA102" s="48">
        <f t="shared" si="66"/>
        <v>136</v>
      </c>
      <c r="AB102" s="26">
        <f t="shared" si="67"/>
        <v>110</v>
      </c>
      <c r="AC102" s="62">
        <f t="shared" si="62"/>
        <v>0.80882352941176472</v>
      </c>
      <c r="AD102" s="74">
        <f>AVERAGEIFS(Tracker!I:I, Tracker!E:E, 2, Tracker!G:G, "&lt;="&amp;Daily!C102, Tracker!J:J, "Y")</f>
        <v>26.045454545454547</v>
      </c>
      <c r="AE102" s="77">
        <f>COUNTIFS(Tracker!E:E, 2, Tracker!G:G, "&lt;="&amp;Daily!C102, Tracker!L:L, "N") / AA102</f>
        <v>0.59558823529411764</v>
      </c>
      <c r="AF102" s="48">
        <f t="shared" si="68"/>
        <v>33</v>
      </c>
      <c r="AG102" s="26">
        <f t="shared" si="69"/>
        <v>21</v>
      </c>
      <c r="AH102" s="62">
        <f t="shared" si="60"/>
        <v>0.63636363636363635</v>
      </c>
      <c r="AI102" s="74">
        <f>IFERROR(AVERAGEIFS(Tracker!I:I, Tracker!E:E, 3, Tracker!G:G, "&lt;="&amp;Daily!C102, Tracker!J:J, "Y"), 0)</f>
        <v>38.571428571428569</v>
      </c>
      <c r="AJ102" s="77">
        <f>IFERROR(COUNTIFS(Tracker!E:E, 3, Tracker!G:G, "&lt;="&amp;Daily!C102, Tracker!L:L, "N") / AF102,  0)</f>
        <v>0.30303030303030304</v>
      </c>
      <c r="AK102" s="48">
        <f t="shared" si="64"/>
        <v>249</v>
      </c>
      <c r="AL102" s="26">
        <f t="shared" si="65"/>
        <v>207</v>
      </c>
      <c r="AM102" s="62">
        <f t="shared" si="61"/>
        <v>0.83132530120481929</v>
      </c>
      <c r="AN102" s="74">
        <f>IFERROR(AVERAGEIFS(Tracker!I:I,  Tracker!G:G, "&lt;="&amp;Daily!C102, Tracker!J:J, "Y"), 0)</f>
        <v>22.338164251207729</v>
      </c>
      <c r="AO102" s="77">
        <f>IFERROR(COUNTIFS(Tracker!G:G, "&lt;="&amp;Daily!C102, Tracker!L:L, "N") / AK102,  0)</f>
        <v>0.61847389558232935</v>
      </c>
    </row>
    <row r="103" spans="1:41" x14ac:dyDescent="0.25">
      <c r="A103" s="119"/>
      <c r="B103" s="32">
        <f t="shared" si="48"/>
        <v>45318</v>
      </c>
      <c r="C103" s="27">
        <f t="shared" si="63"/>
        <v>45318</v>
      </c>
      <c r="D103" s="109" t="b">
        <f t="shared" ca="1" si="55"/>
        <v>1</v>
      </c>
      <c r="E103" s="51">
        <f t="shared" si="49"/>
        <v>0</v>
      </c>
      <c r="F103" s="48">
        <f>COUNTIFS(Tracker!G:G,Daily!C103, Tracker!J:J,"Y")</f>
        <v>0</v>
      </c>
      <c r="G103" s="26">
        <f>COUNTIFS(Tracker!G:G,Daily!C103, Tracker!J:J,"Y (with hints)")</f>
        <v>0</v>
      </c>
      <c r="H103" s="33">
        <f>COUNTIFS(Tracker!G:G,Daily!C103, Tracker!J:J,"N")</f>
        <v>0</v>
      </c>
      <c r="I103" s="54">
        <f t="shared" si="50"/>
        <v>0</v>
      </c>
      <c r="J103" s="26">
        <f>COUNTIFS(Tracker!G:G,Daily!C103, Tracker!J:J,"Y",Tracker!E:E,1)</f>
        <v>0</v>
      </c>
      <c r="K103" s="26">
        <f>COUNTIFS(Tracker!G:G,Daily!C103, Tracker!J:J,"Y (with hints)",Tracker!E:E,1)</f>
        <v>0</v>
      </c>
      <c r="L103" s="33">
        <f>COUNTIFS(Tracker!G:G,Daily!C103, Tracker!J:J,"N",Tracker!E:E,1)</f>
        <v>0</v>
      </c>
      <c r="M103" s="54">
        <f t="shared" si="51"/>
        <v>0</v>
      </c>
      <c r="N103" s="26">
        <f>COUNTIFS(Tracker!G:G,Daily!C103, Tracker!J:J,"Y",Tracker!E:E,2)</f>
        <v>0</v>
      </c>
      <c r="O103" s="26">
        <f>COUNTIFS(Tracker!G:G,Daily!C103, Tracker!J:J,"Y (with hints)",Tracker!E:E,2)</f>
        <v>0</v>
      </c>
      <c r="P103" s="33">
        <f>COUNTIFS(Tracker!G:G,Daily!C103, Tracker!J:J,"N",Tracker!E:E,2)</f>
        <v>0</v>
      </c>
      <c r="Q103" s="57">
        <f t="shared" si="52"/>
        <v>0</v>
      </c>
      <c r="R103" s="26">
        <f>COUNTIFS(Tracker!G:G,Daily!C103, Tracker!J:J,"Y",Tracker!E:E,3)</f>
        <v>0</v>
      </c>
      <c r="S103" s="26">
        <f>COUNTIFS(Tracker!G:G,Daily!C103, Tracker!J:J,"Y (with hints)",Tracker!E:E,3)</f>
        <v>0</v>
      </c>
      <c r="T103" s="33">
        <f>COUNTIFS(Tracker!G:G,Daily!C103, Tracker!J:J,"N",Tracker!E:E,3)</f>
        <v>0</v>
      </c>
      <c r="V103" s="48">
        <f t="shared" si="45"/>
        <v>80</v>
      </c>
      <c r="W103" s="26">
        <f t="shared" si="46"/>
        <v>76</v>
      </c>
      <c r="X103" s="62">
        <f t="shared" si="47"/>
        <v>0.95</v>
      </c>
      <c r="Y103" s="74">
        <f>AVERAGEIFS(Tracker!I:I, Tracker!E:E, 1, Tracker!G:G, "&lt;="&amp;Daily!C103, Tracker!J:J, "Y")</f>
        <v>12.486842105263158</v>
      </c>
      <c r="Z103" s="77">
        <f>COUNTIFS(Tracker!E:E, 1, Tracker!G:G, "&lt;="&amp;Daily!C103, Tracker!L:L, "N") / V103</f>
        <v>0.78749999999999998</v>
      </c>
      <c r="AA103" s="48">
        <f t="shared" si="66"/>
        <v>136</v>
      </c>
      <c r="AB103" s="26">
        <f t="shared" si="67"/>
        <v>110</v>
      </c>
      <c r="AC103" s="62">
        <f t="shared" si="62"/>
        <v>0.80882352941176472</v>
      </c>
      <c r="AD103" s="74">
        <f>AVERAGEIFS(Tracker!I:I, Tracker!E:E, 2, Tracker!G:G, "&lt;="&amp;Daily!C103, Tracker!J:J, "Y")</f>
        <v>26.045454545454547</v>
      </c>
      <c r="AE103" s="77">
        <f>COUNTIFS(Tracker!E:E, 2, Tracker!G:G, "&lt;="&amp;Daily!C103, Tracker!L:L, "N") / AA103</f>
        <v>0.59558823529411764</v>
      </c>
      <c r="AF103" s="48">
        <f t="shared" si="68"/>
        <v>33</v>
      </c>
      <c r="AG103" s="26">
        <f t="shared" si="69"/>
        <v>21</v>
      </c>
      <c r="AH103" s="62">
        <f t="shared" si="60"/>
        <v>0.63636363636363635</v>
      </c>
      <c r="AI103" s="74">
        <f>IFERROR(AVERAGEIFS(Tracker!I:I, Tracker!E:E, 3, Tracker!G:G, "&lt;="&amp;Daily!C103, Tracker!J:J, "Y"), 0)</f>
        <v>38.571428571428569</v>
      </c>
      <c r="AJ103" s="77">
        <f>IFERROR(COUNTIFS(Tracker!E:E, 3, Tracker!G:G, "&lt;="&amp;Daily!C103, Tracker!L:L, "N") / AF103,  0)</f>
        <v>0.30303030303030304</v>
      </c>
      <c r="AK103" s="48">
        <f t="shared" si="64"/>
        <v>249</v>
      </c>
      <c r="AL103" s="26">
        <f t="shared" si="65"/>
        <v>207</v>
      </c>
      <c r="AM103" s="62">
        <f t="shared" si="61"/>
        <v>0.83132530120481929</v>
      </c>
      <c r="AN103" s="74">
        <f>IFERROR(AVERAGEIFS(Tracker!I:I,  Tracker!G:G, "&lt;="&amp;Daily!C103, Tracker!J:J, "Y"), 0)</f>
        <v>22.338164251207729</v>
      </c>
      <c r="AO103" s="77">
        <f>IFERROR(COUNTIFS(Tracker!G:G, "&lt;="&amp;Daily!C103, Tracker!L:L, "N") / AK103,  0)</f>
        <v>0.61847389558232935</v>
      </c>
    </row>
    <row r="104" spans="1:41" ht="15.75" thickBot="1" x14ac:dyDescent="0.3">
      <c r="A104" s="120"/>
      <c r="B104" s="34">
        <f t="shared" si="48"/>
        <v>45319</v>
      </c>
      <c r="C104" s="35">
        <f t="shared" si="63"/>
        <v>45319</v>
      </c>
      <c r="D104" s="110" t="b">
        <f t="shared" ca="1" si="55"/>
        <v>1</v>
      </c>
      <c r="E104" s="52">
        <f t="shared" si="49"/>
        <v>0</v>
      </c>
      <c r="F104" s="39">
        <f>COUNTIFS(Tracker!G:G,Daily!C104, Tracker!J:J,"Y")</f>
        <v>0</v>
      </c>
      <c r="G104" s="36">
        <f>COUNTIFS(Tracker!G:G,Daily!C104, Tracker!J:J,"Y (with hints)")</f>
        <v>0</v>
      </c>
      <c r="H104" s="37">
        <f>COUNTIFS(Tracker!G:G,Daily!C104, Tracker!J:J,"N")</f>
        <v>0</v>
      </c>
      <c r="I104" s="55">
        <f t="shared" si="50"/>
        <v>0</v>
      </c>
      <c r="J104" s="36">
        <f>COUNTIFS(Tracker!G:G,Daily!C104, Tracker!J:J,"Y",Tracker!E:E,1)</f>
        <v>0</v>
      </c>
      <c r="K104" s="36">
        <f>COUNTIFS(Tracker!G:G,Daily!C104, Tracker!J:J,"Y (with hints)",Tracker!E:E,1)</f>
        <v>0</v>
      </c>
      <c r="L104" s="37">
        <f>COUNTIFS(Tracker!G:G,Daily!C104, Tracker!J:J,"N",Tracker!E:E,1)</f>
        <v>0</v>
      </c>
      <c r="M104" s="55">
        <f t="shared" si="51"/>
        <v>0</v>
      </c>
      <c r="N104" s="36">
        <f>COUNTIFS(Tracker!G:G,Daily!C104, Tracker!J:J,"Y",Tracker!E:E,2)</f>
        <v>0</v>
      </c>
      <c r="O104" s="36">
        <f>COUNTIFS(Tracker!G:G,Daily!C104, Tracker!J:J,"Y (with hints)",Tracker!E:E,2)</f>
        <v>0</v>
      </c>
      <c r="P104" s="37">
        <f>COUNTIFS(Tracker!G:G,Daily!C104, Tracker!J:J,"N",Tracker!E:E,2)</f>
        <v>0</v>
      </c>
      <c r="Q104" s="58">
        <f t="shared" si="52"/>
        <v>0</v>
      </c>
      <c r="R104" s="36">
        <f>COUNTIFS(Tracker!G:G,Daily!C104, Tracker!J:J,"Y",Tracker!E:E,3)</f>
        <v>0</v>
      </c>
      <c r="S104" s="36">
        <f>COUNTIFS(Tracker!G:G,Daily!C104, Tracker!J:J,"Y (with hints)",Tracker!E:E,3)</f>
        <v>0</v>
      </c>
      <c r="T104" s="37">
        <f>COUNTIFS(Tracker!G:G,Daily!C104, Tracker!J:J,"N",Tracker!E:E,3)</f>
        <v>0</v>
      </c>
      <c r="V104" s="39">
        <f t="shared" si="45"/>
        <v>80</v>
      </c>
      <c r="W104" s="36">
        <f t="shared" si="46"/>
        <v>76</v>
      </c>
      <c r="X104" s="64">
        <f t="shared" si="47"/>
        <v>0.95</v>
      </c>
      <c r="Y104" s="78">
        <f>AVERAGEIFS(Tracker!I:I, Tracker!E:E, 1, Tracker!G:G, "&lt;="&amp;Daily!C104, Tracker!J:J, "Y")</f>
        <v>12.486842105263158</v>
      </c>
      <c r="Z104" s="79">
        <f>COUNTIFS(Tracker!E:E, 1, Tracker!G:G, "&lt;="&amp;Daily!C104, Tracker!L:L, "N") / V104</f>
        <v>0.78749999999999998</v>
      </c>
      <c r="AA104" s="39">
        <f t="shared" si="66"/>
        <v>136</v>
      </c>
      <c r="AB104" s="36">
        <f t="shared" si="67"/>
        <v>110</v>
      </c>
      <c r="AC104" s="64">
        <f t="shared" si="62"/>
        <v>0.80882352941176472</v>
      </c>
      <c r="AD104" s="78">
        <f>AVERAGEIFS(Tracker!I:I, Tracker!E:E, 2, Tracker!G:G, "&lt;="&amp;Daily!C104, Tracker!J:J, "Y")</f>
        <v>26.045454545454547</v>
      </c>
      <c r="AE104" s="79">
        <f>COUNTIFS(Tracker!E:E, 2, Tracker!G:G, "&lt;="&amp;Daily!C104, Tracker!L:L, "N") / AA104</f>
        <v>0.59558823529411764</v>
      </c>
      <c r="AF104" s="39">
        <f t="shared" si="68"/>
        <v>33</v>
      </c>
      <c r="AG104" s="36">
        <f t="shared" si="69"/>
        <v>21</v>
      </c>
      <c r="AH104" s="64">
        <f t="shared" si="60"/>
        <v>0.63636363636363635</v>
      </c>
      <c r="AI104" s="78">
        <f>IFERROR(AVERAGEIFS(Tracker!I:I, Tracker!E:E, 3, Tracker!G:G, "&lt;="&amp;Daily!C104, Tracker!J:J, "Y"), 0)</f>
        <v>38.571428571428569</v>
      </c>
      <c r="AJ104" s="79">
        <f>IFERROR(COUNTIFS(Tracker!E:E, 3, Tracker!G:G, "&lt;="&amp;Daily!C104, Tracker!L:L, "N") / AF104,  0)</f>
        <v>0.30303030303030304</v>
      </c>
      <c r="AK104" s="39">
        <f t="shared" si="64"/>
        <v>249</v>
      </c>
      <c r="AL104" s="36">
        <f t="shared" si="65"/>
        <v>207</v>
      </c>
      <c r="AM104" s="64">
        <f t="shared" si="61"/>
        <v>0.83132530120481929</v>
      </c>
      <c r="AN104" s="78">
        <f>IFERROR(AVERAGEIFS(Tracker!I:I,  Tracker!G:G, "&lt;="&amp;Daily!C104, Tracker!J:J, "Y"), 0)</f>
        <v>22.338164251207729</v>
      </c>
      <c r="AO104" s="79">
        <f>IFERROR(COUNTIFS(Tracker!G:G, "&lt;="&amp;Daily!C104, Tracker!L:L, "N") / AK104,  0)</f>
        <v>0.61847389558232935</v>
      </c>
    </row>
    <row r="105" spans="1:41" x14ac:dyDescent="0.25">
      <c r="A105" s="118">
        <v>15</v>
      </c>
      <c r="B105" s="28">
        <f t="shared" si="48"/>
        <v>45320</v>
      </c>
      <c r="C105" s="29">
        <f t="shared" si="63"/>
        <v>45320</v>
      </c>
      <c r="D105" s="108" t="b">
        <f t="shared" ca="1" si="55"/>
        <v>1</v>
      </c>
      <c r="E105" s="50">
        <f t="shared" si="49"/>
        <v>7</v>
      </c>
      <c r="F105" s="38">
        <f>COUNTIFS(Tracker!G:G,Daily!C105, Tracker!J:J,"Y")</f>
        <v>7</v>
      </c>
      <c r="G105" s="30">
        <f>COUNTIFS(Tracker!G:G,Daily!C105, Tracker!J:J,"Y (with hints)")</f>
        <v>0</v>
      </c>
      <c r="H105" s="31">
        <f>COUNTIFS(Tracker!G:G,Daily!C105, Tracker!J:J,"N")</f>
        <v>0</v>
      </c>
      <c r="I105" s="53">
        <f t="shared" si="50"/>
        <v>1</v>
      </c>
      <c r="J105" s="30">
        <f>COUNTIFS(Tracker!G:G,Daily!C105, Tracker!J:J,"Y",Tracker!E:E,1)</f>
        <v>1</v>
      </c>
      <c r="K105" s="30">
        <f>COUNTIFS(Tracker!G:G,Daily!C105, Tracker!J:J,"Y (with hints)",Tracker!E:E,1)</f>
        <v>0</v>
      </c>
      <c r="L105" s="31">
        <f>COUNTIFS(Tracker!G:G,Daily!C105, Tracker!J:J,"N",Tracker!E:E,1)</f>
        <v>0</v>
      </c>
      <c r="M105" s="53">
        <f t="shared" si="51"/>
        <v>5</v>
      </c>
      <c r="N105" s="30">
        <f>COUNTIFS(Tracker!G:G,Daily!C105, Tracker!J:J,"Y",Tracker!E:E,2)</f>
        <v>5</v>
      </c>
      <c r="O105" s="30">
        <f>COUNTIFS(Tracker!G:G,Daily!C105, Tracker!J:J,"Y (with hints)",Tracker!E:E,2)</f>
        <v>0</v>
      </c>
      <c r="P105" s="31">
        <f>COUNTIFS(Tracker!G:G,Daily!C105, Tracker!J:J,"N",Tracker!E:E,2)</f>
        <v>0</v>
      </c>
      <c r="Q105" s="56">
        <f t="shared" si="52"/>
        <v>1</v>
      </c>
      <c r="R105" s="30">
        <f>COUNTIFS(Tracker!G:G,Daily!C105, Tracker!J:J,"Y",Tracker!E:E,3)</f>
        <v>1</v>
      </c>
      <c r="S105" s="30">
        <f>COUNTIFS(Tracker!G:G,Daily!C105, Tracker!J:J,"Y (with hints)",Tracker!E:E,3)</f>
        <v>0</v>
      </c>
      <c r="T105" s="31">
        <f>COUNTIFS(Tracker!G:G,Daily!C105, Tracker!J:J,"N",Tracker!E:E,3)</f>
        <v>0</v>
      </c>
      <c r="V105" s="38">
        <f t="shared" si="45"/>
        <v>81</v>
      </c>
      <c r="W105" s="30">
        <f t="shared" si="46"/>
        <v>77</v>
      </c>
      <c r="X105" s="73">
        <f t="shared" si="47"/>
        <v>0.95061728395061729</v>
      </c>
      <c r="Y105" s="75">
        <f>AVERAGEIFS(Tracker!I:I, Tracker!E:E, 1, Tracker!G:G, "&lt;="&amp;Daily!C105, Tracker!J:J, "Y")</f>
        <v>12.415584415584416</v>
      </c>
      <c r="Z105" s="76">
        <f>COUNTIFS(Tracker!E:E, 1, Tracker!G:G, "&lt;="&amp;Daily!C105, Tracker!L:L, "N") / V105</f>
        <v>0.79012345679012341</v>
      </c>
      <c r="AA105" s="38">
        <f t="shared" si="66"/>
        <v>141</v>
      </c>
      <c r="AB105" s="30">
        <f t="shared" si="67"/>
        <v>115</v>
      </c>
      <c r="AC105" s="73">
        <f t="shared" si="62"/>
        <v>0.81560283687943258</v>
      </c>
      <c r="AD105" s="75">
        <f>AVERAGEIFS(Tracker!I:I, Tracker!E:E, 2, Tracker!G:G, "&lt;="&amp;Daily!C105, Tracker!J:J, "Y")</f>
        <v>25.53913043478261</v>
      </c>
      <c r="AE105" s="76">
        <f>COUNTIFS(Tracker!E:E, 2, Tracker!G:G, "&lt;="&amp;Daily!C105, Tracker!L:L, "N") / AA105</f>
        <v>0.60992907801418439</v>
      </c>
      <c r="AF105" s="38">
        <f t="shared" si="68"/>
        <v>34</v>
      </c>
      <c r="AG105" s="30">
        <f t="shared" si="69"/>
        <v>22</v>
      </c>
      <c r="AH105" s="73">
        <f t="shared" si="60"/>
        <v>0.6470588235294118</v>
      </c>
      <c r="AI105" s="75">
        <f>IFERROR(AVERAGEIFS(Tracker!I:I, Tracker!E:E, 3, Tracker!G:G, "&lt;="&amp;Daily!C105, Tracker!J:J, "Y"), 0)</f>
        <v>38.090909090909093</v>
      </c>
      <c r="AJ105" s="76">
        <f>IFERROR(COUNTIFS(Tracker!E:E, 3, Tracker!G:G, "&lt;="&amp;Daily!C105, Tracker!L:L, "N") / AF105,  0)</f>
        <v>0.3235294117647059</v>
      </c>
      <c r="AK105" s="38">
        <f t="shared" si="64"/>
        <v>256</v>
      </c>
      <c r="AL105" s="30">
        <f t="shared" si="65"/>
        <v>214</v>
      </c>
      <c r="AM105" s="73">
        <f t="shared" si="61"/>
        <v>0.8359375</v>
      </c>
      <c r="AN105" s="75">
        <f>IFERROR(AVERAGEIFS(Tracker!I:I,  Tracker!G:G, "&lt;="&amp;Daily!C105, Tracker!J:J, "Y"), 0)</f>
        <v>22.107476635514018</v>
      </c>
      <c r="AO105" s="76">
        <f>IFERROR(COUNTIFS(Tracker!G:G, "&lt;="&amp;Daily!C105, Tracker!L:L, "N") / AK105,  0)</f>
        <v>0.62890625</v>
      </c>
    </row>
    <row r="106" spans="1:41" x14ac:dyDescent="0.25">
      <c r="A106" s="119"/>
      <c r="B106" s="32">
        <f t="shared" si="48"/>
        <v>45321</v>
      </c>
      <c r="C106" s="27">
        <f t="shared" si="63"/>
        <v>45321</v>
      </c>
      <c r="D106" s="109" t="b">
        <f t="shared" ca="1" si="55"/>
        <v>1</v>
      </c>
      <c r="E106" s="51">
        <f t="shared" si="49"/>
        <v>3</v>
      </c>
      <c r="F106" s="48">
        <f>COUNTIFS(Tracker!G:G,Daily!C106, Tracker!J:J,"Y")</f>
        <v>2</v>
      </c>
      <c r="G106" s="26">
        <f>COUNTIFS(Tracker!G:G,Daily!C106, Tracker!J:J,"Y (with hints)")</f>
        <v>0</v>
      </c>
      <c r="H106" s="33">
        <f>COUNTIFS(Tracker!G:G,Daily!C106, Tracker!J:J,"N")</f>
        <v>1</v>
      </c>
      <c r="I106" s="54">
        <f t="shared" si="50"/>
        <v>1</v>
      </c>
      <c r="J106" s="26">
        <f>COUNTIFS(Tracker!G:G,Daily!C106, Tracker!J:J,"Y",Tracker!E:E,1)</f>
        <v>1</v>
      </c>
      <c r="K106" s="26">
        <f>COUNTIFS(Tracker!G:G,Daily!C106, Tracker!J:J,"Y (with hints)",Tracker!E:E,1)</f>
        <v>0</v>
      </c>
      <c r="L106" s="33">
        <f>COUNTIFS(Tracker!G:G,Daily!C106, Tracker!J:J,"N",Tracker!E:E,1)</f>
        <v>0</v>
      </c>
      <c r="M106" s="54">
        <f t="shared" si="51"/>
        <v>2</v>
      </c>
      <c r="N106" s="26">
        <f>COUNTIFS(Tracker!G:G,Daily!C106, Tracker!J:J,"Y",Tracker!E:E,2)</f>
        <v>1</v>
      </c>
      <c r="O106" s="26">
        <f>COUNTIFS(Tracker!G:G,Daily!C106, Tracker!J:J,"Y (with hints)",Tracker!E:E,2)</f>
        <v>0</v>
      </c>
      <c r="P106" s="33">
        <f>COUNTIFS(Tracker!G:G,Daily!C106, Tracker!J:J,"N",Tracker!E:E,2)</f>
        <v>1</v>
      </c>
      <c r="Q106" s="57">
        <f t="shared" si="52"/>
        <v>0</v>
      </c>
      <c r="R106" s="26">
        <f>COUNTIFS(Tracker!G:G,Daily!C106, Tracker!J:J,"Y",Tracker!E:E,3)</f>
        <v>0</v>
      </c>
      <c r="S106" s="26">
        <f>COUNTIFS(Tracker!G:G,Daily!C106, Tracker!J:J,"Y (with hints)",Tracker!E:E,3)</f>
        <v>0</v>
      </c>
      <c r="T106" s="33">
        <f>COUNTIFS(Tracker!G:G,Daily!C106, Tracker!J:J,"N",Tracker!E:E,3)</f>
        <v>0</v>
      </c>
      <c r="V106" s="48">
        <f t="shared" ref="V106:V132" si="70">V105+I106</f>
        <v>82</v>
      </c>
      <c r="W106" s="26">
        <f t="shared" ref="W106:W132" si="71">W105+J106</f>
        <v>78</v>
      </c>
      <c r="X106" s="62">
        <f t="shared" ref="X106:X132" si="72">W106/V106</f>
        <v>0.95121951219512191</v>
      </c>
      <c r="Y106" s="74">
        <f>AVERAGEIFS(Tracker!I:I, Tracker!E:E, 1, Tracker!G:G, "&lt;="&amp;Daily!C106, Tracker!J:J, "Y")</f>
        <v>12.294871794871796</v>
      </c>
      <c r="Z106" s="77">
        <f>COUNTIFS(Tracker!E:E, 1, Tracker!G:G, "&lt;="&amp;Daily!C106, Tracker!L:L, "N") / V106</f>
        <v>0.79268292682926833</v>
      </c>
      <c r="AA106" s="48">
        <f t="shared" si="66"/>
        <v>143</v>
      </c>
      <c r="AB106" s="26">
        <f t="shared" si="67"/>
        <v>116</v>
      </c>
      <c r="AC106" s="62">
        <f t="shared" si="62"/>
        <v>0.81118881118881114</v>
      </c>
      <c r="AD106" s="74">
        <f>AVERAGEIFS(Tracker!I:I, Tracker!E:E, 2, Tracker!G:G, "&lt;="&amp;Daily!C106, Tracker!J:J, "Y")</f>
        <v>25.5</v>
      </c>
      <c r="AE106" s="77">
        <f>COUNTIFS(Tracker!E:E, 2, Tracker!G:G, "&lt;="&amp;Daily!C106, Tracker!L:L, "N") / AA106</f>
        <v>0.60839160839160844</v>
      </c>
      <c r="AF106" s="48">
        <f t="shared" si="68"/>
        <v>34</v>
      </c>
      <c r="AG106" s="26">
        <f t="shared" si="69"/>
        <v>22</v>
      </c>
      <c r="AH106" s="62">
        <f t="shared" si="60"/>
        <v>0.6470588235294118</v>
      </c>
      <c r="AI106" s="74">
        <f>IFERROR(AVERAGEIFS(Tracker!I:I, Tracker!E:E, 3, Tracker!G:G, "&lt;="&amp;Daily!C106, Tracker!J:J, "Y"), 0)</f>
        <v>38.090909090909093</v>
      </c>
      <c r="AJ106" s="77">
        <f>IFERROR(COUNTIFS(Tracker!E:E, 3, Tracker!G:G, "&lt;="&amp;Daily!C106, Tracker!L:L, "N") / AF106,  0)</f>
        <v>0.3235294117647059</v>
      </c>
      <c r="AK106" s="48">
        <f t="shared" si="64"/>
        <v>259</v>
      </c>
      <c r="AL106" s="26">
        <f t="shared" si="65"/>
        <v>216</v>
      </c>
      <c r="AM106" s="62">
        <f t="shared" si="61"/>
        <v>0.83397683397683398</v>
      </c>
      <c r="AN106" s="74">
        <f>IFERROR(AVERAGEIFS(Tracker!I:I,  Tracker!G:G, "&lt;="&amp;Daily!C106, Tracker!J:J, "Y"), 0)</f>
        <v>22.013888888888889</v>
      </c>
      <c r="AO106" s="77">
        <f>IFERROR(COUNTIFS(Tracker!G:G, "&lt;="&amp;Daily!C106, Tracker!L:L, "N") / AK106,  0)</f>
        <v>0.62934362934362931</v>
      </c>
    </row>
    <row r="107" spans="1:41" x14ac:dyDescent="0.25">
      <c r="A107" s="119"/>
      <c r="B107" s="32">
        <f t="shared" si="48"/>
        <v>45322</v>
      </c>
      <c r="C107" s="27">
        <f t="shared" si="63"/>
        <v>45322</v>
      </c>
      <c r="D107" s="109" t="b">
        <f t="shared" ca="1" si="55"/>
        <v>1</v>
      </c>
      <c r="E107" s="51">
        <f t="shared" si="49"/>
        <v>3</v>
      </c>
      <c r="F107" s="48">
        <f>COUNTIFS(Tracker!G:G,Daily!C107, Tracker!J:J,"Y")</f>
        <v>3</v>
      </c>
      <c r="G107" s="26">
        <f>COUNTIFS(Tracker!G:G,Daily!C107, Tracker!J:J,"Y (with hints)")</f>
        <v>0</v>
      </c>
      <c r="H107" s="33">
        <f>COUNTIFS(Tracker!G:G,Daily!C107, Tracker!J:J,"N")</f>
        <v>0</v>
      </c>
      <c r="I107" s="54">
        <f t="shared" si="50"/>
        <v>1</v>
      </c>
      <c r="J107" s="26">
        <f>COUNTIFS(Tracker!G:G,Daily!C107, Tracker!J:J,"Y",Tracker!E:E,1)</f>
        <v>1</v>
      </c>
      <c r="K107" s="26">
        <f>COUNTIFS(Tracker!G:G,Daily!C107, Tracker!J:J,"Y (with hints)",Tracker!E:E,1)</f>
        <v>0</v>
      </c>
      <c r="L107" s="33">
        <f>COUNTIFS(Tracker!G:G,Daily!C107, Tracker!J:J,"N",Tracker!E:E,1)</f>
        <v>0</v>
      </c>
      <c r="M107" s="54">
        <f t="shared" si="51"/>
        <v>1</v>
      </c>
      <c r="N107" s="26">
        <f>COUNTIFS(Tracker!G:G,Daily!C107, Tracker!J:J,"Y",Tracker!E:E,2)</f>
        <v>1</v>
      </c>
      <c r="O107" s="26">
        <f>COUNTIFS(Tracker!G:G,Daily!C107, Tracker!J:J,"Y (with hints)",Tracker!E:E,2)</f>
        <v>0</v>
      </c>
      <c r="P107" s="33">
        <f>COUNTIFS(Tracker!G:G,Daily!C107, Tracker!J:J,"N",Tracker!E:E,2)</f>
        <v>0</v>
      </c>
      <c r="Q107" s="57">
        <f t="shared" si="52"/>
        <v>1</v>
      </c>
      <c r="R107" s="26">
        <f>COUNTIFS(Tracker!G:G,Daily!C107, Tracker!J:J,"Y",Tracker!E:E,3)</f>
        <v>1</v>
      </c>
      <c r="S107" s="26">
        <f>COUNTIFS(Tracker!G:G,Daily!C107, Tracker!J:J,"Y (with hints)",Tracker!E:E,3)</f>
        <v>0</v>
      </c>
      <c r="T107" s="33">
        <f>COUNTIFS(Tracker!G:G,Daily!C107, Tracker!J:J,"N",Tracker!E:E,3)</f>
        <v>0</v>
      </c>
      <c r="V107" s="48">
        <f t="shared" si="70"/>
        <v>83</v>
      </c>
      <c r="W107" s="26">
        <f t="shared" si="71"/>
        <v>79</v>
      </c>
      <c r="X107" s="62">
        <f t="shared" si="72"/>
        <v>0.95180722891566261</v>
      </c>
      <c r="Y107" s="74">
        <f>AVERAGEIFS(Tracker!I:I, Tracker!E:E, 1, Tracker!G:G, "&lt;="&amp;Daily!C107, Tracker!J:J, "Y")</f>
        <v>12.278481012658228</v>
      </c>
      <c r="Z107" s="77">
        <f>COUNTIFS(Tracker!E:E, 1, Tracker!G:G, "&lt;="&amp;Daily!C107, Tracker!L:L, "N") / V107</f>
        <v>0.79518072289156627</v>
      </c>
      <c r="AA107" s="48">
        <f t="shared" si="66"/>
        <v>144</v>
      </c>
      <c r="AB107" s="26">
        <f t="shared" si="67"/>
        <v>117</v>
      </c>
      <c r="AC107" s="62">
        <f t="shared" si="62"/>
        <v>0.8125</v>
      </c>
      <c r="AD107" s="74">
        <f>AVERAGEIFS(Tracker!I:I, Tracker!E:E, 2, Tracker!G:G, "&lt;="&amp;Daily!C107, Tracker!J:J, "Y")</f>
        <v>25.367521367521366</v>
      </c>
      <c r="AE107" s="77">
        <f>COUNTIFS(Tracker!E:E, 2, Tracker!G:G, "&lt;="&amp;Daily!C107, Tracker!L:L, "N") / AA107</f>
        <v>0.61111111111111116</v>
      </c>
      <c r="AF107" s="48">
        <f t="shared" si="68"/>
        <v>35</v>
      </c>
      <c r="AG107" s="26">
        <f t="shared" si="69"/>
        <v>23</v>
      </c>
      <c r="AH107" s="62">
        <f t="shared" si="60"/>
        <v>0.65714285714285714</v>
      </c>
      <c r="AI107" s="74">
        <f>IFERROR(AVERAGEIFS(Tracker!I:I, Tracker!E:E, 3, Tracker!G:G, "&lt;="&amp;Daily!C107, Tracker!J:J, "Y"), 0)</f>
        <v>39.695652173913047</v>
      </c>
      <c r="AJ107" s="77">
        <f>IFERROR(COUNTIFS(Tracker!E:E, 3, Tracker!G:G, "&lt;="&amp;Daily!C107, Tracker!L:L, "N") / AF107,  0)</f>
        <v>0.31428571428571428</v>
      </c>
      <c r="AK107" s="48">
        <f t="shared" si="64"/>
        <v>262</v>
      </c>
      <c r="AL107" s="26">
        <f t="shared" si="65"/>
        <v>219</v>
      </c>
      <c r="AM107" s="62">
        <f t="shared" si="61"/>
        <v>0.83587786259541985</v>
      </c>
      <c r="AN107" s="74">
        <f>IFERROR(AVERAGEIFS(Tracker!I:I,  Tracker!G:G, "&lt;="&amp;Daily!C107, Tracker!J:J, "Y"), 0)</f>
        <v>22.150684931506849</v>
      </c>
      <c r="AO107" s="77">
        <f>IFERROR(COUNTIFS(Tracker!G:G, "&lt;="&amp;Daily!C107, Tracker!L:L, "N") / AK107,  0)</f>
        <v>0.62977099236641221</v>
      </c>
    </row>
    <row r="108" spans="1:41" x14ac:dyDescent="0.25">
      <c r="A108" s="119"/>
      <c r="B108" s="32">
        <f t="shared" si="48"/>
        <v>45323</v>
      </c>
      <c r="C108" s="27">
        <f t="shared" si="63"/>
        <v>45323</v>
      </c>
      <c r="D108" s="109" t="b">
        <f t="shared" ca="1" si="55"/>
        <v>1</v>
      </c>
      <c r="E108" s="51">
        <f t="shared" si="49"/>
        <v>4</v>
      </c>
      <c r="F108" s="48">
        <f>COUNTIFS(Tracker!G:G,Daily!C108, Tracker!J:J,"Y")</f>
        <v>2</v>
      </c>
      <c r="G108" s="26">
        <f>COUNTIFS(Tracker!G:G,Daily!C108, Tracker!J:J,"Y (with hints)")</f>
        <v>0</v>
      </c>
      <c r="H108" s="33">
        <f>COUNTIFS(Tracker!G:G,Daily!C108, Tracker!J:J,"N")</f>
        <v>2</v>
      </c>
      <c r="I108" s="54">
        <f t="shared" si="50"/>
        <v>0</v>
      </c>
      <c r="J108" s="26">
        <f>COUNTIFS(Tracker!G:G,Daily!C108, Tracker!J:J,"Y",Tracker!E:E,1)</f>
        <v>0</v>
      </c>
      <c r="K108" s="26">
        <f>COUNTIFS(Tracker!G:G,Daily!C108, Tracker!J:J,"Y (with hints)",Tracker!E:E,1)</f>
        <v>0</v>
      </c>
      <c r="L108" s="33">
        <f>COUNTIFS(Tracker!G:G,Daily!C108, Tracker!J:J,"N",Tracker!E:E,1)</f>
        <v>0</v>
      </c>
      <c r="M108" s="54">
        <f t="shared" si="51"/>
        <v>3</v>
      </c>
      <c r="N108" s="26">
        <f>COUNTIFS(Tracker!G:G,Daily!C108, Tracker!J:J,"Y",Tracker!E:E,2)</f>
        <v>2</v>
      </c>
      <c r="O108" s="26">
        <f>COUNTIFS(Tracker!G:G,Daily!C108, Tracker!J:J,"Y (with hints)",Tracker!E:E,2)</f>
        <v>0</v>
      </c>
      <c r="P108" s="33">
        <f>COUNTIFS(Tracker!G:G,Daily!C108, Tracker!J:J,"N",Tracker!E:E,2)</f>
        <v>1</v>
      </c>
      <c r="Q108" s="57">
        <f t="shared" si="52"/>
        <v>1</v>
      </c>
      <c r="R108" s="26">
        <f>COUNTIFS(Tracker!G:G,Daily!C108, Tracker!J:J,"Y",Tracker!E:E,3)</f>
        <v>0</v>
      </c>
      <c r="S108" s="26">
        <f>COUNTIFS(Tracker!G:G,Daily!C108, Tracker!J:J,"Y (with hints)",Tracker!E:E,3)</f>
        <v>0</v>
      </c>
      <c r="T108" s="33">
        <f>COUNTIFS(Tracker!G:G,Daily!C108, Tracker!J:J,"N",Tracker!E:E,3)</f>
        <v>1</v>
      </c>
      <c r="V108" s="48">
        <f t="shared" si="70"/>
        <v>83</v>
      </c>
      <c r="W108" s="26">
        <f t="shared" si="71"/>
        <v>79</v>
      </c>
      <c r="X108" s="62">
        <f t="shared" si="72"/>
        <v>0.95180722891566261</v>
      </c>
      <c r="Y108" s="74">
        <f>AVERAGEIFS(Tracker!I:I, Tracker!E:E, 1, Tracker!G:G, "&lt;="&amp;Daily!C108, Tracker!J:J, "Y")</f>
        <v>12.278481012658228</v>
      </c>
      <c r="Z108" s="77">
        <f>COUNTIFS(Tracker!E:E, 1, Tracker!G:G, "&lt;="&amp;Daily!C108, Tracker!L:L, "N") / V108</f>
        <v>0.79518072289156627</v>
      </c>
      <c r="AA108" s="48">
        <f t="shared" si="66"/>
        <v>147</v>
      </c>
      <c r="AB108" s="26">
        <f t="shared" si="67"/>
        <v>119</v>
      </c>
      <c r="AC108" s="62">
        <f t="shared" si="62"/>
        <v>0.80952380952380953</v>
      </c>
      <c r="AD108" s="74">
        <f>AVERAGEIFS(Tracker!I:I, Tracker!E:E, 2, Tracker!G:G, "&lt;="&amp;Daily!C108, Tracker!J:J, "Y")</f>
        <v>25.588235294117649</v>
      </c>
      <c r="AE108" s="77">
        <f>COUNTIFS(Tracker!E:E, 2, Tracker!G:G, "&lt;="&amp;Daily!C108, Tracker!L:L, "N") / AA108</f>
        <v>0.61224489795918369</v>
      </c>
      <c r="AF108" s="48">
        <f t="shared" si="68"/>
        <v>36</v>
      </c>
      <c r="AG108" s="26">
        <f t="shared" si="69"/>
        <v>23</v>
      </c>
      <c r="AH108" s="62">
        <f t="shared" si="60"/>
        <v>0.63888888888888884</v>
      </c>
      <c r="AI108" s="74">
        <f>IFERROR(AVERAGEIFS(Tracker!I:I, Tracker!E:E, 3, Tracker!G:G, "&lt;="&amp;Daily!C108, Tracker!J:J, "Y"), 0)</f>
        <v>39.695652173913047</v>
      </c>
      <c r="AJ108" s="77">
        <f>IFERROR(COUNTIFS(Tracker!E:E, 3, Tracker!G:G, "&lt;="&amp;Daily!C108, Tracker!L:L, "N") / AF108,  0)</f>
        <v>0.30555555555555558</v>
      </c>
      <c r="AK108" s="48">
        <f t="shared" si="64"/>
        <v>266</v>
      </c>
      <c r="AL108" s="26">
        <f t="shared" si="65"/>
        <v>221</v>
      </c>
      <c r="AM108" s="62">
        <f t="shared" si="61"/>
        <v>0.83082706766917291</v>
      </c>
      <c r="AN108" s="74">
        <f>IFERROR(AVERAGEIFS(Tracker!I:I,  Tracker!G:G, "&lt;="&amp;Daily!C108, Tracker!J:J, "Y"), 0)</f>
        <v>22.298642533936651</v>
      </c>
      <c r="AO108" s="77">
        <f>IFERROR(COUNTIFS(Tracker!G:G, "&lt;="&amp;Daily!C108, Tracker!L:L, "N") / AK108,  0)</f>
        <v>0.6278195488721805</v>
      </c>
    </row>
    <row r="109" spans="1:41" x14ac:dyDescent="0.25">
      <c r="A109" s="119"/>
      <c r="B109" s="32">
        <f t="shared" si="48"/>
        <v>45324</v>
      </c>
      <c r="C109" s="27">
        <f t="shared" si="63"/>
        <v>45324</v>
      </c>
      <c r="D109" s="109" t="b">
        <f t="shared" ca="1" si="55"/>
        <v>1</v>
      </c>
      <c r="E109" s="51">
        <f t="shared" si="49"/>
        <v>5</v>
      </c>
      <c r="F109" s="48">
        <f>COUNTIFS(Tracker!G:G,Daily!C109, Tracker!J:J,"Y")</f>
        <v>5</v>
      </c>
      <c r="G109" s="26">
        <f>COUNTIFS(Tracker!G:G,Daily!C109, Tracker!J:J,"Y (with hints)")</f>
        <v>0</v>
      </c>
      <c r="H109" s="33">
        <f>COUNTIFS(Tracker!G:G,Daily!C109, Tracker!J:J,"N")</f>
        <v>0</v>
      </c>
      <c r="I109" s="54">
        <f t="shared" si="50"/>
        <v>2</v>
      </c>
      <c r="J109" s="26">
        <f>COUNTIFS(Tracker!G:G,Daily!C109, Tracker!J:J,"Y",Tracker!E:E,1)</f>
        <v>2</v>
      </c>
      <c r="K109" s="26">
        <f>COUNTIFS(Tracker!G:G,Daily!C109, Tracker!J:J,"Y (with hints)",Tracker!E:E,1)</f>
        <v>0</v>
      </c>
      <c r="L109" s="33">
        <f>COUNTIFS(Tracker!G:G,Daily!C109, Tracker!J:J,"N",Tracker!E:E,1)</f>
        <v>0</v>
      </c>
      <c r="M109" s="54">
        <f t="shared" si="51"/>
        <v>2</v>
      </c>
      <c r="N109" s="26">
        <f>COUNTIFS(Tracker!G:G,Daily!C109, Tracker!J:J,"Y",Tracker!E:E,2)</f>
        <v>2</v>
      </c>
      <c r="O109" s="26">
        <f>COUNTIFS(Tracker!G:G,Daily!C109, Tracker!J:J,"Y (with hints)",Tracker!E:E,2)</f>
        <v>0</v>
      </c>
      <c r="P109" s="33">
        <f>COUNTIFS(Tracker!G:G,Daily!C109, Tracker!J:J,"N",Tracker!E:E,2)</f>
        <v>0</v>
      </c>
      <c r="Q109" s="57">
        <f t="shared" si="52"/>
        <v>1</v>
      </c>
      <c r="R109" s="26">
        <f>COUNTIFS(Tracker!G:G,Daily!C109, Tracker!J:J,"Y",Tracker!E:E,3)</f>
        <v>1</v>
      </c>
      <c r="S109" s="26">
        <f>COUNTIFS(Tracker!G:G,Daily!C109, Tracker!J:J,"Y (with hints)",Tracker!E:E,3)</f>
        <v>0</v>
      </c>
      <c r="T109" s="33">
        <f>COUNTIFS(Tracker!G:G,Daily!C109, Tracker!J:J,"N",Tracker!E:E,3)</f>
        <v>0</v>
      </c>
      <c r="V109" s="48">
        <f t="shared" si="70"/>
        <v>85</v>
      </c>
      <c r="W109" s="26">
        <f t="shared" si="71"/>
        <v>81</v>
      </c>
      <c r="X109" s="62">
        <f t="shared" si="72"/>
        <v>0.95294117647058818</v>
      </c>
      <c r="Y109" s="74">
        <f>AVERAGEIFS(Tracker!I:I, Tracker!E:E, 1, Tracker!G:G, "&lt;="&amp;Daily!C109, Tracker!J:J, "Y")</f>
        <v>12.345679012345679</v>
      </c>
      <c r="Z109" s="77">
        <f>COUNTIFS(Tracker!E:E, 1, Tracker!G:G, "&lt;="&amp;Daily!C109, Tracker!L:L, "N") / V109</f>
        <v>0.78823529411764703</v>
      </c>
      <c r="AA109" s="48">
        <f t="shared" si="66"/>
        <v>149</v>
      </c>
      <c r="AB109" s="26">
        <f t="shared" si="67"/>
        <v>121</v>
      </c>
      <c r="AC109" s="62">
        <f t="shared" si="62"/>
        <v>0.81208053691275173</v>
      </c>
      <c r="AD109" s="74">
        <f>AVERAGEIFS(Tracker!I:I, Tracker!E:E, 2, Tracker!G:G, "&lt;="&amp;Daily!C109, Tracker!J:J, "Y")</f>
        <v>25.694214876033058</v>
      </c>
      <c r="AE109" s="77">
        <f>COUNTIFS(Tracker!E:E, 2, Tracker!G:G, "&lt;="&amp;Daily!C109, Tracker!L:L, "N") / AA109</f>
        <v>0.61073825503355705</v>
      </c>
      <c r="AF109" s="48">
        <f t="shared" si="68"/>
        <v>37</v>
      </c>
      <c r="AG109" s="26">
        <f t="shared" si="69"/>
        <v>24</v>
      </c>
      <c r="AH109" s="62">
        <f t="shared" si="60"/>
        <v>0.64864864864864868</v>
      </c>
      <c r="AI109" s="74">
        <f>IFERROR(AVERAGEIFS(Tracker!I:I, Tracker!E:E, 3, Tracker!G:G, "&lt;="&amp;Daily!C109, Tracker!J:J, "Y"), 0)</f>
        <v>39.166666666666664</v>
      </c>
      <c r="AJ109" s="77">
        <f>IFERROR(COUNTIFS(Tracker!E:E, 3, Tracker!G:G, "&lt;="&amp;Daily!C109, Tracker!L:L, "N") / AF109,  0)</f>
        <v>0.32432432432432434</v>
      </c>
      <c r="AK109" s="48">
        <f t="shared" si="64"/>
        <v>271</v>
      </c>
      <c r="AL109" s="26">
        <f t="shared" si="65"/>
        <v>226</v>
      </c>
      <c r="AM109" s="62">
        <f t="shared" si="61"/>
        <v>0.83394833948339486</v>
      </c>
      <c r="AN109" s="74">
        <f>IFERROR(AVERAGEIFS(Tracker!I:I,  Tracker!G:G, "&lt;="&amp;Daily!C109, Tracker!J:J, "Y"), 0)</f>
        <v>22.340707964601769</v>
      </c>
      <c r="AO109" s="77">
        <f>IFERROR(COUNTIFS(Tracker!G:G, "&lt;="&amp;Daily!C109, Tracker!L:L, "N") / AK109,  0)</f>
        <v>0.62730627306273068</v>
      </c>
    </row>
    <row r="110" spans="1:41" x14ac:dyDescent="0.25">
      <c r="A110" s="119"/>
      <c r="B110" s="32">
        <f t="shared" si="48"/>
        <v>45325</v>
      </c>
      <c r="C110" s="27">
        <f t="shared" si="63"/>
        <v>45325</v>
      </c>
      <c r="D110" s="109" t="b">
        <f t="shared" ca="1" si="55"/>
        <v>1</v>
      </c>
      <c r="E110" s="51">
        <f t="shared" si="49"/>
        <v>0</v>
      </c>
      <c r="F110" s="48">
        <f>COUNTIFS(Tracker!G:G,Daily!C110, Tracker!J:J,"Y")</f>
        <v>0</v>
      </c>
      <c r="G110" s="26">
        <f>COUNTIFS(Tracker!G:G,Daily!C110, Tracker!J:J,"Y (with hints)")</f>
        <v>0</v>
      </c>
      <c r="H110" s="33">
        <f>COUNTIFS(Tracker!G:G,Daily!C110, Tracker!J:J,"N")</f>
        <v>0</v>
      </c>
      <c r="I110" s="54">
        <f t="shared" si="50"/>
        <v>0</v>
      </c>
      <c r="J110" s="26">
        <f>COUNTIFS(Tracker!G:G,Daily!C110, Tracker!J:J,"Y",Tracker!E:E,1)</f>
        <v>0</v>
      </c>
      <c r="K110" s="26">
        <f>COUNTIFS(Tracker!G:G,Daily!C110, Tracker!J:J,"Y (with hints)",Tracker!E:E,1)</f>
        <v>0</v>
      </c>
      <c r="L110" s="33">
        <f>COUNTIFS(Tracker!G:G,Daily!C110, Tracker!J:J,"N",Tracker!E:E,1)</f>
        <v>0</v>
      </c>
      <c r="M110" s="54">
        <f t="shared" si="51"/>
        <v>0</v>
      </c>
      <c r="N110" s="26">
        <f>COUNTIFS(Tracker!G:G,Daily!C110, Tracker!J:J,"Y",Tracker!E:E,2)</f>
        <v>0</v>
      </c>
      <c r="O110" s="26">
        <f>COUNTIFS(Tracker!G:G,Daily!C110, Tracker!J:J,"Y (with hints)",Tracker!E:E,2)</f>
        <v>0</v>
      </c>
      <c r="P110" s="33">
        <f>COUNTIFS(Tracker!G:G,Daily!C110, Tracker!J:J,"N",Tracker!E:E,2)</f>
        <v>0</v>
      </c>
      <c r="Q110" s="57">
        <f t="shared" si="52"/>
        <v>0</v>
      </c>
      <c r="R110" s="26">
        <f>COUNTIFS(Tracker!G:G,Daily!C110, Tracker!J:J,"Y",Tracker!E:E,3)</f>
        <v>0</v>
      </c>
      <c r="S110" s="26">
        <f>COUNTIFS(Tracker!G:G,Daily!C110, Tracker!J:J,"Y (with hints)",Tracker!E:E,3)</f>
        <v>0</v>
      </c>
      <c r="T110" s="33">
        <f>COUNTIFS(Tracker!G:G,Daily!C110, Tracker!J:J,"N",Tracker!E:E,3)</f>
        <v>0</v>
      </c>
      <c r="V110" s="48">
        <f t="shared" si="70"/>
        <v>85</v>
      </c>
      <c r="W110" s="26">
        <f t="shared" si="71"/>
        <v>81</v>
      </c>
      <c r="X110" s="62">
        <f t="shared" si="72"/>
        <v>0.95294117647058818</v>
      </c>
      <c r="Y110" s="74">
        <f>AVERAGEIFS(Tracker!I:I, Tracker!E:E, 1, Tracker!G:G, "&lt;="&amp;Daily!C110, Tracker!J:J, "Y")</f>
        <v>12.345679012345679</v>
      </c>
      <c r="Z110" s="77">
        <f>COUNTIFS(Tracker!E:E, 1, Tracker!G:G, "&lt;="&amp;Daily!C110, Tracker!L:L, "N") / V110</f>
        <v>0.78823529411764703</v>
      </c>
      <c r="AA110" s="48">
        <f t="shared" si="66"/>
        <v>149</v>
      </c>
      <c r="AB110" s="26">
        <f t="shared" si="67"/>
        <v>121</v>
      </c>
      <c r="AC110" s="62">
        <f t="shared" si="62"/>
        <v>0.81208053691275173</v>
      </c>
      <c r="AD110" s="74">
        <f>AVERAGEIFS(Tracker!I:I, Tracker!E:E, 2, Tracker!G:G, "&lt;="&amp;Daily!C110, Tracker!J:J, "Y")</f>
        <v>25.694214876033058</v>
      </c>
      <c r="AE110" s="77">
        <f>COUNTIFS(Tracker!E:E, 2, Tracker!G:G, "&lt;="&amp;Daily!C110, Tracker!L:L, "N") / AA110</f>
        <v>0.61073825503355705</v>
      </c>
      <c r="AF110" s="48">
        <f t="shared" si="68"/>
        <v>37</v>
      </c>
      <c r="AG110" s="26">
        <f t="shared" si="69"/>
        <v>24</v>
      </c>
      <c r="AH110" s="62">
        <f t="shared" si="60"/>
        <v>0.64864864864864868</v>
      </c>
      <c r="AI110" s="74">
        <f>IFERROR(AVERAGEIFS(Tracker!I:I, Tracker!E:E, 3, Tracker!G:G, "&lt;="&amp;Daily!C110, Tracker!J:J, "Y"), 0)</f>
        <v>39.166666666666664</v>
      </c>
      <c r="AJ110" s="77">
        <f>IFERROR(COUNTIFS(Tracker!E:E, 3, Tracker!G:G, "&lt;="&amp;Daily!C110, Tracker!L:L, "N") / AF110,  0)</f>
        <v>0.32432432432432434</v>
      </c>
      <c r="AK110" s="48">
        <f t="shared" si="64"/>
        <v>271</v>
      </c>
      <c r="AL110" s="26">
        <f t="shared" si="65"/>
        <v>226</v>
      </c>
      <c r="AM110" s="62">
        <f t="shared" si="61"/>
        <v>0.83394833948339486</v>
      </c>
      <c r="AN110" s="74">
        <f>IFERROR(AVERAGEIFS(Tracker!I:I,  Tracker!G:G, "&lt;="&amp;Daily!C110, Tracker!J:J, "Y"), 0)</f>
        <v>22.340707964601769</v>
      </c>
      <c r="AO110" s="77">
        <f>IFERROR(COUNTIFS(Tracker!G:G, "&lt;="&amp;Daily!C110, Tracker!L:L, "N") / AK110,  0)</f>
        <v>0.62730627306273068</v>
      </c>
    </row>
    <row r="111" spans="1:41" ht="15.75" thickBot="1" x14ac:dyDescent="0.3">
      <c r="A111" s="120"/>
      <c r="B111" s="34">
        <f t="shared" ref="B111:B132" si="73">C111</f>
        <v>45326</v>
      </c>
      <c r="C111" s="35">
        <f t="shared" si="63"/>
        <v>45326</v>
      </c>
      <c r="D111" s="110" t="b">
        <f t="shared" ca="1" si="55"/>
        <v>1</v>
      </c>
      <c r="E111" s="52">
        <f t="shared" ref="E111:E132" si="74">SUM(F111:H111)</f>
        <v>0</v>
      </c>
      <c r="F111" s="39">
        <f>COUNTIFS(Tracker!G:G,Daily!C111, Tracker!J:J,"Y")</f>
        <v>0</v>
      </c>
      <c r="G111" s="36">
        <f>COUNTIFS(Tracker!G:G,Daily!C111, Tracker!J:J,"Y (with hints)")</f>
        <v>0</v>
      </c>
      <c r="H111" s="37">
        <f>COUNTIFS(Tracker!G:G,Daily!C111, Tracker!J:J,"N")</f>
        <v>0</v>
      </c>
      <c r="I111" s="55">
        <f t="shared" ref="I111:I132" si="75">SUM(J111:L111)</f>
        <v>0</v>
      </c>
      <c r="J111" s="36">
        <f>COUNTIFS(Tracker!G:G,Daily!C111, Tracker!J:J,"Y",Tracker!E:E,1)</f>
        <v>0</v>
      </c>
      <c r="K111" s="36">
        <f>COUNTIFS(Tracker!G:G,Daily!C111, Tracker!J:J,"Y (with hints)",Tracker!E:E,1)</f>
        <v>0</v>
      </c>
      <c r="L111" s="37">
        <f>COUNTIFS(Tracker!G:G,Daily!C111, Tracker!J:J,"N",Tracker!E:E,1)</f>
        <v>0</v>
      </c>
      <c r="M111" s="55">
        <f t="shared" ref="M111:M132" si="76">SUM(N111:P111)</f>
        <v>0</v>
      </c>
      <c r="N111" s="36">
        <f>COUNTIFS(Tracker!G:G,Daily!C111, Tracker!J:J,"Y",Tracker!E:E,2)</f>
        <v>0</v>
      </c>
      <c r="O111" s="36">
        <f>COUNTIFS(Tracker!G:G,Daily!C111, Tracker!J:J,"Y (with hints)",Tracker!E:E,2)</f>
        <v>0</v>
      </c>
      <c r="P111" s="37">
        <f>COUNTIFS(Tracker!G:G,Daily!C111, Tracker!J:J,"N",Tracker!E:E,2)</f>
        <v>0</v>
      </c>
      <c r="Q111" s="58">
        <f t="shared" ref="Q111:Q132" si="77">SUM(R111:T111)</f>
        <v>0</v>
      </c>
      <c r="R111" s="36">
        <f>COUNTIFS(Tracker!G:G,Daily!C111, Tracker!J:J,"Y",Tracker!E:E,3)</f>
        <v>0</v>
      </c>
      <c r="S111" s="36">
        <f>COUNTIFS(Tracker!G:G,Daily!C111, Tracker!J:J,"Y (with hints)",Tracker!E:E,3)</f>
        <v>0</v>
      </c>
      <c r="T111" s="37">
        <f>COUNTIFS(Tracker!G:G,Daily!C111, Tracker!J:J,"N",Tracker!E:E,3)</f>
        <v>0</v>
      </c>
      <c r="V111" s="39">
        <f t="shared" si="70"/>
        <v>85</v>
      </c>
      <c r="W111" s="36">
        <f t="shared" si="71"/>
        <v>81</v>
      </c>
      <c r="X111" s="64">
        <f t="shared" si="72"/>
        <v>0.95294117647058818</v>
      </c>
      <c r="Y111" s="78">
        <f>AVERAGEIFS(Tracker!I:I, Tracker!E:E, 1, Tracker!G:G, "&lt;="&amp;Daily!C111, Tracker!J:J, "Y")</f>
        <v>12.345679012345679</v>
      </c>
      <c r="Z111" s="79">
        <f>COUNTIFS(Tracker!E:E, 1, Tracker!G:G, "&lt;="&amp;Daily!C111, Tracker!L:L, "N") / V111</f>
        <v>0.78823529411764703</v>
      </c>
      <c r="AA111" s="39">
        <f t="shared" si="66"/>
        <v>149</v>
      </c>
      <c r="AB111" s="36">
        <f t="shared" si="67"/>
        <v>121</v>
      </c>
      <c r="AC111" s="64">
        <f t="shared" si="62"/>
        <v>0.81208053691275173</v>
      </c>
      <c r="AD111" s="78">
        <f>AVERAGEIFS(Tracker!I:I, Tracker!E:E, 2, Tracker!G:G, "&lt;="&amp;Daily!C111, Tracker!J:J, "Y")</f>
        <v>25.694214876033058</v>
      </c>
      <c r="AE111" s="79">
        <f>COUNTIFS(Tracker!E:E, 2, Tracker!G:G, "&lt;="&amp;Daily!C111, Tracker!L:L, "N") / AA111</f>
        <v>0.61073825503355705</v>
      </c>
      <c r="AF111" s="39">
        <f t="shared" si="68"/>
        <v>37</v>
      </c>
      <c r="AG111" s="36">
        <f t="shared" si="69"/>
        <v>24</v>
      </c>
      <c r="AH111" s="64">
        <f t="shared" si="60"/>
        <v>0.64864864864864868</v>
      </c>
      <c r="AI111" s="78">
        <f>IFERROR(AVERAGEIFS(Tracker!I:I, Tracker!E:E, 3, Tracker!G:G, "&lt;="&amp;Daily!C111, Tracker!J:J, "Y"), 0)</f>
        <v>39.166666666666664</v>
      </c>
      <c r="AJ111" s="79">
        <f>IFERROR(COUNTIFS(Tracker!E:E, 3, Tracker!G:G, "&lt;="&amp;Daily!C111, Tracker!L:L, "N") / AF111,  0)</f>
        <v>0.32432432432432434</v>
      </c>
      <c r="AK111" s="39">
        <f t="shared" si="64"/>
        <v>271</v>
      </c>
      <c r="AL111" s="36">
        <f t="shared" si="65"/>
        <v>226</v>
      </c>
      <c r="AM111" s="64">
        <f t="shared" si="61"/>
        <v>0.83394833948339486</v>
      </c>
      <c r="AN111" s="78">
        <f>IFERROR(AVERAGEIFS(Tracker!I:I,  Tracker!G:G, "&lt;="&amp;Daily!C111, Tracker!J:J, "Y"), 0)</f>
        <v>22.340707964601769</v>
      </c>
      <c r="AO111" s="79">
        <f>IFERROR(COUNTIFS(Tracker!G:G, "&lt;="&amp;Daily!C111, Tracker!L:L, "N") / AK111,  0)</f>
        <v>0.62730627306273068</v>
      </c>
    </row>
    <row r="112" spans="1:41" x14ac:dyDescent="0.25">
      <c r="A112" s="118">
        <v>16</v>
      </c>
      <c r="B112" s="28">
        <f t="shared" si="73"/>
        <v>45327</v>
      </c>
      <c r="C112" s="29">
        <f t="shared" si="63"/>
        <v>45327</v>
      </c>
      <c r="D112" s="108" t="b">
        <f t="shared" ca="1" si="55"/>
        <v>1</v>
      </c>
      <c r="E112" s="50">
        <f t="shared" si="74"/>
        <v>3</v>
      </c>
      <c r="F112" s="38">
        <f>COUNTIFS(Tracker!G:G,Daily!C112, Tracker!J:J,"Y")</f>
        <v>2</v>
      </c>
      <c r="G112" s="30">
        <f>COUNTIFS(Tracker!G:G,Daily!C112, Tracker!J:J,"Y (with hints)")</f>
        <v>0</v>
      </c>
      <c r="H112" s="31">
        <f>COUNTIFS(Tracker!G:G,Daily!C112, Tracker!J:J,"N")</f>
        <v>1</v>
      </c>
      <c r="I112" s="53">
        <f t="shared" si="75"/>
        <v>1</v>
      </c>
      <c r="J112" s="30">
        <f>COUNTIFS(Tracker!G:G,Daily!C112, Tracker!J:J,"Y",Tracker!E:E,1)</f>
        <v>1</v>
      </c>
      <c r="K112" s="30">
        <f>COUNTIFS(Tracker!G:G,Daily!C112, Tracker!J:J,"Y (with hints)",Tracker!E:E,1)</f>
        <v>0</v>
      </c>
      <c r="L112" s="31">
        <f>COUNTIFS(Tracker!G:G,Daily!C112, Tracker!J:J,"N",Tracker!E:E,1)</f>
        <v>0</v>
      </c>
      <c r="M112" s="53">
        <f t="shared" si="76"/>
        <v>1</v>
      </c>
      <c r="N112" s="30">
        <f>COUNTIFS(Tracker!G:G,Daily!C112, Tracker!J:J,"Y",Tracker!E:E,2)</f>
        <v>1</v>
      </c>
      <c r="O112" s="30">
        <f>COUNTIFS(Tracker!G:G,Daily!C112, Tracker!J:J,"Y (with hints)",Tracker!E:E,2)</f>
        <v>0</v>
      </c>
      <c r="P112" s="31">
        <f>COUNTIFS(Tracker!G:G,Daily!C112, Tracker!J:J,"N",Tracker!E:E,2)</f>
        <v>0</v>
      </c>
      <c r="Q112" s="56">
        <f t="shared" si="77"/>
        <v>1</v>
      </c>
      <c r="R112" s="30">
        <f>COUNTIFS(Tracker!G:G,Daily!C112, Tracker!J:J,"Y",Tracker!E:E,3)</f>
        <v>0</v>
      </c>
      <c r="S112" s="30">
        <f>COUNTIFS(Tracker!G:G,Daily!C112, Tracker!J:J,"Y (with hints)",Tracker!E:E,3)</f>
        <v>0</v>
      </c>
      <c r="T112" s="31">
        <f>COUNTIFS(Tracker!G:G,Daily!C112, Tracker!J:J,"N",Tracker!E:E,3)</f>
        <v>1</v>
      </c>
      <c r="V112" s="38">
        <f t="shared" si="70"/>
        <v>86</v>
      </c>
      <c r="W112" s="30">
        <f t="shared" si="71"/>
        <v>82</v>
      </c>
      <c r="X112" s="73">
        <f t="shared" si="72"/>
        <v>0.95348837209302328</v>
      </c>
      <c r="Y112" s="75">
        <f>AVERAGEIFS(Tracker!I:I, Tracker!E:E, 1, Tracker!G:G, "&lt;="&amp;Daily!C112, Tracker!J:J, "Y")</f>
        <v>12.390243902439025</v>
      </c>
      <c r="Z112" s="76">
        <f>COUNTIFS(Tracker!E:E, 1, Tracker!G:G, "&lt;="&amp;Daily!C112, Tracker!L:L, "N") / V112</f>
        <v>0.79069767441860461</v>
      </c>
      <c r="AA112" s="38">
        <f t="shared" si="66"/>
        <v>150</v>
      </c>
      <c r="AB112" s="30">
        <f t="shared" si="67"/>
        <v>122</v>
      </c>
      <c r="AC112" s="73">
        <f t="shared" si="62"/>
        <v>0.81333333333333335</v>
      </c>
      <c r="AD112" s="75">
        <f>AVERAGEIFS(Tracker!I:I, Tracker!E:E, 2, Tracker!G:G, "&lt;="&amp;Daily!C112, Tracker!J:J, "Y")</f>
        <v>25.622950819672131</v>
      </c>
      <c r="AE112" s="76">
        <f>COUNTIFS(Tracker!E:E, 2, Tracker!G:G, "&lt;="&amp;Daily!C112, Tracker!L:L, "N") / AA112</f>
        <v>0.61333333333333329</v>
      </c>
      <c r="AF112" s="38">
        <f t="shared" si="68"/>
        <v>38</v>
      </c>
      <c r="AG112" s="30">
        <f t="shared" si="69"/>
        <v>24</v>
      </c>
      <c r="AH112" s="73">
        <f t="shared" si="60"/>
        <v>0.63157894736842102</v>
      </c>
      <c r="AI112" s="75">
        <f>IFERROR(AVERAGEIFS(Tracker!I:I, Tracker!E:E, 3, Tracker!G:G, "&lt;="&amp;Daily!C112, Tracker!J:J, "Y"), 0)</f>
        <v>39.166666666666664</v>
      </c>
      <c r="AJ112" s="76">
        <f>IFERROR(COUNTIFS(Tracker!E:E, 3, Tracker!G:G, "&lt;="&amp;Daily!C112, Tracker!L:L, "N") / AF112,  0)</f>
        <v>0.31578947368421051</v>
      </c>
      <c r="AK112" s="38">
        <f t="shared" si="64"/>
        <v>274</v>
      </c>
      <c r="AL112" s="30">
        <f t="shared" si="65"/>
        <v>228</v>
      </c>
      <c r="AM112" s="73">
        <f t="shared" si="61"/>
        <v>0.83211678832116787</v>
      </c>
      <c r="AN112" s="75">
        <f>IFERROR(AVERAGEIFS(Tracker!I:I,  Tracker!G:G, "&lt;="&amp;Daily!C112, Tracker!J:J, "Y"), 0)</f>
        <v>22.289473684210527</v>
      </c>
      <c r="AO112" s="76">
        <f>IFERROR(COUNTIFS(Tracker!G:G, "&lt;="&amp;Daily!C112, Tracker!L:L, "N") / AK112,  0)</f>
        <v>0.62773722627737227</v>
      </c>
    </row>
    <row r="113" spans="1:41" x14ac:dyDescent="0.25">
      <c r="A113" s="119"/>
      <c r="B113" s="32">
        <f t="shared" si="73"/>
        <v>45328</v>
      </c>
      <c r="C113" s="27">
        <f t="shared" si="63"/>
        <v>45328</v>
      </c>
      <c r="D113" s="109" t="b">
        <f t="shared" ca="1" si="55"/>
        <v>1</v>
      </c>
      <c r="E113" s="51">
        <f t="shared" si="74"/>
        <v>4</v>
      </c>
      <c r="F113" s="48">
        <f>COUNTIFS(Tracker!G:G,Daily!C113, Tracker!J:J,"Y")</f>
        <v>4</v>
      </c>
      <c r="G113" s="26">
        <f>COUNTIFS(Tracker!G:G,Daily!C113, Tracker!J:J,"Y (with hints)")</f>
        <v>0</v>
      </c>
      <c r="H113" s="33">
        <f>COUNTIFS(Tracker!G:G,Daily!C113, Tracker!J:J,"N")</f>
        <v>0</v>
      </c>
      <c r="I113" s="54">
        <f t="shared" si="75"/>
        <v>1</v>
      </c>
      <c r="J113" s="26">
        <f>COUNTIFS(Tracker!G:G,Daily!C113, Tracker!J:J,"Y",Tracker!E:E,1)</f>
        <v>1</v>
      </c>
      <c r="K113" s="26">
        <f>COUNTIFS(Tracker!G:G,Daily!C113, Tracker!J:J,"Y (with hints)",Tracker!E:E,1)</f>
        <v>0</v>
      </c>
      <c r="L113" s="33">
        <f>COUNTIFS(Tracker!G:G,Daily!C113, Tracker!J:J,"N",Tracker!E:E,1)</f>
        <v>0</v>
      </c>
      <c r="M113" s="54">
        <f t="shared" si="76"/>
        <v>1</v>
      </c>
      <c r="N113" s="26">
        <f>COUNTIFS(Tracker!G:G,Daily!C113, Tracker!J:J,"Y",Tracker!E:E,2)</f>
        <v>1</v>
      </c>
      <c r="O113" s="26">
        <f>COUNTIFS(Tracker!G:G,Daily!C113, Tracker!J:J,"Y (with hints)",Tracker!E:E,2)</f>
        <v>0</v>
      </c>
      <c r="P113" s="33">
        <f>COUNTIFS(Tracker!G:G,Daily!C113, Tracker!J:J,"N",Tracker!E:E,2)</f>
        <v>0</v>
      </c>
      <c r="Q113" s="57">
        <f t="shared" si="77"/>
        <v>2</v>
      </c>
      <c r="R113" s="26">
        <f>COUNTIFS(Tracker!G:G,Daily!C113, Tracker!J:J,"Y",Tracker!E:E,3)</f>
        <v>2</v>
      </c>
      <c r="S113" s="26">
        <f>COUNTIFS(Tracker!G:G,Daily!C113, Tracker!J:J,"Y (with hints)",Tracker!E:E,3)</f>
        <v>0</v>
      </c>
      <c r="T113" s="33">
        <f>COUNTIFS(Tracker!G:G,Daily!C113, Tracker!J:J,"N",Tracker!E:E,3)</f>
        <v>0</v>
      </c>
      <c r="V113" s="48">
        <f t="shared" si="70"/>
        <v>87</v>
      </c>
      <c r="W113" s="26">
        <f t="shared" si="71"/>
        <v>83</v>
      </c>
      <c r="X113" s="62">
        <f t="shared" si="72"/>
        <v>0.95402298850574707</v>
      </c>
      <c r="Y113" s="74">
        <f>AVERAGEIFS(Tracker!I:I, Tracker!E:E, 1, Tracker!G:G, "&lt;="&amp;Daily!C113, Tracker!J:J, "Y")</f>
        <v>12.301204819277109</v>
      </c>
      <c r="Z113" s="77">
        <f>COUNTIFS(Tracker!E:E, 1, Tracker!G:G, "&lt;="&amp;Daily!C113, Tracker!L:L, "N") / V113</f>
        <v>0.7931034482758621</v>
      </c>
      <c r="AA113" s="48">
        <f t="shared" si="66"/>
        <v>151</v>
      </c>
      <c r="AB113" s="26">
        <f t="shared" si="67"/>
        <v>123</v>
      </c>
      <c r="AC113" s="62">
        <f t="shared" si="62"/>
        <v>0.81456953642384111</v>
      </c>
      <c r="AD113" s="74">
        <f>AVERAGEIFS(Tracker!I:I, Tracker!E:E, 2, Tracker!G:G, "&lt;="&amp;Daily!C113, Tracker!J:J, "Y")</f>
        <v>25.86178861788618</v>
      </c>
      <c r="AE113" s="77">
        <f>COUNTIFS(Tracker!E:E, 2, Tracker!G:G, "&lt;="&amp;Daily!C113, Tracker!L:L, "N") / AA113</f>
        <v>0.60927152317880795</v>
      </c>
      <c r="AF113" s="48">
        <f t="shared" si="68"/>
        <v>40</v>
      </c>
      <c r="AG113" s="26">
        <f t="shared" si="69"/>
        <v>26</v>
      </c>
      <c r="AH113" s="62">
        <f t="shared" si="60"/>
        <v>0.65</v>
      </c>
      <c r="AI113" s="74">
        <f>IFERROR(AVERAGEIFS(Tracker!I:I, Tracker!E:E, 3, Tracker!G:G, "&lt;="&amp;Daily!C113, Tracker!J:J, "Y"), 0)</f>
        <v>40.153846153846153</v>
      </c>
      <c r="AJ113" s="77">
        <f>IFERROR(COUNTIFS(Tracker!E:E, 3, Tracker!G:G, "&lt;="&amp;Daily!C113, Tracker!L:L, "N") / AF113,  0)</f>
        <v>0.35</v>
      </c>
      <c r="AK113" s="48">
        <f t="shared" si="64"/>
        <v>278</v>
      </c>
      <c r="AL113" s="26">
        <f t="shared" si="65"/>
        <v>232</v>
      </c>
      <c r="AM113" s="62">
        <f t="shared" si="61"/>
        <v>0.83453237410071945</v>
      </c>
      <c r="AN113" s="74">
        <f>IFERROR(AVERAGEIFS(Tracker!I:I,  Tracker!G:G, "&lt;="&amp;Daily!C113, Tracker!J:J, "Y"), 0)</f>
        <v>22.612068965517242</v>
      </c>
      <c r="AO113" s="77">
        <f>IFERROR(COUNTIFS(Tracker!G:G, "&lt;="&amp;Daily!C113, Tracker!L:L, "N") / AK113,  0)</f>
        <v>0.62949640287769781</v>
      </c>
    </row>
    <row r="114" spans="1:41" x14ac:dyDescent="0.25">
      <c r="A114" s="119"/>
      <c r="B114" s="32">
        <f t="shared" si="73"/>
        <v>45329</v>
      </c>
      <c r="C114" s="27">
        <f t="shared" si="63"/>
        <v>45329</v>
      </c>
      <c r="D114" s="109" t="b">
        <f t="shared" ca="1" si="55"/>
        <v>1</v>
      </c>
      <c r="E114" s="51">
        <f t="shared" si="74"/>
        <v>3</v>
      </c>
      <c r="F114" s="48">
        <f>COUNTIFS(Tracker!G:G,Daily!C114, Tracker!J:J,"Y")</f>
        <v>1</v>
      </c>
      <c r="G114" s="26">
        <f>COUNTIFS(Tracker!G:G,Daily!C114, Tracker!J:J,"Y (with hints)")</f>
        <v>0</v>
      </c>
      <c r="H114" s="33">
        <f>COUNTIFS(Tracker!G:G,Daily!C114, Tracker!J:J,"N")</f>
        <v>2</v>
      </c>
      <c r="I114" s="54">
        <f t="shared" si="75"/>
        <v>1</v>
      </c>
      <c r="J114" s="26">
        <f>COUNTIFS(Tracker!G:G,Daily!C114, Tracker!J:J,"Y",Tracker!E:E,1)</f>
        <v>1</v>
      </c>
      <c r="K114" s="26">
        <f>COUNTIFS(Tracker!G:G,Daily!C114, Tracker!J:J,"Y (with hints)",Tracker!E:E,1)</f>
        <v>0</v>
      </c>
      <c r="L114" s="33">
        <f>COUNTIFS(Tracker!G:G,Daily!C114, Tracker!J:J,"N",Tracker!E:E,1)</f>
        <v>0</v>
      </c>
      <c r="M114" s="54">
        <f t="shared" si="76"/>
        <v>1</v>
      </c>
      <c r="N114" s="26">
        <f>COUNTIFS(Tracker!G:G,Daily!C114, Tracker!J:J,"Y",Tracker!E:E,2)</f>
        <v>0</v>
      </c>
      <c r="O114" s="26">
        <f>COUNTIFS(Tracker!G:G,Daily!C114, Tracker!J:J,"Y (with hints)",Tracker!E:E,2)</f>
        <v>0</v>
      </c>
      <c r="P114" s="33">
        <f>COUNTIFS(Tracker!G:G,Daily!C114, Tracker!J:J,"N",Tracker!E:E,2)</f>
        <v>1</v>
      </c>
      <c r="Q114" s="57">
        <f t="shared" si="77"/>
        <v>1</v>
      </c>
      <c r="R114" s="26">
        <f>COUNTIFS(Tracker!G:G,Daily!C114, Tracker!J:J,"Y",Tracker!E:E,3)</f>
        <v>0</v>
      </c>
      <c r="S114" s="26">
        <f>COUNTIFS(Tracker!G:G,Daily!C114, Tracker!J:J,"Y (with hints)",Tracker!E:E,3)</f>
        <v>0</v>
      </c>
      <c r="T114" s="33">
        <f>COUNTIFS(Tracker!G:G,Daily!C114, Tracker!J:J,"N",Tracker!E:E,3)</f>
        <v>1</v>
      </c>
      <c r="V114" s="48">
        <f t="shared" si="70"/>
        <v>88</v>
      </c>
      <c r="W114" s="26">
        <f t="shared" si="71"/>
        <v>84</v>
      </c>
      <c r="X114" s="62">
        <f t="shared" si="72"/>
        <v>0.95454545454545459</v>
      </c>
      <c r="Y114" s="74">
        <f>AVERAGEIFS(Tracker!I:I, Tracker!E:E, 1, Tracker!G:G, "&lt;="&amp;Daily!C114, Tracker!J:J, "Y")</f>
        <v>12.273809523809524</v>
      </c>
      <c r="Z114" s="77">
        <f>COUNTIFS(Tracker!E:E, 1, Tracker!G:G, "&lt;="&amp;Daily!C114, Tracker!L:L, "N") / V114</f>
        <v>0.79545454545454541</v>
      </c>
      <c r="AA114" s="48">
        <f t="shared" si="66"/>
        <v>152</v>
      </c>
      <c r="AB114" s="26">
        <f t="shared" si="67"/>
        <v>123</v>
      </c>
      <c r="AC114" s="62">
        <f t="shared" si="62"/>
        <v>0.80921052631578949</v>
      </c>
      <c r="AD114" s="74">
        <f>AVERAGEIFS(Tracker!I:I, Tracker!E:E, 2, Tracker!G:G, "&lt;="&amp;Daily!C114, Tracker!J:J, "Y")</f>
        <v>25.86178861788618</v>
      </c>
      <c r="AE114" s="77">
        <f>COUNTIFS(Tracker!E:E, 2, Tracker!G:G, "&lt;="&amp;Daily!C114, Tracker!L:L, "N") / AA114</f>
        <v>0.60526315789473684</v>
      </c>
      <c r="AF114" s="48">
        <f t="shared" si="68"/>
        <v>41</v>
      </c>
      <c r="AG114" s="26">
        <f t="shared" si="69"/>
        <v>26</v>
      </c>
      <c r="AH114" s="62">
        <f t="shared" si="60"/>
        <v>0.63414634146341464</v>
      </c>
      <c r="AI114" s="74">
        <f>IFERROR(AVERAGEIFS(Tracker!I:I, Tracker!E:E, 3, Tracker!G:G, "&lt;="&amp;Daily!C114, Tracker!J:J, "Y"), 0)</f>
        <v>40.153846153846153</v>
      </c>
      <c r="AJ114" s="77">
        <f>IFERROR(COUNTIFS(Tracker!E:E, 3, Tracker!G:G, "&lt;="&amp;Daily!C114, Tracker!L:L, "N") / AF114,  0)</f>
        <v>0.34146341463414637</v>
      </c>
      <c r="AK114" s="48">
        <f t="shared" si="64"/>
        <v>281</v>
      </c>
      <c r="AL114" s="26">
        <f t="shared" si="65"/>
        <v>233</v>
      </c>
      <c r="AM114" s="62">
        <f t="shared" si="61"/>
        <v>0.8291814946619217</v>
      </c>
      <c r="AN114" s="74">
        <f>IFERROR(AVERAGEIFS(Tracker!I:I,  Tracker!G:G, "&lt;="&amp;Daily!C114, Tracker!J:J, "Y"), 0)</f>
        <v>22.557939914163089</v>
      </c>
      <c r="AO114" s="77">
        <f>IFERROR(COUNTIFS(Tracker!G:G, "&lt;="&amp;Daily!C114, Tracker!L:L, "N") / AK114,  0)</f>
        <v>0.62633451957295372</v>
      </c>
    </row>
    <row r="115" spans="1:41" x14ac:dyDescent="0.25">
      <c r="A115" s="119"/>
      <c r="B115" s="32">
        <f t="shared" si="73"/>
        <v>45330</v>
      </c>
      <c r="C115" s="27">
        <f t="shared" si="63"/>
        <v>45330</v>
      </c>
      <c r="D115" s="109" t="b">
        <f t="shared" ca="1" si="55"/>
        <v>1</v>
      </c>
      <c r="E115" s="51">
        <f t="shared" si="74"/>
        <v>4</v>
      </c>
      <c r="F115" s="48">
        <f>COUNTIFS(Tracker!G:G,Daily!C115, Tracker!J:J,"Y")</f>
        <v>3</v>
      </c>
      <c r="G115" s="26">
        <f>COUNTIFS(Tracker!G:G,Daily!C115, Tracker!J:J,"Y (with hints)")</f>
        <v>0</v>
      </c>
      <c r="H115" s="33">
        <f>COUNTIFS(Tracker!G:G,Daily!C115, Tracker!J:J,"N")</f>
        <v>1</v>
      </c>
      <c r="I115" s="54">
        <f t="shared" si="75"/>
        <v>1</v>
      </c>
      <c r="J115" s="26">
        <f>COUNTIFS(Tracker!G:G,Daily!C115, Tracker!J:J,"Y",Tracker!E:E,1)</f>
        <v>1</v>
      </c>
      <c r="K115" s="26">
        <f>COUNTIFS(Tracker!G:G,Daily!C115, Tracker!J:J,"Y (with hints)",Tracker!E:E,1)</f>
        <v>0</v>
      </c>
      <c r="L115" s="33">
        <f>COUNTIFS(Tracker!G:G,Daily!C115, Tracker!J:J,"N",Tracker!E:E,1)</f>
        <v>0</v>
      </c>
      <c r="M115" s="54">
        <f t="shared" si="76"/>
        <v>2</v>
      </c>
      <c r="N115" s="26">
        <f>COUNTIFS(Tracker!G:G,Daily!C115, Tracker!J:J,"Y",Tracker!E:E,2)</f>
        <v>1</v>
      </c>
      <c r="O115" s="26">
        <f>COUNTIFS(Tracker!G:G,Daily!C115, Tracker!J:J,"Y (with hints)",Tracker!E:E,2)</f>
        <v>0</v>
      </c>
      <c r="P115" s="33">
        <f>COUNTIFS(Tracker!G:G,Daily!C115, Tracker!J:J,"N",Tracker!E:E,2)</f>
        <v>1</v>
      </c>
      <c r="Q115" s="57">
        <f t="shared" si="77"/>
        <v>1</v>
      </c>
      <c r="R115" s="26">
        <f>COUNTIFS(Tracker!G:G,Daily!C115, Tracker!J:J,"Y",Tracker!E:E,3)</f>
        <v>1</v>
      </c>
      <c r="S115" s="26">
        <f>COUNTIFS(Tracker!G:G,Daily!C115, Tracker!J:J,"Y (with hints)",Tracker!E:E,3)</f>
        <v>0</v>
      </c>
      <c r="T115" s="33">
        <f>COUNTIFS(Tracker!G:G,Daily!C115, Tracker!J:J,"N",Tracker!E:E,3)</f>
        <v>0</v>
      </c>
      <c r="V115" s="48">
        <f t="shared" si="70"/>
        <v>89</v>
      </c>
      <c r="W115" s="26">
        <f t="shared" si="71"/>
        <v>85</v>
      </c>
      <c r="X115" s="62">
        <f t="shared" si="72"/>
        <v>0.9550561797752809</v>
      </c>
      <c r="Y115" s="74">
        <f>AVERAGEIFS(Tracker!I:I, Tracker!E:E, 1, Tracker!G:G, "&lt;="&amp;Daily!C115, Tracker!J:J, "Y")</f>
        <v>12.658823529411764</v>
      </c>
      <c r="Z115" s="77">
        <f>COUNTIFS(Tracker!E:E, 1, Tracker!G:G, "&lt;="&amp;Daily!C115, Tracker!L:L, "N") / V115</f>
        <v>0.797752808988764</v>
      </c>
      <c r="AA115" s="48">
        <f t="shared" si="66"/>
        <v>154</v>
      </c>
      <c r="AB115" s="26">
        <f t="shared" si="67"/>
        <v>124</v>
      </c>
      <c r="AC115" s="62">
        <f t="shared" si="62"/>
        <v>0.80519480519480524</v>
      </c>
      <c r="AD115" s="74">
        <f>AVERAGEIFS(Tracker!I:I, Tracker!E:E, 2, Tracker!G:G, "&lt;="&amp;Daily!C115, Tracker!J:J, "Y")</f>
        <v>25.75</v>
      </c>
      <c r="AE115" s="77">
        <f>COUNTIFS(Tracker!E:E, 2, Tracker!G:G, "&lt;="&amp;Daily!C115, Tracker!L:L, "N") / AA115</f>
        <v>0.60389610389610393</v>
      </c>
      <c r="AF115" s="48">
        <f t="shared" si="68"/>
        <v>42</v>
      </c>
      <c r="AG115" s="26">
        <f t="shared" si="69"/>
        <v>27</v>
      </c>
      <c r="AH115" s="62">
        <f t="shared" si="60"/>
        <v>0.6428571428571429</v>
      </c>
      <c r="AI115" s="74">
        <f>IFERROR(AVERAGEIFS(Tracker!I:I, Tracker!E:E, 3, Tracker!G:G, "&lt;="&amp;Daily!C115, Tracker!J:J, "Y"), 0)</f>
        <v>40.074074074074076</v>
      </c>
      <c r="AJ115" s="77">
        <f>IFERROR(COUNTIFS(Tracker!E:E, 3, Tracker!G:G, "&lt;="&amp;Daily!C115, Tracker!L:L, "N") / AF115,  0)</f>
        <v>0.35714285714285715</v>
      </c>
      <c r="AK115" s="48">
        <f t="shared" si="64"/>
        <v>285</v>
      </c>
      <c r="AL115" s="26">
        <f t="shared" si="65"/>
        <v>236</v>
      </c>
      <c r="AM115" s="62">
        <f t="shared" si="61"/>
        <v>0.82807017543859651</v>
      </c>
      <c r="AN115" s="74">
        <f>IFERROR(AVERAGEIFS(Tracker!I:I,  Tracker!G:G, "&lt;="&amp;Daily!C115, Tracker!J:J, "Y"), 0)</f>
        <v>22.673728813559322</v>
      </c>
      <c r="AO115" s="77">
        <f>IFERROR(COUNTIFS(Tracker!G:G, "&lt;="&amp;Daily!C115, Tracker!L:L, "N") / AK115,  0)</f>
        <v>0.62807017543859645</v>
      </c>
    </row>
    <row r="116" spans="1:41" x14ac:dyDescent="0.25">
      <c r="A116" s="119"/>
      <c r="B116" s="32">
        <f t="shared" si="73"/>
        <v>45331</v>
      </c>
      <c r="C116" s="27">
        <f t="shared" si="63"/>
        <v>45331</v>
      </c>
      <c r="D116" s="109" t="b">
        <f t="shared" ca="1" si="55"/>
        <v>1</v>
      </c>
      <c r="E116" s="51">
        <f t="shared" si="74"/>
        <v>5</v>
      </c>
      <c r="F116" s="48">
        <f>COUNTIFS(Tracker!G:G,Daily!C116, Tracker!J:J,"Y")</f>
        <v>4</v>
      </c>
      <c r="G116" s="26">
        <f>COUNTIFS(Tracker!G:G,Daily!C116, Tracker!J:J,"Y (with hints)")</f>
        <v>0</v>
      </c>
      <c r="H116" s="33">
        <f>COUNTIFS(Tracker!G:G,Daily!C116, Tracker!J:J,"N")</f>
        <v>1</v>
      </c>
      <c r="I116" s="54">
        <f t="shared" si="75"/>
        <v>0</v>
      </c>
      <c r="J116" s="26">
        <f>COUNTIFS(Tracker!G:G,Daily!C116, Tracker!J:J,"Y",Tracker!E:E,1)</f>
        <v>0</v>
      </c>
      <c r="K116" s="26">
        <f>COUNTIFS(Tracker!G:G,Daily!C116, Tracker!J:J,"Y (with hints)",Tracker!E:E,1)</f>
        <v>0</v>
      </c>
      <c r="L116" s="33">
        <f>COUNTIFS(Tracker!G:G,Daily!C116, Tracker!J:J,"N",Tracker!E:E,1)</f>
        <v>0</v>
      </c>
      <c r="M116" s="54">
        <f t="shared" si="76"/>
        <v>5</v>
      </c>
      <c r="N116" s="26">
        <f>COUNTIFS(Tracker!G:G,Daily!C116, Tracker!J:J,"Y",Tracker!E:E,2)</f>
        <v>4</v>
      </c>
      <c r="O116" s="26">
        <f>COUNTIFS(Tracker!G:G,Daily!C116, Tracker!J:J,"Y (with hints)",Tracker!E:E,2)</f>
        <v>0</v>
      </c>
      <c r="P116" s="33">
        <f>COUNTIFS(Tracker!G:G,Daily!C116, Tracker!J:J,"N",Tracker!E:E,2)</f>
        <v>1</v>
      </c>
      <c r="Q116" s="57">
        <f t="shared" si="77"/>
        <v>0</v>
      </c>
      <c r="R116" s="26">
        <f>COUNTIFS(Tracker!G:G,Daily!C116, Tracker!J:J,"Y",Tracker!E:E,3)</f>
        <v>0</v>
      </c>
      <c r="S116" s="26">
        <f>COUNTIFS(Tracker!G:G,Daily!C116, Tracker!J:J,"Y (with hints)",Tracker!E:E,3)</f>
        <v>0</v>
      </c>
      <c r="T116" s="33">
        <f>COUNTIFS(Tracker!G:G,Daily!C116, Tracker!J:J,"N",Tracker!E:E,3)</f>
        <v>0</v>
      </c>
      <c r="V116" s="48">
        <f t="shared" si="70"/>
        <v>89</v>
      </c>
      <c r="W116" s="26">
        <f t="shared" si="71"/>
        <v>85</v>
      </c>
      <c r="X116" s="62">
        <f t="shared" si="72"/>
        <v>0.9550561797752809</v>
      </c>
      <c r="Y116" s="74">
        <f>AVERAGEIFS(Tracker!I:I, Tracker!E:E, 1, Tracker!G:G, "&lt;="&amp;Daily!C116, Tracker!J:J, "Y")</f>
        <v>12.658823529411764</v>
      </c>
      <c r="Z116" s="77">
        <f>COUNTIFS(Tracker!E:E, 1, Tracker!G:G, "&lt;="&amp;Daily!C116, Tracker!L:L, "N") / V116</f>
        <v>0.797752808988764</v>
      </c>
      <c r="AA116" s="48">
        <f t="shared" si="66"/>
        <v>159</v>
      </c>
      <c r="AB116" s="26">
        <f t="shared" si="67"/>
        <v>128</v>
      </c>
      <c r="AC116" s="62">
        <f t="shared" si="62"/>
        <v>0.80503144654088055</v>
      </c>
      <c r="AD116" s="74">
        <f>AVERAGEIFS(Tracker!I:I, Tracker!E:E, 2, Tracker!G:G, "&lt;="&amp;Daily!C116, Tracker!J:J, "Y")</f>
        <v>25.6640625</v>
      </c>
      <c r="AE116" s="77">
        <f>COUNTIFS(Tracker!E:E, 2, Tracker!G:G, "&lt;="&amp;Daily!C116, Tracker!L:L, "N") / AA116</f>
        <v>0.60377358490566035</v>
      </c>
      <c r="AF116" s="48">
        <f t="shared" si="68"/>
        <v>42</v>
      </c>
      <c r="AG116" s="26">
        <f t="shared" si="69"/>
        <v>27</v>
      </c>
      <c r="AH116" s="62">
        <f t="shared" si="60"/>
        <v>0.6428571428571429</v>
      </c>
      <c r="AI116" s="74">
        <f>IFERROR(AVERAGEIFS(Tracker!I:I, Tracker!E:E, 3, Tracker!G:G, "&lt;="&amp;Daily!C116, Tracker!J:J, "Y"), 0)</f>
        <v>40.074074074074076</v>
      </c>
      <c r="AJ116" s="77">
        <f>IFERROR(COUNTIFS(Tracker!E:E, 3, Tracker!G:G, "&lt;="&amp;Daily!C116, Tracker!L:L, "N") / AF116,  0)</f>
        <v>0.35714285714285715</v>
      </c>
      <c r="AK116" s="48">
        <f t="shared" si="64"/>
        <v>290</v>
      </c>
      <c r="AL116" s="26">
        <f t="shared" si="65"/>
        <v>240</v>
      </c>
      <c r="AM116" s="62">
        <f t="shared" si="61"/>
        <v>0.82758620689655171</v>
      </c>
      <c r="AN116" s="74">
        <f>IFERROR(AVERAGEIFS(Tracker!I:I,  Tracker!G:G, "&lt;="&amp;Daily!C116, Tracker!J:J, "Y"), 0)</f>
        <v>22.679166666666667</v>
      </c>
      <c r="AO116" s="77">
        <f>IFERROR(COUNTIFS(Tracker!G:G, "&lt;="&amp;Daily!C116, Tracker!L:L, "N") / AK116,  0)</f>
        <v>0.62758620689655176</v>
      </c>
    </row>
    <row r="117" spans="1:41" x14ac:dyDescent="0.25">
      <c r="A117" s="119"/>
      <c r="B117" s="32">
        <f t="shared" si="73"/>
        <v>45332</v>
      </c>
      <c r="C117" s="27">
        <f t="shared" si="63"/>
        <v>45332</v>
      </c>
      <c r="D117" s="109" t="b">
        <f t="shared" ca="1" si="55"/>
        <v>1</v>
      </c>
      <c r="E117" s="51">
        <f t="shared" si="74"/>
        <v>0</v>
      </c>
      <c r="F117" s="48">
        <f>COUNTIFS(Tracker!G:G,Daily!C117, Tracker!J:J,"Y")</f>
        <v>0</v>
      </c>
      <c r="G117" s="26">
        <f>COUNTIFS(Tracker!G:G,Daily!C117, Tracker!J:J,"Y (with hints)")</f>
        <v>0</v>
      </c>
      <c r="H117" s="33">
        <f>COUNTIFS(Tracker!G:G,Daily!C117, Tracker!J:J,"N")</f>
        <v>0</v>
      </c>
      <c r="I117" s="54">
        <f t="shared" si="75"/>
        <v>0</v>
      </c>
      <c r="J117" s="26">
        <f>COUNTIFS(Tracker!G:G,Daily!C117, Tracker!J:J,"Y",Tracker!E:E,1)</f>
        <v>0</v>
      </c>
      <c r="K117" s="26">
        <f>COUNTIFS(Tracker!G:G,Daily!C117, Tracker!J:J,"Y (with hints)",Tracker!E:E,1)</f>
        <v>0</v>
      </c>
      <c r="L117" s="33">
        <f>COUNTIFS(Tracker!G:G,Daily!C117, Tracker!J:J,"N",Tracker!E:E,1)</f>
        <v>0</v>
      </c>
      <c r="M117" s="54">
        <f t="shared" si="76"/>
        <v>0</v>
      </c>
      <c r="N117" s="26">
        <f>COUNTIFS(Tracker!G:G,Daily!C117, Tracker!J:J,"Y",Tracker!E:E,2)</f>
        <v>0</v>
      </c>
      <c r="O117" s="26">
        <f>COUNTIFS(Tracker!G:G,Daily!C117, Tracker!J:J,"Y (with hints)",Tracker!E:E,2)</f>
        <v>0</v>
      </c>
      <c r="P117" s="33">
        <f>COUNTIFS(Tracker!G:G,Daily!C117, Tracker!J:J,"N",Tracker!E:E,2)</f>
        <v>0</v>
      </c>
      <c r="Q117" s="57">
        <f t="shared" si="77"/>
        <v>0</v>
      </c>
      <c r="R117" s="26">
        <f>COUNTIFS(Tracker!G:G,Daily!C117, Tracker!J:J,"Y",Tracker!E:E,3)</f>
        <v>0</v>
      </c>
      <c r="S117" s="26">
        <f>COUNTIFS(Tracker!G:G,Daily!C117, Tracker!J:J,"Y (with hints)",Tracker!E:E,3)</f>
        <v>0</v>
      </c>
      <c r="T117" s="33">
        <f>COUNTIFS(Tracker!G:G,Daily!C117, Tracker!J:J,"N",Tracker!E:E,3)</f>
        <v>0</v>
      </c>
      <c r="V117" s="48">
        <f t="shared" si="70"/>
        <v>89</v>
      </c>
      <c r="W117" s="26">
        <f t="shared" si="71"/>
        <v>85</v>
      </c>
      <c r="X117" s="62">
        <f t="shared" si="72"/>
        <v>0.9550561797752809</v>
      </c>
      <c r="Y117" s="74">
        <f>AVERAGEIFS(Tracker!I:I, Tracker!E:E, 1, Tracker!G:G, "&lt;="&amp;Daily!C117, Tracker!J:J, "Y")</f>
        <v>12.658823529411764</v>
      </c>
      <c r="Z117" s="77">
        <f>COUNTIFS(Tracker!E:E, 1, Tracker!G:G, "&lt;="&amp;Daily!C117, Tracker!L:L, "N") / V117</f>
        <v>0.797752808988764</v>
      </c>
      <c r="AA117" s="48">
        <f t="shared" si="66"/>
        <v>159</v>
      </c>
      <c r="AB117" s="26">
        <f t="shared" si="67"/>
        <v>128</v>
      </c>
      <c r="AC117" s="62">
        <f t="shared" si="62"/>
        <v>0.80503144654088055</v>
      </c>
      <c r="AD117" s="74">
        <f>AVERAGEIFS(Tracker!I:I, Tracker!E:E, 2, Tracker!G:G, "&lt;="&amp;Daily!C117, Tracker!J:J, "Y")</f>
        <v>25.6640625</v>
      </c>
      <c r="AE117" s="77">
        <f>COUNTIFS(Tracker!E:E, 2, Tracker!G:G, "&lt;="&amp;Daily!C117, Tracker!L:L, "N") / AA117</f>
        <v>0.60377358490566035</v>
      </c>
      <c r="AF117" s="48">
        <f t="shared" si="68"/>
        <v>42</v>
      </c>
      <c r="AG117" s="26">
        <f t="shared" si="69"/>
        <v>27</v>
      </c>
      <c r="AH117" s="62">
        <f t="shared" si="60"/>
        <v>0.6428571428571429</v>
      </c>
      <c r="AI117" s="74">
        <f>IFERROR(AVERAGEIFS(Tracker!I:I, Tracker!E:E, 3, Tracker!G:G, "&lt;="&amp;Daily!C117, Tracker!J:J, "Y"), 0)</f>
        <v>40.074074074074076</v>
      </c>
      <c r="AJ117" s="77">
        <f>IFERROR(COUNTIFS(Tracker!E:E, 3, Tracker!G:G, "&lt;="&amp;Daily!C117, Tracker!L:L, "N") / AF117,  0)</f>
        <v>0.35714285714285715</v>
      </c>
      <c r="AK117" s="48">
        <f t="shared" si="64"/>
        <v>290</v>
      </c>
      <c r="AL117" s="26">
        <f t="shared" si="65"/>
        <v>240</v>
      </c>
      <c r="AM117" s="62">
        <f t="shared" si="61"/>
        <v>0.82758620689655171</v>
      </c>
      <c r="AN117" s="74">
        <f>IFERROR(AVERAGEIFS(Tracker!I:I,  Tracker!G:G, "&lt;="&amp;Daily!C117, Tracker!J:J, "Y"), 0)</f>
        <v>22.679166666666667</v>
      </c>
      <c r="AO117" s="77">
        <f>IFERROR(COUNTIFS(Tracker!G:G, "&lt;="&amp;Daily!C117, Tracker!L:L, "N") / AK117,  0)</f>
        <v>0.62758620689655176</v>
      </c>
    </row>
    <row r="118" spans="1:41" ht="15.75" thickBot="1" x14ac:dyDescent="0.3">
      <c r="A118" s="120"/>
      <c r="B118" s="34">
        <f t="shared" si="73"/>
        <v>45333</v>
      </c>
      <c r="C118" s="35">
        <f t="shared" si="63"/>
        <v>45333</v>
      </c>
      <c r="D118" s="110" t="b">
        <f t="shared" ca="1" si="55"/>
        <v>1</v>
      </c>
      <c r="E118" s="52">
        <f t="shared" si="74"/>
        <v>0</v>
      </c>
      <c r="F118" s="39">
        <f>COUNTIFS(Tracker!G:G,Daily!C118, Tracker!J:J,"Y")</f>
        <v>0</v>
      </c>
      <c r="G118" s="36">
        <f>COUNTIFS(Tracker!G:G,Daily!C118, Tracker!J:J,"Y (with hints)")</f>
        <v>0</v>
      </c>
      <c r="H118" s="37">
        <f>COUNTIFS(Tracker!G:G,Daily!C118, Tracker!J:J,"N")</f>
        <v>0</v>
      </c>
      <c r="I118" s="55">
        <f t="shared" si="75"/>
        <v>0</v>
      </c>
      <c r="J118" s="36">
        <f>COUNTIFS(Tracker!G:G,Daily!C118, Tracker!J:J,"Y",Tracker!E:E,1)</f>
        <v>0</v>
      </c>
      <c r="K118" s="36">
        <f>COUNTIFS(Tracker!G:G,Daily!C118, Tracker!J:J,"Y (with hints)",Tracker!E:E,1)</f>
        <v>0</v>
      </c>
      <c r="L118" s="37">
        <f>COUNTIFS(Tracker!G:G,Daily!C118, Tracker!J:J,"N",Tracker!E:E,1)</f>
        <v>0</v>
      </c>
      <c r="M118" s="55">
        <f t="shared" si="76"/>
        <v>0</v>
      </c>
      <c r="N118" s="36">
        <f>COUNTIFS(Tracker!G:G,Daily!C118, Tracker!J:J,"Y",Tracker!E:E,2)</f>
        <v>0</v>
      </c>
      <c r="O118" s="36">
        <f>COUNTIFS(Tracker!G:G,Daily!C118, Tracker!J:J,"Y (with hints)",Tracker!E:E,2)</f>
        <v>0</v>
      </c>
      <c r="P118" s="37">
        <f>COUNTIFS(Tracker!G:G,Daily!C118, Tracker!J:J,"N",Tracker!E:E,2)</f>
        <v>0</v>
      </c>
      <c r="Q118" s="58">
        <f t="shared" si="77"/>
        <v>0</v>
      </c>
      <c r="R118" s="36">
        <f>COUNTIFS(Tracker!G:G,Daily!C118, Tracker!J:J,"Y",Tracker!E:E,3)</f>
        <v>0</v>
      </c>
      <c r="S118" s="36">
        <f>COUNTIFS(Tracker!G:G,Daily!C118, Tracker!J:J,"Y (with hints)",Tracker!E:E,3)</f>
        <v>0</v>
      </c>
      <c r="T118" s="37">
        <f>COUNTIFS(Tracker!G:G,Daily!C118, Tracker!J:J,"N",Tracker!E:E,3)</f>
        <v>0</v>
      </c>
      <c r="V118" s="39">
        <f t="shared" si="70"/>
        <v>89</v>
      </c>
      <c r="W118" s="36">
        <f t="shared" si="71"/>
        <v>85</v>
      </c>
      <c r="X118" s="64">
        <f t="shared" si="72"/>
        <v>0.9550561797752809</v>
      </c>
      <c r="Y118" s="78">
        <f>AVERAGEIFS(Tracker!I:I, Tracker!E:E, 1, Tracker!G:G, "&lt;="&amp;Daily!C118, Tracker!J:J, "Y")</f>
        <v>12.658823529411764</v>
      </c>
      <c r="Z118" s="79">
        <f>COUNTIFS(Tracker!E:E, 1, Tracker!G:G, "&lt;="&amp;Daily!C118, Tracker!L:L, "N") / V118</f>
        <v>0.797752808988764</v>
      </c>
      <c r="AA118" s="39">
        <f t="shared" si="66"/>
        <v>159</v>
      </c>
      <c r="AB118" s="36">
        <f t="shared" si="67"/>
        <v>128</v>
      </c>
      <c r="AC118" s="64">
        <f t="shared" si="62"/>
        <v>0.80503144654088055</v>
      </c>
      <c r="AD118" s="78">
        <f>AVERAGEIFS(Tracker!I:I, Tracker!E:E, 2, Tracker!G:G, "&lt;="&amp;Daily!C118, Tracker!J:J, "Y")</f>
        <v>25.6640625</v>
      </c>
      <c r="AE118" s="79">
        <f>COUNTIFS(Tracker!E:E, 2, Tracker!G:G, "&lt;="&amp;Daily!C118, Tracker!L:L, "N") / AA118</f>
        <v>0.60377358490566035</v>
      </c>
      <c r="AF118" s="39">
        <f t="shared" si="68"/>
        <v>42</v>
      </c>
      <c r="AG118" s="36">
        <f t="shared" si="69"/>
        <v>27</v>
      </c>
      <c r="AH118" s="64">
        <f t="shared" si="60"/>
        <v>0.6428571428571429</v>
      </c>
      <c r="AI118" s="78">
        <f>IFERROR(AVERAGEIFS(Tracker!I:I, Tracker!E:E, 3, Tracker!G:G, "&lt;="&amp;Daily!C118, Tracker!J:J, "Y"), 0)</f>
        <v>40.074074074074076</v>
      </c>
      <c r="AJ118" s="79">
        <f>IFERROR(COUNTIFS(Tracker!E:E, 3, Tracker!G:G, "&lt;="&amp;Daily!C118, Tracker!L:L, "N") / AF118,  0)</f>
        <v>0.35714285714285715</v>
      </c>
      <c r="AK118" s="39">
        <f t="shared" si="64"/>
        <v>290</v>
      </c>
      <c r="AL118" s="36">
        <f t="shared" si="65"/>
        <v>240</v>
      </c>
      <c r="AM118" s="64">
        <f t="shared" si="61"/>
        <v>0.82758620689655171</v>
      </c>
      <c r="AN118" s="78">
        <f>IFERROR(AVERAGEIFS(Tracker!I:I,  Tracker!G:G, "&lt;="&amp;Daily!C118, Tracker!J:J, "Y"), 0)</f>
        <v>22.679166666666667</v>
      </c>
      <c r="AO118" s="79">
        <f>IFERROR(COUNTIFS(Tracker!G:G, "&lt;="&amp;Daily!C118, Tracker!L:L, "N") / AK118,  0)</f>
        <v>0.62758620689655176</v>
      </c>
    </row>
    <row r="119" spans="1:41" x14ac:dyDescent="0.25">
      <c r="A119" s="118">
        <v>17</v>
      </c>
      <c r="B119" s="28">
        <f t="shared" si="73"/>
        <v>45334</v>
      </c>
      <c r="C119" s="29">
        <f t="shared" si="63"/>
        <v>45334</v>
      </c>
      <c r="D119" s="108" t="b">
        <f t="shared" ca="1" si="55"/>
        <v>1</v>
      </c>
      <c r="E119" s="50">
        <f t="shared" si="74"/>
        <v>2</v>
      </c>
      <c r="F119" s="38">
        <f>COUNTIFS(Tracker!G:G,Daily!C119, Tracker!J:J,"Y")</f>
        <v>2</v>
      </c>
      <c r="G119" s="30">
        <f>COUNTIFS(Tracker!G:G,Daily!C119, Tracker!J:J,"Y (with hints)")</f>
        <v>0</v>
      </c>
      <c r="H119" s="31">
        <f>COUNTIFS(Tracker!G:G,Daily!C119, Tracker!J:J,"N")</f>
        <v>0</v>
      </c>
      <c r="I119" s="53">
        <f t="shared" si="75"/>
        <v>0</v>
      </c>
      <c r="J119" s="30">
        <f>COUNTIFS(Tracker!G:G,Daily!C119, Tracker!J:J,"Y",Tracker!E:E,1)</f>
        <v>0</v>
      </c>
      <c r="K119" s="30">
        <f>COUNTIFS(Tracker!G:G,Daily!C119, Tracker!J:J,"Y (with hints)",Tracker!E:E,1)</f>
        <v>0</v>
      </c>
      <c r="L119" s="31">
        <f>COUNTIFS(Tracker!G:G,Daily!C119, Tracker!J:J,"N",Tracker!E:E,1)</f>
        <v>0</v>
      </c>
      <c r="M119" s="53">
        <f t="shared" si="76"/>
        <v>2</v>
      </c>
      <c r="N119" s="30">
        <f>COUNTIFS(Tracker!G:G,Daily!C119, Tracker!J:J,"Y",Tracker!E:E,2)</f>
        <v>2</v>
      </c>
      <c r="O119" s="30">
        <f>COUNTIFS(Tracker!G:G,Daily!C119, Tracker!J:J,"Y (with hints)",Tracker!E:E,2)</f>
        <v>0</v>
      </c>
      <c r="P119" s="31">
        <f>COUNTIFS(Tracker!G:G,Daily!C119, Tracker!J:J,"N",Tracker!E:E,2)</f>
        <v>0</v>
      </c>
      <c r="Q119" s="56">
        <f t="shared" si="77"/>
        <v>0</v>
      </c>
      <c r="R119" s="30">
        <f>COUNTIFS(Tracker!G:G,Daily!C119, Tracker!J:J,"Y",Tracker!E:E,3)</f>
        <v>0</v>
      </c>
      <c r="S119" s="30">
        <f>COUNTIFS(Tracker!G:G,Daily!C119, Tracker!J:J,"Y (with hints)",Tracker!E:E,3)</f>
        <v>0</v>
      </c>
      <c r="T119" s="31">
        <f>COUNTIFS(Tracker!G:G,Daily!C119, Tracker!J:J,"N",Tracker!E:E,3)</f>
        <v>0</v>
      </c>
      <c r="V119" s="38">
        <f t="shared" si="70"/>
        <v>89</v>
      </c>
      <c r="W119" s="30">
        <f t="shared" si="71"/>
        <v>85</v>
      </c>
      <c r="X119" s="73">
        <f t="shared" si="72"/>
        <v>0.9550561797752809</v>
      </c>
      <c r="Y119" s="75">
        <f>AVERAGEIFS(Tracker!I:I, Tracker!E:E, 1, Tracker!G:G, "&lt;="&amp;Daily!C119, Tracker!J:J, "Y")</f>
        <v>12.658823529411764</v>
      </c>
      <c r="Z119" s="76">
        <f>COUNTIFS(Tracker!E:E, 1, Tracker!G:G, "&lt;="&amp;Daily!C119, Tracker!L:L, "N") / V119</f>
        <v>0.797752808988764</v>
      </c>
      <c r="AA119" s="38">
        <f t="shared" si="66"/>
        <v>161</v>
      </c>
      <c r="AB119" s="30">
        <f t="shared" si="67"/>
        <v>130</v>
      </c>
      <c r="AC119" s="73">
        <f t="shared" si="62"/>
        <v>0.80745341614906829</v>
      </c>
      <c r="AD119" s="75">
        <f>AVERAGEIFS(Tracker!I:I, Tracker!E:E, 2, Tracker!G:G, "&lt;="&amp;Daily!C119, Tracker!J:J, "Y")</f>
        <v>26.107692307692307</v>
      </c>
      <c r="AE119" s="76">
        <f>COUNTIFS(Tracker!E:E, 2, Tracker!G:G, "&lt;="&amp;Daily!C119, Tracker!L:L, "N") / AA119</f>
        <v>0.60248447204968947</v>
      </c>
      <c r="AF119" s="38">
        <f t="shared" si="68"/>
        <v>42</v>
      </c>
      <c r="AG119" s="30">
        <f t="shared" si="69"/>
        <v>27</v>
      </c>
      <c r="AH119" s="73">
        <f t="shared" si="60"/>
        <v>0.6428571428571429</v>
      </c>
      <c r="AI119" s="75">
        <f>IFERROR(AVERAGEIFS(Tracker!I:I, Tracker!E:E, 3, Tracker!G:G, "&lt;="&amp;Daily!C119, Tracker!J:J, "Y"), 0)</f>
        <v>40.074074074074076</v>
      </c>
      <c r="AJ119" s="76">
        <f>IFERROR(COUNTIFS(Tracker!E:E, 3, Tracker!G:G, "&lt;="&amp;Daily!C119, Tracker!L:L, "N") / AF119,  0)</f>
        <v>0.35714285714285715</v>
      </c>
      <c r="AK119" s="38">
        <f t="shared" si="64"/>
        <v>292</v>
      </c>
      <c r="AL119" s="30">
        <f t="shared" si="65"/>
        <v>242</v>
      </c>
      <c r="AM119" s="73">
        <f t="shared" si="61"/>
        <v>0.82876712328767121</v>
      </c>
      <c r="AN119" s="75">
        <f>IFERROR(AVERAGEIFS(Tracker!I:I,  Tracker!G:G, "&lt;="&amp;Daily!C119, Tracker!J:J, "Y"), 0)</f>
        <v>22.942148760330578</v>
      </c>
      <c r="AO119" s="76">
        <f>IFERROR(COUNTIFS(Tracker!G:G, "&lt;="&amp;Daily!C119, Tracker!L:L, "N") / AK119,  0)</f>
        <v>0.62671232876712324</v>
      </c>
    </row>
    <row r="120" spans="1:41" x14ac:dyDescent="0.25">
      <c r="A120" s="119"/>
      <c r="B120" s="32">
        <f t="shared" si="73"/>
        <v>45335</v>
      </c>
      <c r="C120" s="27">
        <f t="shared" si="63"/>
        <v>45335</v>
      </c>
      <c r="D120" s="109" t="b">
        <f t="shared" ca="1" si="55"/>
        <v>1</v>
      </c>
      <c r="E120" s="51">
        <f t="shared" si="74"/>
        <v>3</v>
      </c>
      <c r="F120" s="48">
        <f>COUNTIFS(Tracker!G:G,Daily!C120, Tracker!J:J,"Y")</f>
        <v>2</v>
      </c>
      <c r="G120" s="26">
        <f>COUNTIFS(Tracker!G:G,Daily!C120, Tracker!J:J,"Y (with hints)")</f>
        <v>0</v>
      </c>
      <c r="H120" s="33">
        <f>COUNTIFS(Tracker!G:G,Daily!C120, Tracker!J:J,"N")</f>
        <v>1</v>
      </c>
      <c r="I120" s="54">
        <f t="shared" si="75"/>
        <v>0</v>
      </c>
      <c r="J120" s="26">
        <f>COUNTIFS(Tracker!G:G,Daily!C120, Tracker!J:J,"Y",Tracker!E:E,1)</f>
        <v>0</v>
      </c>
      <c r="K120" s="26">
        <f>COUNTIFS(Tracker!G:G,Daily!C120, Tracker!J:J,"Y (with hints)",Tracker!E:E,1)</f>
        <v>0</v>
      </c>
      <c r="L120" s="33">
        <f>COUNTIFS(Tracker!G:G,Daily!C120, Tracker!J:J,"N",Tracker!E:E,1)</f>
        <v>0</v>
      </c>
      <c r="M120" s="54">
        <f t="shared" si="76"/>
        <v>3</v>
      </c>
      <c r="N120" s="26">
        <f>COUNTIFS(Tracker!G:G,Daily!C120, Tracker!J:J,"Y",Tracker!E:E,2)</f>
        <v>2</v>
      </c>
      <c r="O120" s="26">
        <f>COUNTIFS(Tracker!G:G,Daily!C120, Tracker!J:J,"Y (with hints)",Tracker!E:E,2)</f>
        <v>0</v>
      </c>
      <c r="P120" s="33">
        <f>COUNTIFS(Tracker!G:G,Daily!C120, Tracker!J:J,"N",Tracker!E:E,2)</f>
        <v>1</v>
      </c>
      <c r="Q120" s="57">
        <f t="shared" si="77"/>
        <v>0</v>
      </c>
      <c r="R120" s="26">
        <f>COUNTIFS(Tracker!G:G,Daily!C120, Tracker!J:J,"Y",Tracker!E:E,3)</f>
        <v>0</v>
      </c>
      <c r="S120" s="26">
        <f>COUNTIFS(Tracker!G:G,Daily!C120, Tracker!J:J,"Y (with hints)",Tracker!E:E,3)</f>
        <v>0</v>
      </c>
      <c r="T120" s="33">
        <f>COUNTIFS(Tracker!G:G,Daily!C120, Tracker!J:J,"N",Tracker!E:E,3)</f>
        <v>0</v>
      </c>
      <c r="V120" s="48">
        <f t="shared" si="70"/>
        <v>89</v>
      </c>
      <c r="W120" s="26">
        <f t="shared" si="71"/>
        <v>85</v>
      </c>
      <c r="X120" s="62">
        <f t="shared" si="72"/>
        <v>0.9550561797752809</v>
      </c>
      <c r="Y120" s="74">
        <f>AVERAGEIFS(Tracker!I:I, Tracker!E:E, 1, Tracker!G:G, "&lt;="&amp;Daily!C120, Tracker!J:J, "Y")</f>
        <v>12.658823529411764</v>
      </c>
      <c r="Z120" s="77">
        <f>COUNTIFS(Tracker!E:E, 1, Tracker!G:G, "&lt;="&amp;Daily!C120, Tracker!L:L, "N") / V120</f>
        <v>0.797752808988764</v>
      </c>
      <c r="AA120" s="48">
        <f t="shared" si="66"/>
        <v>164</v>
      </c>
      <c r="AB120" s="26">
        <f t="shared" si="67"/>
        <v>132</v>
      </c>
      <c r="AC120" s="62">
        <f t="shared" si="62"/>
        <v>0.80487804878048785</v>
      </c>
      <c r="AD120" s="74">
        <f>AVERAGEIFS(Tracker!I:I, Tracker!E:E, 2, Tracker!G:G, "&lt;="&amp;Daily!C120, Tracker!J:J, "Y")</f>
        <v>26.060606060606062</v>
      </c>
      <c r="AE120" s="77">
        <f>COUNTIFS(Tracker!E:E, 2, Tracker!G:G, "&lt;="&amp;Daily!C120, Tracker!L:L, "N") / AA120</f>
        <v>0.60365853658536583</v>
      </c>
      <c r="AF120" s="48">
        <f t="shared" si="68"/>
        <v>42</v>
      </c>
      <c r="AG120" s="26">
        <f t="shared" si="69"/>
        <v>27</v>
      </c>
      <c r="AH120" s="62">
        <f t="shared" si="60"/>
        <v>0.6428571428571429</v>
      </c>
      <c r="AI120" s="74">
        <f>IFERROR(AVERAGEIFS(Tracker!I:I, Tracker!E:E, 3, Tracker!G:G, "&lt;="&amp;Daily!C120, Tracker!J:J, "Y"), 0)</f>
        <v>40.074074074074076</v>
      </c>
      <c r="AJ120" s="77">
        <f>IFERROR(COUNTIFS(Tracker!E:E, 3, Tracker!G:G, "&lt;="&amp;Daily!C120, Tracker!L:L, "N") / AF120,  0)</f>
        <v>0.35714285714285715</v>
      </c>
      <c r="AK120" s="48">
        <f t="shared" si="64"/>
        <v>295</v>
      </c>
      <c r="AL120" s="26">
        <f t="shared" si="65"/>
        <v>244</v>
      </c>
      <c r="AM120" s="62">
        <f t="shared" si="61"/>
        <v>0.82711864406779656</v>
      </c>
      <c r="AN120" s="74">
        <f>IFERROR(AVERAGEIFS(Tracker!I:I,  Tracker!G:G, "&lt;="&amp;Daily!C120, Tracker!J:J, "Y"), 0)</f>
        <v>22.942622950819672</v>
      </c>
      <c r="AO120" s="77">
        <f>IFERROR(COUNTIFS(Tracker!G:G, "&lt;="&amp;Daily!C120, Tracker!L:L, "N") / AK120,  0)</f>
        <v>0.6271186440677966</v>
      </c>
    </row>
    <row r="121" spans="1:41" x14ac:dyDescent="0.25">
      <c r="A121" s="119"/>
      <c r="B121" s="32">
        <f t="shared" si="73"/>
        <v>45336</v>
      </c>
      <c r="C121" s="27">
        <f t="shared" si="63"/>
        <v>45336</v>
      </c>
      <c r="D121" s="109" t="b">
        <f t="shared" ca="1" si="55"/>
        <v>1</v>
      </c>
      <c r="E121" s="51">
        <f t="shared" si="74"/>
        <v>2</v>
      </c>
      <c r="F121" s="48">
        <f>COUNTIFS(Tracker!G:G,Daily!C121, Tracker!J:J,"Y")</f>
        <v>2</v>
      </c>
      <c r="G121" s="26">
        <f>COUNTIFS(Tracker!G:G,Daily!C121, Tracker!J:J,"Y (with hints)")</f>
        <v>0</v>
      </c>
      <c r="H121" s="33">
        <f>COUNTIFS(Tracker!G:G,Daily!C121, Tracker!J:J,"N")</f>
        <v>0</v>
      </c>
      <c r="I121" s="54">
        <f t="shared" si="75"/>
        <v>0</v>
      </c>
      <c r="J121" s="26">
        <f>COUNTIFS(Tracker!G:G,Daily!C121, Tracker!J:J,"Y",Tracker!E:E,1)</f>
        <v>0</v>
      </c>
      <c r="K121" s="26">
        <f>COUNTIFS(Tracker!G:G,Daily!C121, Tracker!J:J,"Y (with hints)",Tracker!E:E,1)</f>
        <v>0</v>
      </c>
      <c r="L121" s="33">
        <f>COUNTIFS(Tracker!G:G,Daily!C121, Tracker!J:J,"N",Tracker!E:E,1)</f>
        <v>0</v>
      </c>
      <c r="M121" s="54">
        <f t="shared" si="76"/>
        <v>2</v>
      </c>
      <c r="N121" s="26">
        <f>COUNTIFS(Tracker!G:G,Daily!C121, Tracker!J:J,"Y",Tracker!E:E,2)</f>
        <v>2</v>
      </c>
      <c r="O121" s="26">
        <f>COUNTIFS(Tracker!G:G,Daily!C121, Tracker!J:J,"Y (with hints)",Tracker!E:E,2)</f>
        <v>0</v>
      </c>
      <c r="P121" s="33">
        <f>COUNTIFS(Tracker!G:G,Daily!C121, Tracker!J:J,"N",Tracker!E:E,2)</f>
        <v>0</v>
      </c>
      <c r="Q121" s="57">
        <f t="shared" si="77"/>
        <v>0</v>
      </c>
      <c r="R121" s="26">
        <f>COUNTIFS(Tracker!G:G,Daily!C121, Tracker!J:J,"Y",Tracker!E:E,3)</f>
        <v>0</v>
      </c>
      <c r="S121" s="26">
        <f>COUNTIFS(Tracker!G:G,Daily!C121, Tracker!J:J,"Y (with hints)",Tracker!E:E,3)</f>
        <v>0</v>
      </c>
      <c r="T121" s="33">
        <f>COUNTIFS(Tracker!G:G,Daily!C121, Tracker!J:J,"N",Tracker!E:E,3)</f>
        <v>0</v>
      </c>
      <c r="V121" s="48">
        <f t="shared" si="70"/>
        <v>89</v>
      </c>
      <c r="W121" s="26">
        <f t="shared" si="71"/>
        <v>85</v>
      </c>
      <c r="X121" s="62">
        <f t="shared" si="72"/>
        <v>0.9550561797752809</v>
      </c>
      <c r="Y121" s="74">
        <f>AVERAGEIFS(Tracker!I:I, Tracker!E:E, 1, Tracker!G:G, "&lt;="&amp;Daily!C121, Tracker!J:J, "Y")</f>
        <v>12.658823529411764</v>
      </c>
      <c r="Z121" s="77">
        <f>COUNTIFS(Tracker!E:E, 1, Tracker!G:G, "&lt;="&amp;Daily!C121, Tracker!L:L, "N") / V121</f>
        <v>0.797752808988764</v>
      </c>
      <c r="AA121" s="48">
        <f t="shared" si="66"/>
        <v>166</v>
      </c>
      <c r="AB121" s="26">
        <f t="shared" si="67"/>
        <v>134</v>
      </c>
      <c r="AC121" s="62">
        <f t="shared" si="62"/>
        <v>0.80722891566265065</v>
      </c>
      <c r="AD121" s="74">
        <f>AVERAGEIFS(Tracker!I:I, Tracker!E:E, 2, Tracker!G:G, "&lt;="&amp;Daily!C121, Tracker!J:J, "Y")</f>
        <v>26.21641791044776</v>
      </c>
      <c r="AE121" s="77">
        <f>COUNTIFS(Tracker!E:E, 2, Tracker!G:G, "&lt;="&amp;Daily!C121, Tracker!L:L, "N") / AA121</f>
        <v>0.60240963855421692</v>
      </c>
      <c r="AF121" s="48">
        <f t="shared" si="68"/>
        <v>42</v>
      </c>
      <c r="AG121" s="26">
        <f t="shared" si="69"/>
        <v>27</v>
      </c>
      <c r="AH121" s="62">
        <f t="shared" si="60"/>
        <v>0.6428571428571429</v>
      </c>
      <c r="AI121" s="74">
        <f>IFERROR(AVERAGEIFS(Tracker!I:I, Tracker!E:E, 3, Tracker!G:G, "&lt;="&amp;Daily!C121, Tracker!J:J, "Y"), 0)</f>
        <v>40.074074074074076</v>
      </c>
      <c r="AJ121" s="77">
        <f>IFERROR(COUNTIFS(Tracker!E:E, 3, Tracker!G:G, "&lt;="&amp;Daily!C121, Tracker!L:L, "N") / AF121,  0)</f>
        <v>0.35714285714285715</v>
      </c>
      <c r="AK121" s="48">
        <f t="shared" si="64"/>
        <v>297</v>
      </c>
      <c r="AL121" s="26">
        <f t="shared" si="65"/>
        <v>246</v>
      </c>
      <c r="AM121" s="62">
        <f t="shared" si="61"/>
        <v>0.82828282828282829</v>
      </c>
      <c r="AN121" s="74">
        <f>IFERROR(AVERAGEIFS(Tracker!I:I,  Tracker!G:G, "&lt;="&amp;Daily!C121, Tracker!J:J, "Y"), 0)</f>
        <v>23.052845528455286</v>
      </c>
      <c r="AO121" s="77">
        <f>IFERROR(COUNTIFS(Tracker!G:G, "&lt;="&amp;Daily!C121, Tracker!L:L, "N") / AK121,  0)</f>
        <v>0.6262626262626263</v>
      </c>
    </row>
    <row r="122" spans="1:41" x14ac:dyDescent="0.25">
      <c r="A122" s="119"/>
      <c r="B122" s="32">
        <f t="shared" si="73"/>
        <v>45337</v>
      </c>
      <c r="C122" s="27">
        <f t="shared" si="63"/>
        <v>45337</v>
      </c>
      <c r="D122" s="109" t="b">
        <f t="shared" ca="1" si="55"/>
        <v>1</v>
      </c>
      <c r="E122" s="51">
        <f t="shared" si="74"/>
        <v>3</v>
      </c>
      <c r="F122" s="48">
        <f>COUNTIFS(Tracker!G:G,Daily!C122, Tracker!J:J,"Y")</f>
        <v>3</v>
      </c>
      <c r="G122" s="26">
        <f>COUNTIFS(Tracker!G:G,Daily!C122, Tracker!J:J,"Y (with hints)")</f>
        <v>0</v>
      </c>
      <c r="H122" s="33">
        <f>COUNTIFS(Tracker!G:G,Daily!C122, Tracker!J:J,"N")</f>
        <v>0</v>
      </c>
      <c r="I122" s="54">
        <f t="shared" si="75"/>
        <v>0</v>
      </c>
      <c r="J122" s="26">
        <f>COUNTIFS(Tracker!G:G,Daily!C122, Tracker!J:J,"Y",Tracker!E:E,1)</f>
        <v>0</v>
      </c>
      <c r="K122" s="26">
        <f>COUNTIFS(Tracker!G:G,Daily!C122, Tracker!J:J,"Y (with hints)",Tracker!E:E,1)</f>
        <v>0</v>
      </c>
      <c r="L122" s="33">
        <f>COUNTIFS(Tracker!G:G,Daily!C122, Tracker!J:J,"N",Tracker!E:E,1)</f>
        <v>0</v>
      </c>
      <c r="M122" s="54">
        <f t="shared" si="76"/>
        <v>3</v>
      </c>
      <c r="N122" s="26">
        <f>COUNTIFS(Tracker!G:G,Daily!C122, Tracker!J:J,"Y",Tracker!E:E,2)</f>
        <v>3</v>
      </c>
      <c r="O122" s="26">
        <f>COUNTIFS(Tracker!G:G,Daily!C122, Tracker!J:J,"Y (with hints)",Tracker!E:E,2)</f>
        <v>0</v>
      </c>
      <c r="P122" s="33">
        <f>COUNTIFS(Tracker!G:G,Daily!C122, Tracker!J:J,"N",Tracker!E:E,2)</f>
        <v>0</v>
      </c>
      <c r="Q122" s="57">
        <f t="shared" si="77"/>
        <v>0</v>
      </c>
      <c r="R122" s="26">
        <f>COUNTIFS(Tracker!G:G,Daily!C122, Tracker!J:J,"Y",Tracker!E:E,3)</f>
        <v>0</v>
      </c>
      <c r="S122" s="26">
        <f>COUNTIFS(Tracker!G:G,Daily!C122, Tracker!J:J,"Y (with hints)",Tracker!E:E,3)</f>
        <v>0</v>
      </c>
      <c r="T122" s="33">
        <f>COUNTIFS(Tracker!G:G,Daily!C122, Tracker!J:J,"N",Tracker!E:E,3)</f>
        <v>0</v>
      </c>
      <c r="V122" s="48">
        <f t="shared" si="70"/>
        <v>89</v>
      </c>
      <c r="W122" s="26">
        <f t="shared" si="71"/>
        <v>85</v>
      </c>
      <c r="X122" s="62">
        <f t="shared" si="72"/>
        <v>0.9550561797752809</v>
      </c>
      <c r="Y122" s="74">
        <f>AVERAGEIFS(Tracker!I:I, Tracker!E:E, 1, Tracker!G:G, "&lt;="&amp;Daily!C122, Tracker!J:J, "Y")</f>
        <v>12.658823529411764</v>
      </c>
      <c r="Z122" s="77">
        <f>COUNTIFS(Tracker!E:E, 1, Tracker!G:G, "&lt;="&amp;Daily!C122, Tracker!L:L, "N") / V122</f>
        <v>0.797752808988764</v>
      </c>
      <c r="AA122" s="48">
        <f t="shared" si="66"/>
        <v>169</v>
      </c>
      <c r="AB122" s="26">
        <f t="shared" si="67"/>
        <v>137</v>
      </c>
      <c r="AC122" s="62">
        <f t="shared" si="62"/>
        <v>0.81065088757396453</v>
      </c>
      <c r="AD122" s="74">
        <f>AVERAGEIFS(Tracker!I:I, Tracker!E:E, 2, Tracker!G:G, "&lt;="&amp;Daily!C122, Tracker!J:J, "Y")</f>
        <v>26.350364963503651</v>
      </c>
      <c r="AE122" s="77">
        <f>COUNTIFS(Tracker!E:E, 2, Tracker!G:G, "&lt;="&amp;Daily!C122, Tracker!L:L, "N") / AA122</f>
        <v>0.60355029585798814</v>
      </c>
      <c r="AF122" s="48">
        <f t="shared" si="68"/>
        <v>42</v>
      </c>
      <c r="AG122" s="26">
        <f t="shared" si="69"/>
        <v>27</v>
      </c>
      <c r="AH122" s="62">
        <f t="shared" si="60"/>
        <v>0.6428571428571429</v>
      </c>
      <c r="AI122" s="74">
        <f>IFERROR(AVERAGEIFS(Tracker!I:I, Tracker!E:E, 3, Tracker!G:G, "&lt;="&amp;Daily!C122, Tracker!J:J, "Y"), 0)</f>
        <v>40.074074074074076</v>
      </c>
      <c r="AJ122" s="77">
        <f>IFERROR(COUNTIFS(Tracker!E:E, 3, Tracker!G:G, "&lt;="&amp;Daily!C122, Tracker!L:L, "N") / AF122,  0)</f>
        <v>0.35714285714285715</v>
      </c>
      <c r="AK122" s="48">
        <f t="shared" si="64"/>
        <v>300</v>
      </c>
      <c r="AL122" s="26">
        <f t="shared" si="65"/>
        <v>249</v>
      </c>
      <c r="AM122" s="62">
        <f t="shared" si="61"/>
        <v>0.83</v>
      </c>
      <c r="AN122" s="74">
        <f>IFERROR(AVERAGEIFS(Tracker!I:I,  Tracker!G:G, "&lt;="&amp;Daily!C122, Tracker!J:J, "Y"), 0)</f>
        <v>23.164658634538153</v>
      </c>
      <c r="AO122" s="77">
        <f>IFERROR(COUNTIFS(Tracker!G:G, "&lt;="&amp;Daily!C122, Tracker!L:L, "N") / AK122,  0)</f>
        <v>0.62666666666666671</v>
      </c>
    </row>
    <row r="123" spans="1:41" x14ac:dyDescent="0.25">
      <c r="A123" s="119"/>
      <c r="B123" s="32">
        <f t="shared" si="73"/>
        <v>45338</v>
      </c>
      <c r="C123" s="27">
        <f t="shared" si="63"/>
        <v>45338</v>
      </c>
      <c r="D123" s="109" t="b">
        <f t="shared" ca="1" si="55"/>
        <v>1</v>
      </c>
      <c r="E123" s="51">
        <f t="shared" si="74"/>
        <v>3</v>
      </c>
      <c r="F123" s="48">
        <f>COUNTIFS(Tracker!G:G,Daily!C123, Tracker!J:J,"Y")</f>
        <v>3</v>
      </c>
      <c r="G123" s="26">
        <f>COUNTIFS(Tracker!G:G,Daily!C123, Tracker!J:J,"Y (with hints)")</f>
        <v>0</v>
      </c>
      <c r="H123" s="33">
        <f>COUNTIFS(Tracker!G:G,Daily!C123, Tracker!J:J,"N")</f>
        <v>0</v>
      </c>
      <c r="I123" s="54">
        <f t="shared" si="75"/>
        <v>0</v>
      </c>
      <c r="J123" s="26">
        <f>COUNTIFS(Tracker!G:G,Daily!C123, Tracker!J:J,"Y",Tracker!E:E,1)</f>
        <v>0</v>
      </c>
      <c r="K123" s="26">
        <f>COUNTIFS(Tracker!G:G,Daily!C123, Tracker!J:J,"Y (with hints)",Tracker!E:E,1)</f>
        <v>0</v>
      </c>
      <c r="L123" s="33">
        <f>COUNTIFS(Tracker!G:G,Daily!C123, Tracker!J:J,"N",Tracker!E:E,1)</f>
        <v>0</v>
      </c>
      <c r="M123" s="54">
        <f t="shared" si="76"/>
        <v>3</v>
      </c>
      <c r="N123" s="26">
        <f>COUNTIFS(Tracker!G:G,Daily!C123, Tracker!J:J,"Y",Tracker!E:E,2)</f>
        <v>3</v>
      </c>
      <c r="O123" s="26">
        <f>COUNTIFS(Tracker!G:G,Daily!C123, Tracker!J:J,"Y (with hints)",Tracker!E:E,2)</f>
        <v>0</v>
      </c>
      <c r="P123" s="33">
        <f>COUNTIFS(Tracker!G:G,Daily!C123, Tracker!J:J,"N",Tracker!E:E,2)</f>
        <v>0</v>
      </c>
      <c r="Q123" s="57">
        <f t="shared" si="77"/>
        <v>0</v>
      </c>
      <c r="R123" s="26">
        <f>COUNTIFS(Tracker!G:G,Daily!C123, Tracker!J:J,"Y",Tracker!E:E,3)</f>
        <v>0</v>
      </c>
      <c r="S123" s="26">
        <f>COUNTIFS(Tracker!G:G,Daily!C123, Tracker!J:J,"Y (with hints)",Tracker!E:E,3)</f>
        <v>0</v>
      </c>
      <c r="T123" s="33">
        <f>COUNTIFS(Tracker!G:G,Daily!C123, Tracker!J:J,"N",Tracker!E:E,3)</f>
        <v>0</v>
      </c>
      <c r="V123" s="48">
        <f t="shared" si="70"/>
        <v>89</v>
      </c>
      <c r="W123" s="26">
        <f t="shared" si="71"/>
        <v>85</v>
      </c>
      <c r="X123" s="62">
        <f t="shared" si="72"/>
        <v>0.9550561797752809</v>
      </c>
      <c r="Y123" s="74">
        <f>AVERAGEIFS(Tracker!I:I, Tracker!E:E, 1, Tracker!G:G, "&lt;="&amp;Daily!C123, Tracker!J:J, "Y")</f>
        <v>12.658823529411764</v>
      </c>
      <c r="Z123" s="77">
        <f>COUNTIFS(Tracker!E:E, 1, Tracker!G:G, "&lt;="&amp;Daily!C123, Tracker!L:L, "N") / V123</f>
        <v>0.797752808988764</v>
      </c>
      <c r="AA123" s="48">
        <f t="shared" si="66"/>
        <v>172</v>
      </c>
      <c r="AB123" s="26">
        <f t="shared" si="67"/>
        <v>140</v>
      </c>
      <c r="AC123" s="62">
        <f t="shared" si="62"/>
        <v>0.81395348837209303</v>
      </c>
      <c r="AD123" s="74">
        <f>AVERAGEIFS(Tracker!I:I, Tracker!E:E, 2, Tracker!G:G, "&lt;="&amp;Daily!C123, Tracker!J:J, "Y")</f>
        <v>26.085714285714285</v>
      </c>
      <c r="AE123" s="77">
        <f>COUNTIFS(Tracker!E:E, 2, Tracker!G:G, "&lt;="&amp;Daily!C123, Tracker!L:L, "N") / AA123</f>
        <v>0.60465116279069764</v>
      </c>
      <c r="AF123" s="48">
        <f t="shared" si="68"/>
        <v>42</v>
      </c>
      <c r="AG123" s="26">
        <f t="shared" si="69"/>
        <v>27</v>
      </c>
      <c r="AH123" s="62">
        <f t="shared" si="60"/>
        <v>0.6428571428571429</v>
      </c>
      <c r="AI123" s="74">
        <f>IFERROR(AVERAGEIFS(Tracker!I:I, Tracker!E:E, 3, Tracker!G:G, "&lt;="&amp;Daily!C123, Tracker!J:J, "Y"), 0)</f>
        <v>40.074074074074076</v>
      </c>
      <c r="AJ123" s="77">
        <f>IFERROR(COUNTIFS(Tracker!E:E, 3, Tracker!G:G, "&lt;="&amp;Daily!C123, Tracker!L:L, "N") / AF123,  0)</f>
        <v>0.35714285714285715</v>
      </c>
      <c r="AK123" s="48">
        <f t="shared" si="64"/>
        <v>303</v>
      </c>
      <c r="AL123" s="26">
        <f t="shared" si="65"/>
        <v>252</v>
      </c>
      <c r="AM123" s="62">
        <f t="shared" si="61"/>
        <v>0.83168316831683164</v>
      </c>
      <c r="AN123" s="74">
        <f>IFERROR(AVERAGEIFS(Tracker!I:I,  Tracker!G:G, "&lt;="&amp;Daily!C123, Tracker!J:J, "Y"), 0)</f>
        <v>23.055555555555557</v>
      </c>
      <c r="AO123" s="77">
        <f>IFERROR(COUNTIFS(Tracker!G:G, "&lt;="&amp;Daily!C123, Tracker!L:L, "N") / AK123,  0)</f>
        <v>0.6270627062706271</v>
      </c>
    </row>
    <row r="124" spans="1:41" x14ac:dyDescent="0.25">
      <c r="A124" s="119"/>
      <c r="B124" s="32">
        <f t="shared" si="73"/>
        <v>45339</v>
      </c>
      <c r="C124" s="27">
        <f t="shared" si="63"/>
        <v>45339</v>
      </c>
      <c r="D124" s="109" t="b">
        <f t="shared" ca="1" si="55"/>
        <v>1</v>
      </c>
      <c r="E124" s="51">
        <f t="shared" si="74"/>
        <v>0</v>
      </c>
      <c r="F124" s="48">
        <f>COUNTIFS(Tracker!G:G,Daily!C124, Tracker!J:J,"Y")</f>
        <v>0</v>
      </c>
      <c r="G124" s="26">
        <f>COUNTIFS(Tracker!G:G,Daily!C124, Tracker!J:J,"Y (with hints)")</f>
        <v>0</v>
      </c>
      <c r="H124" s="33">
        <f>COUNTIFS(Tracker!G:G,Daily!C124, Tracker!J:J,"N")</f>
        <v>0</v>
      </c>
      <c r="I124" s="54">
        <f t="shared" si="75"/>
        <v>0</v>
      </c>
      <c r="J124" s="26">
        <f>COUNTIFS(Tracker!G:G,Daily!C124, Tracker!J:J,"Y",Tracker!E:E,1)</f>
        <v>0</v>
      </c>
      <c r="K124" s="26">
        <f>COUNTIFS(Tracker!G:G,Daily!C124, Tracker!J:J,"Y (with hints)",Tracker!E:E,1)</f>
        <v>0</v>
      </c>
      <c r="L124" s="33">
        <f>COUNTIFS(Tracker!G:G,Daily!C124, Tracker!J:J,"N",Tracker!E:E,1)</f>
        <v>0</v>
      </c>
      <c r="M124" s="54">
        <f t="shared" si="76"/>
        <v>0</v>
      </c>
      <c r="N124" s="26">
        <f>COUNTIFS(Tracker!G:G,Daily!C124, Tracker!J:J,"Y",Tracker!E:E,2)</f>
        <v>0</v>
      </c>
      <c r="O124" s="26">
        <f>COUNTIFS(Tracker!G:G,Daily!C124, Tracker!J:J,"Y (with hints)",Tracker!E:E,2)</f>
        <v>0</v>
      </c>
      <c r="P124" s="33">
        <f>COUNTIFS(Tracker!G:G,Daily!C124, Tracker!J:J,"N",Tracker!E:E,2)</f>
        <v>0</v>
      </c>
      <c r="Q124" s="57">
        <f t="shared" si="77"/>
        <v>0</v>
      </c>
      <c r="R124" s="26">
        <f>COUNTIFS(Tracker!G:G,Daily!C124, Tracker!J:J,"Y",Tracker!E:E,3)</f>
        <v>0</v>
      </c>
      <c r="S124" s="26">
        <f>COUNTIFS(Tracker!G:G,Daily!C124, Tracker!J:J,"Y (with hints)",Tracker!E:E,3)</f>
        <v>0</v>
      </c>
      <c r="T124" s="33">
        <f>COUNTIFS(Tracker!G:G,Daily!C124, Tracker!J:J,"N",Tracker!E:E,3)</f>
        <v>0</v>
      </c>
      <c r="V124" s="48">
        <f t="shared" si="70"/>
        <v>89</v>
      </c>
      <c r="W124" s="26">
        <f t="shared" si="71"/>
        <v>85</v>
      </c>
      <c r="X124" s="62">
        <f t="shared" si="72"/>
        <v>0.9550561797752809</v>
      </c>
      <c r="Y124" s="74">
        <f>AVERAGEIFS(Tracker!I:I, Tracker!E:E, 1, Tracker!G:G, "&lt;="&amp;Daily!C124, Tracker!J:J, "Y")</f>
        <v>12.658823529411764</v>
      </c>
      <c r="Z124" s="77">
        <f>COUNTIFS(Tracker!E:E, 1, Tracker!G:G, "&lt;="&amp;Daily!C124, Tracker!L:L, "N") / V124</f>
        <v>0.797752808988764</v>
      </c>
      <c r="AA124" s="48">
        <f t="shared" si="66"/>
        <v>172</v>
      </c>
      <c r="AB124" s="26">
        <f t="shared" si="67"/>
        <v>140</v>
      </c>
      <c r="AC124" s="62">
        <f t="shared" si="62"/>
        <v>0.81395348837209303</v>
      </c>
      <c r="AD124" s="74">
        <f>AVERAGEIFS(Tracker!I:I, Tracker!E:E, 2, Tracker!G:G, "&lt;="&amp;Daily!C124, Tracker!J:J, "Y")</f>
        <v>26.085714285714285</v>
      </c>
      <c r="AE124" s="77">
        <f>COUNTIFS(Tracker!E:E, 2, Tracker!G:G, "&lt;="&amp;Daily!C124, Tracker!L:L, "N") / AA124</f>
        <v>0.60465116279069764</v>
      </c>
      <c r="AF124" s="48">
        <f t="shared" si="68"/>
        <v>42</v>
      </c>
      <c r="AG124" s="26">
        <f t="shared" si="69"/>
        <v>27</v>
      </c>
      <c r="AH124" s="62">
        <f t="shared" si="60"/>
        <v>0.6428571428571429</v>
      </c>
      <c r="AI124" s="74">
        <f>IFERROR(AVERAGEIFS(Tracker!I:I, Tracker!E:E, 3, Tracker!G:G, "&lt;="&amp;Daily!C124, Tracker!J:J, "Y"), 0)</f>
        <v>40.074074074074076</v>
      </c>
      <c r="AJ124" s="77">
        <f>IFERROR(COUNTIFS(Tracker!E:E, 3, Tracker!G:G, "&lt;="&amp;Daily!C124, Tracker!L:L, "N") / AF124,  0)</f>
        <v>0.35714285714285715</v>
      </c>
      <c r="AK124" s="48">
        <f t="shared" si="64"/>
        <v>303</v>
      </c>
      <c r="AL124" s="26">
        <f t="shared" si="65"/>
        <v>252</v>
      </c>
      <c r="AM124" s="62">
        <f t="shared" si="61"/>
        <v>0.83168316831683164</v>
      </c>
      <c r="AN124" s="74">
        <f>IFERROR(AVERAGEIFS(Tracker!I:I,  Tracker!G:G, "&lt;="&amp;Daily!C124, Tracker!J:J, "Y"), 0)</f>
        <v>23.055555555555557</v>
      </c>
      <c r="AO124" s="77">
        <f>IFERROR(COUNTIFS(Tracker!G:G, "&lt;="&amp;Daily!C124, Tracker!L:L, "N") / AK124,  0)</f>
        <v>0.6270627062706271</v>
      </c>
    </row>
    <row r="125" spans="1:41" ht="15.75" thickBot="1" x14ac:dyDescent="0.3">
      <c r="A125" s="120"/>
      <c r="B125" s="34">
        <f t="shared" si="73"/>
        <v>45340</v>
      </c>
      <c r="C125" s="35">
        <f t="shared" si="63"/>
        <v>45340</v>
      </c>
      <c r="D125" s="110" t="b">
        <f t="shared" ca="1" si="55"/>
        <v>1</v>
      </c>
      <c r="E125" s="52">
        <f t="shared" si="74"/>
        <v>0</v>
      </c>
      <c r="F125" s="39">
        <f>COUNTIFS(Tracker!G:G,Daily!C125, Tracker!J:J,"Y")</f>
        <v>0</v>
      </c>
      <c r="G125" s="36">
        <f>COUNTIFS(Tracker!G:G,Daily!C125, Tracker!J:J,"Y (with hints)")</f>
        <v>0</v>
      </c>
      <c r="H125" s="37">
        <f>COUNTIFS(Tracker!G:G,Daily!C125, Tracker!J:J,"N")</f>
        <v>0</v>
      </c>
      <c r="I125" s="55">
        <f t="shared" si="75"/>
        <v>0</v>
      </c>
      <c r="J125" s="36">
        <f>COUNTIFS(Tracker!G:G,Daily!C125, Tracker!J:J,"Y",Tracker!E:E,1)</f>
        <v>0</v>
      </c>
      <c r="K125" s="36">
        <f>COUNTIFS(Tracker!G:G,Daily!C125, Tracker!J:J,"Y (with hints)",Tracker!E:E,1)</f>
        <v>0</v>
      </c>
      <c r="L125" s="37">
        <f>COUNTIFS(Tracker!G:G,Daily!C125, Tracker!J:J,"N",Tracker!E:E,1)</f>
        <v>0</v>
      </c>
      <c r="M125" s="55">
        <f t="shared" si="76"/>
        <v>0</v>
      </c>
      <c r="N125" s="36">
        <f>COUNTIFS(Tracker!G:G,Daily!C125, Tracker!J:J,"Y",Tracker!E:E,2)</f>
        <v>0</v>
      </c>
      <c r="O125" s="36">
        <f>COUNTIFS(Tracker!G:G,Daily!C125, Tracker!J:J,"Y (with hints)",Tracker!E:E,2)</f>
        <v>0</v>
      </c>
      <c r="P125" s="37">
        <f>COUNTIFS(Tracker!G:G,Daily!C125, Tracker!J:J,"N",Tracker!E:E,2)</f>
        <v>0</v>
      </c>
      <c r="Q125" s="58">
        <f t="shared" si="77"/>
        <v>0</v>
      </c>
      <c r="R125" s="36">
        <f>COUNTIFS(Tracker!G:G,Daily!C125, Tracker!J:J,"Y",Tracker!E:E,3)</f>
        <v>0</v>
      </c>
      <c r="S125" s="36">
        <f>COUNTIFS(Tracker!G:G,Daily!C125, Tracker!J:J,"Y (with hints)",Tracker!E:E,3)</f>
        <v>0</v>
      </c>
      <c r="T125" s="37">
        <f>COUNTIFS(Tracker!G:G,Daily!C125, Tracker!J:J,"N",Tracker!E:E,3)</f>
        <v>0</v>
      </c>
      <c r="V125" s="39">
        <f t="shared" si="70"/>
        <v>89</v>
      </c>
      <c r="W125" s="36">
        <f t="shared" si="71"/>
        <v>85</v>
      </c>
      <c r="X125" s="64">
        <f t="shared" si="72"/>
        <v>0.9550561797752809</v>
      </c>
      <c r="Y125" s="78">
        <f>AVERAGEIFS(Tracker!I:I, Tracker!E:E, 1, Tracker!G:G, "&lt;="&amp;Daily!C125, Tracker!J:J, "Y")</f>
        <v>12.658823529411764</v>
      </c>
      <c r="Z125" s="79">
        <f>COUNTIFS(Tracker!E:E, 1, Tracker!G:G, "&lt;="&amp;Daily!C125, Tracker!L:L, "N") / V125</f>
        <v>0.797752808988764</v>
      </c>
      <c r="AA125" s="39">
        <f t="shared" si="66"/>
        <v>172</v>
      </c>
      <c r="AB125" s="36">
        <f t="shared" si="67"/>
        <v>140</v>
      </c>
      <c r="AC125" s="64">
        <f t="shared" si="62"/>
        <v>0.81395348837209303</v>
      </c>
      <c r="AD125" s="78">
        <f>AVERAGEIFS(Tracker!I:I, Tracker!E:E, 2, Tracker!G:G, "&lt;="&amp;Daily!C125, Tracker!J:J, "Y")</f>
        <v>26.085714285714285</v>
      </c>
      <c r="AE125" s="79">
        <f>COUNTIFS(Tracker!E:E, 2, Tracker!G:G, "&lt;="&amp;Daily!C125, Tracker!L:L, "N") / AA125</f>
        <v>0.60465116279069764</v>
      </c>
      <c r="AF125" s="39">
        <f t="shared" si="68"/>
        <v>42</v>
      </c>
      <c r="AG125" s="36">
        <f t="shared" si="69"/>
        <v>27</v>
      </c>
      <c r="AH125" s="64">
        <f t="shared" si="60"/>
        <v>0.6428571428571429</v>
      </c>
      <c r="AI125" s="78">
        <f>IFERROR(AVERAGEIFS(Tracker!I:I, Tracker!E:E, 3, Tracker!G:G, "&lt;="&amp;Daily!C125, Tracker!J:J, "Y"), 0)</f>
        <v>40.074074074074076</v>
      </c>
      <c r="AJ125" s="79">
        <f>IFERROR(COUNTIFS(Tracker!E:E, 3, Tracker!G:G, "&lt;="&amp;Daily!C125, Tracker!L:L, "N") / AF125,  0)</f>
        <v>0.35714285714285715</v>
      </c>
      <c r="AK125" s="39">
        <f t="shared" si="64"/>
        <v>303</v>
      </c>
      <c r="AL125" s="36">
        <f t="shared" si="65"/>
        <v>252</v>
      </c>
      <c r="AM125" s="64">
        <f t="shared" si="61"/>
        <v>0.83168316831683164</v>
      </c>
      <c r="AN125" s="78">
        <f>IFERROR(AVERAGEIFS(Tracker!I:I,  Tracker!G:G, "&lt;="&amp;Daily!C125, Tracker!J:J, "Y"), 0)</f>
        <v>23.055555555555557</v>
      </c>
      <c r="AO125" s="79">
        <f>IFERROR(COUNTIFS(Tracker!G:G, "&lt;="&amp;Daily!C125, Tracker!L:L, "N") / AK125,  0)</f>
        <v>0.6270627062706271</v>
      </c>
    </row>
    <row r="126" spans="1:41" x14ac:dyDescent="0.25">
      <c r="A126" s="118">
        <v>18</v>
      </c>
      <c r="B126" s="28">
        <f t="shared" si="73"/>
        <v>45341</v>
      </c>
      <c r="C126" s="29">
        <f t="shared" si="63"/>
        <v>45341</v>
      </c>
      <c r="D126" s="108" t="b">
        <f t="shared" ca="1" si="55"/>
        <v>1</v>
      </c>
      <c r="E126" s="50">
        <f t="shared" si="74"/>
        <v>3</v>
      </c>
      <c r="F126" s="38">
        <f>COUNTIFS(Tracker!G:G,Daily!C126, Tracker!J:J,"Y")</f>
        <v>3</v>
      </c>
      <c r="G126" s="30">
        <f>COUNTIFS(Tracker!G:G,Daily!C126, Tracker!J:J,"Y (with hints)")</f>
        <v>0</v>
      </c>
      <c r="H126" s="31">
        <f>COUNTIFS(Tracker!G:G,Daily!C126, Tracker!J:J,"N")</f>
        <v>0</v>
      </c>
      <c r="I126" s="53">
        <f t="shared" si="75"/>
        <v>0</v>
      </c>
      <c r="J126" s="30">
        <f>COUNTIFS(Tracker!G:G,Daily!C126, Tracker!J:J,"Y",Tracker!E:E,1)</f>
        <v>0</v>
      </c>
      <c r="K126" s="30">
        <f>COUNTIFS(Tracker!G:G,Daily!C126, Tracker!J:J,"Y (with hints)",Tracker!E:E,1)</f>
        <v>0</v>
      </c>
      <c r="L126" s="31">
        <f>COUNTIFS(Tracker!G:G,Daily!C126, Tracker!J:J,"N",Tracker!E:E,1)</f>
        <v>0</v>
      </c>
      <c r="M126" s="53">
        <f t="shared" si="76"/>
        <v>3</v>
      </c>
      <c r="N126" s="30">
        <f>COUNTIFS(Tracker!G:G,Daily!C126, Tracker!J:J,"Y",Tracker!E:E,2)</f>
        <v>3</v>
      </c>
      <c r="O126" s="30">
        <f>COUNTIFS(Tracker!G:G,Daily!C126, Tracker!J:J,"Y (with hints)",Tracker!E:E,2)</f>
        <v>0</v>
      </c>
      <c r="P126" s="31">
        <f>COUNTIFS(Tracker!G:G,Daily!C126, Tracker!J:J,"N",Tracker!E:E,2)</f>
        <v>0</v>
      </c>
      <c r="Q126" s="56">
        <f t="shared" si="77"/>
        <v>0</v>
      </c>
      <c r="R126" s="30">
        <f>COUNTIFS(Tracker!G:G,Daily!C126, Tracker!J:J,"Y",Tracker!E:E,3)</f>
        <v>0</v>
      </c>
      <c r="S126" s="30">
        <f>COUNTIFS(Tracker!G:G,Daily!C126, Tracker!J:J,"Y (with hints)",Tracker!E:E,3)</f>
        <v>0</v>
      </c>
      <c r="T126" s="31">
        <f>COUNTIFS(Tracker!G:G,Daily!C126, Tracker!J:J,"N",Tracker!E:E,3)</f>
        <v>0</v>
      </c>
      <c r="V126" s="38">
        <f t="shared" si="70"/>
        <v>89</v>
      </c>
      <c r="W126" s="30">
        <f t="shared" si="71"/>
        <v>85</v>
      </c>
      <c r="X126" s="73">
        <f t="shared" si="72"/>
        <v>0.9550561797752809</v>
      </c>
      <c r="Y126" s="75">
        <f>AVERAGEIFS(Tracker!I:I, Tracker!E:E, 1, Tracker!G:G, "&lt;="&amp;Daily!C126, Tracker!J:J, "Y")</f>
        <v>12.658823529411764</v>
      </c>
      <c r="Z126" s="76">
        <f>COUNTIFS(Tracker!E:E, 1, Tracker!G:G, "&lt;="&amp;Daily!C126, Tracker!L:L, "N") / V126</f>
        <v>0.797752808988764</v>
      </c>
      <c r="AA126" s="38">
        <f t="shared" si="66"/>
        <v>175</v>
      </c>
      <c r="AB126" s="30">
        <f t="shared" si="67"/>
        <v>143</v>
      </c>
      <c r="AC126" s="73">
        <f t="shared" si="62"/>
        <v>0.81714285714285717</v>
      </c>
      <c r="AD126" s="75">
        <f>AVERAGEIFS(Tracker!I:I, Tracker!E:E, 2, Tracker!G:G, "&lt;="&amp;Daily!C126, Tracker!J:J, "Y")</f>
        <v>26.23076923076923</v>
      </c>
      <c r="AE126" s="76">
        <f>COUNTIFS(Tracker!E:E, 2, Tracker!G:G, "&lt;="&amp;Daily!C126, Tracker!L:L, "N") / AA126</f>
        <v>0.61142857142857143</v>
      </c>
      <c r="AF126" s="38">
        <f t="shared" si="68"/>
        <v>42</v>
      </c>
      <c r="AG126" s="30">
        <f t="shared" si="69"/>
        <v>27</v>
      </c>
      <c r="AH126" s="73">
        <f t="shared" si="60"/>
        <v>0.6428571428571429</v>
      </c>
      <c r="AI126" s="75">
        <f>IFERROR(AVERAGEIFS(Tracker!I:I, Tracker!E:E, 3, Tracker!G:G, "&lt;="&amp;Daily!C126, Tracker!J:J, "Y"), 0)</f>
        <v>40.074074074074076</v>
      </c>
      <c r="AJ126" s="76">
        <f>IFERROR(COUNTIFS(Tracker!E:E, 3, Tracker!G:G, "&lt;="&amp;Daily!C126, Tracker!L:L, "N") / AF126,  0)</f>
        <v>0.35714285714285715</v>
      </c>
      <c r="AK126" s="38">
        <f t="shared" si="64"/>
        <v>306</v>
      </c>
      <c r="AL126" s="30">
        <f t="shared" si="65"/>
        <v>255</v>
      </c>
      <c r="AM126" s="73">
        <f t="shared" si="61"/>
        <v>0.83333333333333337</v>
      </c>
      <c r="AN126" s="75">
        <f>IFERROR(AVERAGEIFS(Tracker!I:I,  Tracker!G:G, "&lt;="&amp;Daily!C126, Tracker!J:J, "Y"), 0)</f>
        <v>23.172549019607843</v>
      </c>
      <c r="AO126" s="76">
        <f>IFERROR(COUNTIFS(Tracker!G:G, "&lt;="&amp;Daily!C126, Tracker!L:L, "N") / AK126,  0)</f>
        <v>0.63071895424836599</v>
      </c>
    </row>
    <row r="127" spans="1:41" x14ac:dyDescent="0.25">
      <c r="A127" s="119"/>
      <c r="B127" s="32">
        <f t="shared" si="73"/>
        <v>45342</v>
      </c>
      <c r="C127" s="27">
        <f t="shared" si="63"/>
        <v>45342</v>
      </c>
      <c r="D127" s="109" t="b">
        <f t="shared" ca="1" si="55"/>
        <v>1</v>
      </c>
      <c r="E127" s="51">
        <f t="shared" si="74"/>
        <v>3</v>
      </c>
      <c r="F127" s="48">
        <f>COUNTIFS(Tracker!G:G,Daily!C127, Tracker!J:J,"Y")</f>
        <v>2</v>
      </c>
      <c r="G127" s="26">
        <f>COUNTIFS(Tracker!G:G,Daily!C127, Tracker!J:J,"Y (with hints)")</f>
        <v>0</v>
      </c>
      <c r="H127" s="33">
        <f>COUNTIFS(Tracker!G:G,Daily!C127, Tracker!J:J,"N")</f>
        <v>1</v>
      </c>
      <c r="I127" s="54">
        <f t="shared" si="75"/>
        <v>0</v>
      </c>
      <c r="J127" s="26">
        <f>COUNTIFS(Tracker!G:G,Daily!C127, Tracker!J:J,"Y",Tracker!E:E,1)</f>
        <v>0</v>
      </c>
      <c r="K127" s="26">
        <f>COUNTIFS(Tracker!G:G,Daily!C127, Tracker!J:J,"Y (with hints)",Tracker!E:E,1)</f>
        <v>0</v>
      </c>
      <c r="L127" s="33">
        <f>COUNTIFS(Tracker!G:G,Daily!C127, Tracker!J:J,"N",Tracker!E:E,1)</f>
        <v>0</v>
      </c>
      <c r="M127" s="54">
        <f t="shared" si="76"/>
        <v>3</v>
      </c>
      <c r="N127" s="26">
        <f>COUNTIFS(Tracker!G:G,Daily!C127, Tracker!J:J,"Y",Tracker!E:E,2)</f>
        <v>2</v>
      </c>
      <c r="O127" s="26">
        <f>COUNTIFS(Tracker!G:G,Daily!C127, Tracker!J:J,"Y (with hints)",Tracker!E:E,2)</f>
        <v>0</v>
      </c>
      <c r="P127" s="33">
        <f>COUNTIFS(Tracker!G:G,Daily!C127, Tracker!J:J,"N",Tracker!E:E,2)</f>
        <v>1</v>
      </c>
      <c r="Q127" s="57">
        <f t="shared" si="77"/>
        <v>0</v>
      </c>
      <c r="R127" s="26">
        <f>COUNTIFS(Tracker!G:G,Daily!C127, Tracker!J:J,"Y",Tracker!E:E,3)</f>
        <v>0</v>
      </c>
      <c r="S127" s="26">
        <f>COUNTIFS(Tracker!G:G,Daily!C127, Tracker!J:J,"Y (with hints)",Tracker!E:E,3)</f>
        <v>0</v>
      </c>
      <c r="T127" s="33">
        <f>COUNTIFS(Tracker!G:G,Daily!C127, Tracker!J:J,"N",Tracker!E:E,3)</f>
        <v>0</v>
      </c>
      <c r="V127" s="48">
        <f t="shared" si="70"/>
        <v>89</v>
      </c>
      <c r="W127" s="26">
        <f t="shared" si="71"/>
        <v>85</v>
      </c>
      <c r="X127" s="62">
        <f t="shared" si="72"/>
        <v>0.9550561797752809</v>
      </c>
      <c r="Y127" s="74">
        <f>AVERAGEIFS(Tracker!I:I, Tracker!E:E, 1, Tracker!G:G, "&lt;="&amp;Daily!C127, Tracker!J:J, "Y")</f>
        <v>12.658823529411764</v>
      </c>
      <c r="Z127" s="77">
        <f>COUNTIFS(Tracker!E:E, 1, Tracker!G:G, "&lt;="&amp;Daily!C127, Tracker!L:L, "N") / V127</f>
        <v>0.797752808988764</v>
      </c>
      <c r="AA127" s="48">
        <f t="shared" si="66"/>
        <v>178</v>
      </c>
      <c r="AB127" s="26">
        <f t="shared" si="67"/>
        <v>145</v>
      </c>
      <c r="AC127" s="62">
        <f t="shared" si="62"/>
        <v>0.8146067415730337</v>
      </c>
      <c r="AD127" s="74">
        <f>AVERAGEIFS(Tracker!I:I, Tracker!E:E, 2, Tracker!G:G, "&lt;="&amp;Daily!C127, Tracker!J:J, "Y")</f>
        <v>26.565517241379311</v>
      </c>
      <c r="AE127" s="77">
        <f>COUNTIFS(Tracker!E:E, 2, Tracker!G:G, "&lt;="&amp;Daily!C127, Tracker!L:L, "N") / AA127</f>
        <v>0.6067415730337079</v>
      </c>
      <c r="AF127" s="48">
        <f t="shared" si="68"/>
        <v>42</v>
      </c>
      <c r="AG127" s="26">
        <f t="shared" si="69"/>
        <v>27</v>
      </c>
      <c r="AH127" s="62">
        <f t="shared" si="60"/>
        <v>0.6428571428571429</v>
      </c>
      <c r="AI127" s="74">
        <f>IFERROR(AVERAGEIFS(Tracker!I:I, Tracker!E:E, 3, Tracker!G:G, "&lt;="&amp;Daily!C127, Tracker!J:J, "Y"), 0)</f>
        <v>40.074074074074076</v>
      </c>
      <c r="AJ127" s="77">
        <f>IFERROR(COUNTIFS(Tracker!E:E, 3, Tracker!G:G, "&lt;="&amp;Daily!C127, Tracker!L:L, "N") / AF127,  0)</f>
        <v>0.35714285714285715</v>
      </c>
      <c r="AK127" s="48">
        <f t="shared" si="64"/>
        <v>309</v>
      </c>
      <c r="AL127" s="26">
        <f t="shared" si="65"/>
        <v>257</v>
      </c>
      <c r="AM127" s="62">
        <f t="shared" si="61"/>
        <v>0.83171521035598706</v>
      </c>
      <c r="AN127" s="74">
        <f>IFERROR(AVERAGEIFS(Tracker!I:I,  Tracker!G:G, "&lt;="&amp;Daily!C127, Tracker!J:J, "Y"), 0)</f>
        <v>23.3852140077821</v>
      </c>
      <c r="AO127" s="77">
        <f>IFERROR(COUNTIFS(Tracker!G:G, "&lt;="&amp;Daily!C127, Tracker!L:L, "N") / AK127,  0)</f>
        <v>0.62783171521035597</v>
      </c>
    </row>
    <row r="128" spans="1:41" x14ac:dyDescent="0.25">
      <c r="A128" s="119"/>
      <c r="B128" s="32">
        <f t="shared" si="73"/>
        <v>45343</v>
      </c>
      <c r="C128" s="27">
        <f t="shared" si="63"/>
        <v>45343</v>
      </c>
      <c r="D128" s="109" t="b">
        <f t="shared" ca="1" si="55"/>
        <v>1</v>
      </c>
      <c r="E128" s="51">
        <f t="shared" si="74"/>
        <v>3</v>
      </c>
      <c r="F128" s="48">
        <f>COUNTIFS(Tracker!G:G,Daily!C128, Tracker!J:J,"Y")</f>
        <v>3</v>
      </c>
      <c r="G128" s="26">
        <f>COUNTIFS(Tracker!G:G,Daily!C128, Tracker!J:J,"Y (with hints)")</f>
        <v>0</v>
      </c>
      <c r="H128" s="33">
        <f>COUNTIFS(Tracker!G:G,Daily!C128, Tracker!J:J,"N")</f>
        <v>0</v>
      </c>
      <c r="I128" s="54">
        <f t="shared" si="75"/>
        <v>0</v>
      </c>
      <c r="J128" s="26">
        <f>COUNTIFS(Tracker!G:G,Daily!C128, Tracker!J:J,"Y",Tracker!E:E,1)</f>
        <v>0</v>
      </c>
      <c r="K128" s="26">
        <f>COUNTIFS(Tracker!G:G,Daily!C128, Tracker!J:J,"Y (with hints)",Tracker!E:E,1)</f>
        <v>0</v>
      </c>
      <c r="L128" s="33">
        <f>COUNTIFS(Tracker!G:G,Daily!C128, Tracker!J:J,"N",Tracker!E:E,1)</f>
        <v>0</v>
      </c>
      <c r="M128" s="54">
        <f t="shared" si="76"/>
        <v>3</v>
      </c>
      <c r="N128" s="26">
        <f>COUNTIFS(Tracker!G:G,Daily!C128, Tracker!J:J,"Y",Tracker!E:E,2)</f>
        <v>3</v>
      </c>
      <c r="O128" s="26">
        <f>COUNTIFS(Tracker!G:G,Daily!C128, Tracker!J:J,"Y (with hints)",Tracker!E:E,2)</f>
        <v>0</v>
      </c>
      <c r="P128" s="33">
        <f>COUNTIFS(Tracker!G:G,Daily!C128, Tracker!J:J,"N",Tracker!E:E,2)</f>
        <v>0</v>
      </c>
      <c r="Q128" s="57">
        <f t="shared" si="77"/>
        <v>0</v>
      </c>
      <c r="R128" s="26">
        <f>COUNTIFS(Tracker!G:G,Daily!C128, Tracker!J:J,"Y",Tracker!E:E,3)</f>
        <v>0</v>
      </c>
      <c r="S128" s="26">
        <f>COUNTIFS(Tracker!G:G,Daily!C128, Tracker!J:J,"Y (with hints)",Tracker!E:E,3)</f>
        <v>0</v>
      </c>
      <c r="T128" s="33">
        <f>COUNTIFS(Tracker!G:G,Daily!C128, Tracker!J:J,"N",Tracker!E:E,3)</f>
        <v>0</v>
      </c>
      <c r="V128" s="48">
        <f t="shared" si="70"/>
        <v>89</v>
      </c>
      <c r="W128" s="26">
        <f t="shared" si="71"/>
        <v>85</v>
      </c>
      <c r="X128" s="62">
        <f t="shared" si="72"/>
        <v>0.9550561797752809</v>
      </c>
      <c r="Y128" s="74">
        <f>AVERAGEIFS(Tracker!I:I, Tracker!E:E, 1, Tracker!G:G, "&lt;="&amp;Daily!C128, Tracker!J:J, "Y")</f>
        <v>12.658823529411764</v>
      </c>
      <c r="Z128" s="77">
        <f>COUNTIFS(Tracker!E:E, 1, Tracker!G:G, "&lt;="&amp;Daily!C128, Tracker!L:L, "N") / V128</f>
        <v>0.797752808988764</v>
      </c>
      <c r="AA128" s="48">
        <f t="shared" si="66"/>
        <v>181</v>
      </c>
      <c r="AB128" s="26">
        <f t="shared" si="67"/>
        <v>148</v>
      </c>
      <c r="AC128" s="62">
        <f t="shared" si="62"/>
        <v>0.81767955801104975</v>
      </c>
      <c r="AD128" s="74">
        <f>AVERAGEIFS(Tracker!I:I, Tracker!E:E, 2, Tracker!G:G, "&lt;="&amp;Daily!C128, Tracker!J:J, "Y")</f>
        <v>26.513513513513512</v>
      </c>
      <c r="AE128" s="77">
        <f>COUNTIFS(Tracker!E:E, 2, Tracker!G:G, "&lt;="&amp;Daily!C128, Tracker!L:L, "N") / AA128</f>
        <v>0.60773480662983426</v>
      </c>
      <c r="AF128" s="48">
        <f t="shared" si="68"/>
        <v>42</v>
      </c>
      <c r="AG128" s="26">
        <f t="shared" si="69"/>
        <v>27</v>
      </c>
      <c r="AH128" s="62">
        <f t="shared" si="60"/>
        <v>0.6428571428571429</v>
      </c>
      <c r="AI128" s="74">
        <f>IFERROR(AVERAGEIFS(Tracker!I:I, Tracker!E:E, 3, Tracker!G:G, "&lt;="&amp;Daily!C128, Tracker!J:J, "Y"), 0)</f>
        <v>40.074074074074076</v>
      </c>
      <c r="AJ128" s="77">
        <f>IFERROR(COUNTIFS(Tracker!E:E, 3, Tracker!G:G, "&lt;="&amp;Daily!C128, Tracker!L:L, "N") / AF128,  0)</f>
        <v>0.35714285714285715</v>
      </c>
      <c r="AK128" s="48">
        <f t="shared" si="64"/>
        <v>312</v>
      </c>
      <c r="AL128" s="26">
        <f t="shared" si="65"/>
        <v>260</v>
      </c>
      <c r="AM128" s="62">
        <f t="shared" si="61"/>
        <v>0.83333333333333337</v>
      </c>
      <c r="AN128" s="74">
        <f>IFERROR(AVERAGEIFS(Tracker!I:I,  Tracker!G:G, "&lt;="&amp;Daily!C128, Tracker!J:J, "Y"), 0)</f>
        <v>23.392307692307693</v>
      </c>
      <c r="AO128" s="77">
        <f>IFERROR(COUNTIFS(Tracker!G:G, "&lt;="&amp;Daily!C128, Tracker!L:L, "N") / AK128,  0)</f>
        <v>0.62820512820512819</v>
      </c>
    </row>
    <row r="129" spans="1:41" x14ac:dyDescent="0.25">
      <c r="A129" s="119"/>
      <c r="B129" s="32">
        <f t="shared" si="73"/>
        <v>45344</v>
      </c>
      <c r="C129" s="27">
        <f t="shared" si="63"/>
        <v>45344</v>
      </c>
      <c r="D129" s="109" t="b">
        <f t="shared" ca="1" si="55"/>
        <v>1</v>
      </c>
      <c r="E129" s="51">
        <f t="shared" si="74"/>
        <v>3</v>
      </c>
      <c r="F129" s="48">
        <f>COUNTIFS(Tracker!G:G,Daily!C129, Tracker!J:J,"Y")</f>
        <v>2</v>
      </c>
      <c r="G129" s="26">
        <f>COUNTIFS(Tracker!G:G,Daily!C129, Tracker!J:J,"Y (with hints)")</f>
        <v>0</v>
      </c>
      <c r="H129" s="33">
        <f>COUNTIFS(Tracker!G:G,Daily!C129, Tracker!J:J,"N")</f>
        <v>1</v>
      </c>
      <c r="I129" s="54">
        <f t="shared" si="75"/>
        <v>0</v>
      </c>
      <c r="J129" s="26">
        <f>COUNTIFS(Tracker!G:G,Daily!C129, Tracker!J:J,"Y",Tracker!E:E,1)</f>
        <v>0</v>
      </c>
      <c r="K129" s="26">
        <f>COUNTIFS(Tracker!G:G,Daily!C129, Tracker!J:J,"Y (with hints)",Tracker!E:E,1)</f>
        <v>0</v>
      </c>
      <c r="L129" s="33">
        <f>COUNTIFS(Tracker!G:G,Daily!C129, Tracker!J:J,"N",Tracker!E:E,1)</f>
        <v>0</v>
      </c>
      <c r="M129" s="54">
        <f t="shared" si="76"/>
        <v>3</v>
      </c>
      <c r="N129" s="26">
        <f>COUNTIFS(Tracker!G:G,Daily!C129, Tracker!J:J,"Y",Tracker!E:E,2)</f>
        <v>2</v>
      </c>
      <c r="O129" s="26">
        <f>COUNTIFS(Tracker!G:G,Daily!C129, Tracker!J:J,"Y (with hints)",Tracker!E:E,2)</f>
        <v>0</v>
      </c>
      <c r="P129" s="33">
        <f>COUNTIFS(Tracker!G:G,Daily!C129, Tracker!J:J,"N",Tracker!E:E,2)</f>
        <v>1</v>
      </c>
      <c r="Q129" s="57">
        <f t="shared" si="77"/>
        <v>0</v>
      </c>
      <c r="R129" s="26">
        <f>COUNTIFS(Tracker!G:G,Daily!C129, Tracker!J:J,"Y",Tracker!E:E,3)</f>
        <v>0</v>
      </c>
      <c r="S129" s="26">
        <f>COUNTIFS(Tracker!G:G,Daily!C129, Tracker!J:J,"Y (with hints)",Tracker!E:E,3)</f>
        <v>0</v>
      </c>
      <c r="T129" s="33">
        <f>COUNTIFS(Tracker!G:G,Daily!C129, Tracker!J:J,"N",Tracker!E:E,3)</f>
        <v>0</v>
      </c>
      <c r="V129" s="48">
        <f t="shared" si="70"/>
        <v>89</v>
      </c>
      <c r="W129" s="26">
        <f t="shared" si="71"/>
        <v>85</v>
      </c>
      <c r="X129" s="62">
        <f t="shared" si="72"/>
        <v>0.9550561797752809</v>
      </c>
      <c r="Y129" s="74">
        <f>AVERAGEIFS(Tracker!I:I, Tracker!E:E, 1, Tracker!G:G, "&lt;="&amp;Daily!C129, Tracker!J:J, "Y")</f>
        <v>12.658823529411764</v>
      </c>
      <c r="Z129" s="77">
        <f>COUNTIFS(Tracker!E:E, 1, Tracker!G:G, "&lt;="&amp;Daily!C129, Tracker!L:L, "N") / V129</f>
        <v>0.797752808988764</v>
      </c>
      <c r="AA129" s="48">
        <f t="shared" si="66"/>
        <v>184</v>
      </c>
      <c r="AB129" s="26">
        <f t="shared" si="67"/>
        <v>150</v>
      </c>
      <c r="AC129" s="62">
        <f t="shared" si="62"/>
        <v>0.81521739130434778</v>
      </c>
      <c r="AD129" s="74">
        <f>AVERAGEIFS(Tracker!I:I, Tracker!E:E, 2, Tracker!G:G, "&lt;="&amp;Daily!C129, Tracker!J:J, "Y")</f>
        <v>26.413333333333334</v>
      </c>
      <c r="AE129" s="77">
        <f>COUNTIFS(Tracker!E:E, 2, Tracker!G:G, "&lt;="&amp;Daily!C129, Tracker!L:L, "N") / AA129</f>
        <v>0.60869565217391308</v>
      </c>
      <c r="AF129" s="48">
        <f t="shared" si="68"/>
        <v>42</v>
      </c>
      <c r="AG129" s="26">
        <f t="shared" si="69"/>
        <v>27</v>
      </c>
      <c r="AH129" s="62">
        <f t="shared" si="60"/>
        <v>0.6428571428571429</v>
      </c>
      <c r="AI129" s="74">
        <f>IFERROR(AVERAGEIFS(Tracker!I:I, Tracker!E:E, 3, Tracker!G:G, "&lt;="&amp;Daily!C129, Tracker!J:J, "Y"), 0)</f>
        <v>40.074074074074076</v>
      </c>
      <c r="AJ129" s="77">
        <f>IFERROR(COUNTIFS(Tracker!E:E, 3, Tracker!G:G, "&lt;="&amp;Daily!C129, Tracker!L:L, "N") / AF129,  0)</f>
        <v>0.35714285714285715</v>
      </c>
      <c r="AK129" s="48">
        <f t="shared" si="64"/>
        <v>315</v>
      </c>
      <c r="AL129" s="26">
        <f t="shared" si="65"/>
        <v>262</v>
      </c>
      <c r="AM129" s="62">
        <f t="shared" si="61"/>
        <v>0.83174603174603179</v>
      </c>
      <c r="AN129" s="74">
        <f>IFERROR(AVERAGEIFS(Tracker!I:I,  Tracker!G:G, "&lt;="&amp;Daily!C129, Tracker!J:J, "Y"), 0)</f>
        <v>23.358778625954198</v>
      </c>
      <c r="AO129" s="77">
        <f>IFERROR(COUNTIFS(Tracker!G:G, "&lt;="&amp;Daily!C129, Tracker!L:L, "N") / AK129,  0)</f>
        <v>0.62857142857142856</v>
      </c>
    </row>
    <row r="130" spans="1:41" x14ac:dyDescent="0.25">
      <c r="A130" s="119"/>
      <c r="B130" s="32">
        <f t="shared" si="73"/>
        <v>45345</v>
      </c>
      <c r="C130" s="27">
        <f t="shared" si="63"/>
        <v>45345</v>
      </c>
      <c r="D130" s="109" t="b">
        <f t="shared" ca="1" si="55"/>
        <v>1</v>
      </c>
      <c r="E130" s="51">
        <f t="shared" si="74"/>
        <v>3</v>
      </c>
      <c r="F130" s="48">
        <f>COUNTIFS(Tracker!G:G,Daily!C130, Tracker!J:J,"Y")</f>
        <v>3</v>
      </c>
      <c r="G130" s="26">
        <f>COUNTIFS(Tracker!G:G,Daily!C130, Tracker!J:J,"Y (with hints)")</f>
        <v>0</v>
      </c>
      <c r="H130" s="33">
        <f>COUNTIFS(Tracker!G:G,Daily!C130, Tracker!J:J,"N")</f>
        <v>0</v>
      </c>
      <c r="I130" s="54">
        <f t="shared" si="75"/>
        <v>0</v>
      </c>
      <c r="J130" s="26">
        <f>COUNTIFS(Tracker!G:G,Daily!C130, Tracker!J:J,"Y",Tracker!E:E,1)</f>
        <v>0</v>
      </c>
      <c r="K130" s="26">
        <f>COUNTIFS(Tracker!G:G,Daily!C130, Tracker!J:J,"Y (with hints)",Tracker!E:E,1)</f>
        <v>0</v>
      </c>
      <c r="L130" s="33">
        <f>COUNTIFS(Tracker!G:G,Daily!C130, Tracker!J:J,"N",Tracker!E:E,1)</f>
        <v>0</v>
      </c>
      <c r="M130" s="54">
        <f t="shared" si="76"/>
        <v>3</v>
      </c>
      <c r="N130" s="26">
        <f>COUNTIFS(Tracker!G:G,Daily!C130, Tracker!J:J,"Y",Tracker!E:E,2)</f>
        <v>3</v>
      </c>
      <c r="O130" s="26">
        <f>COUNTIFS(Tracker!G:G,Daily!C130, Tracker!J:J,"Y (with hints)",Tracker!E:E,2)</f>
        <v>0</v>
      </c>
      <c r="P130" s="33">
        <f>COUNTIFS(Tracker!G:G,Daily!C130, Tracker!J:J,"N",Tracker!E:E,2)</f>
        <v>0</v>
      </c>
      <c r="Q130" s="57">
        <f t="shared" si="77"/>
        <v>0</v>
      </c>
      <c r="R130" s="26">
        <f>COUNTIFS(Tracker!G:G,Daily!C130, Tracker!J:J,"Y",Tracker!E:E,3)</f>
        <v>0</v>
      </c>
      <c r="S130" s="26">
        <f>COUNTIFS(Tracker!G:G,Daily!C130, Tracker!J:J,"Y (with hints)",Tracker!E:E,3)</f>
        <v>0</v>
      </c>
      <c r="T130" s="33">
        <f>COUNTIFS(Tracker!G:G,Daily!C130, Tracker!J:J,"N",Tracker!E:E,3)</f>
        <v>0</v>
      </c>
      <c r="V130" s="48">
        <f t="shared" si="70"/>
        <v>89</v>
      </c>
      <c r="W130" s="26">
        <f t="shared" si="71"/>
        <v>85</v>
      </c>
      <c r="X130" s="62">
        <f t="shared" si="72"/>
        <v>0.9550561797752809</v>
      </c>
      <c r="Y130" s="74">
        <f>AVERAGEIFS(Tracker!I:I, Tracker!E:E, 1, Tracker!G:G, "&lt;="&amp;Daily!C130, Tracker!J:J, "Y")</f>
        <v>12.658823529411764</v>
      </c>
      <c r="Z130" s="77">
        <f>COUNTIFS(Tracker!E:E, 1, Tracker!G:G, "&lt;="&amp;Daily!C130, Tracker!L:L, "N") / V130</f>
        <v>0.797752808988764</v>
      </c>
      <c r="AA130" s="48">
        <f t="shared" si="66"/>
        <v>187</v>
      </c>
      <c r="AB130" s="26">
        <f t="shared" si="67"/>
        <v>153</v>
      </c>
      <c r="AC130" s="62">
        <f t="shared" si="62"/>
        <v>0.81818181818181823</v>
      </c>
      <c r="AD130" s="74">
        <f>AVERAGEIFS(Tracker!I:I, Tracker!E:E, 2, Tracker!G:G, "&lt;="&amp;Daily!C130, Tracker!J:J, "Y")</f>
        <v>26.281045751633986</v>
      </c>
      <c r="AE130" s="77">
        <f>COUNTIFS(Tracker!E:E, 2, Tracker!G:G, "&lt;="&amp;Daily!C130, Tracker!L:L, "N") / AA130</f>
        <v>0.60962566844919786</v>
      </c>
      <c r="AF130" s="48">
        <f t="shared" si="68"/>
        <v>42</v>
      </c>
      <c r="AG130" s="26">
        <f t="shared" si="69"/>
        <v>27</v>
      </c>
      <c r="AH130" s="62">
        <f t="shared" si="60"/>
        <v>0.6428571428571429</v>
      </c>
      <c r="AI130" s="74">
        <f>IFERROR(AVERAGEIFS(Tracker!I:I, Tracker!E:E, 3, Tracker!G:G, "&lt;="&amp;Daily!C130, Tracker!J:J, "Y"), 0)</f>
        <v>40.074074074074076</v>
      </c>
      <c r="AJ130" s="77">
        <f>IFERROR(COUNTIFS(Tracker!E:E, 3, Tracker!G:G, "&lt;="&amp;Daily!C130, Tracker!L:L, "N") / AF130,  0)</f>
        <v>0.35714285714285715</v>
      </c>
      <c r="AK130" s="48">
        <f t="shared" si="64"/>
        <v>318</v>
      </c>
      <c r="AL130" s="26">
        <f t="shared" si="65"/>
        <v>265</v>
      </c>
      <c r="AM130" s="62">
        <f t="shared" si="61"/>
        <v>0.83333333333333337</v>
      </c>
      <c r="AN130" s="74">
        <f>IFERROR(AVERAGEIFS(Tracker!I:I,  Tracker!G:G, "&lt;="&amp;Daily!C130, Tracker!J:J, "Y"), 0)</f>
        <v>23.316981132075473</v>
      </c>
      <c r="AO130" s="77">
        <f>IFERROR(COUNTIFS(Tracker!G:G, "&lt;="&amp;Daily!C130, Tracker!L:L, "N") / AK130,  0)</f>
        <v>0.62893081761006286</v>
      </c>
    </row>
    <row r="131" spans="1:41" x14ac:dyDescent="0.25">
      <c r="A131" s="119"/>
      <c r="B131" s="32">
        <f t="shared" si="73"/>
        <v>45346</v>
      </c>
      <c r="C131" s="27">
        <f t="shared" si="63"/>
        <v>45346</v>
      </c>
      <c r="D131" s="109" t="b">
        <f t="shared" ca="1" si="55"/>
        <v>1</v>
      </c>
      <c r="E131" s="51">
        <f t="shared" si="74"/>
        <v>0</v>
      </c>
      <c r="F131" s="48">
        <f>COUNTIFS(Tracker!G:G,Daily!C131, Tracker!J:J,"Y")</f>
        <v>0</v>
      </c>
      <c r="G131" s="26">
        <f>COUNTIFS(Tracker!G:G,Daily!C131, Tracker!J:J,"Y (with hints)")</f>
        <v>0</v>
      </c>
      <c r="H131" s="33">
        <f>COUNTIFS(Tracker!G:G,Daily!C131, Tracker!J:J,"N")</f>
        <v>0</v>
      </c>
      <c r="I131" s="54">
        <f t="shared" si="75"/>
        <v>0</v>
      </c>
      <c r="J131" s="26">
        <f>COUNTIFS(Tracker!G:G,Daily!C131, Tracker!J:J,"Y",Tracker!E:E,1)</f>
        <v>0</v>
      </c>
      <c r="K131" s="26">
        <f>COUNTIFS(Tracker!G:G,Daily!C131, Tracker!J:J,"Y (with hints)",Tracker!E:E,1)</f>
        <v>0</v>
      </c>
      <c r="L131" s="33">
        <f>COUNTIFS(Tracker!G:G,Daily!C131, Tracker!J:J,"N",Tracker!E:E,1)</f>
        <v>0</v>
      </c>
      <c r="M131" s="54">
        <f t="shared" si="76"/>
        <v>0</v>
      </c>
      <c r="N131" s="26">
        <f>COUNTIFS(Tracker!G:G,Daily!C131, Tracker!J:J,"Y",Tracker!E:E,2)</f>
        <v>0</v>
      </c>
      <c r="O131" s="26">
        <f>COUNTIFS(Tracker!G:G,Daily!C131, Tracker!J:J,"Y (with hints)",Tracker!E:E,2)</f>
        <v>0</v>
      </c>
      <c r="P131" s="33">
        <f>COUNTIFS(Tracker!G:G,Daily!C131, Tracker!J:J,"N",Tracker!E:E,2)</f>
        <v>0</v>
      </c>
      <c r="Q131" s="57">
        <f t="shared" si="77"/>
        <v>0</v>
      </c>
      <c r="R131" s="26">
        <f>COUNTIFS(Tracker!G:G,Daily!C131, Tracker!J:J,"Y",Tracker!E:E,3)</f>
        <v>0</v>
      </c>
      <c r="S131" s="26">
        <f>COUNTIFS(Tracker!G:G,Daily!C131, Tracker!J:J,"Y (with hints)",Tracker!E:E,3)</f>
        <v>0</v>
      </c>
      <c r="T131" s="33">
        <f>COUNTIFS(Tracker!G:G,Daily!C131, Tracker!J:J,"N",Tracker!E:E,3)</f>
        <v>0</v>
      </c>
      <c r="V131" s="48">
        <f t="shared" si="70"/>
        <v>89</v>
      </c>
      <c r="W131" s="26">
        <f t="shared" si="71"/>
        <v>85</v>
      </c>
      <c r="X131" s="62">
        <f t="shared" si="72"/>
        <v>0.9550561797752809</v>
      </c>
      <c r="Y131" s="74">
        <f>AVERAGEIFS(Tracker!I:I, Tracker!E:E, 1, Tracker!G:G, "&lt;="&amp;Daily!C131, Tracker!J:J, "Y")</f>
        <v>12.658823529411764</v>
      </c>
      <c r="Z131" s="77">
        <f>COUNTIFS(Tracker!E:E, 1, Tracker!G:G, "&lt;="&amp;Daily!C131, Tracker!L:L, "N") / V131</f>
        <v>0.797752808988764</v>
      </c>
      <c r="AA131" s="48">
        <f t="shared" si="66"/>
        <v>187</v>
      </c>
      <c r="AB131" s="26">
        <f t="shared" si="67"/>
        <v>153</v>
      </c>
      <c r="AC131" s="62">
        <f t="shared" si="62"/>
        <v>0.81818181818181823</v>
      </c>
      <c r="AD131" s="74">
        <f>AVERAGEIFS(Tracker!I:I, Tracker!E:E, 2, Tracker!G:G, "&lt;="&amp;Daily!C131, Tracker!J:J, "Y")</f>
        <v>26.281045751633986</v>
      </c>
      <c r="AE131" s="77">
        <f>COUNTIFS(Tracker!E:E, 2, Tracker!G:G, "&lt;="&amp;Daily!C131, Tracker!L:L, "N") / AA131</f>
        <v>0.60962566844919786</v>
      </c>
      <c r="AF131" s="48">
        <f t="shared" si="68"/>
        <v>42</v>
      </c>
      <c r="AG131" s="26">
        <f t="shared" si="69"/>
        <v>27</v>
      </c>
      <c r="AH131" s="62">
        <f t="shared" si="60"/>
        <v>0.6428571428571429</v>
      </c>
      <c r="AI131" s="74">
        <f>IFERROR(AVERAGEIFS(Tracker!I:I, Tracker!E:E, 3, Tracker!G:G, "&lt;="&amp;Daily!C131, Tracker!J:J, "Y"), 0)</f>
        <v>40.074074074074076</v>
      </c>
      <c r="AJ131" s="77">
        <f>IFERROR(COUNTIFS(Tracker!E:E, 3, Tracker!G:G, "&lt;="&amp;Daily!C131, Tracker!L:L, "N") / AF131,  0)</f>
        <v>0.35714285714285715</v>
      </c>
      <c r="AK131" s="48">
        <f t="shared" si="64"/>
        <v>318</v>
      </c>
      <c r="AL131" s="26">
        <f t="shared" si="65"/>
        <v>265</v>
      </c>
      <c r="AM131" s="62">
        <f t="shared" si="61"/>
        <v>0.83333333333333337</v>
      </c>
      <c r="AN131" s="74">
        <f>IFERROR(AVERAGEIFS(Tracker!I:I,  Tracker!G:G, "&lt;="&amp;Daily!C131, Tracker!J:J, "Y"), 0)</f>
        <v>23.316981132075473</v>
      </c>
      <c r="AO131" s="77">
        <f>IFERROR(COUNTIFS(Tracker!G:G, "&lt;="&amp;Daily!C131, Tracker!L:L, "N") / AK131,  0)</f>
        <v>0.62893081761006286</v>
      </c>
    </row>
    <row r="132" spans="1:41" ht="15.75" thickBot="1" x14ac:dyDescent="0.3">
      <c r="A132" s="120"/>
      <c r="B132" s="34">
        <f t="shared" si="73"/>
        <v>45347</v>
      </c>
      <c r="C132" s="35">
        <f t="shared" si="63"/>
        <v>45347</v>
      </c>
      <c r="D132" s="110" t="b">
        <f t="shared" ca="1" si="55"/>
        <v>1</v>
      </c>
      <c r="E132" s="52">
        <f t="shared" si="74"/>
        <v>0</v>
      </c>
      <c r="F132" s="39">
        <f>COUNTIFS(Tracker!G:G,Daily!C132, Tracker!J:J,"Y")</f>
        <v>0</v>
      </c>
      <c r="G132" s="36">
        <f>COUNTIFS(Tracker!G:G,Daily!C132, Tracker!J:J,"Y (with hints)")</f>
        <v>0</v>
      </c>
      <c r="H132" s="37">
        <f>COUNTIFS(Tracker!G:G,Daily!C132, Tracker!J:J,"N")</f>
        <v>0</v>
      </c>
      <c r="I132" s="55">
        <f t="shared" si="75"/>
        <v>0</v>
      </c>
      <c r="J132" s="36">
        <f>COUNTIFS(Tracker!G:G,Daily!C132, Tracker!J:J,"Y",Tracker!E:E,1)</f>
        <v>0</v>
      </c>
      <c r="K132" s="36">
        <f>COUNTIFS(Tracker!G:G,Daily!C132, Tracker!J:J,"Y (with hints)",Tracker!E:E,1)</f>
        <v>0</v>
      </c>
      <c r="L132" s="37">
        <f>COUNTIFS(Tracker!G:G,Daily!C132, Tracker!J:J,"N",Tracker!E:E,1)</f>
        <v>0</v>
      </c>
      <c r="M132" s="55">
        <f t="shared" si="76"/>
        <v>0</v>
      </c>
      <c r="N132" s="36">
        <f>COUNTIFS(Tracker!G:G,Daily!C132, Tracker!J:J,"Y",Tracker!E:E,2)</f>
        <v>0</v>
      </c>
      <c r="O132" s="36">
        <f>COUNTIFS(Tracker!G:G,Daily!C132, Tracker!J:J,"Y (with hints)",Tracker!E:E,2)</f>
        <v>0</v>
      </c>
      <c r="P132" s="37">
        <f>COUNTIFS(Tracker!G:G,Daily!C132, Tracker!J:J,"N",Tracker!E:E,2)</f>
        <v>0</v>
      </c>
      <c r="Q132" s="58">
        <f t="shared" si="77"/>
        <v>0</v>
      </c>
      <c r="R132" s="36">
        <f>COUNTIFS(Tracker!G:G,Daily!C132, Tracker!J:J,"Y",Tracker!E:E,3)</f>
        <v>0</v>
      </c>
      <c r="S132" s="36">
        <f>COUNTIFS(Tracker!G:G,Daily!C132, Tracker!J:J,"Y (with hints)",Tracker!E:E,3)</f>
        <v>0</v>
      </c>
      <c r="T132" s="37">
        <f>COUNTIFS(Tracker!G:G,Daily!C132, Tracker!J:J,"N",Tracker!E:E,3)</f>
        <v>0</v>
      </c>
      <c r="V132" s="39">
        <f t="shared" si="70"/>
        <v>89</v>
      </c>
      <c r="W132" s="36">
        <f t="shared" si="71"/>
        <v>85</v>
      </c>
      <c r="X132" s="64">
        <f t="shared" si="72"/>
        <v>0.9550561797752809</v>
      </c>
      <c r="Y132" s="78">
        <f>AVERAGEIFS(Tracker!I:I, Tracker!E:E, 1, Tracker!G:G, "&lt;="&amp;Daily!C132, Tracker!J:J, "Y")</f>
        <v>12.658823529411764</v>
      </c>
      <c r="Z132" s="79">
        <f>COUNTIFS(Tracker!E:E, 1, Tracker!G:G, "&lt;="&amp;Daily!C132, Tracker!L:L, "N") / V132</f>
        <v>0.797752808988764</v>
      </c>
      <c r="AA132" s="39">
        <f t="shared" si="66"/>
        <v>187</v>
      </c>
      <c r="AB132" s="36">
        <f t="shared" si="67"/>
        <v>153</v>
      </c>
      <c r="AC132" s="64">
        <f t="shared" si="62"/>
        <v>0.81818181818181823</v>
      </c>
      <c r="AD132" s="78">
        <f>AVERAGEIFS(Tracker!I:I, Tracker!E:E, 2, Tracker!G:G, "&lt;="&amp;Daily!C132, Tracker!J:J, "Y")</f>
        <v>26.281045751633986</v>
      </c>
      <c r="AE132" s="79">
        <f>COUNTIFS(Tracker!E:E, 2, Tracker!G:G, "&lt;="&amp;Daily!C132, Tracker!L:L, "N") / AA132</f>
        <v>0.60962566844919786</v>
      </c>
      <c r="AF132" s="39">
        <f t="shared" si="68"/>
        <v>42</v>
      </c>
      <c r="AG132" s="36">
        <f t="shared" si="69"/>
        <v>27</v>
      </c>
      <c r="AH132" s="64">
        <f t="shared" si="60"/>
        <v>0.6428571428571429</v>
      </c>
      <c r="AI132" s="78">
        <f>IFERROR(AVERAGEIFS(Tracker!I:I, Tracker!E:E, 3, Tracker!G:G, "&lt;="&amp;Daily!C132, Tracker!J:J, "Y"), 0)</f>
        <v>40.074074074074076</v>
      </c>
      <c r="AJ132" s="79">
        <f>IFERROR(COUNTIFS(Tracker!E:E, 3, Tracker!G:G, "&lt;="&amp;Daily!C132, Tracker!L:L, "N") / AF132,  0)</f>
        <v>0.35714285714285715</v>
      </c>
      <c r="AK132" s="39">
        <f t="shared" si="64"/>
        <v>318</v>
      </c>
      <c r="AL132" s="36">
        <f t="shared" si="65"/>
        <v>265</v>
      </c>
      <c r="AM132" s="64">
        <f t="shared" si="61"/>
        <v>0.83333333333333337</v>
      </c>
      <c r="AN132" s="78">
        <f>IFERROR(AVERAGEIFS(Tracker!I:I,  Tracker!G:G, "&lt;="&amp;Daily!C132, Tracker!J:J, "Y"), 0)</f>
        <v>23.316981132075473</v>
      </c>
      <c r="AO132" s="79">
        <f>IFERROR(COUNTIFS(Tracker!G:G, "&lt;="&amp;Daily!C132, Tracker!L:L, "N") / AK132,  0)</f>
        <v>0.62893081761006286</v>
      </c>
    </row>
    <row r="133" spans="1:41" x14ac:dyDescent="0.25">
      <c r="A133" s="118">
        <f>A126+1</f>
        <v>19</v>
      </c>
      <c r="B133" s="28">
        <f t="shared" ref="B133:B139" si="78">C133</f>
        <v>45348</v>
      </c>
      <c r="C133" s="29">
        <f t="shared" si="63"/>
        <v>45348</v>
      </c>
      <c r="D133" s="108" t="b">
        <f t="shared" ref="D133:D196" ca="1" si="79">C133&lt;=TODAY()</f>
        <v>1</v>
      </c>
      <c r="E133" s="50">
        <f t="shared" ref="E133:E139" si="80">SUM(F133:H133)</f>
        <v>0</v>
      </c>
      <c r="F133" s="38">
        <f>COUNTIFS(Tracker!G:G,Daily!C133, Tracker!J:J,"Y")</f>
        <v>0</v>
      </c>
      <c r="G133" s="30">
        <f>COUNTIFS(Tracker!G:G,Daily!C133, Tracker!J:J,"Y (with hints)")</f>
        <v>0</v>
      </c>
      <c r="H133" s="31">
        <f>COUNTIFS(Tracker!G:G,Daily!C133, Tracker!J:J,"N")</f>
        <v>0</v>
      </c>
      <c r="I133" s="53">
        <f t="shared" ref="I133:I139" si="81">SUM(J133:L133)</f>
        <v>0</v>
      </c>
      <c r="J133" s="30">
        <f>COUNTIFS(Tracker!G:G,Daily!C133, Tracker!J:J,"Y",Tracker!E:E,1)</f>
        <v>0</v>
      </c>
      <c r="K133" s="30">
        <f>COUNTIFS(Tracker!G:G,Daily!C133, Tracker!J:J,"Y (with hints)",Tracker!E:E,1)</f>
        <v>0</v>
      </c>
      <c r="L133" s="31">
        <f>COUNTIFS(Tracker!G:G,Daily!C133, Tracker!J:J,"N",Tracker!E:E,1)</f>
        <v>0</v>
      </c>
      <c r="M133" s="53">
        <f t="shared" ref="M133:M139" si="82">SUM(N133:P133)</f>
        <v>0</v>
      </c>
      <c r="N133" s="30">
        <f>COUNTIFS(Tracker!G:G,Daily!C133, Tracker!J:J,"Y",Tracker!E:E,2)</f>
        <v>0</v>
      </c>
      <c r="O133" s="30">
        <f>COUNTIFS(Tracker!G:G,Daily!C133, Tracker!J:J,"Y (with hints)",Tracker!E:E,2)</f>
        <v>0</v>
      </c>
      <c r="P133" s="31">
        <f>COUNTIFS(Tracker!G:G,Daily!C133, Tracker!J:J,"N",Tracker!E:E,2)</f>
        <v>0</v>
      </c>
      <c r="Q133" s="56">
        <f t="shared" ref="Q133:Q139" si="83">SUM(R133:T133)</f>
        <v>0</v>
      </c>
      <c r="R133" s="30">
        <f>COUNTIFS(Tracker!G:G,Daily!C133, Tracker!J:J,"Y",Tracker!E:E,3)</f>
        <v>0</v>
      </c>
      <c r="S133" s="30">
        <f>COUNTIFS(Tracker!G:G,Daily!C133, Tracker!J:J,"Y (with hints)",Tracker!E:E,3)</f>
        <v>0</v>
      </c>
      <c r="T133" s="31">
        <f>COUNTIFS(Tracker!G:G,Daily!C133, Tracker!J:J,"N",Tracker!E:E,3)</f>
        <v>0</v>
      </c>
      <c r="V133" s="38">
        <f t="shared" ref="V133:V139" si="84">V132+I133</f>
        <v>89</v>
      </c>
      <c r="W133" s="30">
        <f t="shared" ref="W133:W139" si="85">W132+J133</f>
        <v>85</v>
      </c>
      <c r="X133" s="73">
        <f t="shared" ref="X133:X139" si="86">W133/V133</f>
        <v>0.9550561797752809</v>
      </c>
      <c r="Y133" s="75">
        <f>AVERAGEIFS(Tracker!I:I, Tracker!E:E, 1, Tracker!G:G, "&lt;="&amp;Daily!C133, Tracker!J:J, "Y")</f>
        <v>12.658823529411764</v>
      </c>
      <c r="Z133" s="76">
        <f>COUNTIFS(Tracker!E:E, 1, Tracker!G:G, "&lt;="&amp;Daily!C133, Tracker!L:L, "N") / V133</f>
        <v>0.797752808988764</v>
      </c>
      <c r="AA133" s="38">
        <f t="shared" ref="AA133:AA139" si="87">AA132+M133</f>
        <v>187</v>
      </c>
      <c r="AB133" s="30">
        <f t="shared" ref="AB133:AB139" si="88">AB132+N133</f>
        <v>153</v>
      </c>
      <c r="AC133" s="73">
        <f t="shared" ref="AC133:AC139" si="89">AB133/AA133</f>
        <v>0.81818181818181823</v>
      </c>
      <c r="AD133" s="75">
        <f>AVERAGEIFS(Tracker!I:I, Tracker!E:E, 2, Tracker!G:G, "&lt;="&amp;Daily!C133, Tracker!J:J, "Y")</f>
        <v>26.281045751633986</v>
      </c>
      <c r="AE133" s="76">
        <f>COUNTIFS(Tracker!E:E, 2, Tracker!G:G, "&lt;="&amp;Daily!C133, Tracker!L:L, "N") / AA133</f>
        <v>0.60962566844919786</v>
      </c>
      <c r="AF133" s="38">
        <f t="shared" ref="AF133:AF139" si="90">AF132+Q133</f>
        <v>42</v>
      </c>
      <c r="AG133" s="30">
        <f t="shared" ref="AG133:AG139" si="91">AG132+R133</f>
        <v>27</v>
      </c>
      <c r="AH133" s="73">
        <f t="shared" ref="AH133:AH139" si="92">IFERROR(AG133/AF133, 0)</f>
        <v>0.6428571428571429</v>
      </c>
      <c r="AI133" s="75">
        <f>IFERROR(AVERAGEIFS(Tracker!I:I, Tracker!E:E, 3, Tracker!G:G, "&lt;="&amp;Daily!C133, Tracker!J:J, "Y"), 0)</f>
        <v>40.074074074074076</v>
      </c>
      <c r="AJ133" s="76">
        <f>IFERROR(COUNTIFS(Tracker!E:E, 3, Tracker!G:G, "&lt;="&amp;Daily!C133, Tracker!L:L, "N") / AF133,  0)</f>
        <v>0.35714285714285715</v>
      </c>
      <c r="AK133" s="38">
        <f t="shared" ref="AK133:AK139" si="93">V133+AA133+AF133</f>
        <v>318</v>
      </c>
      <c r="AL133" s="30">
        <f t="shared" ref="AL133:AL139" si="94">W133+AB133+AG133</f>
        <v>265</v>
      </c>
      <c r="AM133" s="73">
        <f t="shared" ref="AM133:AM139" si="95">IFERROR(AL133/AK133, 0)</f>
        <v>0.83333333333333337</v>
      </c>
      <c r="AN133" s="75">
        <f>IFERROR(AVERAGEIFS(Tracker!I:I,  Tracker!G:G, "&lt;="&amp;Daily!C133, Tracker!J:J, "Y"), 0)</f>
        <v>23.316981132075473</v>
      </c>
      <c r="AO133" s="76">
        <f>IFERROR(COUNTIFS(Tracker!G:G, "&lt;="&amp;Daily!C133, Tracker!L:L, "N") / AK133,  0)</f>
        <v>0.62893081761006286</v>
      </c>
    </row>
    <row r="134" spans="1:41" x14ac:dyDescent="0.25">
      <c r="A134" s="119"/>
      <c r="B134" s="32">
        <f t="shared" si="78"/>
        <v>45349</v>
      </c>
      <c r="C134" s="27">
        <f t="shared" si="63"/>
        <v>45349</v>
      </c>
      <c r="D134" s="109" t="b">
        <f t="shared" ca="1" si="79"/>
        <v>1</v>
      </c>
      <c r="E134" s="51">
        <f t="shared" si="80"/>
        <v>0</v>
      </c>
      <c r="F134" s="48">
        <f>COUNTIFS(Tracker!G:G,Daily!C134, Tracker!J:J,"Y")</f>
        <v>0</v>
      </c>
      <c r="G134" s="26">
        <f>COUNTIFS(Tracker!G:G,Daily!C134, Tracker!J:J,"Y (with hints)")</f>
        <v>0</v>
      </c>
      <c r="H134" s="33">
        <f>COUNTIFS(Tracker!G:G,Daily!C134, Tracker!J:J,"N")</f>
        <v>0</v>
      </c>
      <c r="I134" s="54">
        <f t="shared" si="81"/>
        <v>0</v>
      </c>
      <c r="J134" s="26">
        <f>COUNTIFS(Tracker!G:G,Daily!C134, Tracker!J:J,"Y",Tracker!E:E,1)</f>
        <v>0</v>
      </c>
      <c r="K134" s="26">
        <f>COUNTIFS(Tracker!G:G,Daily!C134, Tracker!J:J,"Y (with hints)",Tracker!E:E,1)</f>
        <v>0</v>
      </c>
      <c r="L134" s="33">
        <f>COUNTIFS(Tracker!G:G,Daily!C134, Tracker!J:J,"N",Tracker!E:E,1)</f>
        <v>0</v>
      </c>
      <c r="M134" s="54">
        <f t="shared" si="82"/>
        <v>0</v>
      </c>
      <c r="N134" s="26">
        <f>COUNTIFS(Tracker!G:G,Daily!C134, Tracker!J:J,"Y",Tracker!E:E,2)</f>
        <v>0</v>
      </c>
      <c r="O134" s="26">
        <f>COUNTIFS(Tracker!G:G,Daily!C134, Tracker!J:J,"Y (with hints)",Tracker!E:E,2)</f>
        <v>0</v>
      </c>
      <c r="P134" s="33">
        <f>COUNTIFS(Tracker!G:G,Daily!C134, Tracker!J:J,"N",Tracker!E:E,2)</f>
        <v>0</v>
      </c>
      <c r="Q134" s="57">
        <f t="shared" si="83"/>
        <v>0</v>
      </c>
      <c r="R134" s="26">
        <f>COUNTIFS(Tracker!G:G,Daily!C134, Tracker!J:J,"Y",Tracker!E:E,3)</f>
        <v>0</v>
      </c>
      <c r="S134" s="26">
        <f>COUNTIFS(Tracker!G:G,Daily!C134, Tracker!J:J,"Y (with hints)",Tracker!E:E,3)</f>
        <v>0</v>
      </c>
      <c r="T134" s="33">
        <f>COUNTIFS(Tracker!G:G,Daily!C134, Tracker!J:J,"N",Tracker!E:E,3)</f>
        <v>0</v>
      </c>
      <c r="V134" s="48">
        <f t="shared" si="84"/>
        <v>89</v>
      </c>
      <c r="W134" s="26">
        <f t="shared" si="85"/>
        <v>85</v>
      </c>
      <c r="X134" s="62">
        <f t="shared" si="86"/>
        <v>0.9550561797752809</v>
      </c>
      <c r="Y134" s="74">
        <f>AVERAGEIFS(Tracker!I:I, Tracker!E:E, 1, Tracker!G:G, "&lt;="&amp;Daily!C134, Tracker!J:J, "Y")</f>
        <v>12.658823529411764</v>
      </c>
      <c r="Z134" s="77">
        <f>COUNTIFS(Tracker!E:E, 1, Tracker!G:G, "&lt;="&amp;Daily!C134, Tracker!L:L, "N") / V134</f>
        <v>0.797752808988764</v>
      </c>
      <c r="AA134" s="48">
        <f t="shared" si="87"/>
        <v>187</v>
      </c>
      <c r="AB134" s="26">
        <f t="shared" si="88"/>
        <v>153</v>
      </c>
      <c r="AC134" s="62">
        <f t="shared" si="89"/>
        <v>0.81818181818181823</v>
      </c>
      <c r="AD134" s="74">
        <f>AVERAGEIFS(Tracker!I:I, Tracker!E:E, 2, Tracker!G:G, "&lt;="&amp;Daily!C134, Tracker!J:J, "Y")</f>
        <v>26.281045751633986</v>
      </c>
      <c r="AE134" s="77">
        <f>COUNTIFS(Tracker!E:E, 2, Tracker!G:G, "&lt;="&amp;Daily!C134, Tracker!L:L, "N") / AA134</f>
        <v>0.60962566844919786</v>
      </c>
      <c r="AF134" s="48">
        <f t="shared" si="90"/>
        <v>42</v>
      </c>
      <c r="AG134" s="26">
        <f t="shared" si="91"/>
        <v>27</v>
      </c>
      <c r="AH134" s="62">
        <f t="shared" si="92"/>
        <v>0.6428571428571429</v>
      </c>
      <c r="AI134" s="74">
        <f>IFERROR(AVERAGEIFS(Tracker!I:I, Tracker!E:E, 3, Tracker!G:G, "&lt;="&amp;Daily!C134, Tracker!J:J, "Y"), 0)</f>
        <v>40.074074074074076</v>
      </c>
      <c r="AJ134" s="77">
        <f>IFERROR(COUNTIFS(Tracker!E:E, 3, Tracker!G:G, "&lt;="&amp;Daily!C134, Tracker!L:L, "N") / AF134,  0)</f>
        <v>0.35714285714285715</v>
      </c>
      <c r="AK134" s="48">
        <f t="shared" si="93"/>
        <v>318</v>
      </c>
      <c r="AL134" s="26">
        <f t="shared" si="94"/>
        <v>265</v>
      </c>
      <c r="AM134" s="62">
        <f t="shared" si="95"/>
        <v>0.83333333333333337</v>
      </c>
      <c r="AN134" s="74">
        <f>IFERROR(AVERAGEIFS(Tracker!I:I,  Tracker!G:G, "&lt;="&amp;Daily!C134, Tracker!J:J, "Y"), 0)</f>
        <v>23.316981132075473</v>
      </c>
      <c r="AO134" s="77">
        <f>IFERROR(COUNTIFS(Tracker!G:G, "&lt;="&amp;Daily!C134, Tracker!L:L, "N") / AK134,  0)</f>
        <v>0.62893081761006286</v>
      </c>
    </row>
    <row r="135" spans="1:41" x14ac:dyDescent="0.25">
      <c r="A135" s="119"/>
      <c r="B135" s="32">
        <f t="shared" si="78"/>
        <v>45350</v>
      </c>
      <c r="C135" s="27">
        <f t="shared" si="63"/>
        <v>45350</v>
      </c>
      <c r="D135" s="109" t="b">
        <f t="shared" ca="1" si="79"/>
        <v>1</v>
      </c>
      <c r="E135" s="51">
        <f t="shared" si="80"/>
        <v>0</v>
      </c>
      <c r="F135" s="48">
        <f>COUNTIFS(Tracker!G:G,Daily!C135, Tracker!J:J,"Y")</f>
        <v>0</v>
      </c>
      <c r="G135" s="26">
        <f>COUNTIFS(Tracker!G:G,Daily!C135, Tracker!J:J,"Y (with hints)")</f>
        <v>0</v>
      </c>
      <c r="H135" s="33">
        <f>COUNTIFS(Tracker!G:G,Daily!C135, Tracker!J:J,"N")</f>
        <v>0</v>
      </c>
      <c r="I135" s="54">
        <f t="shared" si="81"/>
        <v>0</v>
      </c>
      <c r="J135" s="26">
        <f>COUNTIFS(Tracker!G:G,Daily!C135, Tracker!J:J,"Y",Tracker!E:E,1)</f>
        <v>0</v>
      </c>
      <c r="K135" s="26">
        <f>COUNTIFS(Tracker!G:G,Daily!C135, Tracker!J:J,"Y (with hints)",Tracker!E:E,1)</f>
        <v>0</v>
      </c>
      <c r="L135" s="33">
        <f>COUNTIFS(Tracker!G:G,Daily!C135, Tracker!J:J,"N",Tracker!E:E,1)</f>
        <v>0</v>
      </c>
      <c r="M135" s="54">
        <f t="shared" si="82"/>
        <v>0</v>
      </c>
      <c r="N135" s="26">
        <f>COUNTIFS(Tracker!G:G,Daily!C135, Tracker!J:J,"Y",Tracker!E:E,2)</f>
        <v>0</v>
      </c>
      <c r="O135" s="26">
        <f>COUNTIFS(Tracker!G:G,Daily!C135, Tracker!J:J,"Y (with hints)",Tracker!E:E,2)</f>
        <v>0</v>
      </c>
      <c r="P135" s="33">
        <f>COUNTIFS(Tracker!G:G,Daily!C135, Tracker!J:J,"N",Tracker!E:E,2)</f>
        <v>0</v>
      </c>
      <c r="Q135" s="57">
        <f t="shared" si="83"/>
        <v>0</v>
      </c>
      <c r="R135" s="26">
        <f>COUNTIFS(Tracker!G:G,Daily!C135, Tracker!J:J,"Y",Tracker!E:E,3)</f>
        <v>0</v>
      </c>
      <c r="S135" s="26">
        <f>COUNTIFS(Tracker!G:G,Daily!C135, Tracker!J:J,"Y (with hints)",Tracker!E:E,3)</f>
        <v>0</v>
      </c>
      <c r="T135" s="33">
        <f>COUNTIFS(Tracker!G:G,Daily!C135, Tracker!J:J,"N",Tracker!E:E,3)</f>
        <v>0</v>
      </c>
      <c r="V135" s="48">
        <f t="shared" si="84"/>
        <v>89</v>
      </c>
      <c r="W135" s="26">
        <f t="shared" si="85"/>
        <v>85</v>
      </c>
      <c r="X135" s="62">
        <f t="shared" si="86"/>
        <v>0.9550561797752809</v>
      </c>
      <c r="Y135" s="74">
        <f>AVERAGEIFS(Tracker!I:I, Tracker!E:E, 1, Tracker!G:G, "&lt;="&amp;Daily!C135, Tracker!J:J, "Y")</f>
        <v>12.658823529411764</v>
      </c>
      <c r="Z135" s="77">
        <f>COUNTIFS(Tracker!E:E, 1, Tracker!G:G, "&lt;="&amp;Daily!C135, Tracker!L:L, "N") / V135</f>
        <v>0.797752808988764</v>
      </c>
      <c r="AA135" s="48">
        <f t="shared" si="87"/>
        <v>187</v>
      </c>
      <c r="AB135" s="26">
        <f t="shared" si="88"/>
        <v>153</v>
      </c>
      <c r="AC135" s="62">
        <f t="shared" si="89"/>
        <v>0.81818181818181823</v>
      </c>
      <c r="AD135" s="74">
        <f>AVERAGEIFS(Tracker!I:I, Tracker!E:E, 2, Tracker!G:G, "&lt;="&amp;Daily!C135, Tracker!J:J, "Y")</f>
        <v>26.281045751633986</v>
      </c>
      <c r="AE135" s="77">
        <f>COUNTIFS(Tracker!E:E, 2, Tracker!G:G, "&lt;="&amp;Daily!C135, Tracker!L:L, "N") / AA135</f>
        <v>0.60962566844919786</v>
      </c>
      <c r="AF135" s="48">
        <f t="shared" si="90"/>
        <v>42</v>
      </c>
      <c r="AG135" s="26">
        <f t="shared" si="91"/>
        <v>27</v>
      </c>
      <c r="AH135" s="62">
        <f t="shared" si="92"/>
        <v>0.6428571428571429</v>
      </c>
      <c r="AI135" s="74">
        <f>IFERROR(AVERAGEIFS(Tracker!I:I, Tracker!E:E, 3, Tracker!G:G, "&lt;="&amp;Daily!C135, Tracker!J:J, "Y"), 0)</f>
        <v>40.074074074074076</v>
      </c>
      <c r="AJ135" s="77">
        <f>IFERROR(COUNTIFS(Tracker!E:E, 3, Tracker!G:G, "&lt;="&amp;Daily!C135, Tracker!L:L, "N") / AF135,  0)</f>
        <v>0.35714285714285715</v>
      </c>
      <c r="AK135" s="48">
        <f t="shared" si="93"/>
        <v>318</v>
      </c>
      <c r="AL135" s="26">
        <f t="shared" si="94"/>
        <v>265</v>
      </c>
      <c r="AM135" s="62">
        <f t="shared" si="95"/>
        <v>0.83333333333333337</v>
      </c>
      <c r="AN135" s="74">
        <f>IFERROR(AVERAGEIFS(Tracker!I:I,  Tracker!G:G, "&lt;="&amp;Daily!C135, Tracker!J:J, "Y"), 0)</f>
        <v>23.316981132075473</v>
      </c>
      <c r="AO135" s="77">
        <f>IFERROR(COUNTIFS(Tracker!G:G, "&lt;="&amp;Daily!C135, Tracker!L:L, "N") / AK135,  0)</f>
        <v>0.62893081761006286</v>
      </c>
    </row>
    <row r="136" spans="1:41" x14ac:dyDescent="0.25">
      <c r="A136" s="119"/>
      <c r="B136" s="32">
        <f t="shared" si="78"/>
        <v>45351</v>
      </c>
      <c r="C136" s="27">
        <f t="shared" si="63"/>
        <v>45351</v>
      </c>
      <c r="D136" s="109" t="b">
        <f t="shared" ca="1" si="79"/>
        <v>1</v>
      </c>
      <c r="E136" s="51">
        <f t="shared" si="80"/>
        <v>0</v>
      </c>
      <c r="F136" s="48">
        <f>COUNTIFS(Tracker!G:G,Daily!C136, Tracker!J:J,"Y")</f>
        <v>0</v>
      </c>
      <c r="G136" s="26">
        <f>COUNTIFS(Tracker!G:G,Daily!C136, Tracker!J:J,"Y (with hints)")</f>
        <v>0</v>
      </c>
      <c r="H136" s="33">
        <f>COUNTIFS(Tracker!G:G,Daily!C136, Tracker!J:J,"N")</f>
        <v>0</v>
      </c>
      <c r="I136" s="54">
        <f t="shared" si="81"/>
        <v>0</v>
      </c>
      <c r="J136" s="26">
        <f>COUNTIFS(Tracker!G:G,Daily!C136, Tracker!J:J,"Y",Tracker!E:E,1)</f>
        <v>0</v>
      </c>
      <c r="K136" s="26">
        <f>COUNTIFS(Tracker!G:G,Daily!C136, Tracker!J:J,"Y (with hints)",Tracker!E:E,1)</f>
        <v>0</v>
      </c>
      <c r="L136" s="33">
        <f>COUNTIFS(Tracker!G:G,Daily!C136, Tracker!J:J,"N",Tracker!E:E,1)</f>
        <v>0</v>
      </c>
      <c r="M136" s="54">
        <f t="shared" si="82"/>
        <v>0</v>
      </c>
      <c r="N136" s="26">
        <f>COUNTIFS(Tracker!G:G,Daily!C136, Tracker!J:J,"Y",Tracker!E:E,2)</f>
        <v>0</v>
      </c>
      <c r="O136" s="26">
        <f>COUNTIFS(Tracker!G:G,Daily!C136, Tracker!J:J,"Y (with hints)",Tracker!E:E,2)</f>
        <v>0</v>
      </c>
      <c r="P136" s="33">
        <f>COUNTIFS(Tracker!G:G,Daily!C136, Tracker!J:J,"N",Tracker!E:E,2)</f>
        <v>0</v>
      </c>
      <c r="Q136" s="57">
        <f t="shared" si="83"/>
        <v>0</v>
      </c>
      <c r="R136" s="26">
        <f>COUNTIFS(Tracker!G:G,Daily!C136, Tracker!J:J,"Y",Tracker!E:E,3)</f>
        <v>0</v>
      </c>
      <c r="S136" s="26">
        <f>COUNTIFS(Tracker!G:G,Daily!C136, Tracker!J:J,"Y (with hints)",Tracker!E:E,3)</f>
        <v>0</v>
      </c>
      <c r="T136" s="33">
        <f>COUNTIFS(Tracker!G:G,Daily!C136, Tracker!J:J,"N",Tracker!E:E,3)</f>
        <v>0</v>
      </c>
      <c r="V136" s="48">
        <f t="shared" si="84"/>
        <v>89</v>
      </c>
      <c r="W136" s="26">
        <f t="shared" si="85"/>
        <v>85</v>
      </c>
      <c r="X136" s="62">
        <f t="shared" si="86"/>
        <v>0.9550561797752809</v>
      </c>
      <c r="Y136" s="74">
        <f>AVERAGEIFS(Tracker!I:I, Tracker!E:E, 1, Tracker!G:G, "&lt;="&amp;Daily!C136, Tracker!J:J, "Y")</f>
        <v>12.658823529411764</v>
      </c>
      <c r="Z136" s="77">
        <f>COUNTIFS(Tracker!E:E, 1, Tracker!G:G, "&lt;="&amp;Daily!C136, Tracker!L:L, "N") / V136</f>
        <v>0.797752808988764</v>
      </c>
      <c r="AA136" s="48">
        <f t="shared" si="87"/>
        <v>187</v>
      </c>
      <c r="AB136" s="26">
        <f t="shared" si="88"/>
        <v>153</v>
      </c>
      <c r="AC136" s="62">
        <f t="shared" si="89"/>
        <v>0.81818181818181823</v>
      </c>
      <c r="AD136" s="74">
        <f>AVERAGEIFS(Tracker!I:I, Tracker!E:E, 2, Tracker!G:G, "&lt;="&amp;Daily!C136, Tracker!J:J, "Y")</f>
        <v>26.281045751633986</v>
      </c>
      <c r="AE136" s="77">
        <f>COUNTIFS(Tracker!E:E, 2, Tracker!G:G, "&lt;="&amp;Daily!C136, Tracker!L:L, "N") / AA136</f>
        <v>0.60962566844919786</v>
      </c>
      <c r="AF136" s="48">
        <f t="shared" si="90"/>
        <v>42</v>
      </c>
      <c r="AG136" s="26">
        <f t="shared" si="91"/>
        <v>27</v>
      </c>
      <c r="AH136" s="62">
        <f t="shared" si="92"/>
        <v>0.6428571428571429</v>
      </c>
      <c r="AI136" s="74">
        <f>IFERROR(AVERAGEIFS(Tracker!I:I, Tracker!E:E, 3, Tracker!G:G, "&lt;="&amp;Daily!C136, Tracker!J:J, "Y"), 0)</f>
        <v>40.074074074074076</v>
      </c>
      <c r="AJ136" s="77">
        <f>IFERROR(COUNTIFS(Tracker!E:E, 3, Tracker!G:G, "&lt;="&amp;Daily!C136, Tracker!L:L, "N") / AF136,  0)</f>
        <v>0.35714285714285715</v>
      </c>
      <c r="AK136" s="48">
        <f t="shared" si="93"/>
        <v>318</v>
      </c>
      <c r="AL136" s="26">
        <f t="shared" si="94"/>
        <v>265</v>
      </c>
      <c r="AM136" s="62">
        <f t="shared" si="95"/>
        <v>0.83333333333333337</v>
      </c>
      <c r="AN136" s="74">
        <f>IFERROR(AVERAGEIFS(Tracker!I:I,  Tracker!G:G, "&lt;="&amp;Daily!C136, Tracker!J:J, "Y"), 0)</f>
        <v>23.316981132075473</v>
      </c>
      <c r="AO136" s="77">
        <f>IFERROR(COUNTIFS(Tracker!G:G, "&lt;="&amp;Daily!C136, Tracker!L:L, "N") / AK136,  0)</f>
        <v>0.62893081761006286</v>
      </c>
    </row>
    <row r="137" spans="1:41" x14ac:dyDescent="0.25">
      <c r="A137" s="119"/>
      <c r="B137" s="32">
        <f t="shared" si="78"/>
        <v>45352</v>
      </c>
      <c r="C137" s="27">
        <f t="shared" si="63"/>
        <v>45352</v>
      </c>
      <c r="D137" s="109" t="b">
        <f t="shared" ca="1" si="79"/>
        <v>1</v>
      </c>
      <c r="E137" s="51">
        <f t="shared" si="80"/>
        <v>0</v>
      </c>
      <c r="F137" s="48">
        <f>COUNTIFS(Tracker!G:G,Daily!C137, Tracker!J:J,"Y")</f>
        <v>0</v>
      </c>
      <c r="G137" s="26">
        <f>COUNTIFS(Tracker!G:G,Daily!C137, Tracker!J:J,"Y (with hints)")</f>
        <v>0</v>
      </c>
      <c r="H137" s="33">
        <f>COUNTIFS(Tracker!G:G,Daily!C137, Tracker!J:J,"N")</f>
        <v>0</v>
      </c>
      <c r="I137" s="54">
        <f t="shared" si="81"/>
        <v>0</v>
      </c>
      <c r="J137" s="26">
        <f>COUNTIFS(Tracker!G:G,Daily!C137, Tracker!J:J,"Y",Tracker!E:E,1)</f>
        <v>0</v>
      </c>
      <c r="K137" s="26">
        <f>COUNTIFS(Tracker!G:G,Daily!C137, Tracker!J:J,"Y (with hints)",Tracker!E:E,1)</f>
        <v>0</v>
      </c>
      <c r="L137" s="33">
        <f>COUNTIFS(Tracker!G:G,Daily!C137, Tracker!J:J,"N",Tracker!E:E,1)</f>
        <v>0</v>
      </c>
      <c r="M137" s="54">
        <f t="shared" si="82"/>
        <v>0</v>
      </c>
      <c r="N137" s="26">
        <f>COUNTIFS(Tracker!G:G,Daily!C137, Tracker!J:J,"Y",Tracker!E:E,2)</f>
        <v>0</v>
      </c>
      <c r="O137" s="26">
        <f>COUNTIFS(Tracker!G:G,Daily!C137, Tracker!J:J,"Y (with hints)",Tracker!E:E,2)</f>
        <v>0</v>
      </c>
      <c r="P137" s="33">
        <f>COUNTIFS(Tracker!G:G,Daily!C137, Tracker!J:J,"N",Tracker!E:E,2)</f>
        <v>0</v>
      </c>
      <c r="Q137" s="57">
        <f t="shared" si="83"/>
        <v>0</v>
      </c>
      <c r="R137" s="26">
        <f>COUNTIFS(Tracker!G:G,Daily!C137, Tracker!J:J,"Y",Tracker!E:E,3)</f>
        <v>0</v>
      </c>
      <c r="S137" s="26">
        <f>COUNTIFS(Tracker!G:G,Daily!C137, Tracker!J:J,"Y (with hints)",Tracker!E:E,3)</f>
        <v>0</v>
      </c>
      <c r="T137" s="33">
        <f>COUNTIFS(Tracker!G:G,Daily!C137, Tracker!J:J,"N",Tracker!E:E,3)</f>
        <v>0</v>
      </c>
      <c r="V137" s="48">
        <f t="shared" si="84"/>
        <v>89</v>
      </c>
      <c r="W137" s="26">
        <f t="shared" si="85"/>
        <v>85</v>
      </c>
      <c r="X137" s="62">
        <f t="shared" si="86"/>
        <v>0.9550561797752809</v>
      </c>
      <c r="Y137" s="74">
        <f>AVERAGEIFS(Tracker!I:I, Tracker!E:E, 1, Tracker!G:G, "&lt;="&amp;Daily!C137, Tracker!J:J, "Y")</f>
        <v>12.658823529411764</v>
      </c>
      <c r="Z137" s="77">
        <f>COUNTIFS(Tracker!E:E, 1, Tracker!G:G, "&lt;="&amp;Daily!C137, Tracker!L:L, "N") / V137</f>
        <v>0.797752808988764</v>
      </c>
      <c r="AA137" s="48">
        <f t="shared" si="87"/>
        <v>187</v>
      </c>
      <c r="AB137" s="26">
        <f t="shared" si="88"/>
        <v>153</v>
      </c>
      <c r="AC137" s="62">
        <f t="shared" si="89"/>
        <v>0.81818181818181823</v>
      </c>
      <c r="AD137" s="74">
        <f>AVERAGEIFS(Tracker!I:I, Tracker!E:E, 2, Tracker!G:G, "&lt;="&amp;Daily!C137, Tracker!J:J, "Y")</f>
        <v>26.281045751633986</v>
      </c>
      <c r="AE137" s="77">
        <f>COUNTIFS(Tracker!E:E, 2, Tracker!G:G, "&lt;="&amp;Daily!C137, Tracker!L:L, "N") / AA137</f>
        <v>0.60962566844919786</v>
      </c>
      <c r="AF137" s="48">
        <f t="shared" si="90"/>
        <v>42</v>
      </c>
      <c r="AG137" s="26">
        <f t="shared" si="91"/>
        <v>27</v>
      </c>
      <c r="AH137" s="62">
        <f t="shared" si="92"/>
        <v>0.6428571428571429</v>
      </c>
      <c r="AI137" s="74">
        <f>IFERROR(AVERAGEIFS(Tracker!I:I, Tracker!E:E, 3, Tracker!G:G, "&lt;="&amp;Daily!C137, Tracker!J:J, "Y"), 0)</f>
        <v>40.074074074074076</v>
      </c>
      <c r="AJ137" s="77">
        <f>IFERROR(COUNTIFS(Tracker!E:E, 3, Tracker!G:G, "&lt;="&amp;Daily!C137, Tracker!L:L, "N") / AF137,  0)</f>
        <v>0.35714285714285715</v>
      </c>
      <c r="AK137" s="48">
        <f t="shared" si="93"/>
        <v>318</v>
      </c>
      <c r="AL137" s="26">
        <f t="shared" si="94"/>
        <v>265</v>
      </c>
      <c r="AM137" s="62">
        <f t="shared" si="95"/>
        <v>0.83333333333333337</v>
      </c>
      <c r="AN137" s="74">
        <f>IFERROR(AVERAGEIFS(Tracker!I:I,  Tracker!G:G, "&lt;="&amp;Daily!C137, Tracker!J:J, "Y"), 0)</f>
        <v>23.316981132075473</v>
      </c>
      <c r="AO137" s="77">
        <f>IFERROR(COUNTIFS(Tracker!G:G, "&lt;="&amp;Daily!C137, Tracker!L:L, "N") / AK137,  0)</f>
        <v>0.62893081761006286</v>
      </c>
    </row>
    <row r="138" spans="1:41" x14ac:dyDescent="0.25">
      <c r="A138" s="119"/>
      <c r="B138" s="32">
        <f t="shared" si="78"/>
        <v>45353</v>
      </c>
      <c r="C138" s="27">
        <f t="shared" si="63"/>
        <v>45353</v>
      </c>
      <c r="D138" s="109" t="b">
        <f t="shared" ca="1" si="79"/>
        <v>1</v>
      </c>
      <c r="E138" s="51">
        <f t="shared" si="80"/>
        <v>0</v>
      </c>
      <c r="F138" s="48">
        <f>COUNTIFS(Tracker!G:G,Daily!C138, Tracker!J:J,"Y")</f>
        <v>0</v>
      </c>
      <c r="G138" s="26">
        <f>COUNTIFS(Tracker!G:G,Daily!C138, Tracker!J:J,"Y (with hints)")</f>
        <v>0</v>
      </c>
      <c r="H138" s="33">
        <f>COUNTIFS(Tracker!G:G,Daily!C138, Tracker!J:J,"N")</f>
        <v>0</v>
      </c>
      <c r="I138" s="54">
        <f t="shared" si="81"/>
        <v>0</v>
      </c>
      <c r="J138" s="26">
        <f>COUNTIFS(Tracker!G:G,Daily!C138, Tracker!J:J,"Y",Tracker!E:E,1)</f>
        <v>0</v>
      </c>
      <c r="K138" s="26">
        <f>COUNTIFS(Tracker!G:G,Daily!C138, Tracker!J:J,"Y (with hints)",Tracker!E:E,1)</f>
        <v>0</v>
      </c>
      <c r="L138" s="33">
        <f>COUNTIFS(Tracker!G:G,Daily!C138, Tracker!J:J,"N",Tracker!E:E,1)</f>
        <v>0</v>
      </c>
      <c r="M138" s="54">
        <f t="shared" si="82"/>
        <v>0</v>
      </c>
      <c r="N138" s="26">
        <f>COUNTIFS(Tracker!G:G,Daily!C138, Tracker!J:J,"Y",Tracker!E:E,2)</f>
        <v>0</v>
      </c>
      <c r="O138" s="26">
        <f>COUNTIFS(Tracker!G:G,Daily!C138, Tracker!J:J,"Y (with hints)",Tracker!E:E,2)</f>
        <v>0</v>
      </c>
      <c r="P138" s="33">
        <f>COUNTIFS(Tracker!G:G,Daily!C138, Tracker!J:J,"N",Tracker!E:E,2)</f>
        <v>0</v>
      </c>
      <c r="Q138" s="57">
        <f t="shared" si="83"/>
        <v>0</v>
      </c>
      <c r="R138" s="26">
        <f>COUNTIFS(Tracker!G:G,Daily!C138, Tracker!J:J,"Y",Tracker!E:E,3)</f>
        <v>0</v>
      </c>
      <c r="S138" s="26">
        <f>COUNTIFS(Tracker!G:G,Daily!C138, Tracker!J:J,"Y (with hints)",Tracker!E:E,3)</f>
        <v>0</v>
      </c>
      <c r="T138" s="33">
        <f>COUNTIFS(Tracker!G:G,Daily!C138, Tracker!J:J,"N",Tracker!E:E,3)</f>
        <v>0</v>
      </c>
      <c r="V138" s="48">
        <f t="shared" si="84"/>
        <v>89</v>
      </c>
      <c r="W138" s="26">
        <f t="shared" si="85"/>
        <v>85</v>
      </c>
      <c r="X138" s="62">
        <f t="shared" si="86"/>
        <v>0.9550561797752809</v>
      </c>
      <c r="Y138" s="74">
        <f>AVERAGEIFS(Tracker!I:I, Tracker!E:E, 1, Tracker!G:G, "&lt;="&amp;Daily!C138, Tracker!J:J, "Y")</f>
        <v>12.658823529411764</v>
      </c>
      <c r="Z138" s="77">
        <f>COUNTIFS(Tracker!E:E, 1, Tracker!G:G, "&lt;="&amp;Daily!C138, Tracker!L:L, "N") / V138</f>
        <v>0.797752808988764</v>
      </c>
      <c r="AA138" s="48">
        <f t="shared" si="87"/>
        <v>187</v>
      </c>
      <c r="AB138" s="26">
        <f t="shared" si="88"/>
        <v>153</v>
      </c>
      <c r="AC138" s="62">
        <f t="shared" si="89"/>
        <v>0.81818181818181823</v>
      </c>
      <c r="AD138" s="74">
        <f>AVERAGEIFS(Tracker!I:I, Tracker!E:E, 2, Tracker!G:G, "&lt;="&amp;Daily!C138, Tracker!J:J, "Y")</f>
        <v>26.281045751633986</v>
      </c>
      <c r="AE138" s="77">
        <f>COUNTIFS(Tracker!E:E, 2, Tracker!G:G, "&lt;="&amp;Daily!C138, Tracker!L:L, "N") / AA138</f>
        <v>0.60962566844919786</v>
      </c>
      <c r="AF138" s="48">
        <f t="shared" si="90"/>
        <v>42</v>
      </c>
      <c r="AG138" s="26">
        <f t="shared" si="91"/>
        <v>27</v>
      </c>
      <c r="AH138" s="62">
        <f t="shared" si="92"/>
        <v>0.6428571428571429</v>
      </c>
      <c r="AI138" s="74">
        <f>IFERROR(AVERAGEIFS(Tracker!I:I, Tracker!E:E, 3, Tracker!G:G, "&lt;="&amp;Daily!C138, Tracker!J:J, "Y"), 0)</f>
        <v>40.074074074074076</v>
      </c>
      <c r="AJ138" s="77">
        <f>IFERROR(COUNTIFS(Tracker!E:E, 3, Tracker!G:G, "&lt;="&amp;Daily!C138, Tracker!L:L, "N") / AF138,  0)</f>
        <v>0.35714285714285715</v>
      </c>
      <c r="AK138" s="48">
        <f t="shared" si="93"/>
        <v>318</v>
      </c>
      <c r="AL138" s="26">
        <f t="shared" si="94"/>
        <v>265</v>
      </c>
      <c r="AM138" s="62">
        <f t="shared" si="95"/>
        <v>0.83333333333333337</v>
      </c>
      <c r="AN138" s="74">
        <f>IFERROR(AVERAGEIFS(Tracker!I:I,  Tracker!G:G, "&lt;="&amp;Daily!C138, Tracker!J:J, "Y"), 0)</f>
        <v>23.316981132075473</v>
      </c>
      <c r="AO138" s="77">
        <f>IFERROR(COUNTIFS(Tracker!G:G, "&lt;="&amp;Daily!C138, Tracker!L:L, "N") / AK138,  0)</f>
        <v>0.62893081761006286</v>
      </c>
    </row>
    <row r="139" spans="1:41" ht="15.75" thickBot="1" x14ac:dyDescent="0.3">
      <c r="A139" s="120"/>
      <c r="B139" s="34">
        <f t="shared" si="78"/>
        <v>45354</v>
      </c>
      <c r="C139" s="35">
        <f t="shared" si="63"/>
        <v>45354</v>
      </c>
      <c r="D139" s="110" t="b">
        <f t="shared" ca="1" si="79"/>
        <v>1</v>
      </c>
      <c r="E139" s="52">
        <f t="shared" si="80"/>
        <v>0</v>
      </c>
      <c r="F139" s="39">
        <f>COUNTIFS(Tracker!G:G,Daily!C139, Tracker!J:J,"Y")</f>
        <v>0</v>
      </c>
      <c r="G139" s="36">
        <f>COUNTIFS(Tracker!G:G,Daily!C139, Tracker!J:J,"Y (with hints)")</f>
        <v>0</v>
      </c>
      <c r="H139" s="37">
        <f>COUNTIFS(Tracker!G:G,Daily!C139, Tracker!J:J,"N")</f>
        <v>0</v>
      </c>
      <c r="I139" s="55">
        <f t="shared" si="81"/>
        <v>0</v>
      </c>
      <c r="J139" s="36">
        <f>COUNTIFS(Tracker!G:G,Daily!C139, Tracker!J:J,"Y",Tracker!E:E,1)</f>
        <v>0</v>
      </c>
      <c r="K139" s="36">
        <f>COUNTIFS(Tracker!G:G,Daily!C139, Tracker!J:J,"Y (with hints)",Tracker!E:E,1)</f>
        <v>0</v>
      </c>
      <c r="L139" s="37">
        <f>COUNTIFS(Tracker!G:G,Daily!C139, Tracker!J:J,"N",Tracker!E:E,1)</f>
        <v>0</v>
      </c>
      <c r="M139" s="55">
        <f t="shared" si="82"/>
        <v>0</v>
      </c>
      <c r="N139" s="36">
        <f>COUNTIFS(Tracker!G:G,Daily!C139, Tracker!J:J,"Y",Tracker!E:E,2)</f>
        <v>0</v>
      </c>
      <c r="O139" s="36">
        <f>COUNTIFS(Tracker!G:G,Daily!C139, Tracker!J:J,"Y (with hints)",Tracker!E:E,2)</f>
        <v>0</v>
      </c>
      <c r="P139" s="37">
        <f>COUNTIFS(Tracker!G:G,Daily!C139, Tracker!J:J,"N",Tracker!E:E,2)</f>
        <v>0</v>
      </c>
      <c r="Q139" s="58">
        <f t="shared" si="83"/>
        <v>0</v>
      </c>
      <c r="R139" s="36">
        <f>COUNTIFS(Tracker!G:G,Daily!C139, Tracker!J:J,"Y",Tracker!E:E,3)</f>
        <v>0</v>
      </c>
      <c r="S139" s="36">
        <f>COUNTIFS(Tracker!G:G,Daily!C139, Tracker!J:J,"Y (with hints)",Tracker!E:E,3)</f>
        <v>0</v>
      </c>
      <c r="T139" s="37">
        <f>COUNTIFS(Tracker!G:G,Daily!C139, Tracker!J:J,"N",Tracker!E:E,3)</f>
        <v>0</v>
      </c>
      <c r="V139" s="39">
        <f t="shared" si="84"/>
        <v>89</v>
      </c>
      <c r="W139" s="36">
        <f t="shared" si="85"/>
        <v>85</v>
      </c>
      <c r="X139" s="64">
        <f t="shared" si="86"/>
        <v>0.9550561797752809</v>
      </c>
      <c r="Y139" s="78">
        <f>AVERAGEIFS(Tracker!I:I, Tracker!E:E, 1, Tracker!G:G, "&lt;="&amp;Daily!C139, Tracker!J:J, "Y")</f>
        <v>12.658823529411764</v>
      </c>
      <c r="Z139" s="79">
        <f>COUNTIFS(Tracker!E:E, 1, Tracker!G:G, "&lt;="&amp;Daily!C139, Tracker!L:L, "N") / V139</f>
        <v>0.797752808988764</v>
      </c>
      <c r="AA139" s="39">
        <f t="shared" si="87"/>
        <v>187</v>
      </c>
      <c r="AB139" s="36">
        <f t="shared" si="88"/>
        <v>153</v>
      </c>
      <c r="AC139" s="64">
        <f t="shared" si="89"/>
        <v>0.81818181818181823</v>
      </c>
      <c r="AD139" s="78">
        <f>AVERAGEIFS(Tracker!I:I, Tracker!E:E, 2, Tracker!G:G, "&lt;="&amp;Daily!C139, Tracker!J:J, "Y")</f>
        <v>26.281045751633986</v>
      </c>
      <c r="AE139" s="79">
        <f>COUNTIFS(Tracker!E:E, 2, Tracker!G:G, "&lt;="&amp;Daily!C139, Tracker!L:L, "N") / AA139</f>
        <v>0.60962566844919786</v>
      </c>
      <c r="AF139" s="39">
        <f t="shared" si="90"/>
        <v>42</v>
      </c>
      <c r="AG139" s="36">
        <f t="shared" si="91"/>
        <v>27</v>
      </c>
      <c r="AH139" s="64">
        <f t="shared" si="92"/>
        <v>0.6428571428571429</v>
      </c>
      <c r="AI139" s="78">
        <f>IFERROR(AVERAGEIFS(Tracker!I:I, Tracker!E:E, 3, Tracker!G:G, "&lt;="&amp;Daily!C139, Tracker!J:J, "Y"), 0)</f>
        <v>40.074074074074076</v>
      </c>
      <c r="AJ139" s="79">
        <f>IFERROR(COUNTIFS(Tracker!E:E, 3, Tracker!G:G, "&lt;="&amp;Daily!C139, Tracker!L:L, "N") / AF139,  0)</f>
        <v>0.35714285714285715</v>
      </c>
      <c r="AK139" s="39">
        <f t="shared" si="93"/>
        <v>318</v>
      </c>
      <c r="AL139" s="36">
        <f t="shared" si="94"/>
        <v>265</v>
      </c>
      <c r="AM139" s="64">
        <f t="shared" si="95"/>
        <v>0.83333333333333337</v>
      </c>
      <c r="AN139" s="78">
        <f>IFERROR(AVERAGEIFS(Tracker!I:I,  Tracker!G:G, "&lt;="&amp;Daily!C139, Tracker!J:J, "Y"), 0)</f>
        <v>23.316981132075473</v>
      </c>
      <c r="AO139" s="79">
        <f>IFERROR(COUNTIFS(Tracker!G:G, "&lt;="&amp;Daily!C139, Tracker!L:L, "N") / AK139,  0)</f>
        <v>0.62893081761006286</v>
      </c>
    </row>
    <row r="140" spans="1:41" x14ac:dyDescent="0.25">
      <c r="A140" s="118">
        <f>A133+1</f>
        <v>20</v>
      </c>
      <c r="B140" s="28">
        <f t="shared" ref="B140:B203" si="96">C140</f>
        <v>45355</v>
      </c>
      <c r="C140" s="29">
        <f t="shared" si="63"/>
        <v>45355</v>
      </c>
      <c r="D140" s="108" t="b">
        <f t="shared" ca="1" si="79"/>
        <v>1</v>
      </c>
      <c r="E140" s="50">
        <f t="shared" ref="E140:E203" si="97">SUM(F140:H140)</f>
        <v>0</v>
      </c>
      <c r="F140" s="38">
        <f>COUNTIFS(Tracker!G:G,Daily!C140, Tracker!J:J,"Y")</f>
        <v>0</v>
      </c>
      <c r="G140" s="30">
        <f>COUNTIFS(Tracker!G:G,Daily!C140, Tracker!J:J,"Y (with hints)")</f>
        <v>0</v>
      </c>
      <c r="H140" s="31">
        <f>COUNTIFS(Tracker!G:G,Daily!C140, Tracker!J:J,"N")</f>
        <v>0</v>
      </c>
      <c r="I140" s="53">
        <f t="shared" ref="I140:I203" si="98">SUM(J140:L140)</f>
        <v>0</v>
      </c>
      <c r="J140" s="30">
        <f>COUNTIFS(Tracker!G:G,Daily!C140, Tracker!J:J,"Y",Tracker!E:E,1)</f>
        <v>0</v>
      </c>
      <c r="K140" s="30">
        <f>COUNTIFS(Tracker!G:G,Daily!C140, Tracker!J:J,"Y (with hints)",Tracker!E:E,1)</f>
        <v>0</v>
      </c>
      <c r="L140" s="31">
        <f>COUNTIFS(Tracker!G:G,Daily!C140, Tracker!J:J,"N",Tracker!E:E,1)</f>
        <v>0</v>
      </c>
      <c r="M140" s="53">
        <f t="shared" ref="M140:M203" si="99">SUM(N140:P140)</f>
        <v>0</v>
      </c>
      <c r="N140" s="30">
        <f>COUNTIFS(Tracker!G:G,Daily!C140, Tracker!J:J,"Y",Tracker!E:E,2)</f>
        <v>0</v>
      </c>
      <c r="O140" s="30">
        <f>COUNTIFS(Tracker!G:G,Daily!C140, Tracker!J:J,"Y (with hints)",Tracker!E:E,2)</f>
        <v>0</v>
      </c>
      <c r="P140" s="31">
        <f>COUNTIFS(Tracker!G:G,Daily!C140, Tracker!J:J,"N",Tracker!E:E,2)</f>
        <v>0</v>
      </c>
      <c r="Q140" s="56">
        <f t="shared" ref="Q140:Q203" si="100">SUM(R140:T140)</f>
        <v>0</v>
      </c>
      <c r="R140" s="30">
        <f>COUNTIFS(Tracker!G:G,Daily!C140, Tracker!J:J,"Y",Tracker!E:E,3)</f>
        <v>0</v>
      </c>
      <c r="S140" s="30">
        <f>COUNTIFS(Tracker!G:G,Daily!C140, Tracker!J:J,"Y (with hints)",Tracker!E:E,3)</f>
        <v>0</v>
      </c>
      <c r="T140" s="31">
        <f>COUNTIFS(Tracker!G:G,Daily!C140, Tracker!J:J,"N",Tracker!E:E,3)</f>
        <v>0</v>
      </c>
      <c r="V140" s="38">
        <f t="shared" ref="V140:V203" si="101">V139+I140</f>
        <v>89</v>
      </c>
      <c r="W140" s="30">
        <f t="shared" ref="W140:W203" si="102">W139+J140</f>
        <v>85</v>
      </c>
      <c r="X140" s="73">
        <f t="shared" ref="X140:X203" si="103">W140/V140</f>
        <v>0.9550561797752809</v>
      </c>
      <c r="Y140" s="75">
        <f>AVERAGEIFS(Tracker!I:I, Tracker!E:E, 1, Tracker!G:G, "&lt;="&amp;Daily!C140, Tracker!J:J, "Y")</f>
        <v>12.658823529411764</v>
      </c>
      <c r="Z140" s="76">
        <f>COUNTIFS(Tracker!E:E, 1, Tracker!G:G, "&lt;="&amp;Daily!C140, Tracker!L:L, "N") / V140</f>
        <v>0.797752808988764</v>
      </c>
      <c r="AA140" s="38">
        <f t="shared" ref="AA140:AA203" si="104">AA139+M140</f>
        <v>187</v>
      </c>
      <c r="AB140" s="30">
        <f t="shared" ref="AB140:AB203" si="105">AB139+N140</f>
        <v>153</v>
      </c>
      <c r="AC140" s="73">
        <f t="shared" ref="AC140:AC203" si="106">AB140/AA140</f>
        <v>0.81818181818181823</v>
      </c>
      <c r="AD140" s="75">
        <f>AVERAGEIFS(Tracker!I:I, Tracker!E:E, 2, Tracker!G:G, "&lt;="&amp;Daily!C140, Tracker!J:J, "Y")</f>
        <v>26.281045751633986</v>
      </c>
      <c r="AE140" s="76">
        <f>COUNTIFS(Tracker!E:E, 2, Tracker!G:G, "&lt;="&amp;Daily!C140, Tracker!L:L, "N") / AA140</f>
        <v>0.60962566844919786</v>
      </c>
      <c r="AF140" s="38">
        <f t="shared" ref="AF140:AF203" si="107">AF139+Q140</f>
        <v>42</v>
      </c>
      <c r="AG140" s="30">
        <f t="shared" ref="AG140:AG203" si="108">AG139+R140</f>
        <v>27</v>
      </c>
      <c r="AH140" s="73">
        <f t="shared" ref="AH140:AH203" si="109">IFERROR(AG140/AF140, 0)</f>
        <v>0.6428571428571429</v>
      </c>
      <c r="AI140" s="75">
        <f>IFERROR(AVERAGEIFS(Tracker!I:I, Tracker!E:E, 3, Tracker!G:G, "&lt;="&amp;Daily!C140, Tracker!J:J, "Y"), 0)</f>
        <v>40.074074074074076</v>
      </c>
      <c r="AJ140" s="76">
        <f>IFERROR(COUNTIFS(Tracker!E:E, 3, Tracker!G:G, "&lt;="&amp;Daily!C140, Tracker!L:L, "N") / AF140,  0)</f>
        <v>0.35714285714285715</v>
      </c>
      <c r="AK140" s="38">
        <f t="shared" ref="AK140:AK203" si="110">V140+AA140+AF140</f>
        <v>318</v>
      </c>
      <c r="AL140" s="30">
        <f t="shared" ref="AL140:AL203" si="111">W140+AB140+AG140</f>
        <v>265</v>
      </c>
      <c r="AM140" s="73">
        <f t="shared" ref="AM140:AM203" si="112">IFERROR(AL140/AK140, 0)</f>
        <v>0.83333333333333337</v>
      </c>
      <c r="AN140" s="75">
        <f>IFERROR(AVERAGEIFS(Tracker!I:I,  Tracker!G:G, "&lt;="&amp;Daily!C140, Tracker!J:J, "Y"), 0)</f>
        <v>23.316981132075473</v>
      </c>
      <c r="AO140" s="76">
        <f>IFERROR(COUNTIFS(Tracker!G:G, "&lt;="&amp;Daily!C140, Tracker!L:L, "N") / AK140,  0)</f>
        <v>0.62893081761006286</v>
      </c>
    </row>
    <row r="141" spans="1:41" x14ac:dyDescent="0.25">
      <c r="A141" s="119"/>
      <c r="B141" s="32">
        <f t="shared" si="96"/>
        <v>45356</v>
      </c>
      <c r="C141" s="27">
        <f t="shared" si="63"/>
        <v>45356</v>
      </c>
      <c r="D141" s="109" t="b">
        <f t="shared" ca="1" si="79"/>
        <v>1</v>
      </c>
      <c r="E141" s="51">
        <f t="shared" si="97"/>
        <v>0</v>
      </c>
      <c r="F141" s="48">
        <f>COUNTIFS(Tracker!G:G,Daily!C141, Tracker!J:J,"Y")</f>
        <v>0</v>
      </c>
      <c r="G141" s="26">
        <f>COUNTIFS(Tracker!G:G,Daily!C141, Tracker!J:J,"Y (with hints)")</f>
        <v>0</v>
      </c>
      <c r="H141" s="33">
        <f>COUNTIFS(Tracker!G:G,Daily!C141, Tracker!J:J,"N")</f>
        <v>0</v>
      </c>
      <c r="I141" s="54">
        <f t="shared" si="98"/>
        <v>0</v>
      </c>
      <c r="J141" s="26">
        <f>COUNTIFS(Tracker!G:G,Daily!C141, Tracker!J:J,"Y",Tracker!E:E,1)</f>
        <v>0</v>
      </c>
      <c r="K141" s="26">
        <f>COUNTIFS(Tracker!G:G,Daily!C141, Tracker!J:J,"Y (with hints)",Tracker!E:E,1)</f>
        <v>0</v>
      </c>
      <c r="L141" s="33">
        <f>COUNTIFS(Tracker!G:G,Daily!C141, Tracker!J:J,"N",Tracker!E:E,1)</f>
        <v>0</v>
      </c>
      <c r="M141" s="54">
        <f t="shared" si="99"/>
        <v>0</v>
      </c>
      <c r="N141" s="26">
        <f>COUNTIFS(Tracker!G:G,Daily!C141, Tracker!J:J,"Y",Tracker!E:E,2)</f>
        <v>0</v>
      </c>
      <c r="O141" s="26">
        <f>COUNTIFS(Tracker!G:G,Daily!C141, Tracker!J:J,"Y (with hints)",Tracker!E:E,2)</f>
        <v>0</v>
      </c>
      <c r="P141" s="33">
        <f>COUNTIFS(Tracker!G:G,Daily!C141, Tracker!J:J,"N",Tracker!E:E,2)</f>
        <v>0</v>
      </c>
      <c r="Q141" s="57">
        <f t="shared" si="100"/>
        <v>0</v>
      </c>
      <c r="R141" s="26">
        <f>COUNTIFS(Tracker!G:G,Daily!C141, Tracker!J:J,"Y",Tracker!E:E,3)</f>
        <v>0</v>
      </c>
      <c r="S141" s="26">
        <f>COUNTIFS(Tracker!G:G,Daily!C141, Tracker!J:J,"Y (with hints)",Tracker!E:E,3)</f>
        <v>0</v>
      </c>
      <c r="T141" s="33">
        <f>COUNTIFS(Tracker!G:G,Daily!C141, Tracker!J:J,"N",Tracker!E:E,3)</f>
        <v>0</v>
      </c>
      <c r="V141" s="48">
        <f t="shared" si="101"/>
        <v>89</v>
      </c>
      <c r="W141" s="26">
        <f t="shared" si="102"/>
        <v>85</v>
      </c>
      <c r="X141" s="62">
        <f t="shared" si="103"/>
        <v>0.9550561797752809</v>
      </c>
      <c r="Y141" s="74">
        <f>AVERAGEIFS(Tracker!I:I, Tracker!E:E, 1, Tracker!G:G, "&lt;="&amp;Daily!C141, Tracker!J:J, "Y")</f>
        <v>12.658823529411764</v>
      </c>
      <c r="Z141" s="77">
        <f>COUNTIFS(Tracker!E:E, 1, Tracker!G:G, "&lt;="&amp;Daily!C141, Tracker!L:L, "N") / V141</f>
        <v>0.797752808988764</v>
      </c>
      <c r="AA141" s="48">
        <f t="shared" si="104"/>
        <v>187</v>
      </c>
      <c r="AB141" s="26">
        <f t="shared" si="105"/>
        <v>153</v>
      </c>
      <c r="AC141" s="62">
        <f t="shared" si="106"/>
        <v>0.81818181818181823</v>
      </c>
      <c r="AD141" s="74">
        <f>AVERAGEIFS(Tracker!I:I, Tracker!E:E, 2, Tracker!G:G, "&lt;="&amp;Daily!C141, Tracker!J:J, "Y")</f>
        <v>26.281045751633986</v>
      </c>
      <c r="AE141" s="77">
        <f>COUNTIFS(Tracker!E:E, 2, Tracker!G:G, "&lt;="&amp;Daily!C141, Tracker!L:L, "N") / AA141</f>
        <v>0.60962566844919786</v>
      </c>
      <c r="AF141" s="48">
        <f t="shared" si="107"/>
        <v>42</v>
      </c>
      <c r="AG141" s="26">
        <f t="shared" si="108"/>
        <v>27</v>
      </c>
      <c r="AH141" s="62">
        <f t="shared" si="109"/>
        <v>0.6428571428571429</v>
      </c>
      <c r="AI141" s="74">
        <f>IFERROR(AVERAGEIFS(Tracker!I:I, Tracker!E:E, 3, Tracker!G:G, "&lt;="&amp;Daily!C141, Tracker!J:J, "Y"), 0)</f>
        <v>40.074074074074076</v>
      </c>
      <c r="AJ141" s="77">
        <f>IFERROR(COUNTIFS(Tracker!E:E, 3, Tracker!G:G, "&lt;="&amp;Daily!C141, Tracker!L:L, "N") / AF141,  0)</f>
        <v>0.35714285714285715</v>
      </c>
      <c r="AK141" s="48">
        <f t="shared" si="110"/>
        <v>318</v>
      </c>
      <c r="AL141" s="26">
        <f t="shared" si="111"/>
        <v>265</v>
      </c>
      <c r="AM141" s="62">
        <f t="shared" si="112"/>
        <v>0.83333333333333337</v>
      </c>
      <c r="AN141" s="74">
        <f>IFERROR(AVERAGEIFS(Tracker!I:I,  Tracker!G:G, "&lt;="&amp;Daily!C141, Tracker!J:J, "Y"), 0)</f>
        <v>23.316981132075473</v>
      </c>
      <c r="AO141" s="77">
        <f>IFERROR(COUNTIFS(Tracker!G:G, "&lt;="&amp;Daily!C141, Tracker!L:L, "N") / AK141,  0)</f>
        <v>0.62893081761006286</v>
      </c>
    </row>
    <row r="142" spans="1:41" x14ac:dyDescent="0.25">
      <c r="A142" s="119"/>
      <c r="B142" s="32">
        <f t="shared" si="96"/>
        <v>45357</v>
      </c>
      <c r="C142" s="27">
        <f t="shared" si="63"/>
        <v>45357</v>
      </c>
      <c r="D142" s="109" t="b">
        <f t="shared" ca="1" si="79"/>
        <v>1</v>
      </c>
      <c r="E142" s="51">
        <f t="shared" si="97"/>
        <v>0</v>
      </c>
      <c r="F142" s="48">
        <f>COUNTIFS(Tracker!G:G,Daily!C142, Tracker!J:J,"Y")</f>
        <v>0</v>
      </c>
      <c r="G142" s="26">
        <f>COUNTIFS(Tracker!G:G,Daily!C142, Tracker!J:J,"Y (with hints)")</f>
        <v>0</v>
      </c>
      <c r="H142" s="33">
        <f>COUNTIFS(Tracker!G:G,Daily!C142, Tracker!J:J,"N")</f>
        <v>0</v>
      </c>
      <c r="I142" s="54">
        <f t="shared" si="98"/>
        <v>0</v>
      </c>
      <c r="J142" s="26">
        <f>COUNTIFS(Tracker!G:G,Daily!C142, Tracker!J:J,"Y",Tracker!E:E,1)</f>
        <v>0</v>
      </c>
      <c r="K142" s="26">
        <f>COUNTIFS(Tracker!G:G,Daily!C142, Tracker!J:J,"Y (with hints)",Tracker!E:E,1)</f>
        <v>0</v>
      </c>
      <c r="L142" s="33">
        <f>COUNTIFS(Tracker!G:G,Daily!C142, Tracker!J:J,"N",Tracker!E:E,1)</f>
        <v>0</v>
      </c>
      <c r="M142" s="54">
        <f t="shared" si="99"/>
        <v>0</v>
      </c>
      <c r="N142" s="26">
        <f>COUNTIFS(Tracker!G:G,Daily!C142, Tracker!J:J,"Y",Tracker!E:E,2)</f>
        <v>0</v>
      </c>
      <c r="O142" s="26">
        <f>COUNTIFS(Tracker!G:G,Daily!C142, Tracker!J:J,"Y (with hints)",Tracker!E:E,2)</f>
        <v>0</v>
      </c>
      <c r="P142" s="33">
        <f>COUNTIFS(Tracker!G:G,Daily!C142, Tracker!J:J,"N",Tracker!E:E,2)</f>
        <v>0</v>
      </c>
      <c r="Q142" s="57">
        <f t="shared" si="100"/>
        <v>0</v>
      </c>
      <c r="R142" s="26">
        <f>COUNTIFS(Tracker!G:G,Daily!C142, Tracker!J:J,"Y",Tracker!E:E,3)</f>
        <v>0</v>
      </c>
      <c r="S142" s="26">
        <f>COUNTIFS(Tracker!G:G,Daily!C142, Tracker!J:J,"Y (with hints)",Tracker!E:E,3)</f>
        <v>0</v>
      </c>
      <c r="T142" s="33">
        <f>COUNTIFS(Tracker!G:G,Daily!C142, Tracker!J:J,"N",Tracker!E:E,3)</f>
        <v>0</v>
      </c>
      <c r="V142" s="48">
        <f t="shared" si="101"/>
        <v>89</v>
      </c>
      <c r="W142" s="26">
        <f t="shared" si="102"/>
        <v>85</v>
      </c>
      <c r="X142" s="62">
        <f t="shared" si="103"/>
        <v>0.9550561797752809</v>
      </c>
      <c r="Y142" s="74">
        <f>AVERAGEIFS(Tracker!I:I, Tracker!E:E, 1, Tracker!G:G, "&lt;="&amp;Daily!C142, Tracker!J:J, "Y")</f>
        <v>12.658823529411764</v>
      </c>
      <c r="Z142" s="77">
        <f>COUNTIFS(Tracker!E:E, 1, Tracker!G:G, "&lt;="&amp;Daily!C142, Tracker!L:L, "N") / V142</f>
        <v>0.797752808988764</v>
      </c>
      <c r="AA142" s="48">
        <f t="shared" si="104"/>
        <v>187</v>
      </c>
      <c r="AB142" s="26">
        <f t="shared" si="105"/>
        <v>153</v>
      </c>
      <c r="AC142" s="62">
        <f t="shared" si="106"/>
        <v>0.81818181818181823</v>
      </c>
      <c r="AD142" s="74">
        <f>AVERAGEIFS(Tracker!I:I, Tracker!E:E, 2, Tracker!G:G, "&lt;="&amp;Daily!C142, Tracker!J:J, "Y")</f>
        <v>26.281045751633986</v>
      </c>
      <c r="AE142" s="77">
        <f>COUNTIFS(Tracker!E:E, 2, Tracker!G:G, "&lt;="&amp;Daily!C142, Tracker!L:L, "N") / AA142</f>
        <v>0.60962566844919786</v>
      </c>
      <c r="AF142" s="48">
        <f t="shared" si="107"/>
        <v>42</v>
      </c>
      <c r="AG142" s="26">
        <f t="shared" si="108"/>
        <v>27</v>
      </c>
      <c r="AH142" s="62">
        <f t="shared" si="109"/>
        <v>0.6428571428571429</v>
      </c>
      <c r="AI142" s="74">
        <f>IFERROR(AVERAGEIFS(Tracker!I:I, Tracker!E:E, 3, Tracker!G:G, "&lt;="&amp;Daily!C142, Tracker!J:J, "Y"), 0)</f>
        <v>40.074074074074076</v>
      </c>
      <c r="AJ142" s="77">
        <f>IFERROR(COUNTIFS(Tracker!E:E, 3, Tracker!G:G, "&lt;="&amp;Daily!C142, Tracker!L:L, "N") / AF142,  0)</f>
        <v>0.35714285714285715</v>
      </c>
      <c r="AK142" s="48">
        <f t="shared" si="110"/>
        <v>318</v>
      </c>
      <c r="AL142" s="26">
        <f t="shared" si="111"/>
        <v>265</v>
      </c>
      <c r="AM142" s="62">
        <f t="shared" si="112"/>
        <v>0.83333333333333337</v>
      </c>
      <c r="AN142" s="74">
        <f>IFERROR(AVERAGEIFS(Tracker!I:I,  Tracker!G:G, "&lt;="&amp;Daily!C142, Tracker!J:J, "Y"), 0)</f>
        <v>23.316981132075473</v>
      </c>
      <c r="AO142" s="77">
        <f>IFERROR(COUNTIFS(Tracker!G:G, "&lt;="&amp;Daily!C142, Tracker!L:L, "N") / AK142,  0)</f>
        <v>0.62893081761006286</v>
      </c>
    </row>
    <row r="143" spans="1:41" x14ac:dyDescent="0.25">
      <c r="A143" s="119"/>
      <c r="B143" s="32">
        <f t="shared" si="96"/>
        <v>45358</v>
      </c>
      <c r="C143" s="27">
        <f t="shared" ref="C143:C206" si="113">C136+7</f>
        <v>45358</v>
      </c>
      <c r="D143" s="109" t="b">
        <f t="shared" ca="1" si="79"/>
        <v>1</v>
      </c>
      <c r="E143" s="51">
        <f t="shared" si="97"/>
        <v>0</v>
      </c>
      <c r="F143" s="48">
        <f>COUNTIFS(Tracker!G:G,Daily!C143, Tracker!J:J,"Y")</f>
        <v>0</v>
      </c>
      <c r="G143" s="26">
        <f>COUNTIFS(Tracker!G:G,Daily!C143, Tracker!J:J,"Y (with hints)")</f>
        <v>0</v>
      </c>
      <c r="H143" s="33">
        <f>COUNTIFS(Tracker!G:G,Daily!C143, Tracker!J:J,"N")</f>
        <v>0</v>
      </c>
      <c r="I143" s="54">
        <f t="shared" si="98"/>
        <v>0</v>
      </c>
      <c r="J143" s="26">
        <f>COUNTIFS(Tracker!G:G,Daily!C143, Tracker!J:J,"Y",Tracker!E:E,1)</f>
        <v>0</v>
      </c>
      <c r="K143" s="26">
        <f>COUNTIFS(Tracker!G:G,Daily!C143, Tracker!J:J,"Y (with hints)",Tracker!E:E,1)</f>
        <v>0</v>
      </c>
      <c r="L143" s="33">
        <f>COUNTIFS(Tracker!G:G,Daily!C143, Tracker!J:J,"N",Tracker!E:E,1)</f>
        <v>0</v>
      </c>
      <c r="M143" s="54">
        <f t="shared" si="99"/>
        <v>0</v>
      </c>
      <c r="N143" s="26">
        <f>COUNTIFS(Tracker!G:G,Daily!C143, Tracker!J:J,"Y",Tracker!E:E,2)</f>
        <v>0</v>
      </c>
      <c r="O143" s="26">
        <f>COUNTIFS(Tracker!G:G,Daily!C143, Tracker!J:J,"Y (with hints)",Tracker!E:E,2)</f>
        <v>0</v>
      </c>
      <c r="P143" s="33">
        <f>COUNTIFS(Tracker!G:G,Daily!C143, Tracker!J:J,"N",Tracker!E:E,2)</f>
        <v>0</v>
      </c>
      <c r="Q143" s="57">
        <f t="shared" si="100"/>
        <v>0</v>
      </c>
      <c r="R143" s="26">
        <f>COUNTIFS(Tracker!G:G,Daily!C143, Tracker!J:J,"Y",Tracker!E:E,3)</f>
        <v>0</v>
      </c>
      <c r="S143" s="26">
        <f>COUNTIFS(Tracker!G:G,Daily!C143, Tracker!J:J,"Y (with hints)",Tracker!E:E,3)</f>
        <v>0</v>
      </c>
      <c r="T143" s="33">
        <f>COUNTIFS(Tracker!G:G,Daily!C143, Tracker!J:J,"N",Tracker!E:E,3)</f>
        <v>0</v>
      </c>
      <c r="V143" s="48">
        <f t="shared" si="101"/>
        <v>89</v>
      </c>
      <c r="W143" s="26">
        <f t="shared" si="102"/>
        <v>85</v>
      </c>
      <c r="X143" s="62">
        <f t="shared" si="103"/>
        <v>0.9550561797752809</v>
      </c>
      <c r="Y143" s="74">
        <f>AVERAGEIFS(Tracker!I:I, Tracker!E:E, 1, Tracker!G:G, "&lt;="&amp;Daily!C143, Tracker!J:J, "Y")</f>
        <v>12.658823529411764</v>
      </c>
      <c r="Z143" s="77">
        <f>COUNTIFS(Tracker!E:E, 1, Tracker!G:G, "&lt;="&amp;Daily!C143, Tracker!L:L, "N") / V143</f>
        <v>0.797752808988764</v>
      </c>
      <c r="AA143" s="48">
        <f t="shared" si="104"/>
        <v>187</v>
      </c>
      <c r="AB143" s="26">
        <f t="shared" si="105"/>
        <v>153</v>
      </c>
      <c r="AC143" s="62">
        <f t="shared" si="106"/>
        <v>0.81818181818181823</v>
      </c>
      <c r="AD143" s="74">
        <f>AVERAGEIFS(Tracker!I:I, Tracker!E:E, 2, Tracker!G:G, "&lt;="&amp;Daily!C143, Tracker!J:J, "Y")</f>
        <v>26.281045751633986</v>
      </c>
      <c r="AE143" s="77">
        <f>COUNTIFS(Tracker!E:E, 2, Tracker!G:G, "&lt;="&amp;Daily!C143, Tracker!L:L, "N") / AA143</f>
        <v>0.60962566844919786</v>
      </c>
      <c r="AF143" s="48">
        <f t="shared" si="107"/>
        <v>42</v>
      </c>
      <c r="AG143" s="26">
        <f t="shared" si="108"/>
        <v>27</v>
      </c>
      <c r="AH143" s="62">
        <f t="shared" si="109"/>
        <v>0.6428571428571429</v>
      </c>
      <c r="AI143" s="74">
        <f>IFERROR(AVERAGEIFS(Tracker!I:I, Tracker!E:E, 3, Tracker!G:G, "&lt;="&amp;Daily!C143, Tracker!J:J, "Y"), 0)</f>
        <v>40.074074074074076</v>
      </c>
      <c r="AJ143" s="77">
        <f>IFERROR(COUNTIFS(Tracker!E:E, 3, Tracker!G:G, "&lt;="&amp;Daily!C143, Tracker!L:L, "N") / AF143,  0)</f>
        <v>0.35714285714285715</v>
      </c>
      <c r="AK143" s="48">
        <f t="shared" si="110"/>
        <v>318</v>
      </c>
      <c r="AL143" s="26">
        <f t="shared" si="111"/>
        <v>265</v>
      </c>
      <c r="AM143" s="62">
        <f t="shared" si="112"/>
        <v>0.83333333333333337</v>
      </c>
      <c r="AN143" s="74">
        <f>IFERROR(AVERAGEIFS(Tracker!I:I,  Tracker!G:G, "&lt;="&amp;Daily!C143, Tracker!J:J, "Y"), 0)</f>
        <v>23.316981132075473</v>
      </c>
      <c r="AO143" s="77">
        <f>IFERROR(COUNTIFS(Tracker!G:G, "&lt;="&amp;Daily!C143, Tracker!L:L, "N") / AK143,  0)</f>
        <v>0.62893081761006286</v>
      </c>
    </row>
    <row r="144" spans="1:41" x14ac:dyDescent="0.25">
      <c r="A144" s="119"/>
      <c r="B144" s="32">
        <f t="shared" si="96"/>
        <v>45359</v>
      </c>
      <c r="C144" s="27">
        <f t="shared" si="113"/>
        <v>45359</v>
      </c>
      <c r="D144" s="109" t="b">
        <f t="shared" ca="1" si="79"/>
        <v>1</v>
      </c>
      <c r="E144" s="51">
        <f t="shared" si="97"/>
        <v>0</v>
      </c>
      <c r="F144" s="48">
        <f>COUNTIFS(Tracker!G:G,Daily!C144, Tracker!J:J,"Y")</f>
        <v>0</v>
      </c>
      <c r="G144" s="26">
        <f>COUNTIFS(Tracker!G:G,Daily!C144, Tracker!J:J,"Y (with hints)")</f>
        <v>0</v>
      </c>
      <c r="H144" s="33">
        <f>COUNTIFS(Tracker!G:G,Daily!C144, Tracker!J:J,"N")</f>
        <v>0</v>
      </c>
      <c r="I144" s="54">
        <f t="shared" si="98"/>
        <v>0</v>
      </c>
      <c r="J144" s="26">
        <f>COUNTIFS(Tracker!G:G,Daily!C144, Tracker!J:J,"Y",Tracker!E:E,1)</f>
        <v>0</v>
      </c>
      <c r="K144" s="26">
        <f>COUNTIFS(Tracker!G:G,Daily!C144, Tracker!J:J,"Y (with hints)",Tracker!E:E,1)</f>
        <v>0</v>
      </c>
      <c r="L144" s="33">
        <f>COUNTIFS(Tracker!G:G,Daily!C144, Tracker!J:J,"N",Tracker!E:E,1)</f>
        <v>0</v>
      </c>
      <c r="M144" s="54">
        <f t="shared" si="99"/>
        <v>0</v>
      </c>
      <c r="N144" s="26">
        <f>COUNTIFS(Tracker!G:G,Daily!C144, Tracker!J:J,"Y",Tracker!E:E,2)</f>
        <v>0</v>
      </c>
      <c r="O144" s="26">
        <f>COUNTIFS(Tracker!G:G,Daily!C144, Tracker!J:J,"Y (with hints)",Tracker!E:E,2)</f>
        <v>0</v>
      </c>
      <c r="P144" s="33">
        <f>COUNTIFS(Tracker!G:G,Daily!C144, Tracker!J:J,"N",Tracker!E:E,2)</f>
        <v>0</v>
      </c>
      <c r="Q144" s="57">
        <f t="shared" si="100"/>
        <v>0</v>
      </c>
      <c r="R144" s="26">
        <f>COUNTIFS(Tracker!G:G,Daily!C144, Tracker!J:J,"Y",Tracker!E:E,3)</f>
        <v>0</v>
      </c>
      <c r="S144" s="26">
        <f>COUNTIFS(Tracker!G:G,Daily!C144, Tracker!J:J,"Y (with hints)",Tracker!E:E,3)</f>
        <v>0</v>
      </c>
      <c r="T144" s="33">
        <f>COUNTIFS(Tracker!G:G,Daily!C144, Tracker!J:J,"N",Tracker!E:E,3)</f>
        <v>0</v>
      </c>
      <c r="V144" s="48">
        <f t="shared" si="101"/>
        <v>89</v>
      </c>
      <c r="W144" s="26">
        <f t="shared" si="102"/>
        <v>85</v>
      </c>
      <c r="X144" s="62">
        <f t="shared" si="103"/>
        <v>0.9550561797752809</v>
      </c>
      <c r="Y144" s="74">
        <f>AVERAGEIFS(Tracker!I:I, Tracker!E:E, 1, Tracker!G:G, "&lt;="&amp;Daily!C144, Tracker!J:J, "Y")</f>
        <v>12.658823529411764</v>
      </c>
      <c r="Z144" s="77">
        <f>COUNTIFS(Tracker!E:E, 1, Tracker!G:G, "&lt;="&amp;Daily!C144, Tracker!L:L, "N") / V144</f>
        <v>0.797752808988764</v>
      </c>
      <c r="AA144" s="48">
        <f t="shared" si="104"/>
        <v>187</v>
      </c>
      <c r="AB144" s="26">
        <f t="shared" si="105"/>
        <v>153</v>
      </c>
      <c r="AC144" s="62">
        <f t="shared" si="106"/>
        <v>0.81818181818181823</v>
      </c>
      <c r="AD144" s="74">
        <f>AVERAGEIFS(Tracker!I:I, Tracker!E:E, 2, Tracker!G:G, "&lt;="&amp;Daily!C144, Tracker!J:J, "Y")</f>
        <v>26.281045751633986</v>
      </c>
      <c r="AE144" s="77">
        <f>COUNTIFS(Tracker!E:E, 2, Tracker!G:G, "&lt;="&amp;Daily!C144, Tracker!L:L, "N") / AA144</f>
        <v>0.60962566844919786</v>
      </c>
      <c r="AF144" s="48">
        <f t="shared" si="107"/>
        <v>42</v>
      </c>
      <c r="AG144" s="26">
        <f t="shared" si="108"/>
        <v>27</v>
      </c>
      <c r="AH144" s="62">
        <f t="shared" si="109"/>
        <v>0.6428571428571429</v>
      </c>
      <c r="AI144" s="74">
        <f>IFERROR(AVERAGEIFS(Tracker!I:I, Tracker!E:E, 3, Tracker!G:G, "&lt;="&amp;Daily!C144, Tracker!J:J, "Y"), 0)</f>
        <v>40.074074074074076</v>
      </c>
      <c r="AJ144" s="77">
        <f>IFERROR(COUNTIFS(Tracker!E:E, 3, Tracker!G:G, "&lt;="&amp;Daily!C144, Tracker!L:L, "N") / AF144,  0)</f>
        <v>0.35714285714285715</v>
      </c>
      <c r="AK144" s="48">
        <f t="shared" si="110"/>
        <v>318</v>
      </c>
      <c r="AL144" s="26">
        <f t="shared" si="111"/>
        <v>265</v>
      </c>
      <c r="AM144" s="62">
        <f t="shared" si="112"/>
        <v>0.83333333333333337</v>
      </c>
      <c r="AN144" s="74">
        <f>IFERROR(AVERAGEIFS(Tracker!I:I,  Tracker!G:G, "&lt;="&amp;Daily!C144, Tracker!J:J, "Y"), 0)</f>
        <v>23.316981132075473</v>
      </c>
      <c r="AO144" s="77">
        <f>IFERROR(COUNTIFS(Tracker!G:G, "&lt;="&amp;Daily!C144, Tracker!L:L, "N") / AK144,  0)</f>
        <v>0.62893081761006286</v>
      </c>
    </row>
    <row r="145" spans="1:41" x14ac:dyDescent="0.25">
      <c r="A145" s="119"/>
      <c r="B145" s="32">
        <f t="shared" si="96"/>
        <v>45360</v>
      </c>
      <c r="C145" s="27">
        <f t="shared" si="113"/>
        <v>45360</v>
      </c>
      <c r="D145" s="109" t="b">
        <f t="shared" ca="1" si="79"/>
        <v>1</v>
      </c>
      <c r="E145" s="51">
        <f t="shared" si="97"/>
        <v>0</v>
      </c>
      <c r="F145" s="48">
        <f>COUNTIFS(Tracker!G:G,Daily!C145, Tracker!J:J,"Y")</f>
        <v>0</v>
      </c>
      <c r="G145" s="26">
        <f>COUNTIFS(Tracker!G:G,Daily!C145, Tracker!J:J,"Y (with hints)")</f>
        <v>0</v>
      </c>
      <c r="H145" s="33">
        <f>COUNTIFS(Tracker!G:G,Daily!C145, Tracker!J:J,"N")</f>
        <v>0</v>
      </c>
      <c r="I145" s="54">
        <f t="shared" si="98"/>
        <v>0</v>
      </c>
      <c r="J145" s="26">
        <f>COUNTIFS(Tracker!G:G,Daily!C145, Tracker!J:J,"Y",Tracker!E:E,1)</f>
        <v>0</v>
      </c>
      <c r="K145" s="26">
        <f>COUNTIFS(Tracker!G:G,Daily!C145, Tracker!J:J,"Y (with hints)",Tracker!E:E,1)</f>
        <v>0</v>
      </c>
      <c r="L145" s="33">
        <f>COUNTIFS(Tracker!G:G,Daily!C145, Tracker!J:J,"N",Tracker!E:E,1)</f>
        <v>0</v>
      </c>
      <c r="M145" s="54">
        <f t="shared" si="99"/>
        <v>0</v>
      </c>
      <c r="N145" s="26">
        <f>COUNTIFS(Tracker!G:G,Daily!C145, Tracker!J:J,"Y",Tracker!E:E,2)</f>
        <v>0</v>
      </c>
      <c r="O145" s="26">
        <f>COUNTIFS(Tracker!G:G,Daily!C145, Tracker!J:J,"Y (with hints)",Tracker!E:E,2)</f>
        <v>0</v>
      </c>
      <c r="P145" s="33">
        <f>COUNTIFS(Tracker!G:G,Daily!C145, Tracker!J:J,"N",Tracker!E:E,2)</f>
        <v>0</v>
      </c>
      <c r="Q145" s="57">
        <f t="shared" si="100"/>
        <v>0</v>
      </c>
      <c r="R145" s="26">
        <f>COUNTIFS(Tracker!G:G,Daily!C145, Tracker!J:J,"Y",Tracker!E:E,3)</f>
        <v>0</v>
      </c>
      <c r="S145" s="26">
        <f>COUNTIFS(Tracker!G:G,Daily!C145, Tracker!J:J,"Y (with hints)",Tracker!E:E,3)</f>
        <v>0</v>
      </c>
      <c r="T145" s="33">
        <f>COUNTIFS(Tracker!G:G,Daily!C145, Tracker!J:J,"N",Tracker!E:E,3)</f>
        <v>0</v>
      </c>
      <c r="V145" s="48">
        <f t="shared" si="101"/>
        <v>89</v>
      </c>
      <c r="W145" s="26">
        <f t="shared" si="102"/>
        <v>85</v>
      </c>
      <c r="X145" s="62">
        <f t="shared" si="103"/>
        <v>0.9550561797752809</v>
      </c>
      <c r="Y145" s="74">
        <f>AVERAGEIFS(Tracker!I:I, Tracker!E:E, 1, Tracker!G:G, "&lt;="&amp;Daily!C145, Tracker!J:J, "Y")</f>
        <v>12.658823529411764</v>
      </c>
      <c r="Z145" s="77">
        <f>COUNTIFS(Tracker!E:E, 1, Tracker!G:G, "&lt;="&amp;Daily!C145, Tracker!L:L, "N") / V145</f>
        <v>0.797752808988764</v>
      </c>
      <c r="AA145" s="48">
        <f t="shared" si="104"/>
        <v>187</v>
      </c>
      <c r="AB145" s="26">
        <f t="shared" si="105"/>
        <v>153</v>
      </c>
      <c r="AC145" s="62">
        <f t="shared" si="106"/>
        <v>0.81818181818181823</v>
      </c>
      <c r="AD145" s="74">
        <f>AVERAGEIFS(Tracker!I:I, Tracker!E:E, 2, Tracker!G:G, "&lt;="&amp;Daily!C145, Tracker!J:J, "Y")</f>
        <v>26.281045751633986</v>
      </c>
      <c r="AE145" s="77">
        <f>COUNTIFS(Tracker!E:E, 2, Tracker!G:G, "&lt;="&amp;Daily!C145, Tracker!L:L, "N") / AA145</f>
        <v>0.60962566844919786</v>
      </c>
      <c r="AF145" s="48">
        <f t="shared" si="107"/>
        <v>42</v>
      </c>
      <c r="AG145" s="26">
        <f t="shared" si="108"/>
        <v>27</v>
      </c>
      <c r="AH145" s="62">
        <f t="shared" si="109"/>
        <v>0.6428571428571429</v>
      </c>
      <c r="AI145" s="74">
        <f>IFERROR(AVERAGEIFS(Tracker!I:I, Tracker!E:E, 3, Tracker!G:G, "&lt;="&amp;Daily!C145, Tracker!J:J, "Y"), 0)</f>
        <v>40.074074074074076</v>
      </c>
      <c r="AJ145" s="77">
        <f>IFERROR(COUNTIFS(Tracker!E:E, 3, Tracker!G:G, "&lt;="&amp;Daily!C145, Tracker!L:L, "N") / AF145,  0)</f>
        <v>0.35714285714285715</v>
      </c>
      <c r="AK145" s="48">
        <f t="shared" si="110"/>
        <v>318</v>
      </c>
      <c r="AL145" s="26">
        <f t="shared" si="111"/>
        <v>265</v>
      </c>
      <c r="AM145" s="62">
        <f t="shared" si="112"/>
        <v>0.83333333333333337</v>
      </c>
      <c r="AN145" s="74">
        <f>IFERROR(AVERAGEIFS(Tracker!I:I,  Tracker!G:G, "&lt;="&amp;Daily!C145, Tracker!J:J, "Y"), 0)</f>
        <v>23.316981132075473</v>
      </c>
      <c r="AO145" s="77">
        <f>IFERROR(COUNTIFS(Tracker!G:G, "&lt;="&amp;Daily!C145, Tracker!L:L, "N") / AK145,  0)</f>
        <v>0.62893081761006286</v>
      </c>
    </row>
    <row r="146" spans="1:41" ht="15.75" thickBot="1" x14ac:dyDescent="0.3">
      <c r="A146" s="120"/>
      <c r="B146" s="34">
        <f t="shared" si="96"/>
        <v>45361</v>
      </c>
      <c r="C146" s="35">
        <f t="shared" si="113"/>
        <v>45361</v>
      </c>
      <c r="D146" s="110" t="b">
        <f t="shared" ca="1" si="79"/>
        <v>1</v>
      </c>
      <c r="E146" s="52">
        <f t="shared" si="97"/>
        <v>0</v>
      </c>
      <c r="F146" s="39">
        <f>COUNTIFS(Tracker!G:G,Daily!C146, Tracker!J:J,"Y")</f>
        <v>0</v>
      </c>
      <c r="G146" s="36">
        <f>COUNTIFS(Tracker!G:G,Daily!C146, Tracker!J:J,"Y (with hints)")</f>
        <v>0</v>
      </c>
      <c r="H146" s="37">
        <f>COUNTIFS(Tracker!G:G,Daily!C146, Tracker!J:J,"N")</f>
        <v>0</v>
      </c>
      <c r="I146" s="55">
        <f t="shared" si="98"/>
        <v>0</v>
      </c>
      <c r="J146" s="36">
        <f>COUNTIFS(Tracker!G:G,Daily!C146, Tracker!J:J,"Y",Tracker!E:E,1)</f>
        <v>0</v>
      </c>
      <c r="K146" s="36">
        <f>COUNTIFS(Tracker!G:G,Daily!C146, Tracker!J:J,"Y (with hints)",Tracker!E:E,1)</f>
        <v>0</v>
      </c>
      <c r="L146" s="37">
        <f>COUNTIFS(Tracker!G:G,Daily!C146, Tracker!J:J,"N",Tracker!E:E,1)</f>
        <v>0</v>
      </c>
      <c r="M146" s="55">
        <f t="shared" si="99"/>
        <v>0</v>
      </c>
      <c r="N146" s="36">
        <f>COUNTIFS(Tracker!G:G,Daily!C146, Tracker!J:J,"Y",Tracker!E:E,2)</f>
        <v>0</v>
      </c>
      <c r="O146" s="36">
        <f>COUNTIFS(Tracker!G:G,Daily!C146, Tracker!J:J,"Y (with hints)",Tracker!E:E,2)</f>
        <v>0</v>
      </c>
      <c r="P146" s="37">
        <f>COUNTIFS(Tracker!G:G,Daily!C146, Tracker!J:J,"N",Tracker!E:E,2)</f>
        <v>0</v>
      </c>
      <c r="Q146" s="58">
        <f t="shared" si="100"/>
        <v>0</v>
      </c>
      <c r="R146" s="36">
        <f>COUNTIFS(Tracker!G:G,Daily!C146, Tracker!J:J,"Y",Tracker!E:E,3)</f>
        <v>0</v>
      </c>
      <c r="S146" s="36">
        <f>COUNTIFS(Tracker!G:G,Daily!C146, Tracker!J:J,"Y (with hints)",Tracker!E:E,3)</f>
        <v>0</v>
      </c>
      <c r="T146" s="37">
        <f>COUNTIFS(Tracker!G:G,Daily!C146, Tracker!J:J,"N",Tracker!E:E,3)</f>
        <v>0</v>
      </c>
      <c r="V146" s="39">
        <f t="shared" si="101"/>
        <v>89</v>
      </c>
      <c r="W146" s="36">
        <f t="shared" si="102"/>
        <v>85</v>
      </c>
      <c r="X146" s="64">
        <f t="shared" si="103"/>
        <v>0.9550561797752809</v>
      </c>
      <c r="Y146" s="78">
        <f>AVERAGEIFS(Tracker!I:I, Tracker!E:E, 1, Tracker!G:G, "&lt;="&amp;Daily!C146, Tracker!J:J, "Y")</f>
        <v>12.658823529411764</v>
      </c>
      <c r="Z146" s="79">
        <f>COUNTIFS(Tracker!E:E, 1, Tracker!G:G, "&lt;="&amp;Daily!C146, Tracker!L:L, "N") / V146</f>
        <v>0.797752808988764</v>
      </c>
      <c r="AA146" s="39">
        <f t="shared" si="104"/>
        <v>187</v>
      </c>
      <c r="AB146" s="36">
        <f t="shared" si="105"/>
        <v>153</v>
      </c>
      <c r="AC146" s="64">
        <f t="shared" si="106"/>
        <v>0.81818181818181823</v>
      </c>
      <c r="AD146" s="78">
        <f>AVERAGEIFS(Tracker!I:I, Tracker!E:E, 2, Tracker!G:G, "&lt;="&amp;Daily!C146, Tracker!J:J, "Y")</f>
        <v>26.281045751633986</v>
      </c>
      <c r="AE146" s="79">
        <f>COUNTIFS(Tracker!E:E, 2, Tracker!G:G, "&lt;="&amp;Daily!C146, Tracker!L:L, "N") / AA146</f>
        <v>0.60962566844919786</v>
      </c>
      <c r="AF146" s="39">
        <f t="shared" si="107"/>
        <v>42</v>
      </c>
      <c r="AG146" s="36">
        <f t="shared" si="108"/>
        <v>27</v>
      </c>
      <c r="AH146" s="64">
        <f t="shared" si="109"/>
        <v>0.6428571428571429</v>
      </c>
      <c r="AI146" s="78">
        <f>IFERROR(AVERAGEIFS(Tracker!I:I, Tracker!E:E, 3, Tracker!G:G, "&lt;="&amp;Daily!C146, Tracker!J:J, "Y"), 0)</f>
        <v>40.074074074074076</v>
      </c>
      <c r="AJ146" s="79">
        <f>IFERROR(COUNTIFS(Tracker!E:E, 3, Tracker!G:G, "&lt;="&amp;Daily!C146, Tracker!L:L, "N") / AF146,  0)</f>
        <v>0.35714285714285715</v>
      </c>
      <c r="AK146" s="39">
        <f t="shared" si="110"/>
        <v>318</v>
      </c>
      <c r="AL146" s="36">
        <f t="shared" si="111"/>
        <v>265</v>
      </c>
      <c r="AM146" s="64">
        <f t="shared" si="112"/>
        <v>0.83333333333333337</v>
      </c>
      <c r="AN146" s="78">
        <f>IFERROR(AVERAGEIFS(Tracker!I:I,  Tracker!G:G, "&lt;="&amp;Daily!C146, Tracker!J:J, "Y"), 0)</f>
        <v>23.316981132075473</v>
      </c>
      <c r="AO146" s="79">
        <f>IFERROR(COUNTIFS(Tracker!G:G, "&lt;="&amp;Daily!C146, Tracker!L:L, "N") / AK146,  0)</f>
        <v>0.62893081761006286</v>
      </c>
    </row>
    <row r="147" spans="1:41" x14ac:dyDescent="0.25">
      <c r="A147" s="118">
        <f>A140+1</f>
        <v>21</v>
      </c>
      <c r="B147" s="28">
        <f t="shared" si="96"/>
        <v>45362</v>
      </c>
      <c r="C147" s="29">
        <f t="shared" si="113"/>
        <v>45362</v>
      </c>
      <c r="D147" s="108" t="b">
        <f t="shared" ca="1" si="79"/>
        <v>1</v>
      </c>
      <c r="E147" s="50">
        <f t="shared" si="97"/>
        <v>2</v>
      </c>
      <c r="F147" s="38">
        <f>COUNTIFS(Tracker!G:G,Daily!C147, Tracker!J:J,"Y")</f>
        <v>2</v>
      </c>
      <c r="G147" s="30">
        <f>COUNTIFS(Tracker!G:G,Daily!C147, Tracker!J:J,"Y (with hints)")</f>
        <v>0</v>
      </c>
      <c r="H147" s="31">
        <f>COUNTIFS(Tracker!G:G,Daily!C147, Tracker!J:J,"N")</f>
        <v>0</v>
      </c>
      <c r="I147" s="53">
        <f t="shared" si="98"/>
        <v>0</v>
      </c>
      <c r="J147" s="30">
        <f>COUNTIFS(Tracker!G:G,Daily!C147, Tracker!J:J,"Y",Tracker!E:E,1)</f>
        <v>0</v>
      </c>
      <c r="K147" s="30">
        <f>COUNTIFS(Tracker!G:G,Daily!C147, Tracker!J:J,"Y (with hints)",Tracker!E:E,1)</f>
        <v>0</v>
      </c>
      <c r="L147" s="31">
        <f>COUNTIFS(Tracker!G:G,Daily!C147, Tracker!J:J,"N",Tracker!E:E,1)</f>
        <v>0</v>
      </c>
      <c r="M147" s="53">
        <f t="shared" si="99"/>
        <v>2</v>
      </c>
      <c r="N147" s="30">
        <f>COUNTIFS(Tracker!G:G,Daily!C147, Tracker!J:J,"Y",Tracker!E:E,2)</f>
        <v>2</v>
      </c>
      <c r="O147" s="30">
        <f>COUNTIFS(Tracker!G:G,Daily!C147, Tracker!J:J,"Y (with hints)",Tracker!E:E,2)</f>
        <v>0</v>
      </c>
      <c r="P147" s="31">
        <f>COUNTIFS(Tracker!G:G,Daily!C147, Tracker!J:J,"N",Tracker!E:E,2)</f>
        <v>0</v>
      </c>
      <c r="Q147" s="56">
        <f t="shared" si="100"/>
        <v>0</v>
      </c>
      <c r="R147" s="30">
        <f>COUNTIFS(Tracker!G:G,Daily!C147, Tracker!J:J,"Y",Tracker!E:E,3)</f>
        <v>0</v>
      </c>
      <c r="S147" s="30">
        <f>COUNTIFS(Tracker!G:G,Daily!C147, Tracker!J:J,"Y (with hints)",Tracker!E:E,3)</f>
        <v>0</v>
      </c>
      <c r="T147" s="31">
        <f>COUNTIFS(Tracker!G:G,Daily!C147, Tracker!J:J,"N",Tracker!E:E,3)</f>
        <v>0</v>
      </c>
      <c r="V147" s="38">
        <f t="shared" si="101"/>
        <v>89</v>
      </c>
      <c r="W147" s="30">
        <f t="shared" si="102"/>
        <v>85</v>
      </c>
      <c r="X147" s="73">
        <f t="shared" si="103"/>
        <v>0.9550561797752809</v>
      </c>
      <c r="Y147" s="75">
        <f>AVERAGEIFS(Tracker!I:I, Tracker!E:E, 1, Tracker!G:G, "&lt;="&amp;Daily!C147, Tracker!J:J, "Y")</f>
        <v>12.658823529411764</v>
      </c>
      <c r="Z147" s="76">
        <f>COUNTIFS(Tracker!E:E, 1, Tracker!G:G, "&lt;="&amp;Daily!C147, Tracker!L:L, "N") / V147</f>
        <v>0.797752808988764</v>
      </c>
      <c r="AA147" s="38">
        <f t="shared" si="104"/>
        <v>189</v>
      </c>
      <c r="AB147" s="30">
        <f t="shared" si="105"/>
        <v>155</v>
      </c>
      <c r="AC147" s="73">
        <f t="shared" si="106"/>
        <v>0.82010582010582012</v>
      </c>
      <c r="AD147" s="75">
        <f>AVERAGEIFS(Tracker!I:I, Tracker!E:E, 2, Tracker!G:G, "&lt;="&amp;Daily!C147, Tracker!J:J, "Y")</f>
        <v>26.587096774193547</v>
      </c>
      <c r="AE147" s="76">
        <f>COUNTIFS(Tracker!E:E, 2, Tracker!G:G, "&lt;="&amp;Daily!C147, Tracker!L:L, "N") / AA147</f>
        <v>0.60317460317460314</v>
      </c>
      <c r="AF147" s="38">
        <f t="shared" si="107"/>
        <v>42</v>
      </c>
      <c r="AG147" s="30">
        <f t="shared" si="108"/>
        <v>27</v>
      </c>
      <c r="AH147" s="73">
        <f t="shared" si="109"/>
        <v>0.6428571428571429</v>
      </c>
      <c r="AI147" s="75">
        <f>IFERROR(AVERAGEIFS(Tracker!I:I, Tracker!E:E, 3, Tracker!G:G, "&lt;="&amp;Daily!C147, Tracker!J:J, "Y"), 0)</f>
        <v>40.074074074074076</v>
      </c>
      <c r="AJ147" s="76">
        <f>IFERROR(COUNTIFS(Tracker!E:E, 3, Tracker!G:G, "&lt;="&amp;Daily!C147, Tracker!L:L, "N") / AF147,  0)</f>
        <v>0.35714285714285715</v>
      </c>
      <c r="AK147" s="38">
        <f t="shared" si="110"/>
        <v>320</v>
      </c>
      <c r="AL147" s="30">
        <f t="shared" si="111"/>
        <v>267</v>
      </c>
      <c r="AM147" s="73">
        <f t="shared" si="112"/>
        <v>0.83437499999999998</v>
      </c>
      <c r="AN147" s="75">
        <f>IFERROR(AVERAGEIFS(Tracker!I:I,  Tracker!G:G, "&lt;="&amp;Daily!C147, Tracker!J:J, "Y"), 0)</f>
        <v>23.516853932584269</v>
      </c>
      <c r="AO147" s="76">
        <f>IFERROR(COUNTIFS(Tracker!G:G, "&lt;="&amp;Daily!C147, Tracker!L:L, "N") / AK147,  0)</f>
        <v>0.625</v>
      </c>
    </row>
    <row r="148" spans="1:41" x14ac:dyDescent="0.25">
      <c r="A148" s="119"/>
      <c r="B148" s="32">
        <f t="shared" si="96"/>
        <v>45363</v>
      </c>
      <c r="C148" s="27">
        <f t="shared" si="113"/>
        <v>45363</v>
      </c>
      <c r="D148" s="109" t="b">
        <f t="shared" ca="1" si="79"/>
        <v>1</v>
      </c>
      <c r="E148" s="51">
        <f t="shared" si="97"/>
        <v>0</v>
      </c>
      <c r="F148" s="48">
        <f>COUNTIFS(Tracker!G:G,Daily!C148, Tracker!J:J,"Y")</f>
        <v>0</v>
      </c>
      <c r="G148" s="26">
        <f>COUNTIFS(Tracker!G:G,Daily!C148, Tracker!J:J,"Y (with hints)")</f>
        <v>0</v>
      </c>
      <c r="H148" s="33">
        <f>COUNTIFS(Tracker!G:G,Daily!C148, Tracker!J:J,"N")</f>
        <v>0</v>
      </c>
      <c r="I148" s="54">
        <f t="shared" si="98"/>
        <v>0</v>
      </c>
      <c r="J148" s="26">
        <f>COUNTIFS(Tracker!G:G,Daily!C148, Tracker!J:J,"Y",Tracker!E:E,1)</f>
        <v>0</v>
      </c>
      <c r="K148" s="26">
        <f>COUNTIFS(Tracker!G:G,Daily!C148, Tracker!J:J,"Y (with hints)",Tracker!E:E,1)</f>
        <v>0</v>
      </c>
      <c r="L148" s="33">
        <f>COUNTIFS(Tracker!G:G,Daily!C148, Tracker!J:J,"N",Tracker!E:E,1)</f>
        <v>0</v>
      </c>
      <c r="M148" s="54">
        <f t="shared" si="99"/>
        <v>0</v>
      </c>
      <c r="N148" s="26">
        <f>COUNTIFS(Tracker!G:G,Daily!C148, Tracker!J:J,"Y",Tracker!E:E,2)</f>
        <v>0</v>
      </c>
      <c r="O148" s="26">
        <f>COUNTIFS(Tracker!G:G,Daily!C148, Tracker!J:J,"Y (with hints)",Tracker!E:E,2)</f>
        <v>0</v>
      </c>
      <c r="P148" s="33">
        <f>COUNTIFS(Tracker!G:G,Daily!C148, Tracker!J:J,"N",Tracker!E:E,2)</f>
        <v>0</v>
      </c>
      <c r="Q148" s="57">
        <f t="shared" si="100"/>
        <v>0</v>
      </c>
      <c r="R148" s="26">
        <f>COUNTIFS(Tracker!G:G,Daily!C148, Tracker!J:J,"Y",Tracker!E:E,3)</f>
        <v>0</v>
      </c>
      <c r="S148" s="26">
        <f>COUNTIFS(Tracker!G:G,Daily!C148, Tracker!J:J,"Y (with hints)",Tracker!E:E,3)</f>
        <v>0</v>
      </c>
      <c r="T148" s="33">
        <f>COUNTIFS(Tracker!G:G,Daily!C148, Tracker!J:J,"N",Tracker!E:E,3)</f>
        <v>0</v>
      </c>
      <c r="V148" s="48">
        <f t="shared" si="101"/>
        <v>89</v>
      </c>
      <c r="W148" s="26">
        <f t="shared" si="102"/>
        <v>85</v>
      </c>
      <c r="X148" s="62">
        <f t="shared" si="103"/>
        <v>0.9550561797752809</v>
      </c>
      <c r="Y148" s="74">
        <f>AVERAGEIFS(Tracker!I:I, Tracker!E:E, 1, Tracker!G:G, "&lt;="&amp;Daily!C148, Tracker!J:J, "Y")</f>
        <v>12.658823529411764</v>
      </c>
      <c r="Z148" s="77">
        <f>COUNTIFS(Tracker!E:E, 1, Tracker!G:G, "&lt;="&amp;Daily!C148, Tracker!L:L, "N") / V148</f>
        <v>0.797752808988764</v>
      </c>
      <c r="AA148" s="48">
        <f t="shared" si="104"/>
        <v>189</v>
      </c>
      <c r="AB148" s="26">
        <f t="shared" si="105"/>
        <v>155</v>
      </c>
      <c r="AC148" s="62">
        <f t="shared" si="106"/>
        <v>0.82010582010582012</v>
      </c>
      <c r="AD148" s="74">
        <f>AVERAGEIFS(Tracker!I:I, Tracker!E:E, 2, Tracker!G:G, "&lt;="&amp;Daily!C148, Tracker!J:J, "Y")</f>
        <v>26.587096774193547</v>
      </c>
      <c r="AE148" s="77">
        <f>COUNTIFS(Tracker!E:E, 2, Tracker!G:G, "&lt;="&amp;Daily!C148, Tracker!L:L, "N") / AA148</f>
        <v>0.60317460317460314</v>
      </c>
      <c r="AF148" s="48">
        <f t="shared" si="107"/>
        <v>42</v>
      </c>
      <c r="AG148" s="26">
        <f t="shared" si="108"/>
        <v>27</v>
      </c>
      <c r="AH148" s="62">
        <f t="shared" si="109"/>
        <v>0.6428571428571429</v>
      </c>
      <c r="AI148" s="74">
        <f>IFERROR(AVERAGEIFS(Tracker!I:I, Tracker!E:E, 3, Tracker!G:G, "&lt;="&amp;Daily!C148, Tracker!J:J, "Y"), 0)</f>
        <v>40.074074074074076</v>
      </c>
      <c r="AJ148" s="77">
        <f>IFERROR(COUNTIFS(Tracker!E:E, 3, Tracker!G:G, "&lt;="&amp;Daily!C148, Tracker!L:L, "N") / AF148,  0)</f>
        <v>0.35714285714285715</v>
      </c>
      <c r="AK148" s="48">
        <f t="shared" si="110"/>
        <v>320</v>
      </c>
      <c r="AL148" s="26">
        <f t="shared" si="111"/>
        <v>267</v>
      </c>
      <c r="AM148" s="62">
        <f t="shared" si="112"/>
        <v>0.83437499999999998</v>
      </c>
      <c r="AN148" s="74">
        <f>IFERROR(AVERAGEIFS(Tracker!I:I,  Tracker!G:G, "&lt;="&amp;Daily!C148, Tracker!J:J, "Y"), 0)</f>
        <v>23.516853932584269</v>
      </c>
      <c r="AO148" s="77">
        <f>IFERROR(COUNTIFS(Tracker!G:G, "&lt;="&amp;Daily!C148, Tracker!L:L, "N") / AK148,  0)</f>
        <v>0.625</v>
      </c>
    </row>
    <row r="149" spans="1:41" x14ac:dyDescent="0.25">
      <c r="A149" s="119"/>
      <c r="B149" s="32">
        <f t="shared" si="96"/>
        <v>45364</v>
      </c>
      <c r="C149" s="27">
        <f t="shared" si="113"/>
        <v>45364</v>
      </c>
      <c r="D149" s="109" t="b">
        <f t="shared" ca="1" si="79"/>
        <v>1</v>
      </c>
      <c r="E149" s="51">
        <f t="shared" si="97"/>
        <v>0</v>
      </c>
      <c r="F149" s="48">
        <f>COUNTIFS(Tracker!G:G,Daily!C149, Tracker!J:J,"Y")</f>
        <v>0</v>
      </c>
      <c r="G149" s="26">
        <f>COUNTIFS(Tracker!G:G,Daily!C149, Tracker!J:J,"Y (with hints)")</f>
        <v>0</v>
      </c>
      <c r="H149" s="33">
        <f>COUNTIFS(Tracker!G:G,Daily!C149, Tracker!J:J,"N")</f>
        <v>0</v>
      </c>
      <c r="I149" s="54">
        <f t="shared" si="98"/>
        <v>0</v>
      </c>
      <c r="J149" s="26">
        <f>COUNTIFS(Tracker!G:G,Daily!C149, Tracker!J:J,"Y",Tracker!E:E,1)</f>
        <v>0</v>
      </c>
      <c r="K149" s="26">
        <f>COUNTIFS(Tracker!G:G,Daily!C149, Tracker!J:J,"Y (with hints)",Tracker!E:E,1)</f>
        <v>0</v>
      </c>
      <c r="L149" s="33">
        <f>COUNTIFS(Tracker!G:G,Daily!C149, Tracker!J:J,"N",Tracker!E:E,1)</f>
        <v>0</v>
      </c>
      <c r="M149" s="54">
        <f t="shared" si="99"/>
        <v>0</v>
      </c>
      <c r="N149" s="26">
        <f>COUNTIFS(Tracker!G:G,Daily!C149, Tracker!J:J,"Y",Tracker!E:E,2)</f>
        <v>0</v>
      </c>
      <c r="O149" s="26">
        <f>COUNTIFS(Tracker!G:G,Daily!C149, Tracker!J:J,"Y (with hints)",Tracker!E:E,2)</f>
        <v>0</v>
      </c>
      <c r="P149" s="33">
        <f>COUNTIFS(Tracker!G:G,Daily!C149, Tracker!J:J,"N",Tracker!E:E,2)</f>
        <v>0</v>
      </c>
      <c r="Q149" s="57">
        <f t="shared" si="100"/>
        <v>0</v>
      </c>
      <c r="R149" s="26">
        <f>COUNTIFS(Tracker!G:G,Daily!C149, Tracker!J:J,"Y",Tracker!E:E,3)</f>
        <v>0</v>
      </c>
      <c r="S149" s="26">
        <f>COUNTIFS(Tracker!G:G,Daily!C149, Tracker!J:J,"Y (with hints)",Tracker!E:E,3)</f>
        <v>0</v>
      </c>
      <c r="T149" s="33">
        <f>COUNTIFS(Tracker!G:G,Daily!C149, Tracker!J:J,"N",Tracker!E:E,3)</f>
        <v>0</v>
      </c>
      <c r="V149" s="48">
        <f t="shared" si="101"/>
        <v>89</v>
      </c>
      <c r="W149" s="26">
        <f t="shared" si="102"/>
        <v>85</v>
      </c>
      <c r="X149" s="62">
        <f t="shared" si="103"/>
        <v>0.9550561797752809</v>
      </c>
      <c r="Y149" s="74">
        <f>AVERAGEIFS(Tracker!I:I, Tracker!E:E, 1, Tracker!G:G, "&lt;="&amp;Daily!C149, Tracker!J:J, "Y")</f>
        <v>12.658823529411764</v>
      </c>
      <c r="Z149" s="77">
        <f>COUNTIFS(Tracker!E:E, 1, Tracker!G:G, "&lt;="&amp;Daily!C149, Tracker!L:L, "N") / V149</f>
        <v>0.797752808988764</v>
      </c>
      <c r="AA149" s="48">
        <f t="shared" si="104"/>
        <v>189</v>
      </c>
      <c r="AB149" s="26">
        <f t="shared" si="105"/>
        <v>155</v>
      </c>
      <c r="AC149" s="62">
        <f t="shared" si="106"/>
        <v>0.82010582010582012</v>
      </c>
      <c r="AD149" s="74">
        <f>AVERAGEIFS(Tracker!I:I, Tracker!E:E, 2, Tracker!G:G, "&lt;="&amp;Daily!C149, Tracker!J:J, "Y")</f>
        <v>26.587096774193547</v>
      </c>
      <c r="AE149" s="77">
        <f>COUNTIFS(Tracker!E:E, 2, Tracker!G:G, "&lt;="&amp;Daily!C149, Tracker!L:L, "N") / AA149</f>
        <v>0.60317460317460314</v>
      </c>
      <c r="AF149" s="48">
        <f t="shared" si="107"/>
        <v>42</v>
      </c>
      <c r="AG149" s="26">
        <f t="shared" si="108"/>
        <v>27</v>
      </c>
      <c r="AH149" s="62">
        <f t="shared" si="109"/>
        <v>0.6428571428571429</v>
      </c>
      <c r="AI149" s="74">
        <f>IFERROR(AVERAGEIFS(Tracker!I:I, Tracker!E:E, 3, Tracker!G:G, "&lt;="&amp;Daily!C149, Tracker!J:J, "Y"), 0)</f>
        <v>40.074074074074076</v>
      </c>
      <c r="AJ149" s="77">
        <f>IFERROR(COUNTIFS(Tracker!E:E, 3, Tracker!G:G, "&lt;="&amp;Daily!C149, Tracker!L:L, "N") / AF149,  0)</f>
        <v>0.35714285714285715</v>
      </c>
      <c r="AK149" s="48">
        <f t="shared" si="110"/>
        <v>320</v>
      </c>
      <c r="AL149" s="26">
        <f t="shared" si="111"/>
        <v>267</v>
      </c>
      <c r="AM149" s="62">
        <f t="shared" si="112"/>
        <v>0.83437499999999998</v>
      </c>
      <c r="AN149" s="74">
        <f>IFERROR(AVERAGEIFS(Tracker!I:I,  Tracker!G:G, "&lt;="&amp;Daily!C149, Tracker!J:J, "Y"), 0)</f>
        <v>23.516853932584269</v>
      </c>
      <c r="AO149" s="77">
        <f>IFERROR(COUNTIFS(Tracker!G:G, "&lt;="&amp;Daily!C149, Tracker!L:L, "N") / AK149,  0)</f>
        <v>0.625</v>
      </c>
    </row>
    <row r="150" spans="1:41" x14ac:dyDescent="0.25">
      <c r="A150" s="119"/>
      <c r="B150" s="32">
        <f t="shared" si="96"/>
        <v>45365</v>
      </c>
      <c r="C150" s="27">
        <f t="shared" si="113"/>
        <v>45365</v>
      </c>
      <c r="D150" s="109" t="b">
        <f t="shared" ca="1" si="79"/>
        <v>1</v>
      </c>
      <c r="E150" s="51">
        <f t="shared" si="97"/>
        <v>2</v>
      </c>
      <c r="F150" s="48">
        <f>COUNTIFS(Tracker!G:G,Daily!C150, Tracker!J:J,"Y")</f>
        <v>2</v>
      </c>
      <c r="G150" s="26">
        <f>COUNTIFS(Tracker!G:G,Daily!C150, Tracker!J:J,"Y (with hints)")</f>
        <v>0</v>
      </c>
      <c r="H150" s="33">
        <f>COUNTIFS(Tracker!G:G,Daily!C150, Tracker!J:J,"N")</f>
        <v>0</v>
      </c>
      <c r="I150" s="54">
        <f t="shared" si="98"/>
        <v>0</v>
      </c>
      <c r="J150" s="26">
        <f>COUNTIFS(Tracker!G:G,Daily!C150, Tracker!J:J,"Y",Tracker!E:E,1)</f>
        <v>0</v>
      </c>
      <c r="K150" s="26">
        <f>COUNTIFS(Tracker!G:G,Daily!C150, Tracker!J:J,"Y (with hints)",Tracker!E:E,1)</f>
        <v>0</v>
      </c>
      <c r="L150" s="33">
        <f>COUNTIFS(Tracker!G:G,Daily!C150, Tracker!J:J,"N",Tracker!E:E,1)</f>
        <v>0</v>
      </c>
      <c r="M150" s="54">
        <f t="shared" si="99"/>
        <v>2</v>
      </c>
      <c r="N150" s="26">
        <f>COUNTIFS(Tracker!G:G,Daily!C150, Tracker!J:J,"Y",Tracker!E:E,2)</f>
        <v>2</v>
      </c>
      <c r="O150" s="26">
        <f>COUNTIFS(Tracker!G:G,Daily!C150, Tracker!J:J,"Y (with hints)",Tracker!E:E,2)</f>
        <v>0</v>
      </c>
      <c r="P150" s="33">
        <f>COUNTIFS(Tracker!G:G,Daily!C150, Tracker!J:J,"N",Tracker!E:E,2)</f>
        <v>0</v>
      </c>
      <c r="Q150" s="57">
        <f t="shared" si="100"/>
        <v>0</v>
      </c>
      <c r="R150" s="26">
        <f>COUNTIFS(Tracker!G:G,Daily!C150, Tracker!J:J,"Y",Tracker!E:E,3)</f>
        <v>0</v>
      </c>
      <c r="S150" s="26">
        <f>COUNTIFS(Tracker!G:G,Daily!C150, Tracker!J:J,"Y (with hints)",Tracker!E:E,3)</f>
        <v>0</v>
      </c>
      <c r="T150" s="33">
        <f>COUNTIFS(Tracker!G:G,Daily!C150, Tracker!J:J,"N",Tracker!E:E,3)</f>
        <v>0</v>
      </c>
      <c r="V150" s="48">
        <f t="shared" si="101"/>
        <v>89</v>
      </c>
      <c r="W150" s="26">
        <f t="shared" si="102"/>
        <v>85</v>
      </c>
      <c r="X150" s="62">
        <f t="shared" si="103"/>
        <v>0.9550561797752809</v>
      </c>
      <c r="Y150" s="74">
        <f>AVERAGEIFS(Tracker!I:I, Tracker!E:E, 1, Tracker!G:G, "&lt;="&amp;Daily!C150, Tracker!J:J, "Y")</f>
        <v>12.658823529411764</v>
      </c>
      <c r="Z150" s="77">
        <f>COUNTIFS(Tracker!E:E, 1, Tracker!G:G, "&lt;="&amp;Daily!C150, Tracker!L:L, "N") / V150</f>
        <v>0.797752808988764</v>
      </c>
      <c r="AA150" s="48">
        <f t="shared" si="104"/>
        <v>191</v>
      </c>
      <c r="AB150" s="26">
        <f t="shared" si="105"/>
        <v>157</v>
      </c>
      <c r="AC150" s="62">
        <f t="shared" si="106"/>
        <v>0.82198952879581155</v>
      </c>
      <c r="AD150" s="74">
        <f>AVERAGEIFS(Tracker!I:I, Tracker!E:E, 2, Tracker!G:G, "&lt;="&amp;Daily!C150, Tracker!J:J, "Y")</f>
        <v>26.579617834394906</v>
      </c>
      <c r="AE150" s="77">
        <f>COUNTIFS(Tracker!E:E, 2, Tracker!G:G, "&lt;="&amp;Daily!C150, Tracker!L:L, "N") / AA150</f>
        <v>0.60209424083769636</v>
      </c>
      <c r="AF150" s="48">
        <f t="shared" si="107"/>
        <v>42</v>
      </c>
      <c r="AG150" s="26">
        <f t="shared" si="108"/>
        <v>27</v>
      </c>
      <c r="AH150" s="62">
        <f t="shared" si="109"/>
        <v>0.6428571428571429</v>
      </c>
      <c r="AI150" s="74">
        <f>IFERROR(AVERAGEIFS(Tracker!I:I, Tracker!E:E, 3, Tracker!G:G, "&lt;="&amp;Daily!C150, Tracker!J:J, "Y"), 0)</f>
        <v>40.074074074074076</v>
      </c>
      <c r="AJ150" s="77">
        <f>IFERROR(COUNTIFS(Tracker!E:E, 3, Tracker!G:G, "&lt;="&amp;Daily!C150, Tracker!L:L, "N") / AF150,  0)</f>
        <v>0.35714285714285715</v>
      </c>
      <c r="AK150" s="48">
        <f t="shared" si="110"/>
        <v>322</v>
      </c>
      <c r="AL150" s="26">
        <f t="shared" si="111"/>
        <v>269</v>
      </c>
      <c r="AM150" s="62">
        <f t="shared" si="112"/>
        <v>0.8354037267080745</v>
      </c>
      <c r="AN150" s="74">
        <f>IFERROR(AVERAGEIFS(Tracker!I:I,  Tracker!G:G, "&lt;="&amp;Daily!C150, Tracker!J:J, "Y"), 0)</f>
        <v>23.535315985130111</v>
      </c>
      <c r="AO150" s="77">
        <f>IFERROR(COUNTIFS(Tracker!G:G, "&lt;="&amp;Daily!C150, Tracker!L:L, "N") / AK150,  0)</f>
        <v>0.62422360248447206</v>
      </c>
    </row>
    <row r="151" spans="1:41" x14ac:dyDescent="0.25">
      <c r="A151" s="119"/>
      <c r="B151" s="32">
        <f t="shared" si="96"/>
        <v>45366</v>
      </c>
      <c r="C151" s="27">
        <f t="shared" si="113"/>
        <v>45366</v>
      </c>
      <c r="D151" s="109" t="b">
        <f t="shared" ca="1" si="79"/>
        <v>1</v>
      </c>
      <c r="E151" s="51">
        <f t="shared" si="97"/>
        <v>0</v>
      </c>
      <c r="F151" s="48">
        <f>COUNTIFS(Tracker!G:G,Daily!C151, Tracker!J:J,"Y")</f>
        <v>0</v>
      </c>
      <c r="G151" s="26">
        <f>COUNTIFS(Tracker!G:G,Daily!C151, Tracker!J:J,"Y (with hints)")</f>
        <v>0</v>
      </c>
      <c r="H151" s="33">
        <f>COUNTIFS(Tracker!G:G,Daily!C151, Tracker!J:J,"N")</f>
        <v>0</v>
      </c>
      <c r="I151" s="54">
        <f t="shared" si="98"/>
        <v>0</v>
      </c>
      <c r="J151" s="26">
        <f>COUNTIFS(Tracker!G:G,Daily!C151, Tracker!J:J,"Y",Tracker!E:E,1)</f>
        <v>0</v>
      </c>
      <c r="K151" s="26">
        <f>COUNTIFS(Tracker!G:G,Daily!C151, Tracker!J:J,"Y (with hints)",Tracker!E:E,1)</f>
        <v>0</v>
      </c>
      <c r="L151" s="33">
        <f>COUNTIFS(Tracker!G:G,Daily!C151, Tracker!J:J,"N",Tracker!E:E,1)</f>
        <v>0</v>
      </c>
      <c r="M151" s="54">
        <f t="shared" si="99"/>
        <v>0</v>
      </c>
      <c r="N151" s="26">
        <f>COUNTIFS(Tracker!G:G,Daily!C151, Tracker!J:J,"Y",Tracker!E:E,2)</f>
        <v>0</v>
      </c>
      <c r="O151" s="26">
        <f>COUNTIFS(Tracker!G:G,Daily!C151, Tracker!J:J,"Y (with hints)",Tracker!E:E,2)</f>
        <v>0</v>
      </c>
      <c r="P151" s="33">
        <f>COUNTIFS(Tracker!G:G,Daily!C151, Tracker!J:J,"N",Tracker!E:E,2)</f>
        <v>0</v>
      </c>
      <c r="Q151" s="57">
        <f t="shared" si="100"/>
        <v>0</v>
      </c>
      <c r="R151" s="26">
        <f>COUNTIFS(Tracker!G:G,Daily!C151, Tracker!J:J,"Y",Tracker!E:E,3)</f>
        <v>0</v>
      </c>
      <c r="S151" s="26">
        <f>COUNTIFS(Tracker!G:G,Daily!C151, Tracker!J:J,"Y (with hints)",Tracker!E:E,3)</f>
        <v>0</v>
      </c>
      <c r="T151" s="33">
        <f>COUNTIFS(Tracker!G:G,Daily!C151, Tracker!J:J,"N",Tracker!E:E,3)</f>
        <v>0</v>
      </c>
      <c r="V151" s="48">
        <f t="shared" si="101"/>
        <v>89</v>
      </c>
      <c r="W151" s="26">
        <f t="shared" si="102"/>
        <v>85</v>
      </c>
      <c r="X151" s="62">
        <f t="shared" si="103"/>
        <v>0.9550561797752809</v>
      </c>
      <c r="Y151" s="74">
        <f>AVERAGEIFS(Tracker!I:I, Tracker!E:E, 1, Tracker!G:G, "&lt;="&amp;Daily!C151, Tracker!J:J, "Y")</f>
        <v>12.658823529411764</v>
      </c>
      <c r="Z151" s="77">
        <f>COUNTIFS(Tracker!E:E, 1, Tracker!G:G, "&lt;="&amp;Daily!C151, Tracker!L:L, "N") / V151</f>
        <v>0.797752808988764</v>
      </c>
      <c r="AA151" s="48">
        <f t="shared" si="104"/>
        <v>191</v>
      </c>
      <c r="AB151" s="26">
        <f t="shared" si="105"/>
        <v>157</v>
      </c>
      <c r="AC151" s="62">
        <f t="shared" si="106"/>
        <v>0.82198952879581155</v>
      </c>
      <c r="AD151" s="74">
        <f>AVERAGEIFS(Tracker!I:I, Tracker!E:E, 2, Tracker!G:G, "&lt;="&amp;Daily!C151, Tracker!J:J, "Y")</f>
        <v>26.579617834394906</v>
      </c>
      <c r="AE151" s="77">
        <f>COUNTIFS(Tracker!E:E, 2, Tracker!G:G, "&lt;="&amp;Daily!C151, Tracker!L:L, "N") / AA151</f>
        <v>0.60209424083769636</v>
      </c>
      <c r="AF151" s="48">
        <f t="shared" si="107"/>
        <v>42</v>
      </c>
      <c r="AG151" s="26">
        <f t="shared" si="108"/>
        <v>27</v>
      </c>
      <c r="AH151" s="62">
        <f t="shared" si="109"/>
        <v>0.6428571428571429</v>
      </c>
      <c r="AI151" s="74">
        <f>IFERROR(AVERAGEIFS(Tracker!I:I, Tracker!E:E, 3, Tracker!G:G, "&lt;="&amp;Daily!C151, Tracker!J:J, "Y"), 0)</f>
        <v>40.074074074074076</v>
      </c>
      <c r="AJ151" s="77">
        <f>IFERROR(COUNTIFS(Tracker!E:E, 3, Tracker!G:G, "&lt;="&amp;Daily!C151, Tracker!L:L, "N") / AF151,  0)</f>
        <v>0.35714285714285715</v>
      </c>
      <c r="AK151" s="48">
        <f t="shared" si="110"/>
        <v>322</v>
      </c>
      <c r="AL151" s="26">
        <f t="shared" si="111"/>
        <v>269</v>
      </c>
      <c r="AM151" s="62">
        <f t="shared" si="112"/>
        <v>0.8354037267080745</v>
      </c>
      <c r="AN151" s="74">
        <f>IFERROR(AVERAGEIFS(Tracker!I:I,  Tracker!G:G, "&lt;="&amp;Daily!C151, Tracker!J:J, "Y"), 0)</f>
        <v>23.535315985130111</v>
      </c>
      <c r="AO151" s="77">
        <f>IFERROR(COUNTIFS(Tracker!G:G, "&lt;="&amp;Daily!C151, Tracker!L:L, "N") / AK151,  0)</f>
        <v>0.62422360248447206</v>
      </c>
    </row>
    <row r="152" spans="1:41" x14ac:dyDescent="0.25">
      <c r="A152" s="119"/>
      <c r="B152" s="32">
        <f t="shared" si="96"/>
        <v>45367</v>
      </c>
      <c r="C152" s="27">
        <f t="shared" si="113"/>
        <v>45367</v>
      </c>
      <c r="D152" s="109" t="b">
        <f t="shared" ca="1" si="79"/>
        <v>1</v>
      </c>
      <c r="E152" s="51">
        <f t="shared" si="97"/>
        <v>0</v>
      </c>
      <c r="F152" s="48">
        <f>COUNTIFS(Tracker!G:G,Daily!C152, Tracker!J:J,"Y")</f>
        <v>0</v>
      </c>
      <c r="G152" s="26">
        <f>COUNTIFS(Tracker!G:G,Daily!C152, Tracker!J:J,"Y (with hints)")</f>
        <v>0</v>
      </c>
      <c r="H152" s="33">
        <f>COUNTIFS(Tracker!G:G,Daily!C152, Tracker!J:J,"N")</f>
        <v>0</v>
      </c>
      <c r="I152" s="54">
        <f t="shared" si="98"/>
        <v>0</v>
      </c>
      <c r="J152" s="26">
        <f>COUNTIFS(Tracker!G:G,Daily!C152, Tracker!J:J,"Y",Tracker!E:E,1)</f>
        <v>0</v>
      </c>
      <c r="K152" s="26">
        <f>COUNTIFS(Tracker!G:G,Daily!C152, Tracker!J:J,"Y (with hints)",Tracker!E:E,1)</f>
        <v>0</v>
      </c>
      <c r="L152" s="33">
        <f>COUNTIFS(Tracker!G:G,Daily!C152, Tracker!J:J,"N",Tracker!E:E,1)</f>
        <v>0</v>
      </c>
      <c r="M152" s="54">
        <f t="shared" si="99"/>
        <v>0</v>
      </c>
      <c r="N152" s="26">
        <f>COUNTIFS(Tracker!G:G,Daily!C152, Tracker!J:J,"Y",Tracker!E:E,2)</f>
        <v>0</v>
      </c>
      <c r="O152" s="26">
        <f>COUNTIFS(Tracker!G:G,Daily!C152, Tracker!J:J,"Y (with hints)",Tracker!E:E,2)</f>
        <v>0</v>
      </c>
      <c r="P152" s="33">
        <f>COUNTIFS(Tracker!G:G,Daily!C152, Tracker!J:J,"N",Tracker!E:E,2)</f>
        <v>0</v>
      </c>
      <c r="Q152" s="57">
        <f t="shared" si="100"/>
        <v>0</v>
      </c>
      <c r="R152" s="26">
        <f>COUNTIFS(Tracker!G:G,Daily!C152, Tracker!J:J,"Y",Tracker!E:E,3)</f>
        <v>0</v>
      </c>
      <c r="S152" s="26">
        <f>COUNTIFS(Tracker!G:G,Daily!C152, Tracker!J:J,"Y (with hints)",Tracker!E:E,3)</f>
        <v>0</v>
      </c>
      <c r="T152" s="33">
        <f>COUNTIFS(Tracker!G:G,Daily!C152, Tracker!J:J,"N",Tracker!E:E,3)</f>
        <v>0</v>
      </c>
      <c r="V152" s="48">
        <f t="shared" si="101"/>
        <v>89</v>
      </c>
      <c r="W152" s="26">
        <f t="shared" si="102"/>
        <v>85</v>
      </c>
      <c r="X152" s="62">
        <f t="shared" si="103"/>
        <v>0.9550561797752809</v>
      </c>
      <c r="Y152" s="74">
        <f>AVERAGEIFS(Tracker!I:I, Tracker!E:E, 1, Tracker!G:G, "&lt;="&amp;Daily!C152, Tracker!J:J, "Y")</f>
        <v>12.658823529411764</v>
      </c>
      <c r="Z152" s="77">
        <f>COUNTIFS(Tracker!E:E, 1, Tracker!G:G, "&lt;="&amp;Daily!C152, Tracker!L:L, "N") / V152</f>
        <v>0.797752808988764</v>
      </c>
      <c r="AA152" s="48">
        <f t="shared" si="104"/>
        <v>191</v>
      </c>
      <c r="AB152" s="26">
        <f t="shared" si="105"/>
        <v>157</v>
      </c>
      <c r="AC152" s="62">
        <f t="shared" si="106"/>
        <v>0.82198952879581155</v>
      </c>
      <c r="AD152" s="74">
        <f>AVERAGEIFS(Tracker!I:I, Tracker!E:E, 2, Tracker!G:G, "&lt;="&amp;Daily!C152, Tracker!J:J, "Y")</f>
        <v>26.579617834394906</v>
      </c>
      <c r="AE152" s="77">
        <f>COUNTIFS(Tracker!E:E, 2, Tracker!G:G, "&lt;="&amp;Daily!C152, Tracker!L:L, "N") / AA152</f>
        <v>0.60209424083769636</v>
      </c>
      <c r="AF152" s="48">
        <f t="shared" si="107"/>
        <v>42</v>
      </c>
      <c r="AG152" s="26">
        <f t="shared" si="108"/>
        <v>27</v>
      </c>
      <c r="AH152" s="62">
        <f t="shared" si="109"/>
        <v>0.6428571428571429</v>
      </c>
      <c r="AI152" s="74">
        <f>IFERROR(AVERAGEIFS(Tracker!I:I, Tracker!E:E, 3, Tracker!G:G, "&lt;="&amp;Daily!C152, Tracker!J:J, "Y"), 0)</f>
        <v>40.074074074074076</v>
      </c>
      <c r="AJ152" s="77">
        <f>IFERROR(COUNTIFS(Tracker!E:E, 3, Tracker!G:G, "&lt;="&amp;Daily!C152, Tracker!L:L, "N") / AF152,  0)</f>
        <v>0.35714285714285715</v>
      </c>
      <c r="AK152" s="48">
        <f t="shared" si="110"/>
        <v>322</v>
      </c>
      <c r="AL152" s="26">
        <f t="shared" si="111"/>
        <v>269</v>
      </c>
      <c r="AM152" s="62">
        <f t="shared" si="112"/>
        <v>0.8354037267080745</v>
      </c>
      <c r="AN152" s="74">
        <f>IFERROR(AVERAGEIFS(Tracker!I:I,  Tracker!G:G, "&lt;="&amp;Daily!C152, Tracker!J:J, "Y"), 0)</f>
        <v>23.535315985130111</v>
      </c>
      <c r="AO152" s="77">
        <f>IFERROR(COUNTIFS(Tracker!G:G, "&lt;="&amp;Daily!C152, Tracker!L:L, "N") / AK152,  0)</f>
        <v>0.62422360248447206</v>
      </c>
    </row>
    <row r="153" spans="1:41" ht="15.75" thickBot="1" x14ac:dyDescent="0.3">
      <c r="A153" s="120"/>
      <c r="B153" s="34">
        <f t="shared" si="96"/>
        <v>45368</v>
      </c>
      <c r="C153" s="35">
        <f t="shared" si="113"/>
        <v>45368</v>
      </c>
      <c r="D153" s="110" t="b">
        <f t="shared" ca="1" si="79"/>
        <v>1</v>
      </c>
      <c r="E153" s="52">
        <f t="shared" si="97"/>
        <v>0</v>
      </c>
      <c r="F153" s="39">
        <f>COUNTIFS(Tracker!G:G,Daily!C153, Tracker!J:J,"Y")</f>
        <v>0</v>
      </c>
      <c r="G153" s="36">
        <f>COUNTIFS(Tracker!G:G,Daily!C153, Tracker!J:J,"Y (with hints)")</f>
        <v>0</v>
      </c>
      <c r="H153" s="37">
        <f>COUNTIFS(Tracker!G:G,Daily!C153, Tracker!J:J,"N")</f>
        <v>0</v>
      </c>
      <c r="I153" s="55">
        <f t="shared" si="98"/>
        <v>0</v>
      </c>
      <c r="J153" s="36">
        <f>COUNTIFS(Tracker!G:G,Daily!C153, Tracker!J:J,"Y",Tracker!E:E,1)</f>
        <v>0</v>
      </c>
      <c r="K153" s="36">
        <f>COUNTIFS(Tracker!G:G,Daily!C153, Tracker!J:J,"Y (with hints)",Tracker!E:E,1)</f>
        <v>0</v>
      </c>
      <c r="L153" s="37">
        <f>COUNTIFS(Tracker!G:G,Daily!C153, Tracker!J:J,"N",Tracker!E:E,1)</f>
        <v>0</v>
      </c>
      <c r="M153" s="55">
        <f t="shared" si="99"/>
        <v>0</v>
      </c>
      <c r="N153" s="36">
        <f>COUNTIFS(Tracker!G:G,Daily!C153, Tracker!J:J,"Y",Tracker!E:E,2)</f>
        <v>0</v>
      </c>
      <c r="O153" s="36">
        <f>COUNTIFS(Tracker!G:G,Daily!C153, Tracker!J:J,"Y (with hints)",Tracker!E:E,2)</f>
        <v>0</v>
      </c>
      <c r="P153" s="37">
        <f>COUNTIFS(Tracker!G:G,Daily!C153, Tracker!J:J,"N",Tracker!E:E,2)</f>
        <v>0</v>
      </c>
      <c r="Q153" s="58">
        <f t="shared" si="100"/>
        <v>0</v>
      </c>
      <c r="R153" s="36">
        <f>COUNTIFS(Tracker!G:G,Daily!C153, Tracker!J:J,"Y",Tracker!E:E,3)</f>
        <v>0</v>
      </c>
      <c r="S153" s="36">
        <f>COUNTIFS(Tracker!G:G,Daily!C153, Tracker!J:J,"Y (with hints)",Tracker!E:E,3)</f>
        <v>0</v>
      </c>
      <c r="T153" s="37">
        <f>COUNTIFS(Tracker!G:G,Daily!C153, Tracker!J:J,"N",Tracker!E:E,3)</f>
        <v>0</v>
      </c>
      <c r="V153" s="39">
        <f t="shared" si="101"/>
        <v>89</v>
      </c>
      <c r="W153" s="36">
        <f t="shared" si="102"/>
        <v>85</v>
      </c>
      <c r="X153" s="64">
        <f t="shared" si="103"/>
        <v>0.9550561797752809</v>
      </c>
      <c r="Y153" s="78">
        <f>AVERAGEIFS(Tracker!I:I, Tracker!E:E, 1, Tracker!G:G, "&lt;="&amp;Daily!C153, Tracker!J:J, "Y")</f>
        <v>12.658823529411764</v>
      </c>
      <c r="Z153" s="79">
        <f>COUNTIFS(Tracker!E:E, 1, Tracker!G:G, "&lt;="&amp;Daily!C153, Tracker!L:L, "N") / V153</f>
        <v>0.797752808988764</v>
      </c>
      <c r="AA153" s="39">
        <f t="shared" si="104"/>
        <v>191</v>
      </c>
      <c r="AB153" s="36">
        <f t="shared" si="105"/>
        <v>157</v>
      </c>
      <c r="AC153" s="64">
        <f t="shared" si="106"/>
        <v>0.82198952879581155</v>
      </c>
      <c r="AD153" s="78">
        <f>AVERAGEIFS(Tracker!I:I, Tracker!E:E, 2, Tracker!G:G, "&lt;="&amp;Daily!C153, Tracker!J:J, "Y")</f>
        <v>26.579617834394906</v>
      </c>
      <c r="AE153" s="79">
        <f>COUNTIFS(Tracker!E:E, 2, Tracker!G:G, "&lt;="&amp;Daily!C153, Tracker!L:L, "N") / AA153</f>
        <v>0.60209424083769636</v>
      </c>
      <c r="AF153" s="39">
        <f t="shared" si="107"/>
        <v>42</v>
      </c>
      <c r="AG153" s="36">
        <f t="shared" si="108"/>
        <v>27</v>
      </c>
      <c r="AH153" s="64">
        <f t="shared" si="109"/>
        <v>0.6428571428571429</v>
      </c>
      <c r="AI153" s="78">
        <f>IFERROR(AVERAGEIFS(Tracker!I:I, Tracker!E:E, 3, Tracker!G:G, "&lt;="&amp;Daily!C153, Tracker!J:J, "Y"), 0)</f>
        <v>40.074074074074076</v>
      </c>
      <c r="AJ153" s="79">
        <f>IFERROR(COUNTIFS(Tracker!E:E, 3, Tracker!G:G, "&lt;="&amp;Daily!C153, Tracker!L:L, "N") / AF153,  0)</f>
        <v>0.35714285714285715</v>
      </c>
      <c r="AK153" s="39">
        <f t="shared" si="110"/>
        <v>322</v>
      </c>
      <c r="AL153" s="36">
        <f t="shared" si="111"/>
        <v>269</v>
      </c>
      <c r="AM153" s="64">
        <f t="shared" si="112"/>
        <v>0.8354037267080745</v>
      </c>
      <c r="AN153" s="78">
        <f>IFERROR(AVERAGEIFS(Tracker!I:I,  Tracker!G:G, "&lt;="&amp;Daily!C153, Tracker!J:J, "Y"), 0)</f>
        <v>23.535315985130111</v>
      </c>
      <c r="AO153" s="79">
        <f>IFERROR(COUNTIFS(Tracker!G:G, "&lt;="&amp;Daily!C153, Tracker!L:L, "N") / AK153,  0)</f>
        <v>0.62422360248447206</v>
      </c>
    </row>
    <row r="154" spans="1:41" x14ac:dyDescent="0.25">
      <c r="A154" s="118">
        <f>A147+1</f>
        <v>22</v>
      </c>
      <c r="B154" s="28">
        <f t="shared" si="96"/>
        <v>45369</v>
      </c>
      <c r="C154" s="29">
        <f t="shared" si="113"/>
        <v>45369</v>
      </c>
      <c r="D154" s="108" t="b">
        <f t="shared" ca="1" si="79"/>
        <v>1</v>
      </c>
      <c r="E154" s="50">
        <f t="shared" si="97"/>
        <v>0</v>
      </c>
      <c r="F154" s="38">
        <f>COUNTIFS(Tracker!G:G,Daily!C154, Tracker!J:J,"Y")</f>
        <v>0</v>
      </c>
      <c r="G154" s="30">
        <f>COUNTIFS(Tracker!G:G,Daily!C154, Tracker!J:J,"Y (with hints)")</f>
        <v>0</v>
      </c>
      <c r="H154" s="31">
        <f>COUNTIFS(Tracker!G:G,Daily!C154, Tracker!J:J,"N")</f>
        <v>0</v>
      </c>
      <c r="I154" s="53">
        <f t="shared" si="98"/>
        <v>0</v>
      </c>
      <c r="J154" s="30">
        <f>COUNTIFS(Tracker!G:G,Daily!C154, Tracker!J:J,"Y",Tracker!E:E,1)</f>
        <v>0</v>
      </c>
      <c r="K154" s="30">
        <f>COUNTIFS(Tracker!G:G,Daily!C154, Tracker!J:J,"Y (with hints)",Tracker!E:E,1)</f>
        <v>0</v>
      </c>
      <c r="L154" s="31">
        <f>COUNTIFS(Tracker!G:G,Daily!C154, Tracker!J:J,"N",Tracker!E:E,1)</f>
        <v>0</v>
      </c>
      <c r="M154" s="53">
        <f t="shared" si="99"/>
        <v>0</v>
      </c>
      <c r="N154" s="30">
        <f>COUNTIFS(Tracker!G:G,Daily!C154, Tracker!J:J,"Y",Tracker!E:E,2)</f>
        <v>0</v>
      </c>
      <c r="O154" s="30">
        <f>COUNTIFS(Tracker!G:G,Daily!C154, Tracker!J:J,"Y (with hints)",Tracker!E:E,2)</f>
        <v>0</v>
      </c>
      <c r="P154" s="31">
        <f>COUNTIFS(Tracker!G:G,Daily!C154, Tracker!J:J,"N",Tracker!E:E,2)</f>
        <v>0</v>
      </c>
      <c r="Q154" s="56">
        <f t="shared" si="100"/>
        <v>0</v>
      </c>
      <c r="R154" s="30">
        <f>COUNTIFS(Tracker!G:G,Daily!C154, Tracker!J:J,"Y",Tracker!E:E,3)</f>
        <v>0</v>
      </c>
      <c r="S154" s="30">
        <f>COUNTIFS(Tracker!G:G,Daily!C154, Tracker!J:J,"Y (with hints)",Tracker!E:E,3)</f>
        <v>0</v>
      </c>
      <c r="T154" s="31">
        <f>COUNTIFS(Tracker!G:G,Daily!C154, Tracker!J:J,"N",Tracker!E:E,3)</f>
        <v>0</v>
      </c>
      <c r="V154" s="38">
        <f t="shared" si="101"/>
        <v>89</v>
      </c>
      <c r="W154" s="30">
        <f t="shared" si="102"/>
        <v>85</v>
      </c>
      <c r="X154" s="73">
        <f t="shared" si="103"/>
        <v>0.9550561797752809</v>
      </c>
      <c r="Y154" s="75">
        <f>AVERAGEIFS(Tracker!I:I, Tracker!E:E, 1, Tracker!G:G, "&lt;="&amp;Daily!C154, Tracker!J:J, "Y")</f>
        <v>12.658823529411764</v>
      </c>
      <c r="Z154" s="76">
        <f>COUNTIFS(Tracker!E:E, 1, Tracker!G:G, "&lt;="&amp;Daily!C154, Tracker!L:L, "N") / V154</f>
        <v>0.797752808988764</v>
      </c>
      <c r="AA154" s="38">
        <f t="shared" si="104"/>
        <v>191</v>
      </c>
      <c r="AB154" s="30">
        <f t="shared" si="105"/>
        <v>157</v>
      </c>
      <c r="AC154" s="73">
        <f t="shared" si="106"/>
        <v>0.82198952879581155</v>
      </c>
      <c r="AD154" s="75">
        <f>AVERAGEIFS(Tracker!I:I, Tracker!E:E, 2, Tracker!G:G, "&lt;="&amp;Daily!C154, Tracker!J:J, "Y")</f>
        <v>26.579617834394906</v>
      </c>
      <c r="AE154" s="76">
        <f>COUNTIFS(Tracker!E:E, 2, Tracker!G:G, "&lt;="&amp;Daily!C154, Tracker!L:L, "N") / AA154</f>
        <v>0.60209424083769636</v>
      </c>
      <c r="AF154" s="38">
        <f t="shared" si="107"/>
        <v>42</v>
      </c>
      <c r="AG154" s="30">
        <f t="shared" si="108"/>
        <v>27</v>
      </c>
      <c r="AH154" s="73">
        <f t="shared" si="109"/>
        <v>0.6428571428571429</v>
      </c>
      <c r="AI154" s="75">
        <f>IFERROR(AVERAGEIFS(Tracker!I:I, Tracker!E:E, 3, Tracker!G:G, "&lt;="&amp;Daily!C154, Tracker!J:J, "Y"), 0)</f>
        <v>40.074074074074076</v>
      </c>
      <c r="AJ154" s="76">
        <f>IFERROR(COUNTIFS(Tracker!E:E, 3, Tracker!G:G, "&lt;="&amp;Daily!C154, Tracker!L:L, "N") / AF154,  0)</f>
        <v>0.35714285714285715</v>
      </c>
      <c r="AK154" s="38">
        <f t="shared" si="110"/>
        <v>322</v>
      </c>
      <c r="AL154" s="30">
        <f t="shared" si="111"/>
        <v>269</v>
      </c>
      <c r="AM154" s="73">
        <f t="shared" si="112"/>
        <v>0.8354037267080745</v>
      </c>
      <c r="AN154" s="75">
        <f>IFERROR(AVERAGEIFS(Tracker!I:I,  Tracker!G:G, "&lt;="&amp;Daily!C154, Tracker!J:J, "Y"), 0)</f>
        <v>23.535315985130111</v>
      </c>
      <c r="AO154" s="76">
        <f>IFERROR(COUNTIFS(Tracker!G:G, "&lt;="&amp;Daily!C154, Tracker!L:L, "N") / AK154,  0)</f>
        <v>0.62422360248447206</v>
      </c>
    </row>
    <row r="155" spans="1:41" x14ac:dyDescent="0.25">
      <c r="A155" s="119"/>
      <c r="B155" s="32">
        <f t="shared" si="96"/>
        <v>45370</v>
      </c>
      <c r="C155" s="27">
        <f t="shared" si="113"/>
        <v>45370</v>
      </c>
      <c r="D155" s="109" t="b">
        <f t="shared" ca="1" si="79"/>
        <v>1</v>
      </c>
      <c r="E155" s="51">
        <f t="shared" si="97"/>
        <v>0</v>
      </c>
      <c r="F155" s="48">
        <f>COUNTIFS(Tracker!G:G,Daily!C155, Tracker!J:J,"Y")</f>
        <v>0</v>
      </c>
      <c r="G155" s="26">
        <f>COUNTIFS(Tracker!G:G,Daily!C155, Tracker!J:J,"Y (with hints)")</f>
        <v>0</v>
      </c>
      <c r="H155" s="33">
        <f>COUNTIFS(Tracker!G:G,Daily!C155, Tracker!J:J,"N")</f>
        <v>0</v>
      </c>
      <c r="I155" s="54">
        <f t="shared" si="98"/>
        <v>0</v>
      </c>
      <c r="J155" s="26">
        <f>COUNTIFS(Tracker!G:G,Daily!C155, Tracker!J:J,"Y",Tracker!E:E,1)</f>
        <v>0</v>
      </c>
      <c r="K155" s="26">
        <f>COUNTIFS(Tracker!G:G,Daily!C155, Tracker!J:J,"Y (with hints)",Tracker!E:E,1)</f>
        <v>0</v>
      </c>
      <c r="L155" s="33">
        <f>COUNTIFS(Tracker!G:G,Daily!C155, Tracker!J:J,"N",Tracker!E:E,1)</f>
        <v>0</v>
      </c>
      <c r="M155" s="54">
        <f t="shared" si="99"/>
        <v>0</v>
      </c>
      <c r="N155" s="26">
        <f>COUNTIFS(Tracker!G:G,Daily!C155, Tracker!J:J,"Y",Tracker!E:E,2)</f>
        <v>0</v>
      </c>
      <c r="O155" s="26">
        <f>COUNTIFS(Tracker!G:G,Daily!C155, Tracker!J:J,"Y (with hints)",Tracker!E:E,2)</f>
        <v>0</v>
      </c>
      <c r="P155" s="33">
        <f>COUNTIFS(Tracker!G:G,Daily!C155, Tracker!J:J,"N",Tracker!E:E,2)</f>
        <v>0</v>
      </c>
      <c r="Q155" s="57">
        <f t="shared" si="100"/>
        <v>0</v>
      </c>
      <c r="R155" s="26">
        <f>COUNTIFS(Tracker!G:G,Daily!C155, Tracker!J:J,"Y",Tracker!E:E,3)</f>
        <v>0</v>
      </c>
      <c r="S155" s="26">
        <f>COUNTIFS(Tracker!G:G,Daily!C155, Tracker!J:J,"Y (with hints)",Tracker!E:E,3)</f>
        <v>0</v>
      </c>
      <c r="T155" s="33">
        <f>COUNTIFS(Tracker!G:G,Daily!C155, Tracker!J:J,"N",Tracker!E:E,3)</f>
        <v>0</v>
      </c>
      <c r="V155" s="48">
        <f t="shared" si="101"/>
        <v>89</v>
      </c>
      <c r="W155" s="26">
        <f t="shared" si="102"/>
        <v>85</v>
      </c>
      <c r="X155" s="62">
        <f t="shared" si="103"/>
        <v>0.9550561797752809</v>
      </c>
      <c r="Y155" s="74">
        <f>AVERAGEIFS(Tracker!I:I, Tracker!E:E, 1, Tracker!G:G, "&lt;="&amp;Daily!C155, Tracker!J:J, "Y")</f>
        <v>12.658823529411764</v>
      </c>
      <c r="Z155" s="77">
        <f>COUNTIFS(Tracker!E:E, 1, Tracker!G:G, "&lt;="&amp;Daily!C155, Tracker!L:L, "N") / V155</f>
        <v>0.797752808988764</v>
      </c>
      <c r="AA155" s="48">
        <f t="shared" si="104"/>
        <v>191</v>
      </c>
      <c r="AB155" s="26">
        <f t="shared" si="105"/>
        <v>157</v>
      </c>
      <c r="AC155" s="62">
        <f t="shared" si="106"/>
        <v>0.82198952879581155</v>
      </c>
      <c r="AD155" s="74">
        <f>AVERAGEIFS(Tracker!I:I, Tracker!E:E, 2, Tracker!G:G, "&lt;="&amp;Daily!C155, Tracker!J:J, "Y")</f>
        <v>26.579617834394906</v>
      </c>
      <c r="AE155" s="77">
        <f>COUNTIFS(Tracker!E:E, 2, Tracker!G:G, "&lt;="&amp;Daily!C155, Tracker!L:L, "N") / AA155</f>
        <v>0.60209424083769636</v>
      </c>
      <c r="AF155" s="48">
        <f t="shared" si="107"/>
        <v>42</v>
      </c>
      <c r="AG155" s="26">
        <f t="shared" si="108"/>
        <v>27</v>
      </c>
      <c r="AH155" s="62">
        <f t="shared" si="109"/>
        <v>0.6428571428571429</v>
      </c>
      <c r="AI155" s="74">
        <f>IFERROR(AVERAGEIFS(Tracker!I:I, Tracker!E:E, 3, Tracker!G:G, "&lt;="&amp;Daily!C155, Tracker!J:J, "Y"), 0)</f>
        <v>40.074074074074076</v>
      </c>
      <c r="AJ155" s="77">
        <f>IFERROR(COUNTIFS(Tracker!E:E, 3, Tracker!G:G, "&lt;="&amp;Daily!C155, Tracker!L:L, "N") / AF155,  0)</f>
        <v>0.35714285714285715</v>
      </c>
      <c r="AK155" s="48">
        <f t="shared" si="110"/>
        <v>322</v>
      </c>
      <c r="AL155" s="26">
        <f t="shared" si="111"/>
        <v>269</v>
      </c>
      <c r="AM155" s="62">
        <f t="shared" si="112"/>
        <v>0.8354037267080745</v>
      </c>
      <c r="AN155" s="74">
        <f>IFERROR(AVERAGEIFS(Tracker!I:I,  Tracker!G:G, "&lt;="&amp;Daily!C155, Tracker!J:J, "Y"), 0)</f>
        <v>23.535315985130111</v>
      </c>
      <c r="AO155" s="77">
        <f>IFERROR(COUNTIFS(Tracker!G:G, "&lt;="&amp;Daily!C155, Tracker!L:L, "N") / AK155,  0)</f>
        <v>0.62422360248447206</v>
      </c>
    </row>
    <row r="156" spans="1:41" x14ac:dyDescent="0.25">
      <c r="A156" s="119"/>
      <c r="B156" s="32">
        <f t="shared" si="96"/>
        <v>45371</v>
      </c>
      <c r="C156" s="27">
        <f t="shared" si="113"/>
        <v>45371</v>
      </c>
      <c r="D156" s="109" t="b">
        <f t="shared" ca="1" si="79"/>
        <v>1</v>
      </c>
      <c r="E156" s="51">
        <f t="shared" si="97"/>
        <v>0</v>
      </c>
      <c r="F156" s="48">
        <f>COUNTIFS(Tracker!G:G,Daily!C156, Tracker!J:J,"Y")</f>
        <v>0</v>
      </c>
      <c r="G156" s="26">
        <f>COUNTIFS(Tracker!G:G,Daily!C156, Tracker!J:J,"Y (with hints)")</f>
        <v>0</v>
      </c>
      <c r="H156" s="33">
        <f>COUNTIFS(Tracker!G:G,Daily!C156, Tracker!J:J,"N")</f>
        <v>0</v>
      </c>
      <c r="I156" s="54">
        <f t="shared" si="98"/>
        <v>0</v>
      </c>
      <c r="J156" s="26">
        <f>COUNTIFS(Tracker!G:G,Daily!C156, Tracker!J:J,"Y",Tracker!E:E,1)</f>
        <v>0</v>
      </c>
      <c r="K156" s="26">
        <f>COUNTIFS(Tracker!G:G,Daily!C156, Tracker!J:J,"Y (with hints)",Tracker!E:E,1)</f>
        <v>0</v>
      </c>
      <c r="L156" s="33">
        <f>COUNTIFS(Tracker!G:G,Daily!C156, Tracker!J:J,"N",Tracker!E:E,1)</f>
        <v>0</v>
      </c>
      <c r="M156" s="54">
        <f t="shared" si="99"/>
        <v>0</v>
      </c>
      <c r="N156" s="26">
        <f>COUNTIFS(Tracker!G:G,Daily!C156, Tracker!J:J,"Y",Tracker!E:E,2)</f>
        <v>0</v>
      </c>
      <c r="O156" s="26">
        <f>COUNTIFS(Tracker!G:G,Daily!C156, Tracker!J:J,"Y (with hints)",Tracker!E:E,2)</f>
        <v>0</v>
      </c>
      <c r="P156" s="33">
        <f>COUNTIFS(Tracker!G:G,Daily!C156, Tracker!J:J,"N",Tracker!E:E,2)</f>
        <v>0</v>
      </c>
      <c r="Q156" s="57">
        <f t="shared" si="100"/>
        <v>0</v>
      </c>
      <c r="R156" s="26">
        <f>COUNTIFS(Tracker!G:G,Daily!C156, Tracker!J:J,"Y",Tracker!E:E,3)</f>
        <v>0</v>
      </c>
      <c r="S156" s="26">
        <f>COUNTIFS(Tracker!G:G,Daily!C156, Tracker!J:J,"Y (with hints)",Tracker!E:E,3)</f>
        <v>0</v>
      </c>
      <c r="T156" s="33">
        <f>COUNTIFS(Tracker!G:G,Daily!C156, Tracker!J:J,"N",Tracker!E:E,3)</f>
        <v>0</v>
      </c>
      <c r="V156" s="48">
        <f t="shared" si="101"/>
        <v>89</v>
      </c>
      <c r="W156" s="26">
        <f t="shared" si="102"/>
        <v>85</v>
      </c>
      <c r="X156" s="62">
        <f t="shared" si="103"/>
        <v>0.9550561797752809</v>
      </c>
      <c r="Y156" s="74">
        <f>AVERAGEIFS(Tracker!I:I, Tracker!E:E, 1, Tracker!G:G, "&lt;="&amp;Daily!C156, Tracker!J:J, "Y")</f>
        <v>12.658823529411764</v>
      </c>
      <c r="Z156" s="77">
        <f>COUNTIFS(Tracker!E:E, 1, Tracker!G:G, "&lt;="&amp;Daily!C156, Tracker!L:L, "N") / V156</f>
        <v>0.797752808988764</v>
      </c>
      <c r="AA156" s="48">
        <f t="shared" si="104"/>
        <v>191</v>
      </c>
      <c r="AB156" s="26">
        <f t="shared" si="105"/>
        <v>157</v>
      </c>
      <c r="AC156" s="62">
        <f t="shared" si="106"/>
        <v>0.82198952879581155</v>
      </c>
      <c r="AD156" s="74">
        <f>AVERAGEIFS(Tracker!I:I, Tracker!E:E, 2, Tracker!G:G, "&lt;="&amp;Daily!C156, Tracker!J:J, "Y")</f>
        <v>26.579617834394906</v>
      </c>
      <c r="AE156" s="77">
        <f>COUNTIFS(Tracker!E:E, 2, Tracker!G:G, "&lt;="&amp;Daily!C156, Tracker!L:L, "N") / AA156</f>
        <v>0.60209424083769636</v>
      </c>
      <c r="AF156" s="48">
        <f t="shared" si="107"/>
        <v>42</v>
      </c>
      <c r="AG156" s="26">
        <f t="shared" si="108"/>
        <v>27</v>
      </c>
      <c r="AH156" s="62">
        <f t="shared" si="109"/>
        <v>0.6428571428571429</v>
      </c>
      <c r="AI156" s="74">
        <f>IFERROR(AVERAGEIFS(Tracker!I:I, Tracker!E:E, 3, Tracker!G:G, "&lt;="&amp;Daily!C156, Tracker!J:J, "Y"), 0)</f>
        <v>40.074074074074076</v>
      </c>
      <c r="AJ156" s="77">
        <f>IFERROR(COUNTIFS(Tracker!E:E, 3, Tracker!G:G, "&lt;="&amp;Daily!C156, Tracker!L:L, "N") / AF156,  0)</f>
        <v>0.35714285714285715</v>
      </c>
      <c r="AK156" s="48">
        <f t="shared" si="110"/>
        <v>322</v>
      </c>
      <c r="AL156" s="26">
        <f t="shared" si="111"/>
        <v>269</v>
      </c>
      <c r="AM156" s="62">
        <f t="shared" si="112"/>
        <v>0.8354037267080745</v>
      </c>
      <c r="AN156" s="74">
        <f>IFERROR(AVERAGEIFS(Tracker!I:I,  Tracker!G:G, "&lt;="&amp;Daily!C156, Tracker!J:J, "Y"), 0)</f>
        <v>23.535315985130111</v>
      </c>
      <c r="AO156" s="77">
        <f>IFERROR(COUNTIFS(Tracker!G:G, "&lt;="&amp;Daily!C156, Tracker!L:L, "N") / AK156,  0)</f>
        <v>0.62422360248447206</v>
      </c>
    </row>
    <row r="157" spans="1:41" x14ac:dyDescent="0.25">
      <c r="A157" s="119"/>
      <c r="B157" s="32">
        <f t="shared" si="96"/>
        <v>45372</v>
      </c>
      <c r="C157" s="27">
        <f t="shared" si="113"/>
        <v>45372</v>
      </c>
      <c r="D157" s="109" t="b">
        <f t="shared" ca="1" si="79"/>
        <v>1</v>
      </c>
      <c r="E157" s="51">
        <f t="shared" si="97"/>
        <v>0</v>
      </c>
      <c r="F157" s="48">
        <f>COUNTIFS(Tracker!G:G,Daily!C157, Tracker!J:J,"Y")</f>
        <v>0</v>
      </c>
      <c r="G157" s="26">
        <f>COUNTIFS(Tracker!G:G,Daily!C157, Tracker!J:J,"Y (with hints)")</f>
        <v>0</v>
      </c>
      <c r="H157" s="33">
        <f>COUNTIFS(Tracker!G:G,Daily!C157, Tracker!J:J,"N")</f>
        <v>0</v>
      </c>
      <c r="I157" s="54">
        <f t="shared" si="98"/>
        <v>0</v>
      </c>
      <c r="J157" s="26">
        <f>COUNTIFS(Tracker!G:G,Daily!C157, Tracker!J:J,"Y",Tracker!E:E,1)</f>
        <v>0</v>
      </c>
      <c r="K157" s="26">
        <f>COUNTIFS(Tracker!G:G,Daily!C157, Tracker!J:J,"Y (with hints)",Tracker!E:E,1)</f>
        <v>0</v>
      </c>
      <c r="L157" s="33">
        <f>COUNTIFS(Tracker!G:G,Daily!C157, Tracker!J:J,"N",Tracker!E:E,1)</f>
        <v>0</v>
      </c>
      <c r="M157" s="54">
        <f t="shared" si="99"/>
        <v>0</v>
      </c>
      <c r="N157" s="26">
        <f>COUNTIFS(Tracker!G:G,Daily!C157, Tracker!J:J,"Y",Tracker!E:E,2)</f>
        <v>0</v>
      </c>
      <c r="O157" s="26">
        <f>COUNTIFS(Tracker!G:G,Daily!C157, Tracker!J:J,"Y (with hints)",Tracker!E:E,2)</f>
        <v>0</v>
      </c>
      <c r="P157" s="33">
        <f>COUNTIFS(Tracker!G:G,Daily!C157, Tracker!J:J,"N",Tracker!E:E,2)</f>
        <v>0</v>
      </c>
      <c r="Q157" s="57">
        <f t="shared" si="100"/>
        <v>0</v>
      </c>
      <c r="R157" s="26">
        <f>COUNTIFS(Tracker!G:G,Daily!C157, Tracker!J:J,"Y",Tracker!E:E,3)</f>
        <v>0</v>
      </c>
      <c r="S157" s="26">
        <f>COUNTIFS(Tracker!G:G,Daily!C157, Tracker!J:J,"Y (with hints)",Tracker!E:E,3)</f>
        <v>0</v>
      </c>
      <c r="T157" s="33">
        <f>COUNTIFS(Tracker!G:G,Daily!C157, Tracker!J:J,"N",Tracker!E:E,3)</f>
        <v>0</v>
      </c>
      <c r="V157" s="48">
        <f t="shared" si="101"/>
        <v>89</v>
      </c>
      <c r="W157" s="26">
        <f t="shared" si="102"/>
        <v>85</v>
      </c>
      <c r="X157" s="62">
        <f t="shared" si="103"/>
        <v>0.9550561797752809</v>
      </c>
      <c r="Y157" s="74">
        <f>AVERAGEIFS(Tracker!I:I, Tracker!E:E, 1, Tracker!G:G, "&lt;="&amp;Daily!C157, Tracker!J:J, "Y")</f>
        <v>12.658823529411764</v>
      </c>
      <c r="Z157" s="77">
        <f>COUNTIFS(Tracker!E:E, 1, Tracker!G:G, "&lt;="&amp;Daily!C157, Tracker!L:L, "N") / V157</f>
        <v>0.797752808988764</v>
      </c>
      <c r="AA157" s="48">
        <f t="shared" si="104"/>
        <v>191</v>
      </c>
      <c r="AB157" s="26">
        <f t="shared" si="105"/>
        <v>157</v>
      </c>
      <c r="AC157" s="62">
        <f t="shared" si="106"/>
        <v>0.82198952879581155</v>
      </c>
      <c r="AD157" s="74">
        <f>AVERAGEIFS(Tracker!I:I, Tracker!E:E, 2, Tracker!G:G, "&lt;="&amp;Daily!C157, Tracker!J:J, "Y")</f>
        <v>26.579617834394906</v>
      </c>
      <c r="AE157" s="77">
        <f>COUNTIFS(Tracker!E:E, 2, Tracker!G:G, "&lt;="&amp;Daily!C157, Tracker!L:L, "N") / AA157</f>
        <v>0.60209424083769636</v>
      </c>
      <c r="AF157" s="48">
        <f t="shared" si="107"/>
        <v>42</v>
      </c>
      <c r="AG157" s="26">
        <f t="shared" si="108"/>
        <v>27</v>
      </c>
      <c r="AH157" s="62">
        <f t="shared" si="109"/>
        <v>0.6428571428571429</v>
      </c>
      <c r="AI157" s="74">
        <f>IFERROR(AVERAGEIFS(Tracker!I:I, Tracker!E:E, 3, Tracker!G:G, "&lt;="&amp;Daily!C157, Tracker!J:J, "Y"), 0)</f>
        <v>40.074074074074076</v>
      </c>
      <c r="AJ157" s="77">
        <f>IFERROR(COUNTIFS(Tracker!E:E, 3, Tracker!G:G, "&lt;="&amp;Daily!C157, Tracker!L:L, "N") / AF157,  0)</f>
        <v>0.35714285714285715</v>
      </c>
      <c r="AK157" s="48">
        <f t="shared" si="110"/>
        <v>322</v>
      </c>
      <c r="AL157" s="26">
        <f t="shared" si="111"/>
        <v>269</v>
      </c>
      <c r="AM157" s="62">
        <f t="shared" si="112"/>
        <v>0.8354037267080745</v>
      </c>
      <c r="AN157" s="74">
        <f>IFERROR(AVERAGEIFS(Tracker!I:I,  Tracker!G:G, "&lt;="&amp;Daily!C157, Tracker!J:J, "Y"), 0)</f>
        <v>23.535315985130111</v>
      </c>
      <c r="AO157" s="77">
        <f>IFERROR(COUNTIFS(Tracker!G:G, "&lt;="&amp;Daily!C157, Tracker!L:L, "N") / AK157,  0)</f>
        <v>0.62422360248447206</v>
      </c>
    </row>
    <row r="158" spans="1:41" x14ac:dyDescent="0.25">
      <c r="A158" s="119"/>
      <c r="B158" s="32">
        <f t="shared" si="96"/>
        <v>45373</v>
      </c>
      <c r="C158" s="27">
        <f t="shared" si="113"/>
        <v>45373</v>
      </c>
      <c r="D158" s="109" t="b">
        <f t="shared" ca="1" si="79"/>
        <v>1</v>
      </c>
      <c r="E158" s="51">
        <f t="shared" si="97"/>
        <v>0</v>
      </c>
      <c r="F158" s="48">
        <f>COUNTIFS(Tracker!G:G,Daily!C158, Tracker!J:J,"Y")</f>
        <v>0</v>
      </c>
      <c r="G158" s="26">
        <f>COUNTIFS(Tracker!G:G,Daily!C158, Tracker!J:J,"Y (with hints)")</f>
        <v>0</v>
      </c>
      <c r="H158" s="33">
        <f>COUNTIFS(Tracker!G:G,Daily!C158, Tracker!J:J,"N")</f>
        <v>0</v>
      </c>
      <c r="I158" s="54">
        <f t="shared" si="98"/>
        <v>0</v>
      </c>
      <c r="J158" s="26">
        <f>COUNTIFS(Tracker!G:G,Daily!C158, Tracker!J:J,"Y",Tracker!E:E,1)</f>
        <v>0</v>
      </c>
      <c r="K158" s="26">
        <f>COUNTIFS(Tracker!G:G,Daily!C158, Tracker!J:J,"Y (with hints)",Tracker!E:E,1)</f>
        <v>0</v>
      </c>
      <c r="L158" s="33">
        <f>COUNTIFS(Tracker!G:G,Daily!C158, Tracker!J:J,"N",Tracker!E:E,1)</f>
        <v>0</v>
      </c>
      <c r="M158" s="54">
        <f t="shared" si="99"/>
        <v>0</v>
      </c>
      <c r="N158" s="26">
        <f>COUNTIFS(Tracker!G:G,Daily!C158, Tracker!J:J,"Y",Tracker!E:E,2)</f>
        <v>0</v>
      </c>
      <c r="O158" s="26">
        <f>COUNTIFS(Tracker!G:G,Daily!C158, Tracker!J:J,"Y (with hints)",Tracker!E:E,2)</f>
        <v>0</v>
      </c>
      <c r="P158" s="33">
        <f>COUNTIFS(Tracker!G:G,Daily!C158, Tracker!J:J,"N",Tracker!E:E,2)</f>
        <v>0</v>
      </c>
      <c r="Q158" s="57">
        <f t="shared" si="100"/>
        <v>0</v>
      </c>
      <c r="R158" s="26">
        <f>COUNTIFS(Tracker!G:G,Daily!C158, Tracker!J:J,"Y",Tracker!E:E,3)</f>
        <v>0</v>
      </c>
      <c r="S158" s="26">
        <f>COUNTIFS(Tracker!G:G,Daily!C158, Tracker!J:J,"Y (with hints)",Tracker!E:E,3)</f>
        <v>0</v>
      </c>
      <c r="T158" s="33">
        <f>COUNTIFS(Tracker!G:G,Daily!C158, Tracker!J:J,"N",Tracker!E:E,3)</f>
        <v>0</v>
      </c>
      <c r="V158" s="48">
        <f t="shared" si="101"/>
        <v>89</v>
      </c>
      <c r="W158" s="26">
        <f t="shared" si="102"/>
        <v>85</v>
      </c>
      <c r="X158" s="62">
        <f t="shared" si="103"/>
        <v>0.9550561797752809</v>
      </c>
      <c r="Y158" s="74">
        <f>AVERAGEIFS(Tracker!I:I, Tracker!E:E, 1, Tracker!G:G, "&lt;="&amp;Daily!C158, Tracker!J:J, "Y")</f>
        <v>12.658823529411764</v>
      </c>
      <c r="Z158" s="77">
        <f>COUNTIFS(Tracker!E:E, 1, Tracker!G:G, "&lt;="&amp;Daily!C158, Tracker!L:L, "N") / V158</f>
        <v>0.797752808988764</v>
      </c>
      <c r="AA158" s="48">
        <f t="shared" si="104"/>
        <v>191</v>
      </c>
      <c r="AB158" s="26">
        <f t="shared" si="105"/>
        <v>157</v>
      </c>
      <c r="AC158" s="62">
        <f t="shared" si="106"/>
        <v>0.82198952879581155</v>
      </c>
      <c r="AD158" s="74">
        <f>AVERAGEIFS(Tracker!I:I, Tracker!E:E, 2, Tracker!G:G, "&lt;="&amp;Daily!C158, Tracker!J:J, "Y")</f>
        <v>26.579617834394906</v>
      </c>
      <c r="AE158" s="77">
        <f>COUNTIFS(Tracker!E:E, 2, Tracker!G:G, "&lt;="&amp;Daily!C158, Tracker!L:L, "N") / AA158</f>
        <v>0.60209424083769636</v>
      </c>
      <c r="AF158" s="48">
        <f t="shared" si="107"/>
        <v>42</v>
      </c>
      <c r="AG158" s="26">
        <f t="shared" si="108"/>
        <v>27</v>
      </c>
      <c r="AH158" s="62">
        <f t="shared" si="109"/>
        <v>0.6428571428571429</v>
      </c>
      <c r="AI158" s="74">
        <f>IFERROR(AVERAGEIFS(Tracker!I:I, Tracker!E:E, 3, Tracker!G:G, "&lt;="&amp;Daily!C158, Tracker!J:J, "Y"), 0)</f>
        <v>40.074074074074076</v>
      </c>
      <c r="AJ158" s="77">
        <f>IFERROR(COUNTIFS(Tracker!E:E, 3, Tracker!G:G, "&lt;="&amp;Daily!C158, Tracker!L:L, "N") / AF158,  0)</f>
        <v>0.35714285714285715</v>
      </c>
      <c r="AK158" s="48">
        <f t="shared" si="110"/>
        <v>322</v>
      </c>
      <c r="AL158" s="26">
        <f t="shared" si="111"/>
        <v>269</v>
      </c>
      <c r="AM158" s="62">
        <f t="shared" si="112"/>
        <v>0.8354037267080745</v>
      </c>
      <c r="AN158" s="74">
        <f>IFERROR(AVERAGEIFS(Tracker!I:I,  Tracker!G:G, "&lt;="&amp;Daily!C158, Tracker!J:J, "Y"), 0)</f>
        <v>23.535315985130111</v>
      </c>
      <c r="AO158" s="77">
        <f>IFERROR(COUNTIFS(Tracker!G:G, "&lt;="&amp;Daily!C158, Tracker!L:L, "N") / AK158,  0)</f>
        <v>0.62422360248447206</v>
      </c>
    </row>
    <row r="159" spans="1:41" x14ac:dyDescent="0.25">
      <c r="A159" s="119"/>
      <c r="B159" s="32">
        <f t="shared" si="96"/>
        <v>45374</v>
      </c>
      <c r="C159" s="27">
        <f t="shared" si="113"/>
        <v>45374</v>
      </c>
      <c r="D159" s="109" t="b">
        <f t="shared" ca="1" si="79"/>
        <v>1</v>
      </c>
      <c r="E159" s="51">
        <f t="shared" si="97"/>
        <v>0</v>
      </c>
      <c r="F159" s="48">
        <f>COUNTIFS(Tracker!G:G,Daily!C159, Tracker!J:J,"Y")</f>
        <v>0</v>
      </c>
      <c r="G159" s="26">
        <f>COUNTIFS(Tracker!G:G,Daily!C159, Tracker!J:J,"Y (with hints)")</f>
        <v>0</v>
      </c>
      <c r="H159" s="33">
        <f>COUNTIFS(Tracker!G:G,Daily!C159, Tracker!J:J,"N")</f>
        <v>0</v>
      </c>
      <c r="I159" s="54">
        <f t="shared" si="98"/>
        <v>0</v>
      </c>
      <c r="J159" s="26">
        <f>COUNTIFS(Tracker!G:G,Daily!C159, Tracker!J:J,"Y",Tracker!E:E,1)</f>
        <v>0</v>
      </c>
      <c r="K159" s="26">
        <f>COUNTIFS(Tracker!G:G,Daily!C159, Tracker!J:J,"Y (with hints)",Tracker!E:E,1)</f>
        <v>0</v>
      </c>
      <c r="L159" s="33">
        <f>COUNTIFS(Tracker!G:G,Daily!C159, Tracker!J:J,"N",Tracker!E:E,1)</f>
        <v>0</v>
      </c>
      <c r="M159" s="54">
        <f t="shared" si="99"/>
        <v>0</v>
      </c>
      <c r="N159" s="26">
        <f>COUNTIFS(Tracker!G:G,Daily!C159, Tracker!J:J,"Y",Tracker!E:E,2)</f>
        <v>0</v>
      </c>
      <c r="O159" s="26">
        <f>COUNTIFS(Tracker!G:G,Daily!C159, Tracker!J:J,"Y (with hints)",Tracker!E:E,2)</f>
        <v>0</v>
      </c>
      <c r="P159" s="33">
        <f>COUNTIFS(Tracker!G:G,Daily!C159, Tracker!J:J,"N",Tracker!E:E,2)</f>
        <v>0</v>
      </c>
      <c r="Q159" s="57">
        <f t="shared" si="100"/>
        <v>0</v>
      </c>
      <c r="R159" s="26">
        <f>COUNTIFS(Tracker!G:G,Daily!C159, Tracker!J:J,"Y",Tracker!E:E,3)</f>
        <v>0</v>
      </c>
      <c r="S159" s="26">
        <f>COUNTIFS(Tracker!G:G,Daily!C159, Tracker!J:J,"Y (with hints)",Tracker!E:E,3)</f>
        <v>0</v>
      </c>
      <c r="T159" s="33">
        <f>COUNTIFS(Tracker!G:G,Daily!C159, Tracker!J:J,"N",Tracker!E:E,3)</f>
        <v>0</v>
      </c>
      <c r="V159" s="48">
        <f t="shared" si="101"/>
        <v>89</v>
      </c>
      <c r="W159" s="26">
        <f t="shared" si="102"/>
        <v>85</v>
      </c>
      <c r="X159" s="62">
        <f t="shared" si="103"/>
        <v>0.9550561797752809</v>
      </c>
      <c r="Y159" s="74">
        <f>AVERAGEIFS(Tracker!I:I, Tracker!E:E, 1, Tracker!G:G, "&lt;="&amp;Daily!C159, Tracker!J:J, "Y")</f>
        <v>12.658823529411764</v>
      </c>
      <c r="Z159" s="77">
        <f>COUNTIFS(Tracker!E:E, 1, Tracker!G:G, "&lt;="&amp;Daily!C159, Tracker!L:L, "N") / V159</f>
        <v>0.797752808988764</v>
      </c>
      <c r="AA159" s="48">
        <f t="shared" si="104"/>
        <v>191</v>
      </c>
      <c r="AB159" s="26">
        <f t="shared" si="105"/>
        <v>157</v>
      </c>
      <c r="AC159" s="62">
        <f t="shared" si="106"/>
        <v>0.82198952879581155</v>
      </c>
      <c r="AD159" s="74">
        <f>AVERAGEIFS(Tracker!I:I, Tracker!E:E, 2, Tracker!G:G, "&lt;="&amp;Daily!C159, Tracker!J:J, "Y")</f>
        <v>26.579617834394906</v>
      </c>
      <c r="AE159" s="77">
        <f>COUNTIFS(Tracker!E:E, 2, Tracker!G:G, "&lt;="&amp;Daily!C159, Tracker!L:L, "N") / AA159</f>
        <v>0.60209424083769636</v>
      </c>
      <c r="AF159" s="48">
        <f t="shared" si="107"/>
        <v>42</v>
      </c>
      <c r="AG159" s="26">
        <f t="shared" si="108"/>
        <v>27</v>
      </c>
      <c r="AH159" s="62">
        <f t="shared" si="109"/>
        <v>0.6428571428571429</v>
      </c>
      <c r="AI159" s="74">
        <f>IFERROR(AVERAGEIFS(Tracker!I:I, Tracker!E:E, 3, Tracker!G:G, "&lt;="&amp;Daily!C159, Tracker!J:J, "Y"), 0)</f>
        <v>40.074074074074076</v>
      </c>
      <c r="AJ159" s="77">
        <f>IFERROR(COUNTIFS(Tracker!E:E, 3, Tracker!G:G, "&lt;="&amp;Daily!C159, Tracker!L:L, "N") / AF159,  0)</f>
        <v>0.35714285714285715</v>
      </c>
      <c r="AK159" s="48">
        <f t="shared" si="110"/>
        <v>322</v>
      </c>
      <c r="AL159" s="26">
        <f t="shared" si="111"/>
        <v>269</v>
      </c>
      <c r="AM159" s="62">
        <f t="shared" si="112"/>
        <v>0.8354037267080745</v>
      </c>
      <c r="AN159" s="74">
        <f>IFERROR(AVERAGEIFS(Tracker!I:I,  Tracker!G:G, "&lt;="&amp;Daily!C159, Tracker!J:J, "Y"), 0)</f>
        <v>23.535315985130111</v>
      </c>
      <c r="AO159" s="77">
        <f>IFERROR(COUNTIFS(Tracker!G:G, "&lt;="&amp;Daily!C159, Tracker!L:L, "N") / AK159,  0)</f>
        <v>0.62422360248447206</v>
      </c>
    </row>
    <row r="160" spans="1:41" ht="15.75" thickBot="1" x14ac:dyDescent="0.3">
      <c r="A160" s="120"/>
      <c r="B160" s="34">
        <f t="shared" si="96"/>
        <v>45375</v>
      </c>
      <c r="C160" s="35">
        <f t="shared" si="113"/>
        <v>45375</v>
      </c>
      <c r="D160" s="110" t="b">
        <f t="shared" ca="1" si="79"/>
        <v>1</v>
      </c>
      <c r="E160" s="52">
        <f t="shared" si="97"/>
        <v>0</v>
      </c>
      <c r="F160" s="39">
        <f>COUNTIFS(Tracker!G:G,Daily!C160, Tracker!J:J,"Y")</f>
        <v>0</v>
      </c>
      <c r="G160" s="36">
        <f>COUNTIFS(Tracker!G:G,Daily!C160, Tracker!J:J,"Y (with hints)")</f>
        <v>0</v>
      </c>
      <c r="H160" s="37">
        <f>COUNTIFS(Tracker!G:G,Daily!C160, Tracker!J:J,"N")</f>
        <v>0</v>
      </c>
      <c r="I160" s="55">
        <f t="shared" si="98"/>
        <v>0</v>
      </c>
      <c r="J160" s="36">
        <f>COUNTIFS(Tracker!G:G,Daily!C160, Tracker!J:J,"Y",Tracker!E:E,1)</f>
        <v>0</v>
      </c>
      <c r="K160" s="36">
        <f>COUNTIFS(Tracker!G:G,Daily!C160, Tracker!J:J,"Y (with hints)",Tracker!E:E,1)</f>
        <v>0</v>
      </c>
      <c r="L160" s="37">
        <f>COUNTIFS(Tracker!G:G,Daily!C160, Tracker!J:J,"N",Tracker!E:E,1)</f>
        <v>0</v>
      </c>
      <c r="M160" s="55">
        <f t="shared" si="99"/>
        <v>0</v>
      </c>
      <c r="N160" s="36">
        <f>COUNTIFS(Tracker!G:G,Daily!C160, Tracker!J:J,"Y",Tracker!E:E,2)</f>
        <v>0</v>
      </c>
      <c r="O160" s="36">
        <f>COUNTIFS(Tracker!G:G,Daily!C160, Tracker!J:J,"Y (with hints)",Tracker!E:E,2)</f>
        <v>0</v>
      </c>
      <c r="P160" s="37">
        <f>COUNTIFS(Tracker!G:G,Daily!C160, Tracker!J:J,"N",Tracker!E:E,2)</f>
        <v>0</v>
      </c>
      <c r="Q160" s="58">
        <f t="shared" si="100"/>
        <v>0</v>
      </c>
      <c r="R160" s="36">
        <f>COUNTIFS(Tracker!G:G,Daily!C160, Tracker!J:J,"Y",Tracker!E:E,3)</f>
        <v>0</v>
      </c>
      <c r="S160" s="36">
        <f>COUNTIFS(Tracker!G:G,Daily!C160, Tracker!J:J,"Y (with hints)",Tracker!E:E,3)</f>
        <v>0</v>
      </c>
      <c r="T160" s="37">
        <f>COUNTIFS(Tracker!G:G,Daily!C160, Tracker!J:J,"N",Tracker!E:E,3)</f>
        <v>0</v>
      </c>
      <c r="V160" s="39">
        <f t="shared" si="101"/>
        <v>89</v>
      </c>
      <c r="W160" s="36">
        <f t="shared" si="102"/>
        <v>85</v>
      </c>
      <c r="X160" s="64">
        <f t="shared" si="103"/>
        <v>0.9550561797752809</v>
      </c>
      <c r="Y160" s="78">
        <f>AVERAGEIFS(Tracker!I:I, Tracker!E:E, 1, Tracker!G:G, "&lt;="&amp;Daily!C160, Tracker!J:J, "Y")</f>
        <v>12.658823529411764</v>
      </c>
      <c r="Z160" s="79">
        <f>COUNTIFS(Tracker!E:E, 1, Tracker!G:G, "&lt;="&amp;Daily!C160, Tracker!L:L, "N") / V160</f>
        <v>0.797752808988764</v>
      </c>
      <c r="AA160" s="39">
        <f t="shared" si="104"/>
        <v>191</v>
      </c>
      <c r="AB160" s="36">
        <f t="shared" si="105"/>
        <v>157</v>
      </c>
      <c r="AC160" s="64">
        <f t="shared" si="106"/>
        <v>0.82198952879581155</v>
      </c>
      <c r="AD160" s="78">
        <f>AVERAGEIFS(Tracker!I:I, Tracker!E:E, 2, Tracker!G:G, "&lt;="&amp;Daily!C160, Tracker!J:J, "Y")</f>
        <v>26.579617834394906</v>
      </c>
      <c r="AE160" s="79">
        <f>COUNTIFS(Tracker!E:E, 2, Tracker!G:G, "&lt;="&amp;Daily!C160, Tracker!L:L, "N") / AA160</f>
        <v>0.60209424083769636</v>
      </c>
      <c r="AF160" s="39">
        <f t="shared" si="107"/>
        <v>42</v>
      </c>
      <c r="AG160" s="36">
        <f t="shared" si="108"/>
        <v>27</v>
      </c>
      <c r="AH160" s="64">
        <f t="shared" si="109"/>
        <v>0.6428571428571429</v>
      </c>
      <c r="AI160" s="78">
        <f>IFERROR(AVERAGEIFS(Tracker!I:I, Tracker!E:E, 3, Tracker!G:G, "&lt;="&amp;Daily!C160, Tracker!J:J, "Y"), 0)</f>
        <v>40.074074074074076</v>
      </c>
      <c r="AJ160" s="79">
        <f>IFERROR(COUNTIFS(Tracker!E:E, 3, Tracker!G:G, "&lt;="&amp;Daily!C160, Tracker!L:L, "N") / AF160,  0)</f>
        <v>0.35714285714285715</v>
      </c>
      <c r="AK160" s="39">
        <f t="shared" si="110"/>
        <v>322</v>
      </c>
      <c r="AL160" s="36">
        <f t="shared" si="111"/>
        <v>269</v>
      </c>
      <c r="AM160" s="64">
        <f t="shared" si="112"/>
        <v>0.8354037267080745</v>
      </c>
      <c r="AN160" s="78">
        <f>IFERROR(AVERAGEIFS(Tracker!I:I,  Tracker!G:G, "&lt;="&amp;Daily!C160, Tracker!J:J, "Y"), 0)</f>
        <v>23.535315985130111</v>
      </c>
      <c r="AO160" s="79">
        <f>IFERROR(COUNTIFS(Tracker!G:G, "&lt;="&amp;Daily!C160, Tracker!L:L, "N") / AK160,  0)</f>
        <v>0.62422360248447206</v>
      </c>
    </row>
    <row r="161" spans="1:41" x14ac:dyDescent="0.25">
      <c r="A161" s="118">
        <f>A154+1</f>
        <v>23</v>
      </c>
      <c r="B161" s="28">
        <f t="shared" si="96"/>
        <v>45376</v>
      </c>
      <c r="C161" s="29">
        <f t="shared" si="113"/>
        <v>45376</v>
      </c>
      <c r="D161" s="108" t="b">
        <f t="shared" ca="1" si="79"/>
        <v>1</v>
      </c>
      <c r="E161" s="50">
        <f t="shared" si="97"/>
        <v>0</v>
      </c>
      <c r="F161" s="38">
        <f>COUNTIFS(Tracker!G:G,Daily!C161, Tracker!J:J,"Y")</f>
        <v>0</v>
      </c>
      <c r="G161" s="30">
        <f>COUNTIFS(Tracker!G:G,Daily!C161, Tracker!J:J,"Y (with hints)")</f>
        <v>0</v>
      </c>
      <c r="H161" s="31">
        <f>COUNTIFS(Tracker!G:G,Daily!C161, Tracker!J:J,"N")</f>
        <v>0</v>
      </c>
      <c r="I161" s="53">
        <f t="shared" si="98"/>
        <v>0</v>
      </c>
      <c r="J161" s="30">
        <f>COUNTIFS(Tracker!G:G,Daily!C161, Tracker!J:J,"Y",Tracker!E:E,1)</f>
        <v>0</v>
      </c>
      <c r="K161" s="30">
        <f>COUNTIFS(Tracker!G:G,Daily!C161, Tracker!J:J,"Y (with hints)",Tracker!E:E,1)</f>
        <v>0</v>
      </c>
      <c r="L161" s="31">
        <f>COUNTIFS(Tracker!G:G,Daily!C161, Tracker!J:J,"N",Tracker!E:E,1)</f>
        <v>0</v>
      </c>
      <c r="M161" s="53">
        <f t="shared" si="99"/>
        <v>0</v>
      </c>
      <c r="N161" s="30">
        <f>COUNTIFS(Tracker!G:G,Daily!C161, Tracker!J:J,"Y",Tracker!E:E,2)</f>
        <v>0</v>
      </c>
      <c r="O161" s="30">
        <f>COUNTIFS(Tracker!G:G,Daily!C161, Tracker!J:J,"Y (with hints)",Tracker!E:E,2)</f>
        <v>0</v>
      </c>
      <c r="P161" s="31">
        <f>COUNTIFS(Tracker!G:G,Daily!C161, Tracker!J:J,"N",Tracker!E:E,2)</f>
        <v>0</v>
      </c>
      <c r="Q161" s="56">
        <f t="shared" si="100"/>
        <v>0</v>
      </c>
      <c r="R161" s="30">
        <f>COUNTIFS(Tracker!G:G,Daily!C161, Tracker!J:J,"Y",Tracker!E:E,3)</f>
        <v>0</v>
      </c>
      <c r="S161" s="30">
        <f>COUNTIFS(Tracker!G:G,Daily!C161, Tracker!J:J,"Y (with hints)",Tracker!E:E,3)</f>
        <v>0</v>
      </c>
      <c r="T161" s="31">
        <f>COUNTIFS(Tracker!G:G,Daily!C161, Tracker!J:J,"N",Tracker!E:E,3)</f>
        <v>0</v>
      </c>
      <c r="V161" s="38">
        <f t="shared" si="101"/>
        <v>89</v>
      </c>
      <c r="W161" s="30">
        <f t="shared" si="102"/>
        <v>85</v>
      </c>
      <c r="X161" s="73">
        <f t="shared" si="103"/>
        <v>0.9550561797752809</v>
      </c>
      <c r="Y161" s="75">
        <f>AVERAGEIFS(Tracker!I:I, Tracker!E:E, 1, Tracker!G:G, "&lt;="&amp;Daily!C161, Tracker!J:J, "Y")</f>
        <v>12.658823529411764</v>
      </c>
      <c r="Z161" s="76">
        <f>COUNTIFS(Tracker!E:E, 1, Tracker!G:G, "&lt;="&amp;Daily!C161, Tracker!L:L, "N") / V161</f>
        <v>0.797752808988764</v>
      </c>
      <c r="AA161" s="38">
        <f t="shared" si="104"/>
        <v>191</v>
      </c>
      <c r="AB161" s="30">
        <f t="shared" si="105"/>
        <v>157</v>
      </c>
      <c r="AC161" s="73">
        <f t="shared" si="106"/>
        <v>0.82198952879581155</v>
      </c>
      <c r="AD161" s="75">
        <f>AVERAGEIFS(Tracker!I:I, Tracker!E:E, 2, Tracker!G:G, "&lt;="&amp;Daily!C161, Tracker!J:J, "Y")</f>
        <v>26.579617834394906</v>
      </c>
      <c r="AE161" s="76">
        <f>COUNTIFS(Tracker!E:E, 2, Tracker!G:G, "&lt;="&amp;Daily!C161, Tracker!L:L, "N") / AA161</f>
        <v>0.60209424083769636</v>
      </c>
      <c r="AF161" s="38">
        <f t="shared" si="107"/>
        <v>42</v>
      </c>
      <c r="AG161" s="30">
        <f t="shared" si="108"/>
        <v>27</v>
      </c>
      <c r="AH161" s="73">
        <f t="shared" si="109"/>
        <v>0.6428571428571429</v>
      </c>
      <c r="AI161" s="75">
        <f>IFERROR(AVERAGEIFS(Tracker!I:I, Tracker!E:E, 3, Tracker!G:G, "&lt;="&amp;Daily!C161, Tracker!J:J, "Y"), 0)</f>
        <v>40.074074074074076</v>
      </c>
      <c r="AJ161" s="76">
        <f>IFERROR(COUNTIFS(Tracker!E:E, 3, Tracker!G:G, "&lt;="&amp;Daily!C161, Tracker!L:L, "N") / AF161,  0)</f>
        <v>0.35714285714285715</v>
      </c>
      <c r="AK161" s="38">
        <f t="shared" si="110"/>
        <v>322</v>
      </c>
      <c r="AL161" s="30">
        <f t="shared" si="111"/>
        <v>269</v>
      </c>
      <c r="AM161" s="73">
        <f t="shared" si="112"/>
        <v>0.8354037267080745</v>
      </c>
      <c r="AN161" s="75">
        <f>IFERROR(AVERAGEIFS(Tracker!I:I,  Tracker!G:G, "&lt;="&amp;Daily!C161, Tracker!J:J, "Y"), 0)</f>
        <v>23.535315985130111</v>
      </c>
      <c r="AO161" s="76">
        <f>IFERROR(COUNTIFS(Tracker!G:G, "&lt;="&amp;Daily!C161, Tracker!L:L, "N") / AK161,  0)</f>
        <v>0.62422360248447206</v>
      </c>
    </row>
    <row r="162" spans="1:41" x14ac:dyDescent="0.25">
      <c r="A162" s="119"/>
      <c r="B162" s="32">
        <f t="shared" si="96"/>
        <v>45377</v>
      </c>
      <c r="C162" s="27">
        <f t="shared" si="113"/>
        <v>45377</v>
      </c>
      <c r="D162" s="109" t="b">
        <f t="shared" ca="1" si="79"/>
        <v>1</v>
      </c>
      <c r="E162" s="51">
        <f t="shared" si="97"/>
        <v>0</v>
      </c>
      <c r="F162" s="48">
        <f>COUNTIFS(Tracker!G:G,Daily!C162, Tracker!J:J,"Y")</f>
        <v>0</v>
      </c>
      <c r="G162" s="26">
        <f>COUNTIFS(Tracker!G:G,Daily!C162, Tracker!J:J,"Y (with hints)")</f>
        <v>0</v>
      </c>
      <c r="H162" s="33">
        <f>COUNTIFS(Tracker!G:G,Daily!C162, Tracker!J:J,"N")</f>
        <v>0</v>
      </c>
      <c r="I162" s="54">
        <f t="shared" si="98"/>
        <v>0</v>
      </c>
      <c r="J162" s="26">
        <f>COUNTIFS(Tracker!G:G,Daily!C162, Tracker!J:J,"Y",Tracker!E:E,1)</f>
        <v>0</v>
      </c>
      <c r="K162" s="26">
        <f>COUNTIFS(Tracker!G:G,Daily!C162, Tracker!J:J,"Y (with hints)",Tracker!E:E,1)</f>
        <v>0</v>
      </c>
      <c r="L162" s="33">
        <f>COUNTIFS(Tracker!G:G,Daily!C162, Tracker!J:J,"N",Tracker!E:E,1)</f>
        <v>0</v>
      </c>
      <c r="M162" s="54">
        <f t="shared" si="99"/>
        <v>0</v>
      </c>
      <c r="N162" s="26">
        <f>COUNTIFS(Tracker!G:G,Daily!C162, Tracker!J:J,"Y",Tracker!E:E,2)</f>
        <v>0</v>
      </c>
      <c r="O162" s="26">
        <f>COUNTIFS(Tracker!G:G,Daily!C162, Tracker!J:J,"Y (with hints)",Tracker!E:E,2)</f>
        <v>0</v>
      </c>
      <c r="P162" s="33">
        <f>COUNTIFS(Tracker!G:G,Daily!C162, Tracker!J:J,"N",Tracker!E:E,2)</f>
        <v>0</v>
      </c>
      <c r="Q162" s="57">
        <f t="shared" si="100"/>
        <v>0</v>
      </c>
      <c r="R162" s="26">
        <f>COUNTIFS(Tracker!G:G,Daily!C162, Tracker!J:J,"Y",Tracker!E:E,3)</f>
        <v>0</v>
      </c>
      <c r="S162" s="26">
        <f>COUNTIFS(Tracker!G:G,Daily!C162, Tracker!J:J,"Y (with hints)",Tracker!E:E,3)</f>
        <v>0</v>
      </c>
      <c r="T162" s="33">
        <f>COUNTIFS(Tracker!G:G,Daily!C162, Tracker!J:J,"N",Tracker!E:E,3)</f>
        <v>0</v>
      </c>
      <c r="V162" s="48">
        <f t="shared" si="101"/>
        <v>89</v>
      </c>
      <c r="W162" s="26">
        <f t="shared" si="102"/>
        <v>85</v>
      </c>
      <c r="X162" s="62">
        <f t="shared" si="103"/>
        <v>0.9550561797752809</v>
      </c>
      <c r="Y162" s="74">
        <f>AVERAGEIFS(Tracker!I:I, Tracker!E:E, 1, Tracker!G:G, "&lt;="&amp;Daily!C162, Tracker!J:J, "Y")</f>
        <v>12.658823529411764</v>
      </c>
      <c r="Z162" s="77">
        <f>COUNTIFS(Tracker!E:E, 1, Tracker!G:G, "&lt;="&amp;Daily!C162, Tracker!L:L, "N") / V162</f>
        <v>0.797752808988764</v>
      </c>
      <c r="AA162" s="48">
        <f t="shared" si="104"/>
        <v>191</v>
      </c>
      <c r="AB162" s="26">
        <f t="shared" si="105"/>
        <v>157</v>
      </c>
      <c r="AC162" s="62">
        <f t="shared" si="106"/>
        <v>0.82198952879581155</v>
      </c>
      <c r="AD162" s="74">
        <f>AVERAGEIFS(Tracker!I:I, Tracker!E:E, 2, Tracker!G:G, "&lt;="&amp;Daily!C162, Tracker!J:J, "Y")</f>
        <v>26.579617834394906</v>
      </c>
      <c r="AE162" s="77">
        <f>COUNTIFS(Tracker!E:E, 2, Tracker!G:G, "&lt;="&amp;Daily!C162, Tracker!L:L, "N") / AA162</f>
        <v>0.60209424083769636</v>
      </c>
      <c r="AF162" s="48">
        <f t="shared" si="107"/>
        <v>42</v>
      </c>
      <c r="AG162" s="26">
        <f t="shared" si="108"/>
        <v>27</v>
      </c>
      <c r="AH162" s="62">
        <f t="shared" si="109"/>
        <v>0.6428571428571429</v>
      </c>
      <c r="AI162" s="74">
        <f>IFERROR(AVERAGEIFS(Tracker!I:I, Tracker!E:E, 3, Tracker!G:G, "&lt;="&amp;Daily!C162, Tracker!J:J, "Y"), 0)</f>
        <v>40.074074074074076</v>
      </c>
      <c r="AJ162" s="77">
        <f>IFERROR(COUNTIFS(Tracker!E:E, 3, Tracker!G:G, "&lt;="&amp;Daily!C162, Tracker!L:L, "N") / AF162,  0)</f>
        <v>0.35714285714285715</v>
      </c>
      <c r="AK162" s="48">
        <f t="shared" si="110"/>
        <v>322</v>
      </c>
      <c r="AL162" s="26">
        <f t="shared" si="111"/>
        <v>269</v>
      </c>
      <c r="AM162" s="62">
        <f t="shared" si="112"/>
        <v>0.8354037267080745</v>
      </c>
      <c r="AN162" s="74">
        <f>IFERROR(AVERAGEIFS(Tracker!I:I,  Tracker!G:G, "&lt;="&amp;Daily!C162, Tracker!J:J, "Y"), 0)</f>
        <v>23.535315985130111</v>
      </c>
      <c r="AO162" s="77">
        <f>IFERROR(COUNTIFS(Tracker!G:G, "&lt;="&amp;Daily!C162, Tracker!L:L, "N") / AK162,  0)</f>
        <v>0.62422360248447206</v>
      </c>
    </row>
    <row r="163" spans="1:41" x14ac:dyDescent="0.25">
      <c r="A163" s="119"/>
      <c r="B163" s="32">
        <f t="shared" si="96"/>
        <v>45378</v>
      </c>
      <c r="C163" s="27">
        <f t="shared" si="113"/>
        <v>45378</v>
      </c>
      <c r="D163" s="109" t="b">
        <f t="shared" ca="1" si="79"/>
        <v>1</v>
      </c>
      <c r="E163" s="51">
        <f t="shared" si="97"/>
        <v>0</v>
      </c>
      <c r="F163" s="48">
        <f>COUNTIFS(Tracker!G:G,Daily!C163, Tracker!J:J,"Y")</f>
        <v>0</v>
      </c>
      <c r="G163" s="26">
        <f>COUNTIFS(Tracker!G:G,Daily!C163, Tracker!J:J,"Y (with hints)")</f>
        <v>0</v>
      </c>
      <c r="H163" s="33">
        <f>COUNTIFS(Tracker!G:G,Daily!C163, Tracker!J:J,"N")</f>
        <v>0</v>
      </c>
      <c r="I163" s="54">
        <f t="shared" si="98"/>
        <v>0</v>
      </c>
      <c r="J163" s="26">
        <f>COUNTIFS(Tracker!G:G,Daily!C163, Tracker!J:J,"Y",Tracker!E:E,1)</f>
        <v>0</v>
      </c>
      <c r="K163" s="26">
        <f>COUNTIFS(Tracker!G:G,Daily!C163, Tracker!J:J,"Y (with hints)",Tracker!E:E,1)</f>
        <v>0</v>
      </c>
      <c r="L163" s="33">
        <f>COUNTIFS(Tracker!G:G,Daily!C163, Tracker!J:J,"N",Tracker!E:E,1)</f>
        <v>0</v>
      </c>
      <c r="M163" s="54">
        <f t="shared" si="99"/>
        <v>0</v>
      </c>
      <c r="N163" s="26">
        <f>COUNTIFS(Tracker!G:G,Daily!C163, Tracker!J:J,"Y",Tracker!E:E,2)</f>
        <v>0</v>
      </c>
      <c r="O163" s="26">
        <f>COUNTIFS(Tracker!G:G,Daily!C163, Tracker!J:J,"Y (with hints)",Tracker!E:E,2)</f>
        <v>0</v>
      </c>
      <c r="P163" s="33">
        <f>COUNTIFS(Tracker!G:G,Daily!C163, Tracker!J:J,"N",Tracker!E:E,2)</f>
        <v>0</v>
      </c>
      <c r="Q163" s="57">
        <f t="shared" si="100"/>
        <v>0</v>
      </c>
      <c r="R163" s="26">
        <f>COUNTIFS(Tracker!G:G,Daily!C163, Tracker!J:J,"Y",Tracker!E:E,3)</f>
        <v>0</v>
      </c>
      <c r="S163" s="26">
        <f>COUNTIFS(Tracker!G:G,Daily!C163, Tracker!J:J,"Y (with hints)",Tracker!E:E,3)</f>
        <v>0</v>
      </c>
      <c r="T163" s="33">
        <f>COUNTIFS(Tracker!G:G,Daily!C163, Tracker!J:J,"N",Tracker!E:E,3)</f>
        <v>0</v>
      </c>
      <c r="V163" s="48">
        <f t="shared" si="101"/>
        <v>89</v>
      </c>
      <c r="W163" s="26">
        <f t="shared" si="102"/>
        <v>85</v>
      </c>
      <c r="X163" s="62">
        <f t="shared" si="103"/>
        <v>0.9550561797752809</v>
      </c>
      <c r="Y163" s="74">
        <f>AVERAGEIFS(Tracker!I:I, Tracker!E:E, 1, Tracker!G:G, "&lt;="&amp;Daily!C163, Tracker!J:J, "Y")</f>
        <v>12.658823529411764</v>
      </c>
      <c r="Z163" s="77">
        <f>COUNTIFS(Tracker!E:E, 1, Tracker!G:G, "&lt;="&amp;Daily!C163, Tracker!L:L, "N") / V163</f>
        <v>0.797752808988764</v>
      </c>
      <c r="AA163" s="48">
        <f t="shared" si="104"/>
        <v>191</v>
      </c>
      <c r="AB163" s="26">
        <f t="shared" si="105"/>
        <v>157</v>
      </c>
      <c r="AC163" s="62">
        <f t="shared" si="106"/>
        <v>0.82198952879581155</v>
      </c>
      <c r="AD163" s="74">
        <f>AVERAGEIFS(Tracker!I:I, Tracker!E:E, 2, Tracker!G:G, "&lt;="&amp;Daily!C163, Tracker!J:J, "Y")</f>
        <v>26.579617834394906</v>
      </c>
      <c r="AE163" s="77">
        <f>COUNTIFS(Tracker!E:E, 2, Tracker!G:G, "&lt;="&amp;Daily!C163, Tracker!L:L, "N") / AA163</f>
        <v>0.60209424083769636</v>
      </c>
      <c r="AF163" s="48">
        <f t="shared" si="107"/>
        <v>42</v>
      </c>
      <c r="AG163" s="26">
        <f t="shared" si="108"/>
        <v>27</v>
      </c>
      <c r="AH163" s="62">
        <f t="shared" si="109"/>
        <v>0.6428571428571429</v>
      </c>
      <c r="AI163" s="74">
        <f>IFERROR(AVERAGEIFS(Tracker!I:I, Tracker!E:E, 3, Tracker!G:G, "&lt;="&amp;Daily!C163, Tracker!J:J, "Y"), 0)</f>
        <v>40.074074074074076</v>
      </c>
      <c r="AJ163" s="77">
        <f>IFERROR(COUNTIFS(Tracker!E:E, 3, Tracker!G:G, "&lt;="&amp;Daily!C163, Tracker!L:L, "N") / AF163,  0)</f>
        <v>0.35714285714285715</v>
      </c>
      <c r="AK163" s="48">
        <f t="shared" si="110"/>
        <v>322</v>
      </c>
      <c r="AL163" s="26">
        <f t="shared" si="111"/>
        <v>269</v>
      </c>
      <c r="AM163" s="62">
        <f t="shared" si="112"/>
        <v>0.8354037267080745</v>
      </c>
      <c r="AN163" s="74">
        <f>IFERROR(AVERAGEIFS(Tracker!I:I,  Tracker!G:G, "&lt;="&amp;Daily!C163, Tracker!J:J, "Y"), 0)</f>
        <v>23.535315985130111</v>
      </c>
      <c r="AO163" s="77">
        <f>IFERROR(COUNTIFS(Tracker!G:G, "&lt;="&amp;Daily!C163, Tracker!L:L, "N") / AK163,  0)</f>
        <v>0.62422360248447206</v>
      </c>
    </row>
    <row r="164" spans="1:41" x14ac:dyDescent="0.25">
      <c r="A164" s="119"/>
      <c r="B164" s="32">
        <f t="shared" si="96"/>
        <v>45379</v>
      </c>
      <c r="C164" s="27">
        <f t="shared" si="113"/>
        <v>45379</v>
      </c>
      <c r="D164" s="109" t="b">
        <f t="shared" ca="1" si="79"/>
        <v>1</v>
      </c>
      <c r="E164" s="51">
        <f t="shared" si="97"/>
        <v>0</v>
      </c>
      <c r="F164" s="48">
        <f>COUNTIFS(Tracker!G:G,Daily!C164, Tracker!J:J,"Y")</f>
        <v>0</v>
      </c>
      <c r="G164" s="26">
        <f>COUNTIFS(Tracker!G:G,Daily!C164, Tracker!J:J,"Y (with hints)")</f>
        <v>0</v>
      </c>
      <c r="H164" s="33">
        <f>COUNTIFS(Tracker!G:G,Daily!C164, Tracker!J:J,"N")</f>
        <v>0</v>
      </c>
      <c r="I164" s="54">
        <f t="shared" si="98"/>
        <v>0</v>
      </c>
      <c r="J164" s="26">
        <f>COUNTIFS(Tracker!G:G,Daily!C164, Tracker!J:J,"Y",Tracker!E:E,1)</f>
        <v>0</v>
      </c>
      <c r="K164" s="26">
        <f>COUNTIFS(Tracker!G:G,Daily!C164, Tracker!J:J,"Y (with hints)",Tracker!E:E,1)</f>
        <v>0</v>
      </c>
      <c r="L164" s="33">
        <f>COUNTIFS(Tracker!G:G,Daily!C164, Tracker!J:J,"N",Tracker!E:E,1)</f>
        <v>0</v>
      </c>
      <c r="M164" s="54">
        <f t="shared" si="99"/>
        <v>0</v>
      </c>
      <c r="N164" s="26">
        <f>COUNTIFS(Tracker!G:G,Daily!C164, Tracker!J:J,"Y",Tracker!E:E,2)</f>
        <v>0</v>
      </c>
      <c r="O164" s="26">
        <f>COUNTIFS(Tracker!G:G,Daily!C164, Tracker!J:J,"Y (with hints)",Tracker!E:E,2)</f>
        <v>0</v>
      </c>
      <c r="P164" s="33">
        <f>COUNTIFS(Tracker!G:G,Daily!C164, Tracker!J:J,"N",Tracker!E:E,2)</f>
        <v>0</v>
      </c>
      <c r="Q164" s="57">
        <f t="shared" si="100"/>
        <v>0</v>
      </c>
      <c r="R164" s="26">
        <f>COUNTIFS(Tracker!G:G,Daily!C164, Tracker!J:J,"Y",Tracker!E:E,3)</f>
        <v>0</v>
      </c>
      <c r="S164" s="26">
        <f>COUNTIFS(Tracker!G:G,Daily!C164, Tracker!J:J,"Y (with hints)",Tracker!E:E,3)</f>
        <v>0</v>
      </c>
      <c r="T164" s="33">
        <f>COUNTIFS(Tracker!G:G,Daily!C164, Tracker!J:J,"N",Tracker!E:E,3)</f>
        <v>0</v>
      </c>
      <c r="V164" s="48">
        <f t="shared" si="101"/>
        <v>89</v>
      </c>
      <c r="W164" s="26">
        <f t="shared" si="102"/>
        <v>85</v>
      </c>
      <c r="X164" s="62">
        <f t="shared" si="103"/>
        <v>0.9550561797752809</v>
      </c>
      <c r="Y164" s="74">
        <f>AVERAGEIFS(Tracker!I:I, Tracker!E:E, 1, Tracker!G:G, "&lt;="&amp;Daily!C164, Tracker!J:J, "Y")</f>
        <v>12.658823529411764</v>
      </c>
      <c r="Z164" s="77">
        <f>COUNTIFS(Tracker!E:E, 1, Tracker!G:G, "&lt;="&amp;Daily!C164, Tracker!L:L, "N") / V164</f>
        <v>0.797752808988764</v>
      </c>
      <c r="AA164" s="48">
        <f t="shared" si="104"/>
        <v>191</v>
      </c>
      <c r="AB164" s="26">
        <f t="shared" si="105"/>
        <v>157</v>
      </c>
      <c r="AC164" s="62">
        <f t="shared" si="106"/>
        <v>0.82198952879581155</v>
      </c>
      <c r="AD164" s="74">
        <f>AVERAGEIFS(Tracker!I:I, Tracker!E:E, 2, Tracker!G:G, "&lt;="&amp;Daily!C164, Tracker!J:J, "Y")</f>
        <v>26.579617834394906</v>
      </c>
      <c r="AE164" s="77">
        <f>COUNTIFS(Tracker!E:E, 2, Tracker!G:G, "&lt;="&amp;Daily!C164, Tracker!L:L, "N") / AA164</f>
        <v>0.60209424083769636</v>
      </c>
      <c r="AF164" s="48">
        <f t="shared" si="107"/>
        <v>42</v>
      </c>
      <c r="AG164" s="26">
        <f t="shared" si="108"/>
        <v>27</v>
      </c>
      <c r="AH164" s="62">
        <f t="shared" si="109"/>
        <v>0.6428571428571429</v>
      </c>
      <c r="AI164" s="74">
        <f>IFERROR(AVERAGEIFS(Tracker!I:I, Tracker!E:E, 3, Tracker!G:G, "&lt;="&amp;Daily!C164, Tracker!J:J, "Y"), 0)</f>
        <v>40.074074074074076</v>
      </c>
      <c r="AJ164" s="77">
        <f>IFERROR(COUNTIFS(Tracker!E:E, 3, Tracker!G:G, "&lt;="&amp;Daily!C164, Tracker!L:L, "N") / AF164,  0)</f>
        <v>0.35714285714285715</v>
      </c>
      <c r="AK164" s="48">
        <f t="shared" si="110"/>
        <v>322</v>
      </c>
      <c r="AL164" s="26">
        <f t="shared" si="111"/>
        <v>269</v>
      </c>
      <c r="AM164" s="62">
        <f t="shared" si="112"/>
        <v>0.8354037267080745</v>
      </c>
      <c r="AN164" s="74">
        <f>IFERROR(AVERAGEIFS(Tracker!I:I,  Tracker!G:G, "&lt;="&amp;Daily!C164, Tracker!J:J, "Y"), 0)</f>
        <v>23.535315985130111</v>
      </c>
      <c r="AO164" s="77">
        <f>IFERROR(COUNTIFS(Tracker!G:G, "&lt;="&amp;Daily!C164, Tracker!L:L, "N") / AK164,  0)</f>
        <v>0.62422360248447206</v>
      </c>
    </row>
    <row r="165" spans="1:41" x14ac:dyDescent="0.25">
      <c r="A165" s="119"/>
      <c r="B165" s="32">
        <f t="shared" si="96"/>
        <v>45380</v>
      </c>
      <c r="C165" s="27">
        <f t="shared" si="113"/>
        <v>45380</v>
      </c>
      <c r="D165" s="109" t="b">
        <f t="shared" ca="1" si="79"/>
        <v>1</v>
      </c>
      <c r="E165" s="51">
        <f t="shared" si="97"/>
        <v>0</v>
      </c>
      <c r="F165" s="48">
        <f>COUNTIFS(Tracker!G:G,Daily!C165, Tracker!J:J,"Y")</f>
        <v>0</v>
      </c>
      <c r="G165" s="26">
        <f>COUNTIFS(Tracker!G:G,Daily!C165, Tracker!J:J,"Y (with hints)")</f>
        <v>0</v>
      </c>
      <c r="H165" s="33">
        <f>COUNTIFS(Tracker!G:G,Daily!C165, Tracker!J:J,"N")</f>
        <v>0</v>
      </c>
      <c r="I165" s="54">
        <f t="shared" si="98"/>
        <v>0</v>
      </c>
      <c r="J165" s="26">
        <f>COUNTIFS(Tracker!G:G,Daily!C165, Tracker!J:J,"Y",Tracker!E:E,1)</f>
        <v>0</v>
      </c>
      <c r="K165" s="26">
        <f>COUNTIFS(Tracker!G:G,Daily!C165, Tracker!J:J,"Y (with hints)",Tracker!E:E,1)</f>
        <v>0</v>
      </c>
      <c r="L165" s="33">
        <f>COUNTIFS(Tracker!G:G,Daily!C165, Tracker!J:J,"N",Tracker!E:E,1)</f>
        <v>0</v>
      </c>
      <c r="M165" s="54">
        <f t="shared" si="99"/>
        <v>0</v>
      </c>
      <c r="N165" s="26">
        <f>COUNTIFS(Tracker!G:G,Daily!C165, Tracker!J:J,"Y",Tracker!E:E,2)</f>
        <v>0</v>
      </c>
      <c r="O165" s="26">
        <f>COUNTIFS(Tracker!G:G,Daily!C165, Tracker!J:J,"Y (with hints)",Tracker!E:E,2)</f>
        <v>0</v>
      </c>
      <c r="P165" s="33">
        <f>COUNTIFS(Tracker!G:G,Daily!C165, Tracker!J:J,"N",Tracker!E:E,2)</f>
        <v>0</v>
      </c>
      <c r="Q165" s="57">
        <f t="shared" si="100"/>
        <v>0</v>
      </c>
      <c r="R165" s="26">
        <f>COUNTIFS(Tracker!G:G,Daily!C165, Tracker!J:J,"Y",Tracker!E:E,3)</f>
        <v>0</v>
      </c>
      <c r="S165" s="26">
        <f>COUNTIFS(Tracker!G:G,Daily!C165, Tracker!J:J,"Y (with hints)",Tracker!E:E,3)</f>
        <v>0</v>
      </c>
      <c r="T165" s="33">
        <f>COUNTIFS(Tracker!G:G,Daily!C165, Tracker!J:J,"N",Tracker!E:E,3)</f>
        <v>0</v>
      </c>
      <c r="V165" s="48">
        <f t="shared" si="101"/>
        <v>89</v>
      </c>
      <c r="W165" s="26">
        <f t="shared" si="102"/>
        <v>85</v>
      </c>
      <c r="X165" s="62">
        <f t="shared" si="103"/>
        <v>0.9550561797752809</v>
      </c>
      <c r="Y165" s="74">
        <f>AVERAGEIFS(Tracker!I:I, Tracker!E:E, 1, Tracker!G:G, "&lt;="&amp;Daily!C165, Tracker!J:J, "Y")</f>
        <v>12.658823529411764</v>
      </c>
      <c r="Z165" s="77">
        <f>COUNTIFS(Tracker!E:E, 1, Tracker!G:G, "&lt;="&amp;Daily!C165, Tracker!L:L, "N") / V165</f>
        <v>0.797752808988764</v>
      </c>
      <c r="AA165" s="48">
        <f t="shared" si="104"/>
        <v>191</v>
      </c>
      <c r="AB165" s="26">
        <f t="shared" si="105"/>
        <v>157</v>
      </c>
      <c r="AC165" s="62">
        <f t="shared" si="106"/>
        <v>0.82198952879581155</v>
      </c>
      <c r="AD165" s="74">
        <f>AVERAGEIFS(Tracker!I:I, Tracker!E:E, 2, Tracker!G:G, "&lt;="&amp;Daily!C165, Tracker!J:J, "Y")</f>
        <v>26.579617834394906</v>
      </c>
      <c r="AE165" s="77">
        <f>COUNTIFS(Tracker!E:E, 2, Tracker!G:G, "&lt;="&amp;Daily!C165, Tracker!L:L, "N") / AA165</f>
        <v>0.60209424083769636</v>
      </c>
      <c r="AF165" s="48">
        <f t="shared" si="107"/>
        <v>42</v>
      </c>
      <c r="AG165" s="26">
        <f t="shared" si="108"/>
        <v>27</v>
      </c>
      <c r="AH165" s="62">
        <f t="shared" si="109"/>
        <v>0.6428571428571429</v>
      </c>
      <c r="AI165" s="74">
        <f>IFERROR(AVERAGEIFS(Tracker!I:I, Tracker!E:E, 3, Tracker!G:G, "&lt;="&amp;Daily!C165, Tracker!J:J, "Y"), 0)</f>
        <v>40.074074074074076</v>
      </c>
      <c r="AJ165" s="77">
        <f>IFERROR(COUNTIFS(Tracker!E:E, 3, Tracker!G:G, "&lt;="&amp;Daily!C165, Tracker!L:L, "N") / AF165,  0)</f>
        <v>0.35714285714285715</v>
      </c>
      <c r="AK165" s="48">
        <f t="shared" si="110"/>
        <v>322</v>
      </c>
      <c r="AL165" s="26">
        <f t="shared" si="111"/>
        <v>269</v>
      </c>
      <c r="AM165" s="62">
        <f t="shared" si="112"/>
        <v>0.8354037267080745</v>
      </c>
      <c r="AN165" s="74">
        <f>IFERROR(AVERAGEIFS(Tracker!I:I,  Tracker!G:G, "&lt;="&amp;Daily!C165, Tracker!J:J, "Y"), 0)</f>
        <v>23.535315985130111</v>
      </c>
      <c r="AO165" s="77">
        <f>IFERROR(COUNTIFS(Tracker!G:G, "&lt;="&amp;Daily!C165, Tracker!L:L, "N") / AK165,  0)</f>
        <v>0.62422360248447206</v>
      </c>
    </row>
    <row r="166" spans="1:41" x14ac:dyDescent="0.25">
      <c r="A166" s="119"/>
      <c r="B166" s="32">
        <f t="shared" si="96"/>
        <v>45381</v>
      </c>
      <c r="C166" s="27">
        <f t="shared" si="113"/>
        <v>45381</v>
      </c>
      <c r="D166" s="109" t="b">
        <f t="shared" ca="1" si="79"/>
        <v>1</v>
      </c>
      <c r="E166" s="51">
        <f t="shared" si="97"/>
        <v>0</v>
      </c>
      <c r="F166" s="48">
        <f>COUNTIFS(Tracker!G:G,Daily!C166, Tracker!J:J,"Y")</f>
        <v>0</v>
      </c>
      <c r="G166" s="26">
        <f>COUNTIFS(Tracker!G:G,Daily!C166, Tracker!J:J,"Y (with hints)")</f>
        <v>0</v>
      </c>
      <c r="H166" s="33">
        <f>COUNTIFS(Tracker!G:G,Daily!C166, Tracker!J:J,"N")</f>
        <v>0</v>
      </c>
      <c r="I166" s="54">
        <f t="shared" si="98"/>
        <v>0</v>
      </c>
      <c r="J166" s="26">
        <f>COUNTIFS(Tracker!G:G,Daily!C166, Tracker!J:J,"Y",Tracker!E:E,1)</f>
        <v>0</v>
      </c>
      <c r="K166" s="26">
        <f>COUNTIFS(Tracker!G:G,Daily!C166, Tracker!J:J,"Y (with hints)",Tracker!E:E,1)</f>
        <v>0</v>
      </c>
      <c r="L166" s="33">
        <f>COUNTIFS(Tracker!G:G,Daily!C166, Tracker!J:J,"N",Tracker!E:E,1)</f>
        <v>0</v>
      </c>
      <c r="M166" s="54">
        <f t="shared" si="99"/>
        <v>0</v>
      </c>
      <c r="N166" s="26">
        <f>COUNTIFS(Tracker!G:G,Daily!C166, Tracker!J:J,"Y",Tracker!E:E,2)</f>
        <v>0</v>
      </c>
      <c r="O166" s="26">
        <f>COUNTIFS(Tracker!G:G,Daily!C166, Tracker!J:J,"Y (with hints)",Tracker!E:E,2)</f>
        <v>0</v>
      </c>
      <c r="P166" s="33">
        <f>COUNTIFS(Tracker!G:G,Daily!C166, Tracker!J:J,"N",Tracker!E:E,2)</f>
        <v>0</v>
      </c>
      <c r="Q166" s="57">
        <f t="shared" si="100"/>
        <v>0</v>
      </c>
      <c r="R166" s="26">
        <f>COUNTIFS(Tracker!G:G,Daily!C166, Tracker!J:J,"Y",Tracker!E:E,3)</f>
        <v>0</v>
      </c>
      <c r="S166" s="26">
        <f>COUNTIFS(Tracker!G:G,Daily!C166, Tracker!J:J,"Y (with hints)",Tracker!E:E,3)</f>
        <v>0</v>
      </c>
      <c r="T166" s="33">
        <f>COUNTIFS(Tracker!G:G,Daily!C166, Tracker!J:J,"N",Tracker!E:E,3)</f>
        <v>0</v>
      </c>
      <c r="V166" s="48">
        <f t="shared" si="101"/>
        <v>89</v>
      </c>
      <c r="W166" s="26">
        <f t="shared" si="102"/>
        <v>85</v>
      </c>
      <c r="X166" s="62">
        <f t="shared" si="103"/>
        <v>0.9550561797752809</v>
      </c>
      <c r="Y166" s="74">
        <f>AVERAGEIFS(Tracker!I:I, Tracker!E:E, 1, Tracker!G:G, "&lt;="&amp;Daily!C166, Tracker!J:J, "Y")</f>
        <v>12.658823529411764</v>
      </c>
      <c r="Z166" s="77">
        <f>COUNTIFS(Tracker!E:E, 1, Tracker!G:G, "&lt;="&amp;Daily!C166, Tracker!L:L, "N") / V166</f>
        <v>0.797752808988764</v>
      </c>
      <c r="AA166" s="48">
        <f t="shared" si="104"/>
        <v>191</v>
      </c>
      <c r="AB166" s="26">
        <f t="shared" si="105"/>
        <v>157</v>
      </c>
      <c r="AC166" s="62">
        <f t="shared" si="106"/>
        <v>0.82198952879581155</v>
      </c>
      <c r="AD166" s="74">
        <f>AVERAGEIFS(Tracker!I:I, Tracker!E:E, 2, Tracker!G:G, "&lt;="&amp;Daily!C166, Tracker!J:J, "Y")</f>
        <v>26.579617834394906</v>
      </c>
      <c r="AE166" s="77">
        <f>COUNTIFS(Tracker!E:E, 2, Tracker!G:G, "&lt;="&amp;Daily!C166, Tracker!L:L, "N") / AA166</f>
        <v>0.60209424083769636</v>
      </c>
      <c r="AF166" s="48">
        <f t="shared" si="107"/>
        <v>42</v>
      </c>
      <c r="AG166" s="26">
        <f t="shared" si="108"/>
        <v>27</v>
      </c>
      <c r="AH166" s="62">
        <f t="shared" si="109"/>
        <v>0.6428571428571429</v>
      </c>
      <c r="AI166" s="74">
        <f>IFERROR(AVERAGEIFS(Tracker!I:I, Tracker!E:E, 3, Tracker!G:G, "&lt;="&amp;Daily!C166, Tracker!J:J, "Y"), 0)</f>
        <v>40.074074074074076</v>
      </c>
      <c r="AJ166" s="77">
        <f>IFERROR(COUNTIFS(Tracker!E:E, 3, Tracker!G:G, "&lt;="&amp;Daily!C166, Tracker!L:L, "N") / AF166,  0)</f>
        <v>0.35714285714285715</v>
      </c>
      <c r="AK166" s="48">
        <f t="shared" si="110"/>
        <v>322</v>
      </c>
      <c r="AL166" s="26">
        <f t="shared" si="111"/>
        <v>269</v>
      </c>
      <c r="AM166" s="62">
        <f t="shared" si="112"/>
        <v>0.8354037267080745</v>
      </c>
      <c r="AN166" s="74">
        <f>IFERROR(AVERAGEIFS(Tracker!I:I,  Tracker!G:G, "&lt;="&amp;Daily!C166, Tracker!J:J, "Y"), 0)</f>
        <v>23.535315985130111</v>
      </c>
      <c r="AO166" s="77">
        <f>IFERROR(COUNTIFS(Tracker!G:G, "&lt;="&amp;Daily!C166, Tracker!L:L, "N") / AK166,  0)</f>
        <v>0.62422360248447206</v>
      </c>
    </row>
    <row r="167" spans="1:41" ht="15.75" thickBot="1" x14ac:dyDescent="0.3">
      <c r="A167" s="120"/>
      <c r="B167" s="34">
        <f t="shared" si="96"/>
        <v>45382</v>
      </c>
      <c r="C167" s="35">
        <f t="shared" si="113"/>
        <v>45382</v>
      </c>
      <c r="D167" s="110" t="b">
        <f t="shared" ca="1" si="79"/>
        <v>1</v>
      </c>
      <c r="E167" s="52">
        <f t="shared" si="97"/>
        <v>0</v>
      </c>
      <c r="F167" s="39">
        <f>COUNTIFS(Tracker!G:G,Daily!C167, Tracker!J:J,"Y")</f>
        <v>0</v>
      </c>
      <c r="G167" s="36">
        <f>COUNTIFS(Tracker!G:G,Daily!C167, Tracker!J:J,"Y (with hints)")</f>
        <v>0</v>
      </c>
      <c r="H167" s="37">
        <f>COUNTIFS(Tracker!G:G,Daily!C167, Tracker!J:J,"N")</f>
        <v>0</v>
      </c>
      <c r="I167" s="55">
        <f t="shared" si="98"/>
        <v>0</v>
      </c>
      <c r="J167" s="36">
        <f>COUNTIFS(Tracker!G:G,Daily!C167, Tracker!J:J,"Y",Tracker!E:E,1)</f>
        <v>0</v>
      </c>
      <c r="K167" s="36">
        <f>COUNTIFS(Tracker!G:G,Daily!C167, Tracker!J:J,"Y (with hints)",Tracker!E:E,1)</f>
        <v>0</v>
      </c>
      <c r="L167" s="37">
        <f>COUNTIFS(Tracker!G:G,Daily!C167, Tracker!J:J,"N",Tracker!E:E,1)</f>
        <v>0</v>
      </c>
      <c r="M167" s="55">
        <f t="shared" si="99"/>
        <v>0</v>
      </c>
      <c r="N167" s="36">
        <f>COUNTIFS(Tracker!G:G,Daily!C167, Tracker!J:J,"Y",Tracker!E:E,2)</f>
        <v>0</v>
      </c>
      <c r="O167" s="36">
        <f>COUNTIFS(Tracker!G:G,Daily!C167, Tracker!J:J,"Y (with hints)",Tracker!E:E,2)</f>
        <v>0</v>
      </c>
      <c r="P167" s="37">
        <f>COUNTIFS(Tracker!G:G,Daily!C167, Tracker!J:J,"N",Tracker!E:E,2)</f>
        <v>0</v>
      </c>
      <c r="Q167" s="58">
        <f t="shared" si="100"/>
        <v>0</v>
      </c>
      <c r="R167" s="36">
        <f>COUNTIFS(Tracker!G:G,Daily!C167, Tracker!J:J,"Y",Tracker!E:E,3)</f>
        <v>0</v>
      </c>
      <c r="S167" s="36">
        <f>COUNTIFS(Tracker!G:G,Daily!C167, Tracker!J:J,"Y (with hints)",Tracker!E:E,3)</f>
        <v>0</v>
      </c>
      <c r="T167" s="37">
        <f>COUNTIFS(Tracker!G:G,Daily!C167, Tracker!J:J,"N",Tracker!E:E,3)</f>
        <v>0</v>
      </c>
      <c r="V167" s="39">
        <f t="shared" si="101"/>
        <v>89</v>
      </c>
      <c r="W167" s="36">
        <f t="shared" si="102"/>
        <v>85</v>
      </c>
      <c r="X167" s="64">
        <f t="shared" si="103"/>
        <v>0.9550561797752809</v>
      </c>
      <c r="Y167" s="78">
        <f>AVERAGEIFS(Tracker!I:I, Tracker!E:E, 1, Tracker!G:G, "&lt;="&amp;Daily!C167, Tracker!J:J, "Y")</f>
        <v>12.658823529411764</v>
      </c>
      <c r="Z167" s="79">
        <f>COUNTIFS(Tracker!E:E, 1, Tracker!G:G, "&lt;="&amp;Daily!C167, Tracker!L:L, "N") / V167</f>
        <v>0.797752808988764</v>
      </c>
      <c r="AA167" s="39">
        <f t="shared" si="104"/>
        <v>191</v>
      </c>
      <c r="AB167" s="36">
        <f t="shared" si="105"/>
        <v>157</v>
      </c>
      <c r="AC167" s="64">
        <f t="shared" si="106"/>
        <v>0.82198952879581155</v>
      </c>
      <c r="AD167" s="78">
        <f>AVERAGEIFS(Tracker!I:I, Tracker!E:E, 2, Tracker!G:G, "&lt;="&amp;Daily!C167, Tracker!J:J, "Y")</f>
        <v>26.579617834394906</v>
      </c>
      <c r="AE167" s="79">
        <f>COUNTIFS(Tracker!E:E, 2, Tracker!G:G, "&lt;="&amp;Daily!C167, Tracker!L:L, "N") / AA167</f>
        <v>0.60209424083769636</v>
      </c>
      <c r="AF167" s="39">
        <f t="shared" si="107"/>
        <v>42</v>
      </c>
      <c r="AG167" s="36">
        <f t="shared" si="108"/>
        <v>27</v>
      </c>
      <c r="AH167" s="64">
        <f t="shared" si="109"/>
        <v>0.6428571428571429</v>
      </c>
      <c r="AI167" s="78">
        <f>IFERROR(AVERAGEIFS(Tracker!I:I, Tracker!E:E, 3, Tracker!G:G, "&lt;="&amp;Daily!C167, Tracker!J:J, "Y"), 0)</f>
        <v>40.074074074074076</v>
      </c>
      <c r="AJ167" s="79">
        <f>IFERROR(COUNTIFS(Tracker!E:E, 3, Tracker!G:G, "&lt;="&amp;Daily!C167, Tracker!L:L, "N") / AF167,  0)</f>
        <v>0.35714285714285715</v>
      </c>
      <c r="AK167" s="39">
        <f t="shared" si="110"/>
        <v>322</v>
      </c>
      <c r="AL167" s="36">
        <f t="shared" si="111"/>
        <v>269</v>
      </c>
      <c r="AM167" s="64">
        <f t="shared" si="112"/>
        <v>0.8354037267080745</v>
      </c>
      <c r="AN167" s="78">
        <f>IFERROR(AVERAGEIFS(Tracker!I:I,  Tracker!G:G, "&lt;="&amp;Daily!C167, Tracker!J:J, "Y"), 0)</f>
        <v>23.535315985130111</v>
      </c>
      <c r="AO167" s="79">
        <f>IFERROR(COUNTIFS(Tracker!G:G, "&lt;="&amp;Daily!C167, Tracker!L:L, "N") / AK167,  0)</f>
        <v>0.62422360248447206</v>
      </c>
    </row>
    <row r="168" spans="1:41" x14ac:dyDescent="0.25">
      <c r="A168" s="118">
        <f>A161+1</f>
        <v>24</v>
      </c>
      <c r="B168" s="28">
        <f t="shared" si="96"/>
        <v>45383</v>
      </c>
      <c r="C168" s="29">
        <f t="shared" si="113"/>
        <v>45383</v>
      </c>
      <c r="D168" s="108" t="b">
        <f t="shared" ca="1" si="79"/>
        <v>1</v>
      </c>
      <c r="E168" s="50">
        <f t="shared" si="97"/>
        <v>0</v>
      </c>
      <c r="F168" s="38">
        <f>COUNTIFS(Tracker!G:G,Daily!C168, Tracker!J:J,"Y")</f>
        <v>0</v>
      </c>
      <c r="G168" s="30">
        <f>COUNTIFS(Tracker!G:G,Daily!C168, Tracker!J:J,"Y (with hints)")</f>
        <v>0</v>
      </c>
      <c r="H168" s="31">
        <f>COUNTIFS(Tracker!G:G,Daily!C168, Tracker!J:J,"N")</f>
        <v>0</v>
      </c>
      <c r="I168" s="53">
        <f t="shared" si="98"/>
        <v>0</v>
      </c>
      <c r="J168" s="30">
        <f>COUNTIFS(Tracker!G:G,Daily!C168, Tracker!J:J,"Y",Tracker!E:E,1)</f>
        <v>0</v>
      </c>
      <c r="K168" s="30">
        <f>COUNTIFS(Tracker!G:G,Daily!C168, Tracker!J:J,"Y (with hints)",Tracker!E:E,1)</f>
        <v>0</v>
      </c>
      <c r="L168" s="31">
        <f>COUNTIFS(Tracker!G:G,Daily!C168, Tracker!J:J,"N",Tracker!E:E,1)</f>
        <v>0</v>
      </c>
      <c r="M168" s="53">
        <f t="shared" si="99"/>
        <v>0</v>
      </c>
      <c r="N168" s="30">
        <f>COUNTIFS(Tracker!G:G,Daily!C168, Tracker!J:J,"Y",Tracker!E:E,2)</f>
        <v>0</v>
      </c>
      <c r="O168" s="30">
        <f>COUNTIFS(Tracker!G:G,Daily!C168, Tracker!J:J,"Y (with hints)",Tracker!E:E,2)</f>
        <v>0</v>
      </c>
      <c r="P168" s="31">
        <f>COUNTIFS(Tracker!G:G,Daily!C168, Tracker!J:J,"N",Tracker!E:E,2)</f>
        <v>0</v>
      </c>
      <c r="Q168" s="56">
        <f t="shared" si="100"/>
        <v>0</v>
      </c>
      <c r="R168" s="30">
        <f>COUNTIFS(Tracker!G:G,Daily!C168, Tracker!J:J,"Y",Tracker!E:E,3)</f>
        <v>0</v>
      </c>
      <c r="S168" s="30">
        <f>COUNTIFS(Tracker!G:G,Daily!C168, Tracker!J:J,"Y (with hints)",Tracker!E:E,3)</f>
        <v>0</v>
      </c>
      <c r="T168" s="31">
        <f>COUNTIFS(Tracker!G:G,Daily!C168, Tracker!J:J,"N",Tracker!E:E,3)</f>
        <v>0</v>
      </c>
      <c r="V168" s="38">
        <f t="shared" si="101"/>
        <v>89</v>
      </c>
      <c r="W168" s="30">
        <f t="shared" si="102"/>
        <v>85</v>
      </c>
      <c r="X168" s="73">
        <f t="shared" si="103"/>
        <v>0.9550561797752809</v>
      </c>
      <c r="Y168" s="75">
        <f>AVERAGEIFS(Tracker!I:I, Tracker!E:E, 1, Tracker!G:G, "&lt;="&amp;Daily!C168, Tracker!J:J, "Y")</f>
        <v>12.658823529411764</v>
      </c>
      <c r="Z168" s="76">
        <f>COUNTIFS(Tracker!E:E, 1, Tracker!G:G, "&lt;="&amp;Daily!C168, Tracker!L:L, "N") / V168</f>
        <v>0.797752808988764</v>
      </c>
      <c r="AA168" s="38">
        <f t="shared" si="104"/>
        <v>191</v>
      </c>
      <c r="AB168" s="30">
        <f t="shared" si="105"/>
        <v>157</v>
      </c>
      <c r="AC168" s="73">
        <f t="shared" si="106"/>
        <v>0.82198952879581155</v>
      </c>
      <c r="AD168" s="75">
        <f>AVERAGEIFS(Tracker!I:I, Tracker!E:E, 2, Tracker!G:G, "&lt;="&amp;Daily!C168, Tracker!J:J, "Y")</f>
        <v>26.579617834394906</v>
      </c>
      <c r="AE168" s="76">
        <f>COUNTIFS(Tracker!E:E, 2, Tracker!G:G, "&lt;="&amp;Daily!C168, Tracker!L:L, "N") / AA168</f>
        <v>0.60209424083769636</v>
      </c>
      <c r="AF168" s="38">
        <f t="shared" si="107"/>
        <v>42</v>
      </c>
      <c r="AG168" s="30">
        <f t="shared" si="108"/>
        <v>27</v>
      </c>
      <c r="AH168" s="73">
        <f t="shared" si="109"/>
        <v>0.6428571428571429</v>
      </c>
      <c r="AI168" s="75">
        <f>IFERROR(AVERAGEIFS(Tracker!I:I, Tracker!E:E, 3, Tracker!G:G, "&lt;="&amp;Daily!C168, Tracker!J:J, "Y"), 0)</f>
        <v>40.074074074074076</v>
      </c>
      <c r="AJ168" s="76">
        <f>IFERROR(COUNTIFS(Tracker!E:E, 3, Tracker!G:G, "&lt;="&amp;Daily!C168, Tracker!L:L, "N") / AF168,  0)</f>
        <v>0.35714285714285715</v>
      </c>
      <c r="AK168" s="38">
        <f t="shared" si="110"/>
        <v>322</v>
      </c>
      <c r="AL168" s="30">
        <f t="shared" si="111"/>
        <v>269</v>
      </c>
      <c r="AM168" s="73">
        <f t="shared" si="112"/>
        <v>0.8354037267080745</v>
      </c>
      <c r="AN168" s="75">
        <f>IFERROR(AVERAGEIFS(Tracker!I:I,  Tracker!G:G, "&lt;="&amp;Daily!C168, Tracker!J:J, "Y"), 0)</f>
        <v>23.535315985130111</v>
      </c>
      <c r="AO168" s="76">
        <f>IFERROR(COUNTIFS(Tracker!G:G, "&lt;="&amp;Daily!C168, Tracker!L:L, "N") / AK168,  0)</f>
        <v>0.62422360248447206</v>
      </c>
    </row>
    <row r="169" spans="1:41" x14ac:dyDescent="0.25">
      <c r="A169" s="119"/>
      <c r="B169" s="32">
        <f t="shared" si="96"/>
        <v>45384</v>
      </c>
      <c r="C169" s="27">
        <f t="shared" si="113"/>
        <v>45384</v>
      </c>
      <c r="D169" s="109" t="b">
        <f t="shared" ca="1" si="79"/>
        <v>1</v>
      </c>
      <c r="E169" s="51">
        <f t="shared" si="97"/>
        <v>2</v>
      </c>
      <c r="F169" s="48">
        <f>COUNTIFS(Tracker!G:G,Daily!C169, Tracker!J:J,"Y")</f>
        <v>2</v>
      </c>
      <c r="G169" s="26">
        <f>COUNTIFS(Tracker!G:G,Daily!C169, Tracker!J:J,"Y (with hints)")</f>
        <v>0</v>
      </c>
      <c r="H169" s="33">
        <f>COUNTIFS(Tracker!G:G,Daily!C169, Tracker!J:J,"N")</f>
        <v>0</v>
      </c>
      <c r="I169" s="54">
        <f t="shared" si="98"/>
        <v>1</v>
      </c>
      <c r="J169" s="26">
        <f>COUNTIFS(Tracker!G:G,Daily!C169, Tracker!J:J,"Y",Tracker!E:E,1)</f>
        <v>1</v>
      </c>
      <c r="K169" s="26">
        <f>COUNTIFS(Tracker!G:G,Daily!C169, Tracker!J:J,"Y (with hints)",Tracker!E:E,1)</f>
        <v>0</v>
      </c>
      <c r="L169" s="33">
        <f>COUNTIFS(Tracker!G:G,Daily!C169, Tracker!J:J,"N",Tracker!E:E,1)</f>
        <v>0</v>
      </c>
      <c r="M169" s="54">
        <f t="shared" si="99"/>
        <v>1</v>
      </c>
      <c r="N169" s="26">
        <f>COUNTIFS(Tracker!G:G,Daily!C169, Tracker!J:J,"Y",Tracker!E:E,2)</f>
        <v>1</v>
      </c>
      <c r="O169" s="26">
        <f>COUNTIFS(Tracker!G:G,Daily!C169, Tracker!J:J,"Y (with hints)",Tracker!E:E,2)</f>
        <v>0</v>
      </c>
      <c r="P169" s="33">
        <f>COUNTIFS(Tracker!G:G,Daily!C169, Tracker!J:J,"N",Tracker!E:E,2)</f>
        <v>0</v>
      </c>
      <c r="Q169" s="57">
        <f t="shared" si="100"/>
        <v>0</v>
      </c>
      <c r="R169" s="26">
        <f>COUNTIFS(Tracker!G:G,Daily!C169, Tracker!J:J,"Y",Tracker!E:E,3)</f>
        <v>0</v>
      </c>
      <c r="S169" s="26">
        <f>COUNTIFS(Tracker!G:G,Daily!C169, Tracker!J:J,"Y (with hints)",Tracker!E:E,3)</f>
        <v>0</v>
      </c>
      <c r="T169" s="33">
        <f>COUNTIFS(Tracker!G:G,Daily!C169, Tracker!J:J,"N",Tracker!E:E,3)</f>
        <v>0</v>
      </c>
      <c r="V169" s="48">
        <f t="shared" si="101"/>
        <v>90</v>
      </c>
      <c r="W169" s="26">
        <f t="shared" si="102"/>
        <v>86</v>
      </c>
      <c r="X169" s="62">
        <f t="shared" si="103"/>
        <v>0.9555555555555556</v>
      </c>
      <c r="Y169" s="74">
        <f>AVERAGEIFS(Tracker!I:I, Tracker!E:E, 1, Tracker!G:G, "&lt;="&amp;Daily!C169, Tracker!J:J, "Y")</f>
        <v>12.627906976744185</v>
      </c>
      <c r="Z169" s="77">
        <f>COUNTIFS(Tracker!E:E, 1, Tracker!G:G, "&lt;="&amp;Daily!C169, Tracker!L:L, "N") / V169</f>
        <v>0.8</v>
      </c>
      <c r="AA169" s="48">
        <f t="shared" si="104"/>
        <v>192</v>
      </c>
      <c r="AB169" s="26">
        <f t="shared" si="105"/>
        <v>158</v>
      </c>
      <c r="AC169" s="62">
        <f t="shared" si="106"/>
        <v>0.82291666666666663</v>
      </c>
      <c r="AD169" s="74">
        <f>AVERAGEIFS(Tracker!I:I, Tracker!E:E, 2, Tracker!G:G, "&lt;="&amp;Daily!C169, Tracker!J:J, "Y")</f>
        <v>26.556962025316455</v>
      </c>
      <c r="AE169" s="77">
        <f>COUNTIFS(Tracker!E:E, 2, Tracker!G:G, "&lt;="&amp;Daily!C169, Tracker!L:L, "N") / AA169</f>
        <v>0.60416666666666663</v>
      </c>
      <c r="AF169" s="48">
        <f t="shared" si="107"/>
        <v>42</v>
      </c>
      <c r="AG169" s="26">
        <f t="shared" si="108"/>
        <v>27</v>
      </c>
      <c r="AH169" s="62">
        <f t="shared" si="109"/>
        <v>0.6428571428571429</v>
      </c>
      <c r="AI169" s="74">
        <f>IFERROR(AVERAGEIFS(Tracker!I:I, Tracker!E:E, 3, Tracker!G:G, "&lt;="&amp;Daily!C169, Tracker!J:J, "Y"), 0)</f>
        <v>40.074074074074076</v>
      </c>
      <c r="AJ169" s="77">
        <f>IFERROR(COUNTIFS(Tracker!E:E, 3, Tracker!G:G, "&lt;="&amp;Daily!C169, Tracker!L:L, "N") / AF169,  0)</f>
        <v>0.35714285714285715</v>
      </c>
      <c r="AK169" s="48">
        <f t="shared" si="110"/>
        <v>324</v>
      </c>
      <c r="AL169" s="26">
        <f t="shared" si="111"/>
        <v>271</v>
      </c>
      <c r="AM169" s="62">
        <f t="shared" si="112"/>
        <v>0.8364197530864198</v>
      </c>
      <c r="AN169" s="74">
        <f>IFERROR(AVERAGEIFS(Tracker!I:I,  Tracker!G:G, "&lt;="&amp;Daily!C169, Tracker!J:J, "Y"), 0)</f>
        <v>23.483394833948338</v>
      </c>
      <c r="AO169" s="77">
        <f>IFERROR(COUNTIFS(Tracker!G:G, "&lt;="&amp;Daily!C169, Tracker!L:L, "N") / AK169,  0)</f>
        <v>0.62654320987654322</v>
      </c>
    </row>
    <row r="170" spans="1:41" x14ac:dyDescent="0.25">
      <c r="A170" s="119"/>
      <c r="B170" s="32">
        <f t="shared" si="96"/>
        <v>45385</v>
      </c>
      <c r="C170" s="27">
        <f t="shared" si="113"/>
        <v>45385</v>
      </c>
      <c r="D170" s="109" t="b">
        <f t="shared" ca="1" si="79"/>
        <v>1</v>
      </c>
      <c r="E170" s="51">
        <f t="shared" si="97"/>
        <v>3</v>
      </c>
      <c r="F170" s="48">
        <f>COUNTIFS(Tracker!G:G,Daily!C170, Tracker!J:J,"Y")</f>
        <v>3</v>
      </c>
      <c r="G170" s="26">
        <f>COUNTIFS(Tracker!G:G,Daily!C170, Tracker!J:J,"Y (with hints)")</f>
        <v>0</v>
      </c>
      <c r="H170" s="33">
        <f>COUNTIFS(Tracker!G:G,Daily!C170, Tracker!J:J,"N")</f>
        <v>0</v>
      </c>
      <c r="I170" s="54">
        <f t="shared" si="98"/>
        <v>1</v>
      </c>
      <c r="J170" s="26">
        <f>COUNTIFS(Tracker!G:G,Daily!C170, Tracker!J:J,"Y",Tracker!E:E,1)</f>
        <v>1</v>
      </c>
      <c r="K170" s="26">
        <f>COUNTIFS(Tracker!G:G,Daily!C170, Tracker!J:J,"Y (with hints)",Tracker!E:E,1)</f>
        <v>0</v>
      </c>
      <c r="L170" s="33">
        <f>COUNTIFS(Tracker!G:G,Daily!C170, Tracker!J:J,"N",Tracker!E:E,1)</f>
        <v>0</v>
      </c>
      <c r="M170" s="54">
        <f t="shared" si="99"/>
        <v>2</v>
      </c>
      <c r="N170" s="26">
        <f>COUNTIFS(Tracker!G:G,Daily!C170, Tracker!J:J,"Y",Tracker!E:E,2)</f>
        <v>2</v>
      </c>
      <c r="O170" s="26">
        <f>COUNTIFS(Tracker!G:G,Daily!C170, Tracker!J:J,"Y (with hints)",Tracker!E:E,2)</f>
        <v>0</v>
      </c>
      <c r="P170" s="33">
        <f>COUNTIFS(Tracker!G:G,Daily!C170, Tracker!J:J,"N",Tracker!E:E,2)</f>
        <v>0</v>
      </c>
      <c r="Q170" s="57">
        <f t="shared" si="100"/>
        <v>0</v>
      </c>
      <c r="R170" s="26">
        <f>COUNTIFS(Tracker!G:G,Daily!C170, Tracker!J:J,"Y",Tracker!E:E,3)</f>
        <v>0</v>
      </c>
      <c r="S170" s="26">
        <f>COUNTIFS(Tracker!G:G,Daily!C170, Tracker!J:J,"Y (with hints)",Tracker!E:E,3)</f>
        <v>0</v>
      </c>
      <c r="T170" s="33">
        <f>COUNTIFS(Tracker!G:G,Daily!C170, Tracker!J:J,"N",Tracker!E:E,3)</f>
        <v>0</v>
      </c>
      <c r="V170" s="48">
        <f t="shared" si="101"/>
        <v>91</v>
      </c>
      <c r="W170" s="26">
        <f t="shared" si="102"/>
        <v>87</v>
      </c>
      <c r="X170" s="62">
        <f t="shared" si="103"/>
        <v>0.95604395604395609</v>
      </c>
      <c r="Y170" s="74">
        <f>AVERAGEIFS(Tracker!I:I, Tracker!E:E, 1, Tracker!G:G, "&lt;="&amp;Daily!C170, Tracker!J:J, "Y")</f>
        <v>12.574712643678161</v>
      </c>
      <c r="Z170" s="77">
        <f>COUNTIFS(Tracker!E:E, 1, Tracker!G:G, "&lt;="&amp;Daily!C170, Tracker!L:L, "N") / V170</f>
        <v>0.80219780219780223</v>
      </c>
      <c r="AA170" s="48">
        <f t="shared" si="104"/>
        <v>194</v>
      </c>
      <c r="AB170" s="26">
        <f t="shared" si="105"/>
        <v>160</v>
      </c>
      <c r="AC170" s="62">
        <f t="shared" si="106"/>
        <v>0.82474226804123707</v>
      </c>
      <c r="AD170" s="74">
        <f>AVERAGEIFS(Tracker!I:I, Tracker!E:E, 2, Tracker!G:G, "&lt;="&amp;Daily!C170, Tracker!J:J, "Y")</f>
        <v>26.40625</v>
      </c>
      <c r="AE170" s="77">
        <f>COUNTIFS(Tracker!E:E, 2, Tracker!G:G, "&lt;="&amp;Daily!C170, Tracker!L:L, "N") / AA170</f>
        <v>0.60824742268041232</v>
      </c>
      <c r="AF170" s="48">
        <f t="shared" si="107"/>
        <v>42</v>
      </c>
      <c r="AG170" s="26">
        <f t="shared" si="108"/>
        <v>27</v>
      </c>
      <c r="AH170" s="62">
        <f t="shared" si="109"/>
        <v>0.6428571428571429</v>
      </c>
      <c r="AI170" s="74">
        <f>IFERROR(AVERAGEIFS(Tracker!I:I, Tracker!E:E, 3, Tracker!G:G, "&lt;="&amp;Daily!C170, Tracker!J:J, "Y"), 0)</f>
        <v>40.074074074074076</v>
      </c>
      <c r="AJ170" s="77">
        <f>IFERROR(COUNTIFS(Tracker!E:E, 3, Tracker!G:G, "&lt;="&amp;Daily!C170, Tracker!L:L, "N") / AF170,  0)</f>
        <v>0.35714285714285715</v>
      </c>
      <c r="AK170" s="48">
        <f t="shared" si="110"/>
        <v>327</v>
      </c>
      <c r="AL170" s="26">
        <f t="shared" si="111"/>
        <v>274</v>
      </c>
      <c r="AM170" s="62">
        <f t="shared" si="112"/>
        <v>0.8379204892966361</v>
      </c>
      <c r="AN170" s="74">
        <f>IFERROR(AVERAGEIFS(Tracker!I:I,  Tracker!G:G, "&lt;="&amp;Daily!C170, Tracker!J:J, "Y"), 0)</f>
        <v>23.361313868613138</v>
      </c>
      <c r="AO170" s="77">
        <f>IFERROR(COUNTIFS(Tracker!G:G, "&lt;="&amp;Daily!C170, Tracker!L:L, "N") / AK170,  0)</f>
        <v>0.62996941896024461</v>
      </c>
    </row>
    <row r="171" spans="1:41" x14ac:dyDescent="0.25">
      <c r="A171" s="119"/>
      <c r="B171" s="32">
        <f t="shared" si="96"/>
        <v>45386</v>
      </c>
      <c r="C171" s="27">
        <f t="shared" si="113"/>
        <v>45386</v>
      </c>
      <c r="D171" s="109" t="b">
        <f t="shared" ca="1" si="79"/>
        <v>1</v>
      </c>
      <c r="E171" s="51">
        <f t="shared" si="97"/>
        <v>0</v>
      </c>
      <c r="F171" s="48">
        <f>COUNTIFS(Tracker!G:G,Daily!C171, Tracker!J:J,"Y")</f>
        <v>0</v>
      </c>
      <c r="G171" s="26">
        <f>COUNTIFS(Tracker!G:G,Daily!C171, Tracker!J:J,"Y (with hints)")</f>
        <v>0</v>
      </c>
      <c r="H171" s="33">
        <f>COUNTIFS(Tracker!G:G,Daily!C171, Tracker!J:J,"N")</f>
        <v>0</v>
      </c>
      <c r="I171" s="54">
        <f t="shared" si="98"/>
        <v>0</v>
      </c>
      <c r="J171" s="26">
        <f>COUNTIFS(Tracker!G:G,Daily!C171, Tracker!J:J,"Y",Tracker!E:E,1)</f>
        <v>0</v>
      </c>
      <c r="K171" s="26">
        <f>COUNTIFS(Tracker!G:G,Daily!C171, Tracker!J:J,"Y (with hints)",Tracker!E:E,1)</f>
        <v>0</v>
      </c>
      <c r="L171" s="33">
        <f>COUNTIFS(Tracker!G:G,Daily!C171, Tracker!J:J,"N",Tracker!E:E,1)</f>
        <v>0</v>
      </c>
      <c r="M171" s="54">
        <f t="shared" si="99"/>
        <v>0</v>
      </c>
      <c r="N171" s="26">
        <f>COUNTIFS(Tracker!G:G,Daily!C171, Tracker!J:J,"Y",Tracker!E:E,2)</f>
        <v>0</v>
      </c>
      <c r="O171" s="26">
        <f>COUNTIFS(Tracker!G:G,Daily!C171, Tracker!J:J,"Y (with hints)",Tracker!E:E,2)</f>
        <v>0</v>
      </c>
      <c r="P171" s="33">
        <f>COUNTIFS(Tracker!G:G,Daily!C171, Tracker!J:J,"N",Tracker!E:E,2)</f>
        <v>0</v>
      </c>
      <c r="Q171" s="57">
        <f t="shared" si="100"/>
        <v>0</v>
      </c>
      <c r="R171" s="26">
        <f>COUNTIFS(Tracker!G:G,Daily!C171, Tracker!J:J,"Y",Tracker!E:E,3)</f>
        <v>0</v>
      </c>
      <c r="S171" s="26">
        <f>COUNTIFS(Tracker!G:G,Daily!C171, Tracker!J:J,"Y (with hints)",Tracker!E:E,3)</f>
        <v>0</v>
      </c>
      <c r="T171" s="33">
        <f>COUNTIFS(Tracker!G:G,Daily!C171, Tracker!J:J,"N",Tracker!E:E,3)</f>
        <v>0</v>
      </c>
      <c r="V171" s="48">
        <f t="shared" si="101"/>
        <v>91</v>
      </c>
      <c r="W171" s="26">
        <f t="shared" si="102"/>
        <v>87</v>
      </c>
      <c r="X171" s="62">
        <f t="shared" si="103"/>
        <v>0.95604395604395609</v>
      </c>
      <c r="Y171" s="74">
        <f>AVERAGEIFS(Tracker!I:I, Tracker!E:E, 1, Tracker!G:G, "&lt;="&amp;Daily!C171, Tracker!J:J, "Y")</f>
        <v>12.574712643678161</v>
      </c>
      <c r="Z171" s="77">
        <f>COUNTIFS(Tracker!E:E, 1, Tracker!G:G, "&lt;="&amp;Daily!C171, Tracker!L:L, "N") / V171</f>
        <v>0.80219780219780223</v>
      </c>
      <c r="AA171" s="48">
        <f t="shared" si="104"/>
        <v>194</v>
      </c>
      <c r="AB171" s="26">
        <f t="shared" si="105"/>
        <v>160</v>
      </c>
      <c r="AC171" s="62">
        <f t="shared" si="106"/>
        <v>0.82474226804123707</v>
      </c>
      <c r="AD171" s="74">
        <f>AVERAGEIFS(Tracker!I:I, Tracker!E:E, 2, Tracker!G:G, "&lt;="&amp;Daily!C171, Tracker!J:J, "Y")</f>
        <v>26.40625</v>
      </c>
      <c r="AE171" s="77">
        <f>COUNTIFS(Tracker!E:E, 2, Tracker!G:G, "&lt;="&amp;Daily!C171, Tracker!L:L, "N") / AA171</f>
        <v>0.60824742268041232</v>
      </c>
      <c r="AF171" s="48">
        <f t="shared" si="107"/>
        <v>42</v>
      </c>
      <c r="AG171" s="26">
        <f t="shared" si="108"/>
        <v>27</v>
      </c>
      <c r="AH171" s="62">
        <f t="shared" si="109"/>
        <v>0.6428571428571429</v>
      </c>
      <c r="AI171" s="74">
        <f>IFERROR(AVERAGEIFS(Tracker!I:I, Tracker!E:E, 3, Tracker!G:G, "&lt;="&amp;Daily!C171, Tracker!J:J, "Y"), 0)</f>
        <v>40.074074074074076</v>
      </c>
      <c r="AJ171" s="77">
        <f>IFERROR(COUNTIFS(Tracker!E:E, 3, Tracker!G:G, "&lt;="&amp;Daily!C171, Tracker!L:L, "N") / AF171,  0)</f>
        <v>0.35714285714285715</v>
      </c>
      <c r="AK171" s="48">
        <f t="shared" si="110"/>
        <v>327</v>
      </c>
      <c r="AL171" s="26">
        <f t="shared" si="111"/>
        <v>274</v>
      </c>
      <c r="AM171" s="62">
        <f t="shared" si="112"/>
        <v>0.8379204892966361</v>
      </c>
      <c r="AN171" s="74">
        <f>IFERROR(AVERAGEIFS(Tracker!I:I,  Tracker!G:G, "&lt;="&amp;Daily!C171, Tracker!J:J, "Y"), 0)</f>
        <v>23.361313868613138</v>
      </c>
      <c r="AO171" s="77">
        <f>IFERROR(COUNTIFS(Tracker!G:G, "&lt;="&amp;Daily!C171, Tracker!L:L, "N") / AK171,  0)</f>
        <v>0.62996941896024461</v>
      </c>
    </row>
    <row r="172" spans="1:41" x14ac:dyDescent="0.25">
      <c r="A172" s="119"/>
      <c r="B172" s="32">
        <f t="shared" si="96"/>
        <v>45387</v>
      </c>
      <c r="C172" s="27">
        <f t="shared" si="113"/>
        <v>45387</v>
      </c>
      <c r="D172" s="109" t="b">
        <f t="shared" ca="1" si="79"/>
        <v>1</v>
      </c>
      <c r="E172" s="51">
        <f t="shared" si="97"/>
        <v>0</v>
      </c>
      <c r="F172" s="48">
        <f>COUNTIFS(Tracker!G:G,Daily!C172, Tracker!J:J,"Y")</f>
        <v>0</v>
      </c>
      <c r="G172" s="26">
        <f>COUNTIFS(Tracker!G:G,Daily!C172, Tracker!J:J,"Y (with hints)")</f>
        <v>0</v>
      </c>
      <c r="H172" s="33">
        <f>COUNTIFS(Tracker!G:G,Daily!C172, Tracker!J:J,"N")</f>
        <v>0</v>
      </c>
      <c r="I172" s="54">
        <f t="shared" si="98"/>
        <v>0</v>
      </c>
      <c r="J172" s="26">
        <f>COUNTIFS(Tracker!G:G,Daily!C172, Tracker!J:J,"Y",Tracker!E:E,1)</f>
        <v>0</v>
      </c>
      <c r="K172" s="26">
        <f>COUNTIFS(Tracker!G:G,Daily!C172, Tracker!J:J,"Y (with hints)",Tracker!E:E,1)</f>
        <v>0</v>
      </c>
      <c r="L172" s="33">
        <f>COUNTIFS(Tracker!G:G,Daily!C172, Tracker!J:J,"N",Tracker!E:E,1)</f>
        <v>0</v>
      </c>
      <c r="M172" s="54">
        <f t="shared" si="99"/>
        <v>0</v>
      </c>
      <c r="N172" s="26">
        <f>COUNTIFS(Tracker!G:G,Daily!C172, Tracker!J:J,"Y",Tracker!E:E,2)</f>
        <v>0</v>
      </c>
      <c r="O172" s="26">
        <f>COUNTIFS(Tracker!G:G,Daily!C172, Tracker!J:J,"Y (with hints)",Tracker!E:E,2)</f>
        <v>0</v>
      </c>
      <c r="P172" s="33">
        <f>COUNTIFS(Tracker!G:G,Daily!C172, Tracker!J:J,"N",Tracker!E:E,2)</f>
        <v>0</v>
      </c>
      <c r="Q172" s="57">
        <f t="shared" si="100"/>
        <v>0</v>
      </c>
      <c r="R172" s="26">
        <f>COUNTIFS(Tracker!G:G,Daily!C172, Tracker!J:J,"Y",Tracker!E:E,3)</f>
        <v>0</v>
      </c>
      <c r="S172" s="26">
        <f>COUNTIFS(Tracker!G:G,Daily!C172, Tracker!J:J,"Y (with hints)",Tracker!E:E,3)</f>
        <v>0</v>
      </c>
      <c r="T172" s="33">
        <f>COUNTIFS(Tracker!G:G,Daily!C172, Tracker!J:J,"N",Tracker!E:E,3)</f>
        <v>0</v>
      </c>
      <c r="V172" s="48">
        <f t="shared" si="101"/>
        <v>91</v>
      </c>
      <c r="W172" s="26">
        <f t="shared" si="102"/>
        <v>87</v>
      </c>
      <c r="X172" s="62">
        <f t="shared" si="103"/>
        <v>0.95604395604395609</v>
      </c>
      <c r="Y172" s="74">
        <f>AVERAGEIFS(Tracker!I:I, Tracker!E:E, 1, Tracker!G:G, "&lt;="&amp;Daily!C172, Tracker!J:J, "Y")</f>
        <v>12.574712643678161</v>
      </c>
      <c r="Z172" s="77">
        <f>COUNTIFS(Tracker!E:E, 1, Tracker!G:G, "&lt;="&amp;Daily!C172, Tracker!L:L, "N") / V172</f>
        <v>0.80219780219780223</v>
      </c>
      <c r="AA172" s="48">
        <f t="shared" si="104"/>
        <v>194</v>
      </c>
      <c r="AB172" s="26">
        <f t="shared" si="105"/>
        <v>160</v>
      </c>
      <c r="AC172" s="62">
        <f t="shared" si="106"/>
        <v>0.82474226804123707</v>
      </c>
      <c r="AD172" s="74">
        <f>AVERAGEIFS(Tracker!I:I, Tracker!E:E, 2, Tracker!G:G, "&lt;="&amp;Daily!C172, Tracker!J:J, "Y")</f>
        <v>26.40625</v>
      </c>
      <c r="AE172" s="77">
        <f>COUNTIFS(Tracker!E:E, 2, Tracker!G:G, "&lt;="&amp;Daily!C172, Tracker!L:L, "N") / AA172</f>
        <v>0.60824742268041232</v>
      </c>
      <c r="AF172" s="48">
        <f t="shared" si="107"/>
        <v>42</v>
      </c>
      <c r="AG172" s="26">
        <f t="shared" si="108"/>
        <v>27</v>
      </c>
      <c r="AH172" s="62">
        <f t="shared" si="109"/>
        <v>0.6428571428571429</v>
      </c>
      <c r="AI172" s="74">
        <f>IFERROR(AVERAGEIFS(Tracker!I:I, Tracker!E:E, 3, Tracker!G:G, "&lt;="&amp;Daily!C172, Tracker!J:J, "Y"), 0)</f>
        <v>40.074074074074076</v>
      </c>
      <c r="AJ172" s="77">
        <f>IFERROR(COUNTIFS(Tracker!E:E, 3, Tracker!G:G, "&lt;="&amp;Daily!C172, Tracker!L:L, "N") / AF172,  0)</f>
        <v>0.35714285714285715</v>
      </c>
      <c r="AK172" s="48">
        <f t="shared" si="110"/>
        <v>327</v>
      </c>
      <c r="AL172" s="26">
        <f t="shared" si="111"/>
        <v>274</v>
      </c>
      <c r="AM172" s="62">
        <f t="shared" si="112"/>
        <v>0.8379204892966361</v>
      </c>
      <c r="AN172" s="74">
        <f>IFERROR(AVERAGEIFS(Tracker!I:I,  Tracker!G:G, "&lt;="&amp;Daily!C172, Tracker!J:J, "Y"), 0)</f>
        <v>23.361313868613138</v>
      </c>
      <c r="AO172" s="77">
        <f>IFERROR(COUNTIFS(Tracker!G:G, "&lt;="&amp;Daily!C172, Tracker!L:L, "N") / AK172,  0)</f>
        <v>0.62996941896024461</v>
      </c>
    </row>
    <row r="173" spans="1:41" x14ac:dyDescent="0.25">
      <c r="A173" s="119"/>
      <c r="B173" s="32">
        <f t="shared" si="96"/>
        <v>45388</v>
      </c>
      <c r="C173" s="27">
        <f t="shared" si="113"/>
        <v>45388</v>
      </c>
      <c r="D173" s="109" t="b">
        <f t="shared" ca="1" si="79"/>
        <v>1</v>
      </c>
      <c r="E173" s="51">
        <f t="shared" si="97"/>
        <v>0</v>
      </c>
      <c r="F173" s="48">
        <f>COUNTIFS(Tracker!G:G,Daily!C173, Tracker!J:J,"Y")</f>
        <v>0</v>
      </c>
      <c r="G173" s="26">
        <f>COUNTIFS(Tracker!G:G,Daily!C173, Tracker!J:J,"Y (with hints)")</f>
        <v>0</v>
      </c>
      <c r="H173" s="33">
        <f>COUNTIFS(Tracker!G:G,Daily!C173, Tracker!J:J,"N")</f>
        <v>0</v>
      </c>
      <c r="I173" s="54">
        <f t="shared" si="98"/>
        <v>0</v>
      </c>
      <c r="J173" s="26">
        <f>COUNTIFS(Tracker!G:G,Daily!C173, Tracker!J:J,"Y",Tracker!E:E,1)</f>
        <v>0</v>
      </c>
      <c r="K173" s="26">
        <f>COUNTIFS(Tracker!G:G,Daily!C173, Tracker!J:J,"Y (with hints)",Tracker!E:E,1)</f>
        <v>0</v>
      </c>
      <c r="L173" s="33">
        <f>COUNTIFS(Tracker!G:G,Daily!C173, Tracker!J:J,"N",Tracker!E:E,1)</f>
        <v>0</v>
      </c>
      <c r="M173" s="54">
        <f t="shared" si="99"/>
        <v>0</v>
      </c>
      <c r="N173" s="26">
        <f>COUNTIFS(Tracker!G:G,Daily!C173, Tracker!J:J,"Y",Tracker!E:E,2)</f>
        <v>0</v>
      </c>
      <c r="O173" s="26">
        <f>COUNTIFS(Tracker!G:G,Daily!C173, Tracker!J:J,"Y (with hints)",Tracker!E:E,2)</f>
        <v>0</v>
      </c>
      <c r="P173" s="33">
        <f>COUNTIFS(Tracker!G:G,Daily!C173, Tracker!J:J,"N",Tracker!E:E,2)</f>
        <v>0</v>
      </c>
      <c r="Q173" s="57">
        <f t="shared" si="100"/>
        <v>0</v>
      </c>
      <c r="R173" s="26">
        <f>COUNTIFS(Tracker!G:G,Daily!C173, Tracker!J:J,"Y",Tracker!E:E,3)</f>
        <v>0</v>
      </c>
      <c r="S173" s="26">
        <f>COUNTIFS(Tracker!G:G,Daily!C173, Tracker!J:J,"Y (with hints)",Tracker!E:E,3)</f>
        <v>0</v>
      </c>
      <c r="T173" s="33">
        <f>COUNTIFS(Tracker!G:G,Daily!C173, Tracker!J:J,"N",Tracker!E:E,3)</f>
        <v>0</v>
      </c>
      <c r="V173" s="48">
        <f t="shared" si="101"/>
        <v>91</v>
      </c>
      <c r="W173" s="26">
        <f t="shared" si="102"/>
        <v>87</v>
      </c>
      <c r="X173" s="62">
        <f t="shared" si="103"/>
        <v>0.95604395604395609</v>
      </c>
      <c r="Y173" s="74">
        <f>AVERAGEIFS(Tracker!I:I, Tracker!E:E, 1, Tracker!G:G, "&lt;="&amp;Daily!C173, Tracker!J:J, "Y")</f>
        <v>12.574712643678161</v>
      </c>
      <c r="Z173" s="77">
        <f>COUNTIFS(Tracker!E:E, 1, Tracker!G:G, "&lt;="&amp;Daily!C173, Tracker!L:L, "N") / V173</f>
        <v>0.80219780219780223</v>
      </c>
      <c r="AA173" s="48">
        <f t="shared" si="104"/>
        <v>194</v>
      </c>
      <c r="AB173" s="26">
        <f t="shared" si="105"/>
        <v>160</v>
      </c>
      <c r="AC173" s="62">
        <f t="shared" si="106"/>
        <v>0.82474226804123707</v>
      </c>
      <c r="AD173" s="74">
        <f>AVERAGEIFS(Tracker!I:I, Tracker!E:E, 2, Tracker!G:G, "&lt;="&amp;Daily!C173, Tracker!J:J, "Y")</f>
        <v>26.40625</v>
      </c>
      <c r="AE173" s="77">
        <f>COUNTIFS(Tracker!E:E, 2, Tracker!G:G, "&lt;="&amp;Daily!C173, Tracker!L:L, "N") / AA173</f>
        <v>0.60824742268041232</v>
      </c>
      <c r="AF173" s="48">
        <f t="shared" si="107"/>
        <v>42</v>
      </c>
      <c r="AG173" s="26">
        <f t="shared" si="108"/>
        <v>27</v>
      </c>
      <c r="AH173" s="62">
        <f t="shared" si="109"/>
        <v>0.6428571428571429</v>
      </c>
      <c r="AI173" s="74">
        <f>IFERROR(AVERAGEIFS(Tracker!I:I, Tracker!E:E, 3, Tracker!G:G, "&lt;="&amp;Daily!C173, Tracker!J:J, "Y"), 0)</f>
        <v>40.074074074074076</v>
      </c>
      <c r="AJ173" s="77">
        <f>IFERROR(COUNTIFS(Tracker!E:E, 3, Tracker!G:G, "&lt;="&amp;Daily!C173, Tracker!L:L, "N") / AF173,  0)</f>
        <v>0.35714285714285715</v>
      </c>
      <c r="AK173" s="48">
        <f t="shared" si="110"/>
        <v>327</v>
      </c>
      <c r="AL173" s="26">
        <f t="shared" si="111"/>
        <v>274</v>
      </c>
      <c r="AM173" s="62">
        <f t="shared" si="112"/>
        <v>0.8379204892966361</v>
      </c>
      <c r="AN173" s="74">
        <f>IFERROR(AVERAGEIFS(Tracker!I:I,  Tracker!G:G, "&lt;="&amp;Daily!C173, Tracker!J:J, "Y"), 0)</f>
        <v>23.361313868613138</v>
      </c>
      <c r="AO173" s="77">
        <f>IFERROR(COUNTIFS(Tracker!G:G, "&lt;="&amp;Daily!C173, Tracker!L:L, "N") / AK173,  0)</f>
        <v>0.62996941896024461</v>
      </c>
    </row>
    <row r="174" spans="1:41" ht="15.75" thickBot="1" x14ac:dyDescent="0.3">
      <c r="A174" s="120"/>
      <c r="B174" s="34">
        <f t="shared" si="96"/>
        <v>45389</v>
      </c>
      <c r="C174" s="35">
        <f t="shared" si="113"/>
        <v>45389</v>
      </c>
      <c r="D174" s="110" t="b">
        <f t="shared" ca="1" si="79"/>
        <v>1</v>
      </c>
      <c r="E174" s="52">
        <f t="shared" si="97"/>
        <v>0</v>
      </c>
      <c r="F174" s="39">
        <f>COUNTIFS(Tracker!G:G,Daily!C174, Tracker!J:J,"Y")</f>
        <v>0</v>
      </c>
      <c r="G174" s="36">
        <f>COUNTIFS(Tracker!G:G,Daily!C174, Tracker!J:J,"Y (with hints)")</f>
        <v>0</v>
      </c>
      <c r="H174" s="37">
        <f>COUNTIFS(Tracker!G:G,Daily!C174, Tracker!J:J,"N")</f>
        <v>0</v>
      </c>
      <c r="I174" s="55">
        <f t="shared" si="98"/>
        <v>0</v>
      </c>
      <c r="J174" s="36">
        <f>COUNTIFS(Tracker!G:G,Daily!C174, Tracker!J:J,"Y",Tracker!E:E,1)</f>
        <v>0</v>
      </c>
      <c r="K174" s="36">
        <f>COUNTIFS(Tracker!G:G,Daily!C174, Tracker!J:J,"Y (with hints)",Tracker!E:E,1)</f>
        <v>0</v>
      </c>
      <c r="L174" s="37">
        <f>COUNTIFS(Tracker!G:G,Daily!C174, Tracker!J:J,"N",Tracker!E:E,1)</f>
        <v>0</v>
      </c>
      <c r="M174" s="55">
        <f t="shared" si="99"/>
        <v>0</v>
      </c>
      <c r="N174" s="36">
        <f>COUNTIFS(Tracker!G:G,Daily!C174, Tracker!J:J,"Y",Tracker!E:E,2)</f>
        <v>0</v>
      </c>
      <c r="O174" s="36">
        <f>COUNTIFS(Tracker!G:G,Daily!C174, Tracker!J:J,"Y (with hints)",Tracker!E:E,2)</f>
        <v>0</v>
      </c>
      <c r="P174" s="37">
        <f>COUNTIFS(Tracker!G:G,Daily!C174, Tracker!J:J,"N",Tracker!E:E,2)</f>
        <v>0</v>
      </c>
      <c r="Q174" s="58">
        <f t="shared" si="100"/>
        <v>0</v>
      </c>
      <c r="R174" s="36">
        <f>COUNTIFS(Tracker!G:G,Daily!C174, Tracker!J:J,"Y",Tracker!E:E,3)</f>
        <v>0</v>
      </c>
      <c r="S174" s="36">
        <f>COUNTIFS(Tracker!G:G,Daily!C174, Tracker!J:J,"Y (with hints)",Tracker!E:E,3)</f>
        <v>0</v>
      </c>
      <c r="T174" s="37">
        <f>COUNTIFS(Tracker!G:G,Daily!C174, Tracker!J:J,"N",Tracker!E:E,3)</f>
        <v>0</v>
      </c>
      <c r="V174" s="39">
        <f t="shared" si="101"/>
        <v>91</v>
      </c>
      <c r="W174" s="36">
        <f t="shared" si="102"/>
        <v>87</v>
      </c>
      <c r="X174" s="64">
        <f t="shared" si="103"/>
        <v>0.95604395604395609</v>
      </c>
      <c r="Y174" s="78">
        <f>AVERAGEIFS(Tracker!I:I, Tracker!E:E, 1, Tracker!G:G, "&lt;="&amp;Daily!C174, Tracker!J:J, "Y")</f>
        <v>12.574712643678161</v>
      </c>
      <c r="Z174" s="79">
        <f>COUNTIFS(Tracker!E:E, 1, Tracker!G:G, "&lt;="&amp;Daily!C174, Tracker!L:L, "N") / V174</f>
        <v>0.80219780219780223</v>
      </c>
      <c r="AA174" s="39">
        <f t="shared" si="104"/>
        <v>194</v>
      </c>
      <c r="AB174" s="36">
        <f t="shared" si="105"/>
        <v>160</v>
      </c>
      <c r="AC174" s="64">
        <f t="shared" si="106"/>
        <v>0.82474226804123707</v>
      </c>
      <c r="AD174" s="78">
        <f>AVERAGEIFS(Tracker!I:I, Tracker!E:E, 2, Tracker!G:G, "&lt;="&amp;Daily!C174, Tracker!J:J, "Y")</f>
        <v>26.40625</v>
      </c>
      <c r="AE174" s="79">
        <f>COUNTIFS(Tracker!E:E, 2, Tracker!G:G, "&lt;="&amp;Daily!C174, Tracker!L:L, "N") / AA174</f>
        <v>0.60824742268041232</v>
      </c>
      <c r="AF174" s="39">
        <f t="shared" si="107"/>
        <v>42</v>
      </c>
      <c r="AG174" s="36">
        <f t="shared" si="108"/>
        <v>27</v>
      </c>
      <c r="AH174" s="64">
        <f t="shared" si="109"/>
        <v>0.6428571428571429</v>
      </c>
      <c r="AI174" s="78">
        <f>IFERROR(AVERAGEIFS(Tracker!I:I, Tracker!E:E, 3, Tracker!G:G, "&lt;="&amp;Daily!C174, Tracker!J:J, "Y"), 0)</f>
        <v>40.074074074074076</v>
      </c>
      <c r="AJ174" s="79">
        <f>IFERROR(COUNTIFS(Tracker!E:E, 3, Tracker!G:G, "&lt;="&amp;Daily!C174, Tracker!L:L, "N") / AF174,  0)</f>
        <v>0.35714285714285715</v>
      </c>
      <c r="AK174" s="39">
        <f t="shared" si="110"/>
        <v>327</v>
      </c>
      <c r="AL174" s="36">
        <f t="shared" si="111"/>
        <v>274</v>
      </c>
      <c r="AM174" s="64">
        <f t="shared" si="112"/>
        <v>0.8379204892966361</v>
      </c>
      <c r="AN174" s="78">
        <f>IFERROR(AVERAGEIFS(Tracker!I:I,  Tracker!G:G, "&lt;="&amp;Daily!C174, Tracker!J:J, "Y"), 0)</f>
        <v>23.361313868613138</v>
      </c>
      <c r="AO174" s="79">
        <f>IFERROR(COUNTIFS(Tracker!G:G, "&lt;="&amp;Daily!C174, Tracker!L:L, "N") / AK174,  0)</f>
        <v>0.62996941896024461</v>
      </c>
    </row>
    <row r="175" spans="1:41" x14ac:dyDescent="0.25">
      <c r="A175" s="118">
        <f>A168+1</f>
        <v>25</v>
      </c>
      <c r="B175" s="28">
        <f t="shared" si="96"/>
        <v>45390</v>
      </c>
      <c r="C175" s="29">
        <f t="shared" si="113"/>
        <v>45390</v>
      </c>
      <c r="D175" s="108" t="b">
        <f t="shared" ca="1" si="79"/>
        <v>1</v>
      </c>
      <c r="E175" s="50">
        <f t="shared" si="97"/>
        <v>0</v>
      </c>
      <c r="F175" s="38">
        <f>COUNTIFS(Tracker!G:G,Daily!C175, Tracker!J:J,"Y")</f>
        <v>0</v>
      </c>
      <c r="G175" s="30">
        <f>COUNTIFS(Tracker!G:G,Daily!C175, Tracker!J:J,"Y (with hints)")</f>
        <v>0</v>
      </c>
      <c r="H175" s="31">
        <f>COUNTIFS(Tracker!G:G,Daily!C175, Tracker!J:J,"N")</f>
        <v>0</v>
      </c>
      <c r="I175" s="53">
        <f t="shared" si="98"/>
        <v>0</v>
      </c>
      <c r="J175" s="30">
        <f>COUNTIFS(Tracker!G:G,Daily!C175, Tracker!J:J,"Y",Tracker!E:E,1)</f>
        <v>0</v>
      </c>
      <c r="K175" s="30">
        <f>COUNTIFS(Tracker!G:G,Daily!C175, Tracker!J:J,"Y (with hints)",Tracker!E:E,1)</f>
        <v>0</v>
      </c>
      <c r="L175" s="31">
        <f>COUNTIFS(Tracker!G:G,Daily!C175, Tracker!J:J,"N",Tracker!E:E,1)</f>
        <v>0</v>
      </c>
      <c r="M175" s="53">
        <f t="shared" si="99"/>
        <v>0</v>
      </c>
      <c r="N175" s="30">
        <f>COUNTIFS(Tracker!G:G,Daily!C175, Tracker!J:J,"Y",Tracker!E:E,2)</f>
        <v>0</v>
      </c>
      <c r="O175" s="30">
        <f>COUNTIFS(Tracker!G:G,Daily!C175, Tracker!J:J,"Y (with hints)",Tracker!E:E,2)</f>
        <v>0</v>
      </c>
      <c r="P175" s="31">
        <f>COUNTIFS(Tracker!G:G,Daily!C175, Tracker!J:J,"N",Tracker!E:E,2)</f>
        <v>0</v>
      </c>
      <c r="Q175" s="56">
        <f t="shared" si="100"/>
        <v>0</v>
      </c>
      <c r="R175" s="30">
        <f>COUNTIFS(Tracker!G:G,Daily!C175, Tracker!J:J,"Y",Tracker!E:E,3)</f>
        <v>0</v>
      </c>
      <c r="S175" s="30">
        <f>COUNTIFS(Tracker!G:G,Daily!C175, Tracker!J:J,"Y (with hints)",Tracker!E:E,3)</f>
        <v>0</v>
      </c>
      <c r="T175" s="31">
        <f>COUNTIFS(Tracker!G:G,Daily!C175, Tracker!J:J,"N",Tracker!E:E,3)</f>
        <v>0</v>
      </c>
      <c r="V175" s="38">
        <f t="shared" si="101"/>
        <v>91</v>
      </c>
      <c r="W175" s="30">
        <f t="shared" si="102"/>
        <v>87</v>
      </c>
      <c r="X175" s="73">
        <f t="shared" si="103"/>
        <v>0.95604395604395609</v>
      </c>
      <c r="Y175" s="75">
        <f>AVERAGEIFS(Tracker!I:I, Tracker!E:E, 1, Tracker!G:G, "&lt;="&amp;Daily!C175, Tracker!J:J, "Y")</f>
        <v>12.574712643678161</v>
      </c>
      <c r="Z175" s="76">
        <f>COUNTIFS(Tracker!E:E, 1, Tracker!G:G, "&lt;="&amp;Daily!C175, Tracker!L:L, "N") / V175</f>
        <v>0.80219780219780223</v>
      </c>
      <c r="AA175" s="38">
        <f t="shared" si="104"/>
        <v>194</v>
      </c>
      <c r="AB175" s="30">
        <f t="shared" si="105"/>
        <v>160</v>
      </c>
      <c r="AC175" s="73">
        <f t="shared" si="106"/>
        <v>0.82474226804123707</v>
      </c>
      <c r="AD175" s="75">
        <f>AVERAGEIFS(Tracker!I:I, Tracker!E:E, 2, Tracker!G:G, "&lt;="&amp;Daily!C175, Tracker!J:J, "Y")</f>
        <v>26.40625</v>
      </c>
      <c r="AE175" s="76">
        <f>COUNTIFS(Tracker!E:E, 2, Tracker!G:G, "&lt;="&amp;Daily!C175, Tracker!L:L, "N") / AA175</f>
        <v>0.60824742268041232</v>
      </c>
      <c r="AF175" s="38">
        <f t="shared" si="107"/>
        <v>42</v>
      </c>
      <c r="AG175" s="30">
        <f t="shared" si="108"/>
        <v>27</v>
      </c>
      <c r="AH175" s="73">
        <f t="shared" si="109"/>
        <v>0.6428571428571429</v>
      </c>
      <c r="AI175" s="75">
        <f>IFERROR(AVERAGEIFS(Tracker!I:I, Tracker!E:E, 3, Tracker!G:G, "&lt;="&amp;Daily!C175, Tracker!J:J, "Y"), 0)</f>
        <v>40.074074074074076</v>
      </c>
      <c r="AJ175" s="76">
        <f>IFERROR(COUNTIFS(Tracker!E:E, 3, Tracker!G:G, "&lt;="&amp;Daily!C175, Tracker!L:L, "N") / AF175,  0)</f>
        <v>0.35714285714285715</v>
      </c>
      <c r="AK175" s="38">
        <f t="shared" si="110"/>
        <v>327</v>
      </c>
      <c r="AL175" s="30">
        <f t="shared" si="111"/>
        <v>274</v>
      </c>
      <c r="AM175" s="73">
        <f t="shared" si="112"/>
        <v>0.8379204892966361</v>
      </c>
      <c r="AN175" s="75">
        <f>IFERROR(AVERAGEIFS(Tracker!I:I,  Tracker!G:G, "&lt;="&amp;Daily!C175, Tracker!J:J, "Y"), 0)</f>
        <v>23.361313868613138</v>
      </c>
      <c r="AO175" s="76">
        <f>IFERROR(COUNTIFS(Tracker!G:G, "&lt;="&amp;Daily!C175, Tracker!L:L, "N") / AK175,  0)</f>
        <v>0.62996941896024461</v>
      </c>
    </row>
    <row r="176" spans="1:41" x14ac:dyDescent="0.25">
      <c r="A176" s="119"/>
      <c r="B176" s="32">
        <f t="shared" si="96"/>
        <v>45391</v>
      </c>
      <c r="C176" s="27">
        <f t="shared" si="113"/>
        <v>45391</v>
      </c>
      <c r="D176" s="109" t="b">
        <f t="shared" ca="1" si="79"/>
        <v>1</v>
      </c>
      <c r="E176" s="51">
        <f t="shared" si="97"/>
        <v>0</v>
      </c>
      <c r="F176" s="48">
        <f>COUNTIFS(Tracker!G:G,Daily!C176, Tracker!J:J,"Y")</f>
        <v>0</v>
      </c>
      <c r="G176" s="26">
        <f>COUNTIFS(Tracker!G:G,Daily!C176, Tracker!J:J,"Y (with hints)")</f>
        <v>0</v>
      </c>
      <c r="H176" s="33">
        <f>COUNTIFS(Tracker!G:G,Daily!C176, Tracker!J:J,"N")</f>
        <v>0</v>
      </c>
      <c r="I176" s="54">
        <f t="shared" si="98"/>
        <v>0</v>
      </c>
      <c r="J176" s="26">
        <f>COUNTIFS(Tracker!G:G,Daily!C176, Tracker!J:J,"Y",Tracker!E:E,1)</f>
        <v>0</v>
      </c>
      <c r="K176" s="26">
        <f>COUNTIFS(Tracker!G:G,Daily!C176, Tracker!J:J,"Y (with hints)",Tracker!E:E,1)</f>
        <v>0</v>
      </c>
      <c r="L176" s="33">
        <f>COUNTIFS(Tracker!G:G,Daily!C176, Tracker!J:J,"N",Tracker!E:E,1)</f>
        <v>0</v>
      </c>
      <c r="M176" s="54">
        <f t="shared" si="99"/>
        <v>0</v>
      </c>
      <c r="N176" s="26">
        <f>COUNTIFS(Tracker!G:G,Daily!C176, Tracker!J:J,"Y",Tracker!E:E,2)</f>
        <v>0</v>
      </c>
      <c r="O176" s="26">
        <f>COUNTIFS(Tracker!G:G,Daily!C176, Tracker!J:J,"Y (with hints)",Tracker!E:E,2)</f>
        <v>0</v>
      </c>
      <c r="P176" s="33">
        <f>COUNTIFS(Tracker!G:G,Daily!C176, Tracker!J:J,"N",Tracker!E:E,2)</f>
        <v>0</v>
      </c>
      <c r="Q176" s="57">
        <f t="shared" si="100"/>
        <v>0</v>
      </c>
      <c r="R176" s="26">
        <f>COUNTIFS(Tracker!G:G,Daily!C176, Tracker!J:J,"Y",Tracker!E:E,3)</f>
        <v>0</v>
      </c>
      <c r="S176" s="26">
        <f>COUNTIFS(Tracker!G:G,Daily!C176, Tracker!J:J,"Y (with hints)",Tracker!E:E,3)</f>
        <v>0</v>
      </c>
      <c r="T176" s="33">
        <f>COUNTIFS(Tracker!G:G,Daily!C176, Tracker!J:J,"N",Tracker!E:E,3)</f>
        <v>0</v>
      </c>
      <c r="V176" s="48">
        <f t="shared" si="101"/>
        <v>91</v>
      </c>
      <c r="W176" s="26">
        <f t="shared" si="102"/>
        <v>87</v>
      </c>
      <c r="X176" s="62">
        <f t="shared" si="103"/>
        <v>0.95604395604395609</v>
      </c>
      <c r="Y176" s="74">
        <f>AVERAGEIFS(Tracker!I:I, Tracker!E:E, 1, Tracker!G:G, "&lt;="&amp;Daily!C176, Tracker!J:J, "Y")</f>
        <v>12.574712643678161</v>
      </c>
      <c r="Z176" s="77">
        <f>COUNTIFS(Tracker!E:E, 1, Tracker!G:G, "&lt;="&amp;Daily!C176, Tracker!L:L, "N") / V176</f>
        <v>0.80219780219780223</v>
      </c>
      <c r="AA176" s="48">
        <f t="shared" si="104"/>
        <v>194</v>
      </c>
      <c r="AB176" s="26">
        <f t="shared" si="105"/>
        <v>160</v>
      </c>
      <c r="AC176" s="62">
        <f t="shared" si="106"/>
        <v>0.82474226804123707</v>
      </c>
      <c r="AD176" s="74">
        <f>AVERAGEIFS(Tracker!I:I, Tracker!E:E, 2, Tracker!G:G, "&lt;="&amp;Daily!C176, Tracker!J:J, "Y")</f>
        <v>26.40625</v>
      </c>
      <c r="AE176" s="77">
        <f>COUNTIFS(Tracker!E:E, 2, Tracker!G:G, "&lt;="&amp;Daily!C176, Tracker!L:L, "N") / AA176</f>
        <v>0.60824742268041232</v>
      </c>
      <c r="AF176" s="48">
        <f t="shared" si="107"/>
        <v>42</v>
      </c>
      <c r="AG176" s="26">
        <f t="shared" si="108"/>
        <v>27</v>
      </c>
      <c r="AH176" s="62">
        <f t="shared" si="109"/>
        <v>0.6428571428571429</v>
      </c>
      <c r="AI176" s="74">
        <f>IFERROR(AVERAGEIFS(Tracker!I:I, Tracker!E:E, 3, Tracker!G:G, "&lt;="&amp;Daily!C176, Tracker!J:J, "Y"), 0)</f>
        <v>40.074074074074076</v>
      </c>
      <c r="AJ176" s="77">
        <f>IFERROR(COUNTIFS(Tracker!E:E, 3, Tracker!G:G, "&lt;="&amp;Daily!C176, Tracker!L:L, "N") / AF176,  0)</f>
        <v>0.35714285714285715</v>
      </c>
      <c r="AK176" s="48">
        <f t="shared" si="110"/>
        <v>327</v>
      </c>
      <c r="AL176" s="26">
        <f t="shared" si="111"/>
        <v>274</v>
      </c>
      <c r="AM176" s="62">
        <f t="shared" si="112"/>
        <v>0.8379204892966361</v>
      </c>
      <c r="AN176" s="74">
        <f>IFERROR(AVERAGEIFS(Tracker!I:I,  Tracker!G:G, "&lt;="&amp;Daily!C176, Tracker!J:J, "Y"), 0)</f>
        <v>23.361313868613138</v>
      </c>
      <c r="AO176" s="77">
        <f>IFERROR(COUNTIFS(Tracker!G:G, "&lt;="&amp;Daily!C176, Tracker!L:L, "N") / AK176,  0)</f>
        <v>0.62996941896024461</v>
      </c>
    </row>
    <row r="177" spans="1:41" x14ac:dyDescent="0.25">
      <c r="A177" s="119"/>
      <c r="B177" s="32">
        <f t="shared" si="96"/>
        <v>45392</v>
      </c>
      <c r="C177" s="27">
        <f t="shared" si="113"/>
        <v>45392</v>
      </c>
      <c r="D177" s="109" t="b">
        <f t="shared" ca="1" si="79"/>
        <v>1</v>
      </c>
      <c r="E177" s="51">
        <f t="shared" si="97"/>
        <v>0</v>
      </c>
      <c r="F177" s="48">
        <f>COUNTIFS(Tracker!G:G,Daily!C177, Tracker!J:J,"Y")</f>
        <v>0</v>
      </c>
      <c r="G177" s="26">
        <f>COUNTIFS(Tracker!G:G,Daily!C177, Tracker!J:J,"Y (with hints)")</f>
        <v>0</v>
      </c>
      <c r="H177" s="33">
        <f>COUNTIFS(Tracker!G:G,Daily!C177, Tracker!J:J,"N")</f>
        <v>0</v>
      </c>
      <c r="I177" s="54">
        <f t="shared" si="98"/>
        <v>0</v>
      </c>
      <c r="J177" s="26">
        <f>COUNTIFS(Tracker!G:G,Daily!C177, Tracker!J:J,"Y",Tracker!E:E,1)</f>
        <v>0</v>
      </c>
      <c r="K177" s="26">
        <f>COUNTIFS(Tracker!G:G,Daily!C177, Tracker!J:J,"Y (with hints)",Tracker!E:E,1)</f>
        <v>0</v>
      </c>
      <c r="L177" s="33">
        <f>COUNTIFS(Tracker!G:G,Daily!C177, Tracker!J:J,"N",Tracker!E:E,1)</f>
        <v>0</v>
      </c>
      <c r="M177" s="54">
        <f t="shared" si="99"/>
        <v>0</v>
      </c>
      <c r="N177" s="26">
        <f>COUNTIFS(Tracker!G:G,Daily!C177, Tracker!J:J,"Y",Tracker!E:E,2)</f>
        <v>0</v>
      </c>
      <c r="O177" s="26">
        <f>COUNTIFS(Tracker!G:G,Daily!C177, Tracker!J:J,"Y (with hints)",Tracker!E:E,2)</f>
        <v>0</v>
      </c>
      <c r="P177" s="33">
        <f>COUNTIFS(Tracker!G:G,Daily!C177, Tracker!J:J,"N",Tracker!E:E,2)</f>
        <v>0</v>
      </c>
      <c r="Q177" s="57">
        <f t="shared" si="100"/>
        <v>0</v>
      </c>
      <c r="R177" s="26">
        <f>COUNTIFS(Tracker!G:G,Daily!C177, Tracker!J:J,"Y",Tracker!E:E,3)</f>
        <v>0</v>
      </c>
      <c r="S177" s="26">
        <f>COUNTIFS(Tracker!G:G,Daily!C177, Tracker!J:J,"Y (with hints)",Tracker!E:E,3)</f>
        <v>0</v>
      </c>
      <c r="T177" s="33">
        <f>COUNTIFS(Tracker!G:G,Daily!C177, Tracker!J:J,"N",Tracker!E:E,3)</f>
        <v>0</v>
      </c>
      <c r="V177" s="48">
        <f t="shared" si="101"/>
        <v>91</v>
      </c>
      <c r="W177" s="26">
        <f t="shared" si="102"/>
        <v>87</v>
      </c>
      <c r="X177" s="62">
        <f t="shared" si="103"/>
        <v>0.95604395604395609</v>
      </c>
      <c r="Y177" s="74">
        <f>AVERAGEIFS(Tracker!I:I, Tracker!E:E, 1, Tracker!G:G, "&lt;="&amp;Daily!C177, Tracker!J:J, "Y")</f>
        <v>12.574712643678161</v>
      </c>
      <c r="Z177" s="77">
        <f>COUNTIFS(Tracker!E:E, 1, Tracker!G:G, "&lt;="&amp;Daily!C177, Tracker!L:L, "N") / V177</f>
        <v>0.80219780219780223</v>
      </c>
      <c r="AA177" s="48">
        <f t="shared" si="104"/>
        <v>194</v>
      </c>
      <c r="AB177" s="26">
        <f t="shared" si="105"/>
        <v>160</v>
      </c>
      <c r="AC177" s="62">
        <f t="shared" si="106"/>
        <v>0.82474226804123707</v>
      </c>
      <c r="AD177" s="74">
        <f>AVERAGEIFS(Tracker!I:I, Tracker!E:E, 2, Tracker!G:G, "&lt;="&amp;Daily!C177, Tracker!J:J, "Y")</f>
        <v>26.40625</v>
      </c>
      <c r="AE177" s="77">
        <f>COUNTIFS(Tracker!E:E, 2, Tracker!G:G, "&lt;="&amp;Daily!C177, Tracker!L:L, "N") / AA177</f>
        <v>0.60824742268041232</v>
      </c>
      <c r="AF177" s="48">
        <f t="shared" si="107"/>
        <v>42</v>
      </c>
      <c r="AG177" s="26">
        <f t="shared" si="108"/>
        <v>27</v>
      </c>
      <c r="AH177" s="62">
        <f t="shared" si="109"/>
        <v>0.6428571428571429</v>
      </c>
      <c r="AI177" s="74">
        <f>IFERROR(AVERAGEIFS(Tracker!I:I, Tracker!E:E, 3, Tracker!G:G, "&lt;="&amp;Daily!C177, Tracker!J:J, "Y"), 0)</f>
        <v>40.074074074074076</v>
      </c>
      <c r="AJ177" s="77">
        <f>IFERROR(COUNTIFS(Tracker!E:E, 3, Tracker!G:G, "&lt;="&amp;Daily!C177, Tracker!L:L, "N") / AF177,  0)</f>
        <v>0.35714285714285715</v>
      </c>
      <c r="AK177" s="48">
        <f t="shared" si="110"/>
        <v>327</v>
      </c>
      <c r="AL177" s="26">
        <f t="shared" si="111"/>
        <v>274</v>
      </c>
      <c r="AM177" s="62">
        <f t="shared" si="112"/>
        <v>0.8379204892966361</v>
      </c>
      <c r="AN177" s="74">
        <f>IFERROR(AVERAGEIFS(Tracker!I:I,  Tracker!G:G, "&lt;="&amp;Daily!C177, Tracker!J:J, "Y"), 0)</f>
        <v>23.361313868613138</v>
      </c>
      <c r="AO177" s="77">
        <f>IFERROR(COUNTIFS(Tracker!G:G, "&lt;="&amp;Daily!C177, Tracker!L:L, "N") / AK177,  0)</f>
        <v>0.62996941896024461</v>
      </c>
    </row>
    <row r="178" spans="1:41" x14ac:dyDescent="0.25">
      <c r="A178" s="119"/>
      <c r="B178" s="32">
        <f t="shared" si="96"/>
        <v>45393</v>
      </c>
      <c r="C178" s="27">
        <f t="shared" si="113"/>
        <v>45393</v>
      </c>
      <c r="D178" s="109" t="b">
        <f t="shared" ca="1" si="79"/>
        <v>1</v>
      </c>
      <c r="E178" s="51">
        <f t="shared" si="97"/>
        <v>0</v>
      </c>
      <c r="F178" s="48">
        <f>COUNTIFS(Tracker!G:G,Daily!C178, Tracker!J:J,"Y")</f>
        <v>0</v>
      </c>
      <c r="G178" s="26">
        <f>COUNTIFS(Tracker!G:G,Daily!C178, Tracker!J:J,"Y (with hints)")</f>
        <v>0</v>
      </c>
      <c r="H178" s="33">
        <f>COUNTIFS(Tracker!G:G,Daily!C178, Tracker!J:J,"N")</f>
        <v>0</v>
      </c>
      <c r="I178" s="54">
        <f t="shared" si="98"/>
        <v>0</v>
      </c>
      <c r="J178" s="26">
        <f>COUNTIFS(Tracker!G:G,Daily!C178, Tracker!J:J,"Y",Tracker!E:E,1)</f>
        <v>0</v>
      </c>
      <c r="K178" s="26">
        <f>COUNTIFS(Tracker!G:G,Daily!C178, Tracker!J:J,"Y (with hints)",Tracker!E:E,1)</f>
        <v>0</v>
      </c>
      <c r="L178" s="33">
        <f>COUNTIFS(Tracker!G:G,Daily!C178, Tracker!J:J,"N",Tracker!E:E,1)</f>
        <v>0</v>
      </c>
      <c r="M178" s="54">
        <f t="shared" si="99"/>
        <v>0</v>
      </c>
      <c r="N178" s="26">
        <f>COUNTIFS(Tracker!G:G,Daily!C178, Tracker!J:J,"Y",Tracker!E:E,2)</f>
        <v>0</v>
      </c>
      <c r="O178" s="26">
        <f>COUNTIFS(Tracker!G:G,Daily!C178, Tracker!J:J,"Y (with hints)",Tracker!E:E,2)</f>
        <v>0</v>
      </c>
      <c r="P178" s="33">
        <f>COUNTIFS(Tracker!G:G,Daily!C178, Tracker!J:J,"N",Tracker!E:E,2)</f>
        <v>0</v>
      </c>
      <c r="Q178" s="57">
        <f t="shared" si="100"/>
        <v>0</v>
      </c>
      <c r="R178" s="26">
        <f>COUNTIFS(Tracker!G:G,Daily!C178, Tracker!J:J,"Y",Tracker!E:E,3)</f>
        <v>0</v>
      </c>
      <c r="S178" s="26">
        <f>COUNTIFS(Tracker!G:G,Daily!C178, Tracker!J:J,"Y (with hints)",Tracker!E:E,3)</f>
        <v>0</v>
      </c>
      <c r="T178" s="33">
        <f>COUNTIFS(Tracker!G:G,Daily!C178, Tracker!J:J,"N",Tracker!E:E,3)</f>
        <v>0</v>
      </c>
      <c r="V178" s="48">
        <f t="shared" si="101"/>
        <v>91</v>
      </c>
      <c r="W178" s="26">
        <f t="shared" si="102"/>
        <v>87</v>
      </c>
      <c r="X178" s="62">
        <f t="shared" si="103"/>
        <v>0.95604395604395609</v>
      </c>
      <c r="Y178" s="74">
        <f>AVERAGEIFS(Tracker!I:I, Tracker!E:E, 1, Tracker!G:G, "&lt;="&amp;Daily!C178, Tracker!J:J, "Y")</f>
        <v>12.574712643678161</v>
      </c>
      <c r="Z178" s="77">
        <f>COUNTIFS(Tracker!E:E, 1, Tracker!G:G, "&lt;="&amp;Daily!C178, Tracker!L:L, "N") / V178</f>
        <v>0.80219780219780223</v>
      </c>
      <c r="AA178" s="48">
        <f t="shared" si="104"/>
        <v>194</v>
      </c>
      <c r="AB178" s="26">
        <f t="shared" si="105"/>
        <v>160</v>
      </c>
      <c r="AC178" s="62">
        <f t="shared" si="106"/>
        <v>0.82474226804123707</v>
      </c>
      <c r="AD178" s="74">
        <f>AVERAGEIFS(Tracker!I:I, Tracker!E:E, 2, Tracker!G:G, "&lt;="&amp;Daily!C178, Tracker!J:J, "Y")</f>
        <v>26.40625</v>
      </c>
      <c r="AE178" s="77">
        <f>COUNTIFS(Tracker!E:E, 2, Tracker!G:G, "&lt;="&amp;Daily!C178, Tracker!L:L, "N") / AA178</f>
        <v>0.60824742268041232</v>
      </c>
      <c r="AF178" s="48">
        <f t="shared" si="107"/>
        <v>42</v>
      </c>
      <c r="AG178" s="26">
        <f t="shared" si="108"/>
        <v>27</v>
      </c>
      <c r="AH178" s="62">
        <f t="shared" si="109"/>
        <v>0.6428571428571429</v>
      </c>
      <c r="AI178" s="74">
        <f>IFERROR(AVERAGEIFS(Tracker!I:I, Tracker!E:E, 3, Tracker!G:G, "&lt;="&amp;Daily!C178, Tracker!J:J, "Y"), 0)</f>
        <v>40.074074074074076</v>
      </c>
      <c r="AJ178" s="77">
        <f>IFERROR(COUNTIFS(Tracker!E:E, 3, Tracker!G:G, "&lt;="&amp;Daily!C178, Tracker!L:L, "N") / AF178,  0)</f>
        <v>0.35714285714285715</v>
      </c>
      <c r="AK178" s="48">
        <f t="shared" si="110"/>
        <v>327</v>
      </c>
      <c r="AL178" s="26">
        <f t="shared" si="111"/>
        <v>274</v>
      </c>
      <c r="AM178" s="62">
        <f t="shared" si="112"/>
        <v>0.8379204892966361</v>
      </c>
      <c r="AN178" s="74">
        <f>IFERROR(AVERAGEIFS(Tracker!I:I,  Tracker!G:G, "&lt;="&amp;Daily!C178, Tracker!J:J, "Y"), 0)</f>
        <v>23.361313868613138</v>
      </c>
      <c r="AO178" s="77">
        <f>IFERROR(COUNTIFS(Tracker!G:G, "&lt;="&amp;Daily!C178, Tracker!L:L, "N") / AK178,  0)</f>
        <v>0.62996941896024461</v>
      </c>
    </row>
    <row r="179" spans="1:41" x14ac:dyDescent="0.25">
      <c r="A179" s="119"/>
      <c r="B179" s="32">
        <f t="shared" si="96"/>
        <v>45394</v>
      </c>
      <c r="C179" s="27">
        <f t="shared" si="113"/>
        <v>45394</v>
      </c>
      <c r="D179" s="109" t="b">
        <f t="shared" ca="1" si="79"/>
        <v>1</v>
      </c>
      <c r="E179" s="51">
        <f t="shared" si="97"/>
        <v>0</v>
      </c>
      <c r="F179" s="48">
        <f>COUNTIFS(Tracker!G:G,Daily!C179, Tracker!J:J,"Y")</f>
        <v>0</v>
      </c>
      <c r="G179" s="26">
        <f>COUNTIFS(Tracker!G:G,Daily!C179, Tracker!J:J,"Y (with hints)")</f>
        <v>0</v>
      </c>
      <c r="H179" s="33">
        <f>COUNTIFS(Tracker!G:G,Daily!C179, Tracker!J:J,"N")</f>
        <v>0</v>
      </c>
      <c r="I179" s="54">
        <f t="shared" si="98"/>
        <v>0</v>
      </c>
      <c r="J179" s="26">
        <f>COUNTIFS(Tracker!G:G,Daily!C179, Tracker!J:J,"Y",Tracker!E:E,1)</f>
        <v>0</v>
      </c>
      <c r="K179" s="26">
        <f>COUNTIFS(Tracker!G:G,Daily!C179, Tracker!J:J,"Y (with hints)",Tracker!E:E,1)</f>
        <v>0</v>
      </c>
      <c r="L179" s="33">
        <f>COUNTIFS(Tracker!G:G,Daily!C179, Tracker!J:J,"N",Tracker!E:E,1)</f>
        <v>0</v>
      </c>
      <c r="M179" s="54">
        <f t="shared" si="99"/>
        <v>0</v>
      </c>
      <c r="N179" s="26">
        <f>COUNTIFS(Tracker!G:G,Daily!C179, Tracker!J:J,"Y",Tracker!E:E,2)</f>
        <v>0</v>
      </c>
      <c r="O179" s="26">
        <f>COUNTIFS(Tracker!G:G,Daily!C179, Tracker!J:J,"Y (with hints)",Tracker!E:E,2)</f>
        <v>0</v>
      </c>
      <c r="P179" s="33">
        <f>COUNTIFS(Tracker!G:G,Daily!C179, Tracker!J:J,"N",Tracker!E:E,2)</f>
        <v>0</v>
      </c>
      <c r="Q179" s="57">
        <f t="shared" si="100"/>
        <v>0</v>
      </c>
      <c r="R179" s="26">
        <f>COUNTIFS(Tracker!G:G,Daily!C179, Tracker!J:J,"Y",Tracker!E:E,3)</f>
        <v>0</v>
      </c>
      <c r="S179" s="26">
        <f>COUNTIFS(Tracker!G:G,Daily!C179, Tracker!J:J,"Y (with hints)",Tracker!E:E,3)</f>
        <v>0</v>
      </c>
      <c r="T179" s="33">
        <f>COUNTIFS(Tracker!G:G,Daily!C179, Tracker!J:J,"N",Tracker!E:E,3)</f>
        <v>0</v>
      </c>
      <c r="V179" s="48">
        <f t="shared" si="101"/>
        <v>91</v>
      </c>
      <c r="W179" s="26">
        <f t="shared" si="102"/>
        <v>87</v>
      </c>
      <c r="X179" s="62">
        <f t="shared" si="103"/>
        <v>0.95604395604395609</v>
      </c>
      <c r="Y179" s="74">
        <f>AVERAGEIFS(Tracker!I:I, Tracker!E:E, 1, Tracker!G:G, "&lt;="&amp;Daily!C179, Tracker!J:J, "Y")</f>
        <v>12.574712643678161</v>
      </c>
      <c r="Z179" s="77">
        <f>COUNTIFS(Tracker!E:E, 1, Tracker!G:G, "&lt;="&amp;Daily!C179, Tracker!L:L, "N") / V179</f>
        <v>0.80219780219780223</v>
      </c>
      <c r="AA179" s="48">
        <f t="shared" si="104"/>
        <v>194</v>
      </c>
      <c r="AB179" s="26">
        <f t="shared" si="105"/>
        <v>160</v>
      </c>
      <c r="AC179" s="62">
        <f t="shared" si="106"/>
        <v>0.82474226804123707</v>
      </c>
      <c r="AD179" s="74">
        <f>AVERAGEIFS(Tracker!I:I, Tracker!E:E, 2, Tracker!G:G, "&lt;="&amp;Daily!C179, Tracker!J:J, "Y")</f>
        <v>26.40625</v>
      </c>
      <c r="AE179" s="77">
        <f>COUNTIFS(Tracker!E:E, 2, Tracker!G:G, "&lt;="&amp;Daily!C179, Tracker!L:L, "N") / AA179</f>
        <v>0.60824742268041232</v>
      </c>
      <c r="AF179" s="48">
        <f t="shared" si="107"/>
        <v>42</v>
      </c>
      <c r="AG179" s="26">
        <f t="shared" si="108"/>
        <v>27</v>
      </c>
      <c r="AH179" s="62">
        <f t="shared" si="109"/>
        <v>0.6428571428571429</v>
      </c>
      <c r="AI179" s="74">
        <f>IFERROR(AVERAGEIFS(Tracker!I:I, Tracker!E:E, 3, Tracker!G:G, "&lt;="&amp;Daily!C179, Tracker!J:J, "Y"), 0)</f>
        <v>40.074074074074076</v>
      </c>
      <c r="AJ179" s="77">
        <f>IFERROR(COUNTIFS(Tracker!E:E, 3, Tracker!G:G, "&lt;="&amp;Daily!C179, Tracker!L:L, "N") / AF179,  0)</f>
        <v>0.35714285714285715</v>
      </c>
      <c r="AK179" s="48">
        <f t="shared" si="110"/>
        <v>327</v>
      </c>
      <c r="AL179" s="26">
        <f t="shared" si="111"/>
        <v>274</v>
      </c>
      <c r="AM179" s="62">
        <f t="shared" si="112"/>
        <v>0.8379204892966361</v>
      </c>
      <c r="AN179" s="74">
        <f>IFERROR(AVERAGEIFS(Tracker!I:I,  Tracker!G:G, "&lt;="&amp;Daily!C179, Tracker!J:J, "Y"), 0)</f>
        <v>23.361313868613138</v>
      </c>
      <c r="AO179" s="77">
        <f>IFERROR(COUNTIFS(Tracker!G:G, "&lt;="&amp;Daily!C179, Tracker!L:L, "N") / AK179,  0)</f>
        <v>0.62996941896024461</v>
      </c>
    </row>
    <row r="180" spans="1:41" x14ac:dyDescent="0.25">
      <c r="A180" s="119"/>
      <c r="B180" s="32">
        <f t="shared" si="96"/>
        <v>45395</v>
      </c>
      <c r="C180" s="27">
        <f t="shared" si="113"/>
        <v>45395</v>
      </c>
      <c r="D180" s="109" t="b">
        <f t="shared" ca="1" si="79"/>
        <v>1</v>
      </c>
      <c r="E180" s="51">
        <f t="shared" si="97"/>
        <v>0</v>
      </c>
      <c r="F180" s="48">
        <f>COUNTIFS(Tracker!G:G,Daily!C180, Tracker!J:J,"Y")</f>
        <v>0</v>
      </c>
      <c r="G180" s="26">
        <f>COUNTIFS(Tracker!G:G,Daily!C180, Tracker!J:J,"Y (with hints)")</f>
        <v>0</v>
      </c>
      <c r="H180" s="33">
        <f>COUNTIFS(Tracker!G:G,Daily!C180, Tracker!J:J,"N")</f>
        <v>0</v>
      </c>
      <c r="I180" s="54">
        <f t="shared" si="98"/>
        <v>0</v>
      </c>
      <c r="J180" s="26">
        <f>COUNTIFS(Tracker!G:G,Daily!C180, Tracker!J:J,"Y",Tracker!E:E,1)</f>
        <v>0</v>
      </c>
      <c r="K180" s="26">
        <f>COUNTIFS(Tracker!G:G,Daily!C180, Tracker!J:J,"Y (with hints)",Tracker!E:E,1)</f>
        <v>0</v>
      </c>
      <c r="L180" s="33">
        <f>COUNTIFS(Tracker!G:G,Daily!C180, Tracker!J:J,"N",Tracker!E:E,1)</f>
        <v>0</v>
      </c>
      <c r="M180" s="54">
        <f t="shared" si="99"/>
        <v>0</v>
      </c>
      <c r="N180" s="26">
        <f>COUNTIFS(Tracker!G:G,Daily!C180, Tracker!J:J,"Y",Tracker!E:E,2)</f>
        <v>0</v>
      </c>
      <c r="O180" s="26">
        <f>COUNTIFS(Tracker!G:G,Daily!C180, Tracker!J:J,"Y (with hints)",Tracker!E:E,2)</f>
        <v>0</v>
      </c>
      <c r="P180" s="33">
        <f>COUNTIFS(Tracker!G:G,Daily!C180, Tracker!J:J,"N",Tracker!E:E,2)</f>
        <v>0</v>
      </c>
      <c r="Q180" s="57">
        <f t="shared" si="100"/>
        <v>0</v>
      </c>
      <c r="R180" s="26">
        <f>COUNTIFS(Tracker!G:G,Daily!C180, Tracker!J:J,"Y",Tracker!E:E,3)</f>
        <v>0</v>
      </c>
      <c r="S180" s="26">
        <f>COUNTIFS(Tracker!G:G,Daily!C180, Tracker!J:J,"Y (with hints)",Tracker!E:E,3)</f>
        <v>0</v>
      </c>
      <c r="T180" s="33">
        <f>COUNTIFS(Tracker!G:G,Daily!C180, Tracker!J:J,"N",Tracker!E:E,3)</f>
        <v>0</v>
      </c>
      <c r="V180" s="48">
        <f t="shared" si="101"/>
        <v>91</v>
      </c>
      <c r="W180" s="26">
        <f t="shared" si="102"/>
        <v>87</v>
      </c>
      <c r="X180" s="62">
        <f t="shared" si="103"/>
        <v>0.95604395604395609</v>
      </c>
      <c r="Y180" s="74">
        <f>AVERAGEIFS(Tracker!I:I, Tracker!E:E, 1, Tracker!G:G, "&lt;="&amp;Daily!C180, Tracker!J:J, "Y")</f>
        <v>12.574712643678161</v>
      </c>
      <c r="Z180" s="77">
        <f>COUNTIFS(Tracker!E:E, 1, Tracker!G:G, "&lt;="&amp;Daily!C180, Tracker!L:L, "N") / V180</f>
        <v>0.80219780219780223</v>
      </c>
      <c r="AA180" s="48">
        <f t="shared" si="104"/>
        <v>194</v>
      </c>
      <c r="AB180" s="26">
        <f t="shared" si="105"/>
        <v>160</v>
      </c>
      <c r="AC180" s="62">
        <f t="shared" si="106"/>
        <v>0.82474226804123707</v>
      </c>
      <c r="AD180" s="74">
        <f>AVERAGEIFS(Tracker!I:I, Tracker!E:E, 2, Tracker!G:G, "&lt;="&amp;Daily!C180, Tracker!J:J, "Y")</f>
        <v>26.40625</v>
      </c>
      <c r="AE180" s="77">
        <f>COUNTIFS(Tracker!E:E, 2, Tracker!G:G, "&lt;="&amp;Daily!C180, Tracker!L:L, "N") / AA180</f>
        <v>0.60824742268041232</v>
      </c>
      <c r="AF180" s="48">
        <f t="shared" si="107"/>
        <v>42</v>
      </c>
      <c r="AG180" s="26">
        <f t="shared" si="108"/>
        <v>27</v>
      </c>
      <c r="AH180" s="62">
        <f t="shared" si="109"/>
        <v>0.6428571428571429</v>
      </c>
      <c r="AI180" s="74">
        <f>IFERROR(AVERAGEIFS(Tracker!I:I, Tracker!E:E, 3, Tracker!G:G, "&lt;="&amp;Daily!C180, Tracker!J:J, "Y"), 0)</f>
        <v>40.074074074074076</v>
      </c>
      <c r="AJ180" s="77">
        <f>IFERROR(COUNTIFS(Tracker!E:E, 3, Tracker!G:G, "&lt;="&amp;Daily!C180, Tracker!L:L, "N") / AF180,  0)</f>
        <v>0.35714285714285715</v>
      </c>
      <c r="AK180" s="48">
        <f t="shared" si="110"/>
        <v>327</v>
      </c>
      <c r="AL180" s="26">
        <f t="shared" si="111"/>
        <v>274</v>
      </c>
      <c r="AM180" s="62">
        <f t="shared" si="112"/>
        <v>0.8379204892966361</v>
      </c>
      <c r="AN180" s="74">
        <f>IFERROR(AVERAGEIFS(Tracker!I:I,  Tracker!G:G, "&lt;="&amp;Daily!C180, Tracker!J:J, "Y"), 0)</f>
        <v>23.361313868613138</v>
      </c>
      <c r="AO180" s="77">
        <f>IFERROR(COUNTIFS(Tracker!G:G, "&lt;="&amp;Daily!C180, Tracker!L:L, "N") / AK180,  0)</f>
        <v>0.62996941896024461</v>
      </c>
    </row>
    <row r="181" spans="1:41" ht="15.75" thickBot="1" x14ac:dyDescent="0.3">
      <c r="A181" s="120"/>
      <c r="B181" s="34">
        <f t="shared" si="96"/>
        <v>45396</v>
      </c>
      <c r="C181" s="35">
        <f t="shared" si="113"/>
        <v>45396</v>
      </c>
      <c r="D181" s="110" t="b">
        <f t="shared" ca="1" si="79"/>
        <v>1</v>
      </c>
      <c r="E181" s="52">
        <f t="shared" si="97"/>
        <v>0</v>
      </c>
      <c r="F181" s="39">
        <f>COUNTIFS(Tracker!G:G,Daily!C181, Tracker!J:J,"Y")</f>
        <v>0</v>
      </c>
      <c r="G181" s="36">
        <f>COUNTIFS(Tracker!G:G,Daily!C181, Tracker!J:J,"Y (with hints)")</f>
        <v>0</v>
      </c>
      <c r="H181" s="37">
        <f>COUNTIFS(Tracker!G:G,Daily!C181, Tracker!J:J,"N")</f>
        <v>0</v>
      </c>
      <c r="I181" s="55">
        <f t="shared" si="98"/>
        <v>0</v>
      </c>
      <c r="J181" s="36">
        <f>COUNTIFS(Tracker!G:G,Daily!C181, Tracker!J:J,"Y",Tracker!E:E,1)</f>
        <v>0</v>
      </c>
      <c r="K181" s="36">
        <f>COUNTIFS(Tracker!G:G,Daily!C181, Tracker!J:J,"Y (with hints)",Tracker!E:E,1)</f>
        <v>0</v>
      </c>
      <c r="L181" s="37">
        <f>COUNTIFS(Tracker!G:G,Daily!C181, Tracker!J:J,"N",Tracker!E:E,1)</f>
        <v>0</v>
      </c>
      <c r="M181" s="55">
        <f t="shared" si="99"/>
        <v>0</v>
      </c>
      <c r="N181" s="36">
        <f>COUNTIFS(Tracker!G:G,Daily!C181, Tracker!J:J,"Y",Tracker!E:E,2)</f>
        <v>0</v>
      </c>
      <c r="O181" s="36">
        <f>COUNTIFS(Tracker!G:G,Daily!C181, Tracker!J:J,"Y (with hints)",Tracker!E:E,2)</f>
        <v>0</v>
      </c>
      <c r="P181" s="37">
        <f>COUNTIFS(Tracker!G:G,Daily!C181, Tracker!J:J,"N",Tracker!E:E,2)</f>
        <v>0</v>
      </c>
      <c r="Q181" s="58">
        <f t="shared" si="100"/>
        <v>0</v>
      </c>
      <c r="R181" s="36">
        <f>COUNTIFS(Tracker!G:G,Daily!C181, Tracker!J:J,"Y",Tracker!E:E,3)</f>
        <v>0</v>
      </c>
      <c r="S181" s="36">
        <f>COUNTIFS(Tracker!G:G,Daily!C181, Tracker!J:J,"Y (with hints)",Tracker!E:E,3)</f>
        <v>0</v>
      </c>
      <c r="T181" s="37">
        <f>COUNTIFS(Tracker!G:G,Daily!C181, Tracker!J:J,"N",Tracker!E:E,3)</f>
        <v>0</v>
      </c>
      <c r="V181" s="39">
        <f t="shared" si="101"/>
        <v>91</v>
      </c>
      <c r="W181" s="36">
        <f t="shared" si="102"/>
        <v>87</v>
      </c>
      <c r="X181" s="64">
        <f t="shared" si="103"/>
        <v>0.95604395604395609</v>
      </c>
      <c r="Y181" s="78">
        <f>AVERAGEIFS(Tracker!I:I, Tracker!E:E, 1, Tracker!G:G, "&lt;="&amp;Daily!C181, Tracker!J:J, "Y")</f>
        <v>12.574712643678161</v>
      </c>
      <c r="Z181" s="79">
        <f>COUNTIFS(Tracker!E:E, 1, Tracker!G:G, "&lt;="&amp;Daily!C181, Tracker!L:L, "N") / V181</f>
        <v>0.80219780219780223</v>
      </c>
      <c r="AA181" s="39">
        <f t="shared" si="104"/>
        <v>194</v>
      </c>
      <c r="AB181" s="36">
        <f t="shared" si="105"/>
        <v>160</v>
      </c>
      <c r="AC181" s="64">
        <f t="shared" si="106"/>
        <v>0.82474226804123707</v>
      </c>
      <c r="AD181" s="78">
        <f>AVERAGEIFS(Tracker!I:I, Tracker!E:E, 2, Tracker!G:G, "&lt;="&amp;Daily!C181, Tracker!J:J, "Y")</f>
        <v>26.40625</v>
      </c>
      <c r="AE181" s="79">
        <f>COUNTIFS(Tracker!E:E, 2, Tracker!G:G, "&lt;="&amp;Daily!C181, Tracker!L:L, "N") / AA181</f>
        <v>0.60824742268041232</v>
      </c>
      <c r="AF181" s="39">
        <f t="shared" si="107"/>
        <v>42</v>
      </c>
      <c r="AG181" s="36">
        <f t="shared" si="108"/>
        <v>27</v>
      </c>
      <c r="AH181" s="64">
        <f t="shared" si="109"/>
        <v>0.6428571428571429</v>
      </c>
      <c r="AI181" s="78">
        <f>IFERROR(AVERAGEIFS(Tracker!I:I, Tracker!E:E, 3, Tracker!G:G, "&lt;="&amp;Daily!C181, Tracker!J:J, "Y"), 0)</f>
        <v>40.074074074074076</v>
      </c>
      <c r="AJ181" s="79">
        <f>IFERROR(COUNTIFS(Tracker!E:E, 3, Tracker!G:G, "&lt;="&amp;Daily!C181, Tracker!L:L, "N") / AF181,  0)</f>
        <v>0.35714285714285715</v>
      </c>
      <c r="AK181" s="39">
        <f t="shared" si="110"/>
        <v>327</v>
      </c>
      <c r="AL181" s="36">
        <f t="shared" si="111"/>
        <v>274</v>
      </c>
      <c r="AM181" s="64">
        <f t="shared" si="112"/>
        <v>0.8379204892966361</v>
      </c>
      <c r="AN181" s="78">
        <f>IFERROR(AVERAGEIFS(Tracker!I:I,  Tracker!G:G, "&lt;="&amp;Daily!C181, Tracker!J:J, "Y"), 0)</f>
        <v>23.361313868613138</v>
      </c>
      <c r="AO181" s="79">
        <f>IFERROR(COUNTIFS(Tracker!G:G, "&lt;="&amp;Daily!C181, Tracker!L:L, "N") / AK181,  0)</f>
        <v>0.62996941896024461</v>
      </c>
    </row>
    <row r="182" spans="1:41" x14ac:dyDescent="0.25">
      <c r="A182" s="118">
        <f>A175+1</f>
        <v>26</v>
      </c>
      <c r="B182" s="28">
        <f t="shared" si="96"/>
        <v>45397</v>
      </c>
      <c r="C182" s="29">
        <f t="shared" si="113"/>
        <v>45397</v>
      </c>
      <c r="D182" s="108" t="b">
        <f t="shared" ca="1" si="79"/>
        <v>1</v>
      </c>
      <c r="E182" s="50">
        <f t="shared" si="97"/>
        <v>0</v>
      </c>
      <c r="F182" s="38">
        <f>COUNTIFS(Tracker!G:G,Daily!C182, Tracker!J:J,"Y")</f>
        <v>0</v>
      </c>
      <c r="G182" s="30">
        <f>COUNTIFS(Tracker!G:G,Daily!C182, Tracker!J:J,"Y (with hints)")</f>
        <v>0</v>
      </c>
      <c r="H182" s="31">
        <f>COUNTIFS(Tracker!G:G,Daily!C182, Tracker!J:J,"N")</f>
        <v>0</v>
      </c>
      <c r="I182" s="53">
        <f t="shared" si="98"/>
        <v>0</v>
      </c>
      <c r="J182" s="30">
        <f>COUNTIFS(Tracker!G:G,Daily!C182, Tracker!J:J,"Y",Tracker!E:E,1)</f>
        <v>0</v>
      </c>
      <c r="K182" s="30">
        <f>COUNTIFS(Tracker!G:G,Daily!C182, Tracker!J:J,"Y (with hints)",Tracker!E:E,1)</f>
        <v>0</v>
      </c>
      <c r="L182" s="31">
        <f>COUNTIFS(Tracker!G:G,Daily!C182, Tracker!J:J,"N",Tracker!E:E,1)</f>
        <v>0</v>
      </c>
      <c r="M182" s="53">
        <f t="shared" si="99"/>
        <v>0</v>
      </c>
      <c r="N182" s="30">
        <f>COUNTIFS(Tracker!G:G,Daily!C182, Tracker!J:J,"Y",Tracker!E:E,2)</f>
        <v>0</v>
      </c>
      <c r="O182" s="30">
        <f>COUNTIFS(Tracker!G:G,Daily!C182, Tracker!J:J,"Y (with hints)",Tracker!E:E,2)</f>
        <v>0</v>
      </c>
      <c r="P182" s="31">
        <f>COUNTIFS(Tracker!G:G,Daily!C182, Tracker!J:J,"N",Tracker!E:E,2)</f>
        <v>0</v>
      </c>
      <c r="Q182" s="56">
        <f t="shared" si="100"/>
        <v>0</v>
      </c>
      <c r="R182" s="30">
        <f>COUNTIFS(Tracker!G:G,Daily!C182, Tracker!J:J,"Y",Tracker!E:E,3)</f>
        <v>0</v>
      </c>
      <c r="S182" s="30">
        <f>COUNTIFS(Tracker!G:G,Daily!C182, Tracker!J:J,"Y (with hints)",Tracker!E:E,3)</f>
        <v>0</v>
      </c>
      <c r="T182" s="31">
        <f>COUNTIFS(Tracker!G:G,Daily!C182, Tracker!J:J,"N",Tracker!E:E,3)</f>
        <v>0</v>
      </c>
      <c r="V182" s="38">
        <f t="shared" si="101"/>
        <v>91</v>
      </c>
      <c r="W182" s="30">
        <f t="shared" si="102"/>
        <v>87</v>
      </c>
      <c r="X182" s="73">
        <f t="shared" si="103"/>
        <v>0.95604395604395609</v>
      </c>
      <c r="Y182" s="75">
        <f>AVERAGEIFS(Tracker!I:I, Tracker!E:E, 1, Tracker!G:G, "&lt;="&amp;Daily!C182, Tracker!J:J, "Y")</f>
        <v>12.574712643678161</v>
      </c>
      <c r="Z182" s="76">
        <f>COUNTIFS(Tracker!E:E, 1, Tracker!G:G, "&lt;="&amp;Daily!C182, Tracker!L:L, "N") / V182</f>
        <v>0.80219780219780223</v>
      </c>
      <c r="AA182" s="38">
        <f t="shared" si="104"/>
        <v>194</v>
      </c>
      <c r="AB182" s="30">
        <f t="shared" si="105"/>
        <v>160</v>
      </c>
      <c r="AC182" s="73">
        <f t="shared" si="106"/>
        <v>0.82474226804123707</v>
      </c>
      <c r="AD182" s="75">
        <f>AVERAGEIFS(Tracker!I:I, Tracker!E:E, 2, Tracker!G:G, "&lt;="&amp;Daily!C182, Tracker!J:J, "Y")</f>
        <v>26.40625</v>
      </c>
      <c r="AE182" s="76">
        <f>COUNTIFS(Tracker!E:E, 2, Tracker!G:G, "&lt;="&amp;Daily!C182, Tracker!L:L, "N") / AA182</f>
        <v>0.60824742268041232</v>
      </c>
      <c r="AF182" s="38">
        <f t="shared" si="107"/>
        <v>42</v>
      </c>
      <c r="AG182" s="30">
        <f t="shared" si="108"/>
        <v>27</v>
      </c>
      <c r="AH182" s="73">
        <f t="shared" si="109"/>
        <v>0.6428571428571429</v>
      </c>
      <c r="AI182" s="75">
        <f>IFERROR(AVERAGEIFS(Tracker!I:I, Tracker!E:E, 3, Tracker!G:G, "&lt;="&amp;Daily!C182, Tracker!J:J, "Y"), 0)</f>
        <v>40.074074074074076</v>
      </c>
      <c r="AJ182" s="76">
        <f>IFERROR(COUNTIFS(Tracker!E:E, 3, Tracker!G:G, "&lt;="&amp;Daily!C182, Tracker!L:L, "N") / AF182,  0)</f>
        <v>0.35714285714285715</v>
      </c>
      <c r="AK182" s="38">
        <f t="shared" si="110"/>
        <v>327</v>
      </c>
      <c r="AL182" s="30">
        <f t="shared" si="111"/>
        <v>274</v>
      </c>
      <c r="AM182" s="73">
        <f t="shared" si="112"/>
        <v>0.8379204892966361</v>
      </c>
      <c r="AN182" s="75">
        <f>IFERROR(AVERAGEIFS(Tracker!I:I,  Tracker!G:G, "&lt;="&amp;Daily!C182, Tracker!J:J, "Y"), 0)</f>
        <v>23.361313868613138</v>
      </c>
      <c r="AO182" s="76">
        <f>IFERROR(COUNTIFS(Tracker!G:G, "&lt;="&amp;Daily!C182, Tracker!L:L, "N") / AK182,  0)</f>
        <v>0.62996941896024461</v>
      </c>
    </row>
    <row r="183" spans="1:41" x14ac:dyDescent="0.25">
      <c r="A183" s="119"/>
      <c r="B183" s="32">
        <f t="shared" si="96"/>
        <v>45398</v>
      </c>
      <c r="C183" s="27">
        <f t="shared" si="113"/>
        <v>45398</v>
      </c>
      <c r="D183" s="109" t="b">
        <f t="shared" ca="1" si="79"/>
        <v>1</v>
      </c>
      <c r="E183" s="51">
        <f t="shared" si="97"/>
        <v>0</v>
      </c>
      <c r="F183" s="48">
        <f>COUNTIFS(Tracker!G:G,Daily!C183, Tracker!J:J,"Y")</f>
        <v>0</v>
      </c>
      <c r="G183" s="26">
        <f>COUNTIFS(Tracker!G:G,Daily!C183, Tracker!J:J,"Y (with hints)")</f>
        <v>0</v>
      </c>
      <c r="H183" s="33">
        <f>COUNTIFS(Tracker!G:G,Daily!C183, Tracker!J:J,"N")</f>
        <v>0</v>
      </c>
      <c r="I183" s="54">
        <f t="shared" si="98"/>
        <v>0</v>
      </c>
      <c r="J183" s="26">
        <f>COUNTIFS(Tracker!G:G,Daily!C183, Tracker!J:J,"Y",Tracker!E:E,1)</f>
        <v>0</v>
      </c>
      <c r="K183" s="26">
        <f>COUNTIFS(Tracker!G:G,Daily!C183, Tracker!J:J,"Y (with hints)",Tracker!E:E,1)</f>
        <v>0</v>
      </c>
      <c r="L183" s="33">
        <f>COUNTIFS(Tracker!G:G,Daily!C183, Tracker!J:J,"N",Tracker!E:E,1)</f>
        <v>0</v>
      </c>
      <c r="M183" s="54">
        <f t="shared" si="99"/>
        <v>0</v>
      </c>
      <c r="N183" s="26">
        <f>COUNTIFS(Tracker!G:G,Daily!C183, Tracker!J:J,"Y",Tracker!E:E,2)</f>
        <v>0</v>
      </c>
      <c r="O183" s="26">
        <f>COUNTIFS(Tracker!G:G,Daily!C183, Tracker!J:J,"Y (with hints)",Tracker!E:E,2)</f>
        <v>0</v>
      </c>
      <c r="P183" s="33">
        <f>COUNTIFS(Tracker!G:G,Daily!C183, Tracker!J:J,"N",Tracker!E:E,2)</f>
        <v>0</v>
      </c>
      <c r="Q183" s="57">
        <f t="shared" si="100"/>
        <v>0</v>
      </c>
      <c r="R183" s="26">
        <f>COUNTIFS(Tracker!G:G,Daily!C183, Tracker!J:J,"Y",Tracker!E:E,3)</f>
        <v>0</v>
      </c>
      <c r="S183" s="26">
        <f>COUNTIFS(Tracker!G:G,Daily!C183, Tracker!J:J,"Y (with hints)",Tracker!E:E,3)</f>
        <v>0</v>
      </c>
      <c r="T183" s="33">
        <f>COUNTIFS(Tracker!G:G,Daily!C183, Tracker!J:J,"N",Tracker!E:E,3)</f>
        <v>0</v>
      </c>
      <c r="V183" s="48">
        <f t="shared" si="101"/>
        <v>91</v>
      </c>
      <c r="W183" s="26">
        <f t="shared" si="102"/>
        <v>87</v>
      </c>
      <c r="X183" s="62">
        <f t="shared" si="103"/>
        <v>0.95604395604395609</v>
      </c>
      <c r="Y183" s="74">
        <f>AVERAGEIFS(Tracker!I:I, Tracker!E:E, 1, Tracker!G:G, "&lt;="&amp;Daily!C183, Tracker!J:J, "Y")</f>
        <v>12.574712643678161</v>
      </c>
      <c r="Z183" s="77">
        <f>COUNTIFS(Tracker!E:E, 1, Tracker!G:G, "&lt;="&amp;Daily!C183, Tracker!L:L, "N") / V183</f>
        <v>0.80219780219780223</v>
      </c>
      <c r="AA183" s="48">
        <f t="shared" si="104"/>
        <v>194</v>
      </c>
      <c r="AB183" s="26">
        <f t="shared" si="105"/>
        <v>160</v>
      </c>
      <c r="AC183" s="62">
        <f t="shared" si="106"/>
        <v>0.82474226804123707</v>
      </c>
      <c r="AD183" s="74">
        <f>AVERAGEIFS(Tracker!I:I, Tracker!E:E, 2, Tracker!G:G, "&lt;="&amp;Daily!C183, Tracker!J:J, "Y")</f>
        <v>26.40625</v>
      </c>
      <c r="AE183" s="77">
        <f>COUNTIFS(Tracker!E:E, 2, Tracker!G:G, "&lt;="&amp;Daily!C183, Tracker!L:L, "N") / AA183</f>
        <v>0.60824742268041232</v>
      </c>
      <c r="AF183" s="48">
        <f t="shared" si="107"/>
        <v>42</v>
      </c>
      <c r="AG183" s="26">
        <f t="shared" si="108"/>
        <v>27</v>
      </c>
      <c r="AH183" s="62">
        <f t="shared" si="109"/>
        <v>0.6428571428571429</v>
      </c>
      <c r="AI183" s="74">
        <f>IFERROR(AVERAGEIFS(Tracker!I:I, Tracker!E:E, 3, Tracker!G:G, "&lt;="&amp;Daily!C183, Tracker!J:J, "Y"), 0)</f>
        <v>40.074074074074076</v>
      </c>
      <c r="AJ183" s="77">
        <f>IFERROR(COUNTIFS(Tracker!E:E, 3, Tracker!G:G, "&lt;="&amp;Daily!C183, Tracker!L:L, "N") / AF183,  0)</f>
        <v>0.35714285714285715</v>
      </c>
      <c r="AK183" s="48">
        <f t="shared" si="110"/>
        <v>327</v>
      </c>
      <c r="AL183" s="26">
        <f t="shared" si="111"/>
        <v>274</v>
      </c>
      <c r="AM183" s="62">
        <f t="shared" si="112"/>
        <v>0.8379204892966361</v>
      </c>
      <c r="AN183" s="74">
        <f>IFERROR(AVERAGEIFS(Tracker!I:I,  Tracker!G:G, "&lt;="&amp;Daily!C183, Tracker!J:J, "Y"), 0)</f>
        <v>23.361313868613138</v>
      </c>
      <c r="AO183" s="77">
        <f>IFERROR(COUNTIFS(Tracker!G:G, "&lt;="&amp;Daily!C183, Tracker!L:L, "N") / AK183,  0)</f>
        <v>0.62996941896024461</v>
      </c>
    </row>
    <row r="184" spans="1:41" x14ac:dyDescent="0.25">
      <c r="A184" s="119"/>
      <c r="B184" s="32">
        <f t="shared" si="96"/>
        <v>45399</v>
      </c>
      <c r="C184" s="27">
        <f t="shared" si="113"/>
        <v>45399</v>
      </c>
      <c r="D184" s="109" t="b">
        <f t="shared" ca="1" si="79"/>
        <v>1</v>
      </c>
      <c r="E184" s="51">
        <f t="shared" si="97"/>
        <v>0</v>
      </c>
      <c r="F184" s="48">
        <f>COUNTIFS(Tracker!G:G,Daily!C184, Tracker!J:J,"Y")</f>
        <v>0</v>
      </c>
      <c r="G184" s="26">
        <f>COUNTIFS(Tracker!G:G,Daily!C184, Tracker!J:J,"Y (with hints)")</f>
        <v>0</v>
      </c>
      <c r="H184" s="33">
        <f>COUNTIFS(Tracker!G:G,Daily!C184, Tracker!J:J,"N")</f>
        <v>0</v>
      </c>
      <c r="I184" s="54">
        <f t="shared" si="98"/>
        <v>0</v>
      </c>
      <c r="J184" s="26">
        <f>COUNTIFS(Tracker!G:G,Daily!C184, Tracker!J:J,"Y",Tracker!E:E,1)</f>
        <v>0</v>
      </c>
      <c r="K184" s="26">
        <f>COUNTIFS(Tracker!G:G,Daily!C184, Tracker!J:J,"Y (with hints)",Tracker!E:E,1)</f>
        <v>0</v>
      </c>
      <c r="L184" s="33">
        <f>COUNTIFS(Tracker!G:G,Daily!C184, Tracker!J:J,"N",Tracker!E:E,1)</f>
        <v>0</v>
      </c>
      <c r="M184" s="54">
        <f t="shared" si="99"/>
        <v>0</v>
      </c>
      <c r="N184" s="26">
        <f>COUNTIFS(Tracker!G:G,Daily!C184, Tracker!J:J,"Y",Tracker!E:E,2)</f>
        <v>0</v>
      </c>
      <c r="O184" s="26">
        <f>COUNTIFS(Tracker!G:G,Daily!C184, Tracker!J:J,"Y (with hints)",Tracker!E:E,2)</f>
        <v>0</v>
      </c>
      <c r="P184" s="33">
        <f>COUNTIFS(Tracker!G:G,Daily!C184, Tracker!J:J,"N",Tracker!E:E,2)</f>
        <v>0</v>
      </c>
      <c r="Q184" s="57">
        <f t="shared" si="100"/>
        <v>0</v>
      </c>
      <c r="R184" s="26">
        <f>COUNTIFS(Tracker!G:G,Daily!C184, Tracker!J:J,"Y",Tracker!E:E,3)</f>
        <v>0</v>
      </c>
      <c r="S184" s="26">
        <f>COUNTIFS(Tracker!G:G,Daily!C184, Tracker!J:J,"Y (with hints)",Tracker!E:E,3)</f>
        <v>0</v>
      </c>
      <c r="T184" s="33">
        <f>COUNTIFS(Tracker!G:G,Daily!C184, Tracker!J:J,"N",Tracker!E:E,3)</f>
        <v>0</v>
      </c>
      <c r="V184" s="48">
        <f t="shared" si="101"/>
        <v>91</v>
      </c>
      <c r="W184" s="26">
        <f t="shared" si="102"/>
        <v>87</v>
      </c>
      <c r="X184" s="62">
        <f t="shared" si="103"/>
        <v>0.95604395604395609</v>
      </c>
      <c r="Y184" s="74">
        <f>AVERAGEIFS(Tracker!I:I, Tracker!E:E, 1, Tracker!G:G, "&lt;="&amp;Daily!C184, Tracker!J:J, "Y")</f>
        <v>12.574712643678161</v>
      </c>
      <c r="Z184" s="77">
        <f>COUNTIFS(Tracker!E:E, 1, Tracker!G:G, "&lt;="&amp;Daily!C184, Tracker!L:L, "N") / V184</f>
        <v>0.80219780219780223</v>
      </c>
      <c r="AA184" s="48">
        <f t="shared" si="104"/>
        <v>194</v>
      </c>
      <c r="AB184" s="26">
        <f t="shared" si="105"/>
        <v>160</v>
      </c>
      <c r="AC184" s="62">
        <f t="shared" si="106"/>
        <v>0.82474226804123707</v>
      </c>
      <c r="AD184" s="74">
        <f>AVERAGEIFS(Tracker!I:I, Tracker!E:E, 2, Tracker!G:G, "&lt;="&amp;Daily!C184, Tracker!J:J, "Y")</f>
        <v>26.40625</v>
      </c>
      <c r="AE184" s="77">
        <f>COUNTIFS(Tracker!E:E, 2, Tracker!G:G, "&lt;="&amp;Daily!C184, Tracker!L:L, "N") / AA184</f>
        <v>0.60824742268041232</v>
      </c>
      <c r="AF184" s="48">
        <f t="shared" si="107"/>
        <v>42</v>
      </c>
      <c r="AG184" s="26">
        <f t="shared" si="108"/>
        <v>27</v>
      </c>
      <c r="AH184" s="62">
        <f t="shared" si="109"/>
        <v>0.6428571428571429</v>
      </c>
      <c r="AI184" s="74">
        <f>IFERROR(AVERAGEIFS(Tracker!I:I, Tracker!E:E, 3, Tracker!G:G, "&lt;="&amp;Daily!C184, Tracker!J:J, "Y"), 0)</f>
        <v>40.074074074074076</v>
      </c>
      <c r="AJ184" s="77">
        <f>IFERROR(COUNTIFS(Tracker!E:E, 3, Tracker!G:G, "&lt;="&amp;Daily!C184, Tracker!L:L, "N") / AF184,  0)</f>
        <v>0.35714285714285715</v>
      </c>
      <c r="AK184" s="48">
        <f t="shared" si="110"/>
        <v>327</v>
      </c>
      <c r="AL184" s="26">
        <f t="shared" si="111"/>
        <v>274</v>
      </c>
      <c r="AM184" s="62">
        <f t="shared" si="112"/>
        <v>0.8379204892966361</v>
      </c>
      <c r="AN184" s="74">
        <f>IFERROR(AVERAGEIFS(Tracker!I:I,  Tracker!G:G, "&lt;="&amp;Daily!C184, Tracker!J:J, "Y"), 0)</f>
        <v>23.361313868613138</v>
      </c>
      <c r="AO184" s="77">
        <f>IFERROR(COUNTIFS(Tracker!G:G, "&lt;="&amp;Daily!C184, Tracker!L:L, "N") / AK184,  0)</f>
        <v>0.62996941896024461</v>
      </c>
    </row>
    <row r="185" spans="1:41" x14ac:dyDescent="0.25">
      <c r="A185" s="119"/>
      <c r="B185" s="32">
        <f t="shared" si="96"/>
        <v>45400</v>
      </c>
      <c r="C185" s="27">
        <f t="shared" si="113"/>
        <v>45400</v>
      </c>
      <c r="D185" s="109" t="b">
        <f t="shared" ca="1" si="79"/>
        <v>1</v>
      </c>
      <c r="E185" s="51">
        <f t="shared" si="97"/>
        <v>0</v>
      </c>
      <c r="F185" s="48">
        <f>COUNTIFS(Tracker!G:G,Daily!C185, Tracker!J:J,"Y")</f>
        <v>0</v>
      </c>
      <c r="G185" s="26">
        <f>COUNTIFS(Tracker!G:G,Daily!C185, Tracker!J:J,"Y (with hints)")</f>
        <v>0</v>
      </c>
      <c r="H185" s="33">
        <f>COUNTIFS(Tracker!G:G,Daily!C185, Tracker!J:J,"N")</f>
        <v>0</v>
      </c>
      <c r="I185" s="54">
        <f t="shared" si="98"/>
        <v>0</v>
      </c>
      <c r="J185" s="26">
        <f>COUNTIFS(Tracker!G:G,Daily!C185, Tracker!J:J,"Y",Tracker!E:E,1)</f>
        <v>0</v>
      </c>
      <c r="K185" s="26">
        <f>COUNTIFS(Tracker!G:G,Daily!C185, Tracker!J:J,"Y (with hints)",Tracker!E:E,1)</f>
        <v>0</v>
      </c>
      <c r="L185" s="33">
        <f>COUNTIFS(Tracker!G:G,Daily!C185, Tracker!J:J,"N",Tracker!E:E,1)</f>
        <v>0</v>
      </c>
      <c r="M185" s="54">
        <f t="shared" si="99"/>
        <v>0</v>
      </c>
      <c r="N185" s="26">
        <f>COUNTIFS(Tracker!G:G,Daily!C185, Tracker!J:J,"Y",Tracker!E:E,2)</f>
        <v>0</v>
      </c>
      <c r="O185" s="26">
        <f>COUNTIFS(Tracker!G:G,Daily!C185, Tracker!J:J,"Y (with hints)",Tracker!E:E,2)</f>
        <v>0</v>
      </c>
      <c r="P185" s="33">
        <f>COUNTIFS(Tracker!G:G,Daily!C185, Tracker!J:J,"N",Tracker!E:E,2)</f>
        <v>0</v>
      </c>
      <c r="Q185" s="57">
        <f t="shared" si="100"/>
        <v>0</v>
      </c>
      <c r="R185" s="26">
        <f>COUNTIFS(Tracker!G:G,Daily!C185, Tracker!J:J,"Y",Tracker!E:E,3)</f>
        <v>0</v>
      </c>
      <c r="S185" s="26">
        <f>COUNTIFS(Tracker!G:G,Daily!C185, Tracker!J:J,"Y (with hints)",Tracker!E:E,3)</f>
        <v>0</v>
      </c>
      <c r="T185" s="33">
        <f>COUNTIFS(Tracker!G:G,Daily!C185, Tracker!J:J,"N",Tracker!E:E,3)</f>
        <v>0</v>
      </c>
      <c r="V185" s="48">
        <f t="shared" si="101"/>
        <v>91</v>
      </c>
      <c r="W185" s="26">
        <f t="shared" si="102"/>
        <v>87</v>
      </c>
      <c r="X185" s="62">
        <f t="shared" si="103"/>
        <v>0.95604395604395609</v>
      </c>
      <c r="Y185" s="74">
        <f>AVERAGEIFS(Tracker!I:I, Tracker!E:E, 1, Tracker!G:G, "&lt;="&amp;Daily!C185, Tracker!J:J, "Y")</f>
        <v>12.574712643678161</v>
      </c>
      <c r="Z185" s="77">
        <f>COUNTIFS(Tracker!E:E, 1, Tracker!G:G, "&lt;="&amp;Daily!C185, Tracker!L:L, "N") / V185</f>
        <v>0.80219780219780223</v>
      </c>
      <c r="AA185" s="48">
        <f t="shared" si="104"/>
        <v>194</v>
      </c>
      <c r="AB185" s="26">
        <f t="shared" si="105"/>
        <v>160</v>
      </c>
      <c r="AC185" s="62">
        <f t="shared" si="106"/>
        <v>0.82474226804123707</v>
      </c>
      <c r="AD185" s="74">
        <f>AVERAGEIFS(Tracker!I:I, Tracker!E:E, 2, Tracker!G:G, "&lt;="&amp;Daily!C185, Tracker!J:J, "Y")</f>
        <v>26.40625</v>
      </c>
      <c r="AE185" s="77">
        <f>COUNTIFS(Tracker!E:E, 2, Tracker!G:G, "&lt;="&amp;Daily!C185, Tracker!L:L, "N") / AA185</f>
        <v>0.60824742268041232</v>
      </c>
      <c r="AF185" s="48">
        <f t="shared" si="107"/>
        <v>42</v>
      </c>
      <c r="AG185" s="26">
        <f t="shared" si="108"/>
        <v>27</v>
      </c>
      <c r="AH185" s="62">
        <f t="shared" si="109"/>
        <v>0.6428571428571429</v>
      </c>
      <c r="AI185" s="74">
        <f>IFERROR(AVERAGEIFS(Tracker!I:I, Tracker!E:E, 3, Tracker!G:G, "&lt;="&amp;Daily!C185, Tracker!J:J, "Y"), 0)</f>
        <v>40.074074074074076</v>
      </c>
      <c r="AJ185" s="77">
        <f>IFERROR(COUNTIFS(Tracker!E:E, 3, Tracker!G:G, "&lt;="&amp;Daily!C185, Tracker!L:L, "N") / AF185,  0)</f>
        <v>0.35714285714285715</v>
      </c>
      <c r="AK185" s="48">
        <f t="shared" si="110"/>
        <v>327</v>
      </c>
      <c r="AL185" s="26">
        <f t="shared" si="111"/>
        <v>274</v>
      </c>
      <c r="AM185" s="62">
        <f t="shared" si="112"/>
        <v>0.8379204892966361</v>
      </c>
      <c r="AN185" s="74">
        <f>IFERROR(AVERAGEIFS(Tracker!I:I,  Tracker!G:G, "&lt;="&amp;Daily!C185, Tracker!J:J, "Y"), 0)</f>
        <v>23.361313868613138</v>
      </c>
      <c r="AO185" s="77">
        <f>IFERROR(COUNTIFS(Tracker!G:G, "&lt;="&amp;Daily!C185, Tracker!L:L, "N") / AK185,  0)</f>
        <v>0.62996941896024461</v>
      </c>
    </row>
    <row r="186" spans="1:41" x14ac:dyDescent="0.25">
      <c r="A186" s="119"/>
      <c r="B186" s="32">
        <f t="shared" si="96"/>
        <v>45401</v>
      </c>
      <c r="C186" s="27">
        <f t="shared" si="113"/>
        <v>45401</v>
      </c>
      <c r="D186" s="109" t="b">
        <f t="shared" ca="1" si="79"/>
        <v>1</v>
      </c>
      <c r="E186" s="51">
        <f t="shared" si="97"/>
        <v>0</v>
      </c>
      <c r="F186" s="48">
        <f>COUNTIFS(Tracker!G:G,Daily!C186, Tracker!J:J,"Y")</f>
        <v>0</v>
      </c>
      <c r="G186" s="26">
        <f>COUNTIFS(Tracker!G:G,Daily!C186, Tracker!J:J,"Y (with hints)")</f>
        <v>0</v>
      </c>
      <c r="H186" s="33">
        <f>COUNTIFS(Tracker!G:G,Daily!C186, Tracker!J:J,"N")</f>
        <v>0</v>
      </c>
      <c r="I186" s="54">
        <f t="shared" si="98"/>
        <v>0</v>
      </c>
      <c r="J186" s="26">
        <f>COUNTIFS(Tracker!G:G,Daily!C186, Tracker!J:J,"Y",Tracker!E:E,1)</f>
        <v>0</v>
      </c>
      <c r="K186" s="26">
        <f>COUNTIFS(Tracker!G:G,Daily!C186, Tracker!J:J,"Y (with hints)",Tracker!E:E,1)</f>
        <v>0</v>
      </c>
      <c r="L186" s="33">
        <f>COUNTIFS(Tracker!G:G,Daily!C186, Tracker!J:J,"N",Tracker!E:E,1)</f>
        <v>0</v>
      </c>
      <c r="M186" s="54">
        <f t="shared" si="99"/>
        <v>0</v>
      </c>
      <c r="N186" s="26">
        <f>COUNTIFS(Tracker!G:G,Daily!C186, Tracker!J:J,"Y",Tracker!E:E,2)</f>
        <v>0</v>
      </c>
      <c r="O186" s="26">
        <f>COUNTIFS(Tracker!G:G,Daily!C186, Tracker!J:J,"Y (with hints)",Tracker!E:E,2)</f>
        <v>0</v>
      </c>
      <c r="P186" s="33">
        <f>COUNTIFS(Tracker!G:G,Daily!C186, Tracker!J:J,"N",Tracker!E:E,2)</f>
        <v>0</v>
      </c>
      <c r="Q186" s="57">
        <f t="shared" si="100"/>
        <v>0</v>
      </c>
      <c r="R186" s="26">
        <f>COUNTIFS(Tracker!G:G,Daily!C186, Tracker!J:J,"Y",Tracker!E:E,3)</f>
        <v>0</v>
      </c>
      <c r="S186" s="26">
        <f>COUNTIFS(Tracker!G:G,Daily!C186, Tracker!J:J,"Y (with hints)",Tracker!E:E,3)</f>
        <v>0</v>
      </c>
      <c r="T186" s="33">
        <f>COUNTIFS(Tracker!G:G,Daily!C186, Tracker!J:J,"N",Tracker!E:E,3)</f>
        <v>0</v>
      </c>
      <c r="V186" s="48">
        <f t="shared" si="101"/>
        <v>91</v>
      </c>
      <c r="W186" s="26">
        <f t="shared" si="102"/>
        <v>87</v>
      </c>
      <c r="X186" s="62">
        <f t="shared" si="103"/>
        <v>0.95604395604395609</v>
      </c>
      <c r="Y186" s="74">
        <f>AVERAGEIFS(Tracker!I:I, Tracker!E:E, 1, Tracker!G:G, "&lt;="&amp;Daily!C186, Tracker!J:J, "Y")</f>
        <v>12.574712643678161</v>
      </c>
      <c r="Z186" s="77">
        <f>COUNTIFS(Tracker!E:E, 1, Tracker!G:G, "&lt;="&amp;Daily!C186, Tracker!L:L, "N") / V186</f>
        <v>0.80219780219780223</v>
      </c>
      <c r="AA186" s="48">
        <f t="shared" si="104"/>
        <v>194</v>
      </c>
      <c r="AB186" s="26">
        <f t="shared" si="105"/>
        <v>160</v>
      </c>
      <c r="AC186" s="62">
        <f t="shared" si="106"/>
        <v>0.82474226804123707</v>
      </c>
      <c r="AD186" s="74">
        <f>AVERAGEIFS(Tracker!I:I, Tracker!E:E, 2, Tracker!G:G, "&lt;="&amp;Daily!C186, Tracker!J:J, "Y")</f>
        <v>26.40625</v>
      </c>
      <c r="AE186" s="77">
        <f>COUNTIFS(Tracker!E:E, 2, Tracker!G:G, "&lt;="&amp;Daily!C186, Tracker!L:L, "N") / AA186</f>
        <v>0.60824742268041232</v>
      </c>
      <c r="AF186" s="48">
        <f t="shared" si="107"/>
        <v>42</v>
      </c>
      <c r="AG186" s="26">
        <f t="shared" si="108"/>
        <v>27</v>
      </c>
      <c r="AH186" s="62">
        <f t="shared" si="109"/>
        <v>0.6428571428571429</v>
      </c>
      <c r="AI186" s="74">
        <f>IFERROR(AVERAGEIFS(Tracker!I:I, Tracker!E:E, 3, Tracker!G:G, "&lt;="&amp;Daily!C186, Tracker!J:J, "Y"), 0)</f>
        <v>40.074074074074076</v>
      </c>
      <c r="AJ186" s="77">
        <f>IFERROR(COUNTIFS(Tracker!E:E, 3, Tracker!G:G, "&lt;="&amp;Daily!C186, Tracker!L:L, "N") / AF186,  0)</f>
        <v>0.35714285714285715</v>
      </c>
      <c r="AK186" s="48">
        <f t="shared" si="110"/>
        <v>327</v>
      </c>
      <c r="AL186" s="26">
        <f t="shared" si="111"/>
        <v>274</v>
      </c>
      <c r="AM186" s="62">
        <f t="shared" si="112"/>
        <v>0.8379204892966361</v>
      </c>
      <c r="AN186" s="74">
        <f>IFERROR(AVERAGEIFS(Tracker!I:I,  Tracker!G:G, "&lt;="&amp;Daily!C186, Tracker!J:J, "Y"), 0)</f>
        <v>23.361313868613138</v>
      </c>
      <c r="AO186" s="77">
        <f>IFERROR(COUNTIFS(Tracker!G:G, "&lt;="&amp;Daily!C186, Tracker!L:L, "N") / AK186,  0)</f>
        <v>0.62996941896024461</v>
      </c>
    </row>
    <row r="187" spans="1:41" x14ac:dyDescent="0.25">
      <c r="A187" s="119"/>
      <c r="B187" s="32">
        <f t="shared" si="96"/>
        <v>45402</v>
      </c>
      <c r="C187" s="27">
        <f t="shared" si="113"/>
        <v>45402</v>
      </c>
      <c r="D187" s="109" t="b">
        <f t="shared" ca="1" si="79"/>
        <v>1</v>
      </c>
      <c r="E187" s="51">
        <f t="shared" si="97"/>
        <v>0</v>
      </c>
      <c r="F187" s="48">
        <f>COUNTIFS(Tracker!G:G,Daily!C187, Tracker!J:J,"Y")</f>
        <v>0</v>
      </c>
      <c r="G187" s="26">
        <f>COUNTIFS(Tracker!G:G,Daily!C187, Tracker!J:J,"Y (with hints)")</f>
        <v>0</v>
      </c>
      <c r="H187" s="33">
        <f>COUNTIFS(Tracker!G:G,Daily!C187, Tracker!J:J,"N")</f>
        <v>0</v>
      </c>
      <c r="I187" s="54">
        <f t="shared" si="98"/>
        <v>0</v>
      </c>
      <c r="J187" s="26">
        <f>COUNTIFS(Tracker!G:G,Daily!C187, Tracker!J:J,"Y",Tracker!E:E,1)</f>
        <v>0</v>
      </c>
      <c r="K187" s="26">
        <f>COUNTIFS(Tracker!G:G,Daily!C187, Tracker!J:J,"Y (with hints)",Tracker!E:E,1)</f>
        <v>0</v>
      </c>
      <c r="L187" s="33">
        <f>COUNTIFS(Tracker!G:G,Daily!C187, Tracker!J:J,"N",Tracker!E:E,1)</f>
        <v>0</v>
      </c>
      <c r="M187" s="54">
        <f t="shared" si="99"/>
        <v>0</v>
      </c>
      <c r="N187" s="26">
        <f>COUNTIFS(Tracker!G:G,Daily!C187, Tracker!J:J,"Y",Tracker!E:E,2)</f>
        <v>0</v>
      </c>
      <c r="O187" s="26">
        <f>COUNTIFS(Tracker!G:G,Daily!C187, Tracker!J:J,"Y (with hints)",Tracker!E:E,2)</f>
        <v>0</v>
      </c>
      <c r="P187" s="33">
        <f>COUNTIFS(Tracker!G:G,Daily!C187, Tracker!J:J,"N",Tracker!E:E,2)</f>
        <v>0</v>
      </c>
      <c r="Q187" s="57">
        <f t="shared" si="100"/>
        <v>0</v>
      </c>
      <c r="R187" s="26">
        <f>COUNTIFS(Tracker!G:G,Daily!C187, Tracker!J:J,"Y",Tracker!E:E,3)</f>
        <v>0</v>
      </c>
      <c r="S187" s="26">
        <f>COUNTIFS(Tracker!G:G,Daily!C187, Tracker!J:J,"Y (with hints)",Tracker!E:E,3)</f>
        <v>0</v>
      </c>
      <c r="T187" s="33">
        <f>COUNTIFS(Tracker!G:G,Daily!C187, Tracker!J:J,"N",Tracker!E:E,3)</f>
        <v>0</v>
      </c>
      <c r="V187" s="48">
        <f t="shared" si="101"/>
        <v>91</v>
      </c>
      <c r="W187" s="26">
        <f t="shared" si="102"/>
        <v>87</v>
      </c>
      <c r="X187" s="62">
        <f t="shared" si="103"/>
        <v>0.95604395604395609</v>
      </c>
      <c r="Y187" s="74">
        <f>AVERAGEIFS(Tracker!I:I, Tracker!E:E, 1, Tracker!G:G, "&lt;="&amp;Daily!C187, Tracker!J:J, "Y")</f>
        <v>12.574712643678161</v>
      </c>
      <c r="Z187" s="77">
        <f>COUNTIFS(Tracker!E:E, 1, Tracker!G:G, "&lt;="&amp;Daily!C187, Tracker!L:L, "N") / V187</f>
        <v>0.80219780219780223</v>
      </c>
      <c r="AA187" s="48">
        <f t="shared" si="104"/>
        <v>194</v>
      </c>
      <c r="AB187" s="26">
        <f t="shared" si="105"/>
        <v>160</v>
      </c>
      <c r="AC187" s="62">
        <f t="shared" si="106"/>
        <v>0.82474226804123707</v>
      </c>
      <c r="AD187" s="74">
        <f>AVERAGEIFS(Tracker!I:I, Tracker!E:E, 2, Tracker!G:G, "&lt;="&amp;Daily!C187, Tracker!J:J, "Y")</f>
        <v>26.40625</v>
      </c>
      <c r="AE187" s="77">
        <f>COUNTIFS(Tracker!E:E, 2, Tracker!G:G, "&lt;="&amp;Daily!C187, Tracker!L:L, "N") / AA187</f>
        <v>0.60824742268041232</v>
      </c>
      <c r="AF187" s="48">
        <f t="shared" si="107"/>
        <v>42</v>
      </c>
      <c r="AG187" s="26">
        <f t="shared" si="108"/>
        <v>27</v>
      </c>
      <c r="AH187" s="62">
        <f t="shared" si="109"/>
        <v>0.6428571428571429</v>
      </c>
      <c r="AI187" s="74">
        <f>IFERROR(AVERAGEIFS(Tracker!I:I, Tracker!E:E, 3, Tracker!G:G, "&lt;="&amp;Daily!C187, Tracker!J:J, "Y"), 0)</f>
        <v>40.074074074074076</v>
      </c>
      <c r="AJ187" s="77">
        <f>IFERROR(COUNTIFS(Tracker!E:E, 3, Tracker!G:G, "&lt;="&amp;Daily!C187, Tracker!L:L, "N") / AF187,  0)</f>
        <v>0.35714285714285715</v>
      </c>
      <c r="AK187" s="48">
        <f t="shared" si="110"/>
        <v>327</v>
      </c>
      <c r="AL187" s="26">
        <f t="shared" si="111"/>
        <v>274</v>
      </c>
      <c r="AM187" s="62">
        <f t="shared" si="112"/>
        <v>0.8379204892966361</v>
      </c>
      <c r="AN187" s="74">
        <f>IFERROR(AVERAGEIFS(Tracker!I:I,  Tracker!G:G, "&lt;="&amp;Daily!C187, Tracker!J:J, "Y"), 0)</f>
        <v>23.361313868613138</v>
      </c>
      <c r="AO187" s="77">
        <f>IFERROR(COUNTIFS(Tracker!G:G, "&lt;="&amp;Daily!C187, Tracker!L:L, "N") / AK187,  0)</f>
        <v>0.62996941896024461</v>
      </c>
    </row>
    <row r="188" spans="1:41" ht="15.75" thickBot="1" x14ac:dyDescent="0.3">
      <c r="A188" s="120"/>
      <c r="B188" s="34">
        <f t="shared" si="96"/>
        <v>45403</v>
      </c>
      <c r="C188" s="35">
        <f t="shared" si="113"/>
        <v>45403</v>
      </c>
      <c r="D188" s="110" t="b">
        <f t="shared" ca="1" si="79"/>
        <v>1</v>
      </c>
      <c r="E188" s="52">
        <f t="shared" si="97"/>
        <v>0</v>
      </c>
      <c r="F188" s="39">
        <f>COUNTIFS(Tracker!G:G,Daily!C188, Tracker!J:J,"Y")</f>
        <v>0</v>
      </c>
      <c r="G188" s="36">
        <f>COUNTIFS(Tracker!G:G,Daily!C188, Tracker!J:J,"Y (with hints)")</f>
        <v>0</v>
      </c>
      <c r="H188" s="37">
        <f>COUNTIFS(Tracker!G:G,Daily!C188, Tracker!J:J,"N")</f>
        <v>0</v>
      </c>
      <c r="I188" s="55">
        <f t="shared" si="98"/>
        <v>0</v>
      </c>
      <c r="J188" s="36">
        <f>COUNTIFS(Tracker!G:G,Daily!C188, Tracker!J:J,"Y",Tracker!E:E,1)</f>
        <v>0</v>
      </c>
      <c r="K188" s="36">
        <f>COUNTIFS(Tracker!G:G,Daily!C188, Tracker!J:J,"Y (with hints)",Tracker!E:E,1)</f>
        <v>0</v>
      </c>
      <c r="L188" s="37">
        <f>COUNTIFS(Tracker!G:G,Daily!C188, Tracker!J:J,"N",Tracker!E:E,1)</f>
        <v>0</v>
      </c>
      <c r="M188" s="55">
        <f t="shared" si="99"/>
        <v>0</v>
      </c>
      <c r="N188" s="36">
        <f>COUNTIFS(Tracker!G:G,Daily!C188, Tracker!J:J,"Y",Tracker!E:E,2)</f>
        <v>0</v>
      </c>
      <c r="O188" s="36">
        <f>COUNTIFS(Tracker!G:G,Daily!C188, Tracker!J:J,"Y (with hints)",Tracker!E:E,2)</f>
        <v>0</v>
      </c>
      <c r="P188" s="37">
        <f>COUNTIFS(Tracker!G:G,Daily!C188, Tracker!J:J,"N",Tracker!E:E,2)</f>
        <v>0</v>
      </c>
      <c r="Q188" s="58">
        <f t="shared" si="100"/>
        <v>0</v>
      </c>
      <c r="R188" s="36">
        <f>COUNTIFS(Tracker!G:G,Daily!C188, Tracker!J:J,"Y",Tracker!E:E,3)</f>
        <v>0</v>
      </c>
      <c r="S188" s="36">
        <f>COUNTIFS(Tracker!G:G,Daily!C188, Tracker!J:J,"Y (with hints)",Tracker!E:E,3)</f>
        <v>0</v>
      </c>
      <c r="T188" s="37">
        <f>COUNTIFS(Tracker!G:G,Daily!C188, Tracker!J:J,"N",Tracker!E:E,3)</f>
        <v>0</v>
      </c>
      <c r="V188" s="39">
        <f t="shared" si="101"/>
        <v>91</v>
      </c>
      <c r="W188" s="36">
        <f t="shared" si="102"/>
        <v>87</v>
      </c>
      <c r="X188" s="64">
        <f t="shared" si="103"/>
        <v>0.95604395604395609</v>
      </c>
      <c r="Y188" s="78">
        <f>AVERAGEIFS(Tracker!I:I, Tracker!E:E, 1, Tracker!G:G, "&lt;="&amp;Daily!C188, Tracker!J:J, "Y")</f>
        <v>12.574712643678161</v>
      </c>
      <c r="Z188" s="79">
        <f>COUNTIFS(Tracker!E:E, 1, Tracker!G:G, "&lt;="&amp;Daily!C188, Tracker!L:L, "N") / V188</f>
        <v>0.80219780219780223</v>
      </c>
      <c r="AA188" s="39">
        <f t="shared" si="104"/>
        <v>194</v>
      </c>
      <c r="AB188" s="36">
        <f t="shared" si="105"/>
        <v>160</v>
      </c>
      <c r="AC188" s="64">
        <f t="shared" si="106"/>
        <v>0.82474226804123707</v>
      </c>
      <c r="AD188" s="78">
        <f>AVERAGEIFS(Tracker!I:I, Tracker!E:E, 2, Tracker!G:G, "&lt;="&amp;Daily!C188, Tracker!J:J, "Y")</f>
        <v>26.40625</v>
      </c>
      <c r="AE188" s="79">
        <f>COUNTIFS(Tracker!E:E, 2, Tracker!G:G, "&lt;="&amp;Daily!C188, Tracker!L:L, "N") / AA188</f>
        <v>0.60824742268041232</v>
      </c>
      <c r="AF188" s="39">
        <f t="shared" si="107"/>
        <v>42</v>
      </c>
      <c r="AG188" s="36">
        <f t="shared" si="108"/>
        <v>27</v>
      </c>
      <c r="AH188" s="64">
        <f t="shared" si="109"/>
        <v>0.6428571428571429</v>
      </c>
      <c r="AI188" s="78">
        <f>IFERROR(AVERAGEIFS(Tracker!I:I, Tracker!E:E, 3, Tracker!G:G, "&lt;="&amp;Daily!C188, Tracker!J:J, "Y"), 0)</f>
        <v>40.074074074074076</v>
      </c>
      <c r="AJ188" s="79">
        <f>IFERROR(COUNTIFS(Tracker!E:E, 3, Tracker!G:G, "&lt;="&amp;Daily!C188, Tracker!L:L, "N") / AF188,  0)</f>
        <v>0.35714285714285715</v>
      </c>
      <c r="AK188" s="39">
        <f t="shared" si="110"/>
        <v>327</v>
      </c>
      <c r="AL188" s="36">
        <f t="shared" si="111"/>
        <v>274</v>
      </c>
      <c r="AM188" s="64">
        <f t="shared" si="112"/>
        <v>0.8379204892966361</v>
      </c>
      <c r="AN188" s="78">
        <f>IFERROR(AVERAGEIFS(Tracker!I:I,  Tracker!G:G, "&lt;="&amp;Daily!C188, Tracker!J:J, "Y"), 0)</f>
        <v>23.361313868613138</v>
      </c>
      <c r="AO188" s="79">
        <f>IFERROR(COUNTIFS(Tracker!G:G, "&lt;="&amp;Daily!C188, Tracker!L:L, "N") / AK188,  0)</f>
        <v>0.62996941896024461</v>
      </c>
    </row>
    <row r="189" spans="1:41" x14ac:dyDescent="0.25">
      <c r="A189" s="118">
        <f>A182+1</f>
        <v>27</v>
      </c>
      <c r="B189" s="28">
        <f t="shared" si="96"/>
        <v>45404</v>
      </c>
      <c r="C189" s="29">
        <f t="shared" si="113"/>
        <v>45404</v>
      </c>
      <c r="D189" s="108" t="b">
        <f t="shared" ca="1" si="79"/>
        <v>1</v>
      </c>
      <c r="E189" s="50">
        <f t="shared" si="97"/>
        <v>0</v>
      </c>
      <c r="F189" s="38">
        <f>COUNTIFS(Tracker!G:G,Daily!C189, Tracker!J:J,"Y")</f>
        <v>0</v>
      </c>
      <c r="G189" s="30">
        <f>COUNTIFS(Tracker!G:G,Daily!C189, Tracker!J:J,"Y (with hints)")</f>
        <v>0</v>
      </c>
      <c r="H189" s="31">
        <f>COUNTIFS(Tracker!G:G,Daily!C189, Tracker!J:J,"N")</f>
        <v>0</v>
      </c>
      <c r="I189" s="53">
        <f t="shared" si="98"/>
        <v>0</v>
      </c>
      <c r="J189" s="30">
        <f>COUNTIFS(Tracker!G:G,Daily!C189, Tracker!J:J,"Y",Tracker!E:E,1)</f>
        <v>0</v>
      </c>
      <c r="K189" s="30">
        <f>COUNTIFS(Tracker!G:G,Daily!C189, Tracker!J:J,"Y (with hints)",Tracker!E:E,1)</f>
        <v>0</v>
      </c>
      <c r="L189" s="31">
        <f>COUNTIFS(Tracker!G:G,Daily!C189, Tracker!J:J,"N",Tracker!E:E,1)</f>
        <v>0</v>
      </c>
      <c r="M189" s="53">
        <f t="shared" si="99"/>
        <v>0</v>
      </c>
      <c r="N189" s="30">
        <f>COUNTIFS(Tracker!G:G,Daily!C189, Tracker!J:J,"Y",Tracker!E:E,2)</f>
        <v>0</v>
      </c>
      <c r="O189" s="30">
        <f>COUNTIFS(Tracker!G:G,Daily!C189, Tracker!J:J,"Y (with hints)",Tracker!E:E,2)</f>
        <v>0</v>
      </c>
      <c r="P189" s="31">
        <f>COUNTIFS(Tracker!G:G,Daily!C189, Tracker!J:J,"N",Tracker!E:E,2)</f>
        <v>0</v>
      </c>
      <c r="Q189" s="56">
        <f t="shared" si="100"/>
        <v>0</v>
      </c>
      <c r="R189" s="30">
        <f>COUNTIFS(Tracker!G:G,Daily!C189, Tracker!J:J,"Y",Tracker!E:E,3)</f>
        <v>0</v>
      </c>
      <c r="S189" s="30">
        <f>COUNTIFS(Tracker!G:G,Daily!C189, Tracker!J:J,"Y (with hints)",Tracker!E:E,3)</f>
        <v>0</v>
      </c>
      <c r="T189" s="31">
        <f>COUNTIFS(Tracker!G:G,Daily!C189, Tracker!J:J,"N",Tracker!E:E,3)</f>
        <v>0</v>
      </c>
      <c r="V189" s="38">
        <f t="shared" si="101"/>
        <v>91</v>
      </c>
      <c r="W189" s="30">
        <f t="shared" si="102"/>
        <v>87</v>
      </c>
      <c r="X189" s="73">
        <f t="shared" si="103"/>
        <v>0.95604395604395609</v>
      </c>
      <c r="Y189" s="75">
        <f>AVERAGEIFS(Tracker!I:I, Tracker!E:E, 1, Tracker!G:G, "&lt;="&amp;Daily!C189, Tracker!J:J, "Y")</f>
        <v>12.574712643678161</v>
      </c>
      <c r="Z189" s="76">
        <f>COUNTIFS(Tracker!E:E, 1, Tracker!G:G, "&lt;="&amp;Daily!C189, Tracker!L:L, "N") / V189</f>
        <v>0.80219780219780223</v>
      </c>
      <c r="AA189" s="38">
        <f t="shared" si="104"/>
        <v>194</v>
      </c>
      <c r="AB189" s="30">
        <f t="shared" si="105"/>
        <v>160</v>
      </c>
      <c r="AC189" s="73">
        <f t="shared" si="106"/>
        <v>0.82474226804123707</v>
      </c>
      <c r="AD189" s="75">
        <f>AVERAGEIFS(Tracker!I:I, Tracker!E:E, 2, Tracker!G:G, "&lt;="&amp;Daily!C189, Tracker!J:J, "Y")</f>
        <v>26.40625</v>
      </c>
      <c r="AE189" s="76">
        <f>COUNTIFS(Tracker!E:E, 2, Tracker!G:G, "&lt;="&amp;Daily!C189, Tracker!L:L, "N") / AA189</f>
        <v>0.60824742268041232</v>
      </c>
      <c r="AF189" s="38">
        <f t="shared" si="107"/>
        <v>42</v>
      </c>
      <c r="AG189" s="30">
        <f t="shared" si="108"/>
        <v>27</v>
      </c>
      <c r="AH189" s="73">
        <f t="shared" si="109"/>
        <v>0.6428571428571429</v>
      </c>
      <c r="AI189" s="75">
        <f>IFERROR(AVERAGEIFS(Tracker!I:I, Tracker!E:E, 3, Tracker!G:G, "&lt;="&amp;Daily!C189, Tracker!J:J, "Y"), 0)</f>
        <v>40.074074074074076</v>
      </c>
      <c r="AJ189" s="76">
        <f>IFERROR(COUNTIFS(Tracker!E:E, 3, Tracker!G:G, "&lt;="&amp;Daily!C189, Tracker!L:L, "N") / AF189,  0)</f>
        <v>0.35714285714285715</v>
      </c>
      <c r="AK189" s="38">
        <f t="shared" si="110"/>
        <v>327</v>
      </c>
      <c r="AL189" s="30">
        <f t="shared" si="111"/>
        <v>274</v>
      </c>
      <c r="AM189" s="73">
        <f t="shared" si="112"/>
        <v>0.8379204892966361</v>
      </c>
      <c r="AN189" s="75">
        <f>IFERROR(AVERAGEIFS(Tracker!I:I,  Tracker!G:G, "&lt;="&amp;Daily!C189, Tracker!J:J, "Y"), 0)</f>
        <v>23.361313868613138</v>
      </c>
      <c r="AO189" s="76">
        <f>IFERROR(COUNTIFS(Tracker!G:G, "&lt;="&amp;Daily!C189, Tracker!L:L, "N") / AK189,  0)</f>
        <v>0.62996941896024461</v>
      </c>
    </row>
    <row r="190" spans="1:41" x14ac:dyDescent="0.25">
      <c r="A190" s="119"/>
      <c r="B190" s="32">
        <f t="shared" si="96"/>
        <v>45405</v>
      </c>
      <c r="C190" s="27">
        <f t="shared" si="113"/>
        <v>45405</v>
      </c>
      <c r="D190" s="109" t="b">
        <f t="shared" ca="1" si="79"/>
        <v>1</v>
      </c>
      <c r="E190" s="51">
        <f t="shared" si="97"/>
        <v>0</v>
      </c>
      <c r="F190" s="48">
        <f>COUNTIFS(Tracker!G:G,Daily!C190, Tracker!J:J,"Y")</f>
        <v>0</v>
      </c>
      <c r="G190" s="26">
        <f>COUNTIFS(Tracker!G:G,Daily!C190, Tracker!J:J,"Y (with hints)")</f>
        <v>0</v>
      </c>
      <c r="H190" s="33">
        <f>COUNTIFS(Tracker!G:G,Daily!C190, Tracker!J:J,"N")</f>
        <v>0</v>
      </c>
      <c r="I190" s="54">
        <f t="shared" si="98"/>
        <v>0</v>
      </c>
      <c r="J190" s="26">
        <f>COUNTIFS(Tracker!G:G,Daily!C190, Tracker!J:J,"Y",Tracker!E:E,1)</f>
        <v>0</v>
      </c>
      <c r="K190" s="26">
        <f>COUNTIFS(Tracker!G:G,Daily!C190, Tracker!J:J,"Y (with hints)",Tracker!E:E,1)</f>
        <v>0</v>
      </c>
      <c r="L190" s="33">
        <f>COUNTIFS(Tracker!G:G,Daily!C190, Tracker!J:J,"N",Tracker!E:E,1)</f>
        <v>0</v>
      </c>
      <c r="M190" s="54">
        <f t="shared" si="99"/>
        <v>0</v>
      </c>
      <c r="N190" s="26">
        <f>COUNTIFS(Tracker!G:G,Daily!C190, Tracker!J:J,"Y",Tracker!E:E,2)</f>
        <v>0</v>
      </c>
      <c r="O190" s="26">
        <f>COUNTIFS(Tracker!G:G,Daily!C190, Tracker!J:J,"Y (with hints)",Tracker!E:E,2)</f>
        <v>0</v>
      </c>
      <c r="P190" s="33">
        <f>COUNTIFS(Tracker!G:G,Daily!C190, Tracker!J:J,"N",Tracker!E:E,2)</f>
        <v>0</v>
      </c>
      <c r="Q190" s="57">
        <f t="shared" si="100"/>
        <v>0</v>
      </c>
      <c r="R190" s="26">
        <f>COUNTIFS(Tracker!G:G,Daily!C190, Tracker!J:J,"Y",Tracker!E:E,3)</f>
        <v>0</v>
      </c>
      <c r="S190" s="26">
        <f>COUNTIFS(Tracker!G:G,Daily!C190, Tracker!J:J,"Y (with hints)",Tracker!E:E,3)</f>
        <v>0</v>
      </c>
      <c r="T190" s="33">
        <f>COUNTIFS(Tracker!G:G,Daily!C190, Tracker!J:J,"N",Tracker!E:E,3)</f>
        <v>0</v>
      </c>
      <c r="V190" s="48">
        <f t="shared" si="101"/>
        <v>91</v>
      </c>
      <c r="W190" s="26">
        <f t="shared" si="102"/>
        <v>87</v>
      </c>
      <c r="X190" s="62">
        <f t="shared" si="103"/>
        <v>0.95604395604395609</v>
      </c>
      <c r="Y190" s="74">
        <f>AVERAGEIFS(Tracker!I:I, Tracker!E:E, 1, Tracker!G:G, "&lt;="&amp;Daily!C190, Tracker!J:J, "Y")</f>
        <v>12.574712643678161</v>
      </c>
      <c r="Z190" s="77">
        <f>COUNTIFS(Tracker!E:E, 1, Tracker!G:G, "&lt;="&amp;Daily!C190, Tracker!L:L, "N") / V190</f>
        <v>0.80219780219780223</v>
      </c>
      <c r="AA190" s="48">
        <f t="shared" si="104"/>
        <v>194</v>
      </c>
      <c r="AB190" s="26">
        <f t="shared" si="105"/>
        <v>160</v>
      </c>
      <c r="AC190" s="62">
        <f t="shared" si="106"/>
        <v>0.82474226804123707</v>
      </c>
      <c r="AD190" s="74">
        <f>AVERAGEIFS(Tracker!I:I, Tracker!E:E, 2, Tracker!G:G, "&lt;="&amp;Daily!C190, Tracker!J:J, "Y")</f>
        <v>26.40625</v>
      </c>
      <c r="AE190" s="77">
        <f>COUNTIFS(Tracker!E:E, 2, Tracker!G:G, "&lt;="&amp;Daily!C190, Tracker!L:L, "N") / AA190</f>
        <v>0.60824742268041232</v>
      </c>
      <c r="AF190" s="48">
        <f t="shared" si="107"/>
        <v>42</v>
      </c>
      <c r="AG190" s="26">
        <f t="shared" si="108"/>
        <v>27</v>
      </c>
      <c r="AH190" s="62">
        <f t="shared" si="109"/>
        <v>0.6428571428571429</v>
      </c>
      <c r="AI190" s="74">
        <f>IFERROR(AVERAGEIFS(Tracker!I:I, Tracker!E:E, 3, Tracker!G:G, "&lt;="&amp;Daily!C190, Tracker!J:J, "Y"), 0)</f>
        <v>40.074074074074076</v>
      </c>
      <c r="AJ190" s="77">
        <f>IFERROR(COUNTIFS(Tracker!E:E, 3, Tracker!G:G, "&lt;="&amp;Daily!C190, Tracker!L:L, "N") / AF190,  0)</f>
        <v>0.35714285714285715</v>
      </c>
      <c r="AK190" s="48">
        <f t="shared" si="110"/>
        <v>327</v>
      </c>
      <c r="AL190" s="26">
        <f t="shared" si="111"/>
        <v>274</v>
      </c>
      <c r="AM190" s="62">
        <f t="shared" si="112"/>
        <v>0.8379204892966361</v>
      </c>
      <c r="AN190" s="74">
        <f>IFERROR(AVERAGEIFS(Tracker!I:I,  Tracker!G:G, "&lt;="&amp;Daily!C190, Tracker!J:J, "Y"), 0)</f>
        <v>23.361313868613138</v>
      </c>
      <c r="AO190" s="77">
        <f>IFERROR(COUNTIFS(Tracker!G:G, "&lt;="&amp;Daily!C190, Tracker!L:L, "N") / AK190,  0)</f>
        <v>0.62996941896024461</v>
      </c>
    </row>
    <row r="191" spans="1:41" x14ac:dyDescent="0.25">
      <c r="A191" s="119"/>
      <c r="B191" s="32">
        <f t="shared" si="96"/>
        <v>45406</v>
      </c>
      <c r="C191" s="27">
        <f t="shared" si="113"/>
        <v>45406</v>
      </c>
      <c r="D191" s="109" t="b">
        <f t="shared" ca="1" si="79"/>
        <v>1</v>
      </c>
      <c r="E191" s="51">
        <f t="shared" si="97"/>
        <v>0</v>
      </c>
      <c r="F191" s="48">
        <f>COUNTIFS(Tracker!G:G,Daily!C191, Tracker!J:J,"Y")</f>
        <v>0</v>
      </c>
      <c r="G191" s="26">
        <f>COUNTIFS(Tracker!G:G,Daily!C191, Tracker!J:J,"Y (with hints)")</f>
        <v>0</v>
      </c>
      <c r="H191" s="33">
        <f>COUNTIFS(Tracker!G:G,Daily!C191, Tracker!J:J,"N")</f>
        <v>0</v>
      </c>
      <c r="I191" s="54">
        <f t="shared" si="98"/>
        <v>0</v>
      </c>
      <c r="J191" s="26">
        <f>COUNTIFS(Tracker!G:G,Daily!C191, Tracker!J:J,"Y",Tracker!E:E,1)</f>
        <v>0</v>
      </c>
      <c r="K191" s="26">
        <f>COUNTIFS(Tracker!G:G,Daily!C191, Tracker!J:J,"Y (with hints)",Tracker!E:E,1)</f>
        <v>0</v>
      </c>
      <c r="L191" s="33">
        <f>COUNTIFS(Tracker!G:G,Daily!C191, Tracker!J:J,"N",Tracker!E:E,1)</f>
        <v>0</v>
      </c>
      <c r="M191" s="54">
        <f t="shared" si="99"/>
        <v>0</v>
      </c>
      <c r="N191" s="26">
        <f>COUNTIFS(Tracker!G:G,Daily!C191, Tracker!J:J,"Y",Tracker!E:E,2)</f>
        <v>0</v>
      </c>
      <c r="O191" s="26">
        <f>COUNTIFS(Tracker!G:G,Daily!C191, Tracker!J:J,"Y (with hints)",Tracker!E:E,2)</f>
        <v>0</v>
      </c>
      <c r="P191" s="33">
        <f>COUNTIFS(Tracker!G:G,Daily!C191, Tracker!J:J,"N",Tracker!E:E,2)</f>
        <v>0</v>
      </c>
      <c r="Q191" s="57">
        <f t="shared" si="100"/>
        <v>0</v>
      </c>
      <c r="R191" s="26">
        <f>COUNTIFS(Tracker!G:G,Daily!C191, Tracker!J:J,"Y",Tracker!E:E,3)</f>
        <v>0</v>
      </c>
      <c r="S191" s="26">
        <f>COUNTIFS(Tracker!G:G,Daily!C191, Tracker!J:J,"Y (with hints)",Tracker!E:E,3)</f>
        <v>0</v>
      </c>
      <c r="T191" s="33">
        <f>COUNTIFS(Tracker!G:G,Daily!C191, Tracker!J:J,"N",Tracker!E:E,3)</f>
        <v>0</v>
      </c>
      <c r="V191" s="48">
        <f t="shared" si="101"/>
        <v>91</v>
      </c>
      <c r="W191" s="26">
        <f t="shared" si="102"/>
        <v>87</v>
      </c>
      <c r="X191" s="62">
        <f t="shared" si="103"/>
        <v>0.95604395604395609</v>
      </c>
      <c r="Y191" s="74">
        <f>AVERAGEIFS(Tracker!I:I, Tracker!E:E, 1, Tracker!G:G, "&lt;="&amp;Daily!C191, Tracker!J:J, "Y")</f>
        <v>12.574712643678161</v>
      </c>
      <c r="Z191" s="77">
        <f>COUNTIFS(Tracker!E:E, 1, Tracker!G:G, "&lt;="&amp;Daily!C191, Tracker!L:L, "N") / V191</f>
        <v>0.80219780219780223</v>
      </c>
      <c r="AA191" s="48">
        <f t="shared" si="104"/>
        <v>194</v>
      </c>
      <c r="AB191" s="26">
        <f t="shared" si="105"/>
        <v>160</v>
      </c>
      <c r="AC191" s="62">
        <f t="shared" si="106"/>
        <v>0.82474226804123707</v>
      </c>
      <c r="AD191" s="74">
        <f>AVERAGEIFS(Tracker!I:I, Tracker!E:E, 2, Tracker!G:G, "&lt;="&amp;Daily!C191, Tracker!J:J, "Y")</f>
        <v>26.40625</v>
      </c>
      <c r="AE191" s="77">
        <f>COUNTIFS(Tracker!E:E, 2, Tracker!G:G, "&lt;="&amp;Daily!C191, Tracker!L:L, "N") / AA191</f>
        <v>0.60824742268041232</v>
      </c>
      <c r="AF191" s="48">
        <f t="shared" si="107"/>
        <v>42</v>
      </c>
      <c r="AG191" s="26">
        <f t="shared" si="108"/>
        <v>27</v>
      </c>
      <c r="AH191" s="62">
        <f t="shared" si="109"/>
        <v>0.6428571428571429</v>
      </c>
      <c r="AI191" s="74">
        <f>IFERROR(AVERAGEIFS(Tracker!I:I, Tracker!E:E, 3, Tracker!G:G, "&lt;="&amp;Daily!C191, Tracker!J:J, "Y"), 0)</f>
        <v>40.074074074074076</v>
      </c>
      <c r="AJ191" s="77">
        <f>IFERROR(COUNTIFS(Tracker!E:E, 3, Tracker!G:G, "&lt;="&amp;Daily!C191, Tracker!L:L, "N") / AF191,  0)</f>
        <v>0.35714285714285715</v>
      </c>
      <c r="AK191" s="48">
        <f t="shared" si="110"/>
        <v>327</v>
      </c>
      <c r="AL191" s="26">
        <f t="shared" si="111"/>
        <v>274</v>
      </c>
      <c r="AM191" s="62">
        <f t="shared" si="112"/>
        <v>0.8379204892966361</v>
      </c>
      <c r="AN191" s="74">
        <f>IFERROR(AVERAGEIFS(Tracker!I:I,  Tracker!G:G, "&lt;="&amp;Daily!C191, Tracker!J:J, "Y"), 0)</f>
        <v>23.361313868613138</v>
      </c>
      <c r="AO191" s="77">
        <f>IFERROR(COUNTIFS(Tracker!G:G, "&lt;="&amp;Daily!C191, Tracker!L:L, "N") / AK191,  0)</f>
        <v>0.62996941896024461</v>
      </c>
    </row>
    <row r="192" spans="1:41" x14ac:dyDescent="0.25">
      <c r="A192" s="119"/>
      <c r="B192" s="32">
        <f t="shared" si="96"/>
        <v>45407</v>
      </c>
      <c r="C192" s="27">
        <f t="shared" si="113"/>
        <v>45407</v>
      </c>
      <c r="D192" s="109" t="b">
        <f t="shared" ca="1" si="79"/>
        <v>1</v>
      </c>
      <c r="E192" s="51">
        <f t="shared" si="97"/>
        <v>0</v>
      </c>
      <c r="F192" s="48">
        <f>COUNTIFS(Tracker!G:G,Daily!C192, Tracker!J:J,"Y")</f>
        <v>0</v>
      </c>
      <c r="G192" s="26">
        <f>COUNTIFS(Tracker!G:G,Daily!C192, Tracker!J:J,"Y (with hints)")</f>
        <v>0</v>
      </c>
      <c r="H192" s="33">
        <f>COUNTIFS(Tracker!G:G,Daily!C192, Tracker!J:J,"N")</f>
        <v>0</v>
      </c>
      <c r="I192" s="54">
        <f t="shared" si="98"/>
        <v>0</v>
      </c>
      <c r="J192" s="26">
        <f>COUNTIFS(Tracker!G:G,Daily!C192, Tracker!J:J,"Y",Tracker!E:E,1)</f>
        <v>0</v>
      </c>
      <c r="K192" s="26">
        <f>COUNTIFS(Tracker!G:G,Daily!C192, Tracker!J:J,"Y (with hints)",Tracker!E:E,1)</f>
        <v>0</v>
      </c>
      <c r="L192" s="33">
        <f>COUNTIFS(Tracker!G:G,Daily!C192, Tracker!J:J,"N",Tracker!E:E,1)</f>
        <v>0</v>
      </c>
      <c r="M192" s="54">
        <f t="shared" si="99"/>
        <v>0</v>
      </c>
      <c r="N192" s="26">
        <f>COUNTIFS(Tracker!G:G,Daily!C192, Tracker!J:J,"Y",Tracker!E:E,2)</f>
        <v>0</v>
      </c>
      <c r="O192" s="26">
        <f>COUNTIFS(Tracker!G:G,Daily!C192, Tracker!J:J,"Y (with hints)",Tracker!E:E,2)</f>
        <v>0</v>
      </c>
      <c r="P192" s="33">
        <f>COUNTIFS(Tracker!G:G,Daily!C192, Tracker!J:J,"N",Tracker!E:E,2)</f>
        <v>0</v>
      </c>
      <c r="Q192" s="57">
        <f t="shared" si="100"/>
        <v>0</v>
      </c>
      <c r="R192" s="26">
        <f>COUNTIFS(Tracker!G:G,Daily!C192, Tracker!J:J,"Y",Tracker!E:E,3)</f>
        <v>0</v>
      </c>
      <c r="S192" s="26">
        <f>COUNTIFS(Tracker!G:G,Daily!C192, Tracker!J:J,"Y (with hints)",Tracker!E:E,3)</f>
        <v>0</v>
      </c>
      <c r="T192" s="33">
        <f>COUNTIFS(Tracker!G:G,Daily!C192, Tracker!J:J,"N",Tracker!E:E,3)</f>
        <v>0</v>
      </c>
      <c r="V192" s="48">
        <f t="shared" si="101"/>
        <v>91</v>
      </c>
      <c r="W192" s="26">
        <f t="shared" si="102"/>
        <v>87</v>
      </c>
      <c r="X192" s="62">
        <f t="shared" si="103"/>
        <v>0.95604395604395609</v>
      </c>
      <c r="Y192" s="74">
        <f>AVERAGEIFS(Tracker!I:I, Tracker!E:E, 1, Tracker!G:G, "&lt;="&amp;Daily!C192, Tracker!J:J, "Y")</f>
        <v>12.574712643678161</v>
      </c>
      <c r="Z192" s="77">
        <f>COUNTIFS(Tracker!E:E, 1, Tracker!G:G, "&lt;="&amp;Daily!C192, Tracker!L:L, "N") / V192</f>
        <v>0.80219780219780223</v>
      </c>
      <c r="AA192" s="48">
        <f t="shared" si="104"/>
        <v>194</v>
      </c>
      <c r="AB192" s="26">
        <f t="shared" si="105"/>
        <v>160</v>
      </c>
      <c r="AC192" s="62">
        <f t="shared" si="106"/>
        <v>0.82474226804123707</v>
      </c>
      <c r="AD192" s="74">
        <f>AVERAGEIFS(Tracker!I:I, Tracker!E:E, 2, Tracker!G:G, "&lt;="&amp;Daily!C192, Tracker!J:J, "Y")</f>
        <v>26.40625</v>
      </c>
      <c r="AE192" s="77">
        <f>COUNTIFS(Tracker!E:E, 2, Tracker!G:G, "&lt;="&amp;Daily!C192, Tracker!L:L, "N") / AA192</f>
        <v>0.60824742268041232</v>
      </c>
      <c r="AF192" s="48">
        <f t="shared" si="107"/>
        <v>42</v>
      </c>
      <c r="AG192" s="26">
        <f t="shared" si="108"/>
        <v>27</v>
      </c>
      <c r="AH192" s="62">
        <f t="shared" si="109"/>
        <v>0.6428571428571429</v>
      </c>
      <c r="AI192" s="74">
        <f>IFERROR(AVERAGEIFS(Tracker!I:I, Tracker!E:E, 3, Tracker!G:G, "&lt;="&amp;Daily!C192, Tracker!J:J, "Y"), 0)</f>
        <v>40.074074074074076</v>
      </c>
      <c r="AJ192" s="77">
        <f>IFERROR(COUNTIFS(Tracker!E:E, 3, Tracker!G:G, "&lt;="&amp;Daily!C192, Tracker!L:L, "N") / AF192,  0)</f>
        <v>0.35714285714285715</v>
      </c>
      <c r="AK192" s="48">
        <f t="shared" si="110"/>
        <v>327</v>
      </c>
      <c r="AL192" s="26">
        <f t="shared" si="111"/>
        <v>274</v>
      </c>
      <c r="AM192" s="62">
        <f t="shared" si="112"/>
        <v>0.8379204892966361</v>
      </c>
      <c r="AN192" s="74">
        <f>IFERROR(AVERAGEIFS(Tracker!I:I,  Tracker!G:G, "&lt;="&amp;Daily!C192, Tracker!J:J, "Y"), 0)</f>
        <v>23.361313868613138</v>
      </c>
      <c r="AO192" s="77">
        <f>IFERROR(COUNTIFS(Tracker!G:G, "&lt;="&amp;Daily!C192, Tracker!L:L, "N") / AK192,  0)</f>
        <v>0.62996941896024461</v>
      </c>
    </row>
    <row r="193" spans="1:41" x14ac:dyDescent="0.25">
      <c r="A193" s="119"/>
      <c r="B193" s="32">
        <f t="shared" si="96"/>
        <v>45408</v>
      </c>
      <c r="C193" s="27">
        <f t="shared" si="113"/>
        <v>45408</v>
      </c>
      <c r="D193" s="109" t="b">
        <f t="shared" ca="1" si="79"/>
        <v>1</v>
      </c>
      <c r="E193" s="51">
        <f t="shared" si="97"/>
        <v>0</v>
      </c>
      <c r="F193" s="48">
        <f>COUNTIFS(Tracker!G:G,Daily!C193, Tracker!J:J,"Y")</f>
        <v>0</v>
      </c>
      <c r="G193" s="26">
        <f>COUNTIFS(Tracker!G:G,Daily!C193, Tracker!J:J,"Y (with hints)")</f>
        <v>0</v>
      </c>
      <c r="H193" s="33">
        <f>COUNTIFS(Tracker!G:G,Daily!C193, Tracker!J:J,"N")</f>
        <v>0</v>
      </c>
      <c r="I193" s="54">
        <f t="shared" si="98"/>
        <v>0</v>
      </c>
      <c r="J193" s="26">
        <f>COUNTIFS(Tracker!G:G,Daily!C193, Tracker!J:J,"Y",Tracker!E:E,1)</f>
        <v>0</v>
      </c>
      <c r="K193" s="26">
        <f>COUNTIFS(Tracker!G:G,Daily!C193, Tracker!J:J,"Y (with hints)",Tracker!E:E,1)</f>
        <v>0</v>
      </c>
      <c r="L193" s="33">
        <f>COUNTIFS(Tracker!G:G,Daily!C193, Tracker!J:J,"N",Tracker!E:E,1)</f>
        <v>0</v>
      </c>
      <c r="M193" s="54">
        <f t="shared" si="99"/>
        <v>0</v>
      </c>
      <c r="N193" s="26">
        <f>COUNTIFS(Tracker!G:G,Daily!C193, Tracker!J:J,"Y",Tracker!E:E,2)</f>
        <v>0</v>
      </c>
      <c r="O193" s="26">
        <f>COUNTIFS(Tracker!G:G,Daily!C193, Tracker!J:J,"Y (with hints)",Tracker!E:E,2)</f>
        <v>0</v>
      </c>
      <c r="P193" s="33">
        <f>COUNTIFS(Tracker!G:G,Daily!C193, Tracker!J:J,"N",Tracker!E:E,2)</f>
        <v>0</v>
      </c>
      <c r="Q193" s="57">
        <f t="shared" si="100"/>
        <v>0</v>
      </c>
      <c r="R193" s="26">
        <f>COUNTIFS(Tracker!G:G,Daily!C193, Tracker!J:J,"Y",Tracker!E:E,3)</f>
        <v>0</v>
      </c>
      <c r="S193" s="26">
        <f>COUNTIFS(Tracker!G:G,Daily!C193, Tracker!J:J,"Y (with hints)",Tracker!E:E,3)</f>
        <v>0</v>
      </c>
      <c r="T193" s="33">
        <f>COUNTIFS(Tracker!G:G,Daily!C193, Tracker!J:J,"N",Tracker!E:E,3)</f>
        <v>0</v>
      </c>
      <c r="V193" s="48">
        <f t="shared" si="101"/>
        <v>91</v>
      </c>
      <c r="W193" s="26">
        <f t="shared" si="102"/>
        <v>87</v>
      </c>
      <c r="X193" s="62">
        <f t="shared" si="103"/>
        <v>0.95604395604395609</v>
      </c>
      <c r="Y193" s="74">
        <f>AVERAGEIFS(Tracker!I:I, Tracker!E:E, 1, Tracker!G:G, "&lt;="&amp;Daily!C193, Tracker!J:J, "Y")</f>
        <v>12.574712643678161</v>
      </c>
      <c r="Z193" s="77">
        <f>COUNTIFS(Tracker!E:E, 1, Tracker!G:G, "&lt;="&amp;Daily!C193, Tracker!L:L, "N") / V193</f>
        <v>0.80219780219780223</v>
      </c>
      <c r="AA193" s="48">
        <f t="shared" si="104"/>
        <v>194</v>
      </c>
      <c r="AB193" s="26">
        <f t="shared" si="105"/>
        <v>160</v>
      </c>
      <c r="AC193" s="62">
        <f t="shared" si="106"/>
        <v>0.82474226804123707</v>
      </c>
      <c r="AD193" s="74">
        <f>AVERAGEIFS(Tracker!I:I, Tracker!E:E, 2, Tracker!G:G, "&lt;="&amp;Daily!C193, Tracker!J:J, "Y")</f>
        <v>26.40625</v>
      </c>
      <c r="AE193" s="77">
        <f>COUNTIFS(Tracker!E:E, 2, Tracker!G:G, "&lt;="&amp;Daily!C193, Tracker!L:L, "N") / AA193</f>
        <v>0.60824742268041232</v>
      </c>
      <c r="AF193" s="48">
        <f t="shared" si="107"/>
        <v>42</v>
      </c>
      <c r="AG193" s="26">
        <f t="shared" si="108"/>
        <v>27</v>
      </c>
      <c r="AH193" s="62">
        <f t="shared" si="109"/>
        <v>0.6428571428571429</v>
      </c>
      <c r="AI193" s="74">
        <f>IFERROR(AVERAGEIFS(Tracker!I:I, Tracker!E:E, 3, Tracker!G:G, "&lt;="&amp;Daily!C193, Tracker!J:J, "Y"), 0)</f>
        <v>40.074074074074076</v>
      </c>
      <c r="AJ193" s="77">
        <f>IFERROR(COUNTIFS(Tracker!E:E, 3, Tracker!G:G, "&lt;="&amp;Daily!C193, Tracker!L:L, "N") / AF193,  0)</f>
        <v>0.35714285714285715</v>
      </c>
      <c r="AK193" s="48">
        <f t="shared" si="110"/>
        <v>327</v>
      </c>
      <c r="AL193" s="26">
        <f t="shared" si="111"/>
        <v>274</v>
      </c>
      <c r="AM193" s="62">
        <f t="shared" si="112"/>
        <v>0.8379204892966361</v>
      </c>
      <c r="AN193" s="74">
        <f>IFERROR(AVERAGEIFS(Tracker!I:I,  Tracker!G:G, "&lt;="&amp;Daily!C193, Tracker!J:J, "Y"), 0)</f>
        <v>23.361313868613138</v>
      </c>
      <c r="AO193" s="77">
        <f>IFERROR(COUNTIFS(Tracker!G:G, "&lt;="&amp;Daily!C193, Tracker!L:L, "N") / AK193,  0)</f>
        <v>0.62996941896024461</v>
      </c>
    </row>
    <row r="194" spans="1:41" x14ac:dyDescent="0.25">
      <c r="A194" s="119"/>
      <c r="B194" s="32">
        <f t="shared" si="96"/>
        <v>45409</v>
      </c>
      <c r="C194" s="27">
        <f t="shared" si="113"/>
        <v>45409</v>
      </c>
      <c r="D194" s="109" t="b">
        <f t="shared" ca="1" si="79"/>
        <v>1</v>
      </c>
      <c r="E194" s="51">
        <f t="shared" si="97"/>
        <v>0</v>
      </c>
      <c r="F194" s="48">
        <f>COUNTIFS(Tracker!G:G,Daily!C194, Tracker!J:J,"Y")</f>
        <v>0</v>
      </c>
      <c r="G194" s="26">
        <f>COUNTIFS(Tracker!G:G,Daily!C194, Tracker!J:J,"Y (with hints)")</f>
        <v>0</v>
      </c>
      <c r="H194" s="33">
        <f>COUNTIFS(Tracker!G:G,Daily!C194, Tracker!J:J,"N")</f>
        <v>0</v>
      </c>
      <c r="I194" s="54">
        <f t="shared" si="98"/>
        <v>0</v>
      </c>
      <c r="J194" s="26">
        <f>COUNTIFS(Tracker!G:G,Daily!C194, Tracker!J:J,"Y",Tracker!E:E,1)</f>
        <v>0</v>
      </c>
      <c r="K194" s="26">
        <f>COUNTIFS(Tracker!G:G,Daily!C194, Tracker!J:J,"Y (with hints)",Tracker!E:E,1)</f>
        <v>0</v>
      </c>
      <c r="L194" s="33">
        <f>COUNTIFS(Tracker!G:G,Daily!C194, Tracker!J:J,"N",Tracker!E:E,1)</f>
        <v>0</v>
      </c>
      <c r="M194" s="54">
        <f t="shared" si="99"/>
        <v>0</v>
      </c>
      <c r="N194" s="26">
        <f>COUNTIFS(Tracker!G:G,Daily!C194, Tracker!J:J,"Y",Tracker!E:E,2)</f>
        <v>0</v>
      </c>
      <c r="O194" s="26">
        <f>COUNTIFS(Tracker!G:G,Daily!C194, Tracker!J:J,"Y (with hints)",Tracker!E:E,2)</f>
        <v>0</v>
      </c>
      <c r="P194" s="33">
        <f>COUNTIFS(Tracker!G:G,Daily!C194, Tracker!J:J,"N",Tracker!E:E,2)</f>
        <v>0</v>
      </c>
      <c r="Q194" s="57">
        <f t="shared" si="100"/>
        <v>0</v>
      </c>
      <c r="R194" s="26">
        <f>COUNTIFS(Tracker!G:G,Daily!C194, Tracker!J:J,"Y",Tracker!E:E,3)</f>
        <v>0</v>
      </c>
      <c r="S194" s="26">
        <f>COUNTIFS(Tracker!G:G,Daily!C194, Tracker!J:J,"Y (with hints)",Tracker!E:E,3)</f>
        <v>0</v>
      </c>
      <c r="T194" s="33">
        <f>COUNTIFS(Tracker!G:G,Daily!C194, Tracker!J:J,"N",Tracker!E:E,3)</f>
        <v>0</v>
      </c>
      <c r="V194" s="48">
        <f t="shared" si="101"/>
        <v>91</v>
      </c>
      <c r="W194" s="26">
        <f t="shared" si="102"/>
        <v>87</v>
      </c>
      <c r="X194" s="62">
        <f t="shared" si="103"/>
        <v>0.95604395604395609</v>
      </c>
      <c r="Y194" s="74">
        <f>AVERAGEIFS(Tracker!I:I, Tracker!E:E, 1, Tracker!G:G, "&lt;="&amp;Daily!C194, Tracker!J:J, "Y")</f>
        <v>12.574712643678161</v>
      </c>
      <c r="Z194" s="77">
        <f>COUNTIFS(Tracker!E:E, 1, Tracker!G:G, "&lt;="&amp;Daily!C194, Tracker!L:L, "N") / V194</f>
        <v>0.80219780219780223</v>
      </c>
      <c r="AA194" s="48">
        <f t="shared" si="104"/>
        <v>194</v>
      </c>
      <c r="AB194" s="26">
        <f t="shared" si="105"/>
        <v>160</v>
      </c>
      <c r="AC194" s="62">
        <f t="shared" si="106"/>
        <v>0.82474226804123707</v>
      </c>
      <c r="AD194" s="74">
        <f>AVERAGEIFS(Tracker!I:I, Tracker!E:E, 2, Tracker!G:G, "&lt;="&amp;Daily!C194, Tracker!J:J, "Y")</f>
        <v>26.40625</v>
      </c>
      <c r="AE194" s="77">
        <f>COUNTIFS(Tracker!E:E, 2, Tracker!G:G, "&lt;="&amp;Daily!C194, Tracker!L:L, "N") / AA194</f>
        <v>0.60824742268041232</v>
      </c>
      <c r="AF194" s="48">
        <f t="shared" si="107"/>
        <v>42</v>
      </c>
      <c r="AG194" s="26">
        <f t="shared" si="108"/>
        <v>27</v>
      </c>
      <c r="AH194" s="62">
        <f t="shared" si="109"/>
        <v>0.6428571428571429</v>
      </c>
      <c r="AI194" s="74">
        <f>IFERROR(AVERAGEIFS(Tracker!I:I, Tracker!E:E, 3, Tracker!G:G, "&lt;="&amp;Daily!C194, Tracker!J:J, "Y"), 0)</f>
        <v>40.074074074074076</v>
      </c>
      <c r="AJ194" s="77">
        <f>IFERROR(COUNTIFS(Tracker!E:E, 3, Tracker!G:G, "&lt;="&amp;Daily!C194, Tracker!L:L, "N") / AF194,  0)</f>
        <v>0.35714285714285715</v>
      </c>
      <c r="AK194" s="48">
        <f t="shared" si="110"/>
        <v>327</v>
      </c>
      <c r="AL194" s="26">
        <f t="shared" si="111"/>
        <v>274</v>
      </c>
      <c r="AM194" s="62">
        <f t="shared" si="112"/>
        <v>0.8379204892966361</v>
      </c>
      <c r="AN194" s="74">
        <f>IFERROR(AVERAGEIFS(Tracker!I:I,  Tracker!G:G, "&lt;="&amp;Daily!C194, Tracker!J:J, "Y"), 0)</f>
        <v>23.361313868613138</v>
      </c>
      <c r="AO194" s="77">
        <f>IFERROR(COUNTIFS(Tracker!G:G, "&lt;="&amp;Daily!C194, Tracker!L:L, "N") / AK194,  0)</f>
        <v>0.62996941896024461</v>
      </c>
    </row>
    <row r="195" spans="1:41" ht="15.75" thickBot="1" x14ac:dyDescent="0.3">
      <c r="A195" s="120"/>
      <c r="B195" s="34">
        <f t="shared" si="96"/>
        <v>45410</v>
      </c>
      <c r="C195" s="35">
        <f t="shared" si="113"/>
        <v>45410</v>
      </c>
      <c r="D195" s="110" t="b">
        <f t="shared" ca="1" si="79"/>
        <v>1</v>
      </c>
      <c r="E195" s="52">
        <f t="shared" si="97"/>
        <v>0</v>
      </c>
      <c r="F195" s="39">
        <f>COUNTIFS(Tracker!G:G,Daily!C195, Tracker!J:J,"Y")</f>
        <v>0</v>
      </c>
      <c r="G195" s="36">
        <f>COUNTIFS(Tracker!G:G,Daily!C195, Tracker!J:J,"Y (with hints)")</f>
        <v>0</v>
      </c>
      <c r="H195" s="37">
        <f>COUNTIFS(Tracker!G:G,Daily!C195, Tracker!J:J,"N")</f>
        <v>0</v>
      </c>
      <c r="I195" s="55">
        <f t="shared" si="98"/>
        <v>0</v>
      </c>
      <c r="J195" s="36">
        <f>COUNTIFS(Tracker!G:G,Daily!C195, Tracker!J:J,"Y",Tracker!E:E,1)</f>
        <v>0</v>
      </c>
      <c r="K195" s="36">
        <f>COUNTIFS(Tracker!G:G,Daily!C195, Tracker!J:J,"Y (with hints)",Tracker!E:E,1)</f>
        <v>0</v>
      </c>
      <c r="L195" s="37">
        <f>COUNTIFS(Tracker!G:G,Daily!C195, Tracker!J:J,"N",Tracker!E:E,1)</f>
        <v>0</v>
      </c>
      <c r="M195" s="55">
        <f t="shared" si="99"/>
        <v>0</v>
      </c>
      <c r="N195" s="36">
        <f>COUNTIFS(Tracker!G:G,Daily!C195, Tracker!J:J,"Y",Tracker!E:E,2)</f>
        <v>0</v>
      </c>
      <c r="O195" s="36">
        <f>COUNTIFS(Tracker!G:G,Daily!C195, Tracker!J:J,"Y (with hints)",Tracker!E:E,2)</f>
        <v>0</v>
      </c>
      <c r="P195" s="37">
        <f>COUNTIFS(Tracker!G:G,Daily!C195, Tracker!J:J,"N",Tracker!E:E,2)</f>
        <v>0</v>
      </c>
      <c r="Q195" s="58">
        <f t="shared" si="100"/>
        <v>0</v>
      </c>
      <c r="R195" s="36">
        <f>COUNTIFS(Tracker!G:G,Daily!C195, Tracker!J:J,"Y",Tracker!E:E,3)</f>
        <v>0</v>
      </c>
      <c r="S195" s="36">
        <f>COUNTIFS(Tracker!G:G,Daily!C195, Tracker!J:J,"Y (with hints)",Tracker!E:E,3)</f>
        <v>0</v>
      </c>
      <c r="T195" s="37">
        <f>COUNTIFS(Tracker!G:G,Daily!C195, Tracker!J:J,"N",Tracker!E:E,3)</f>
        <v>0</v>
      </c>
      <c r="V195" s="39">
        <f t="shared" si="101"/>
        <v>91</v>
      </c>
      <c r="W195" s="36">
        <f t="shared" si="102"/>
        <v>87</v>
      </c>
      <c r="X195" s="64">
        <f t="shared" si="103"/>
        <v>0.95604395604395609</v>
      </c>
      <c r="Y195" s="78">
        <f>AVERAGEIFS(Tracker!I:I, Tracker!E:E, 1, Tracker!G:G, "&lt;="&amp;Daily!C195, Tracker!J:J, "Y")</f>
        <v>12.574712643678161</v>
      </c>
      <c r="Z195" s="79">
        <f>COUNTIFS(Tracker!E:E, 1, Tracker!G:G, "&lt;="&amp;Daily!C195, Tracker!L:L, "N") / V195</f>
        <v>0.80219780219780223</v>
      </c>
      <c r="AA195" s="39">
        <f t="shared" si="104"/>
        <v>194</v>
      </c>
      <c r="AB195" s="36">
        <f t="shared" si="105"/>
        <v>160</v>
      </c>
      <c r="AC195" s="64">
        <f t="shared" si="106"/>
        <v>0.82474226804123707</v>
      </c>
      <c r="AD195" s="78">
        <f>AVERAGEIFS(Tracker!I:I, Tracker!E:E, 2, Tracker!G:G, "&lt;="&amp;Daily!C195, Tracker!J:J, "Y")</f>
        <v>26.40625</v>
      </c>
      <c r="AE195" s="79">
        <f>COUNTIFS(Tracker!E:E, 2, Tracker!G:G, "&lt;="&amp;Daily!C195, Tracker!L:L, "N") / AA195</f>
        <v>0.60824742268041232</v>
      </c>
      <c r="AF195" s="39">
        <f t="shared" si="107"/>
        <v>42</v>
      </c>
      <c r="AG195" s="36">
        <f t="shared" si="108"/>
        <v>27</v>
      </c>
      <c r="AH195" s="64">
        <f t="shared" si="109"/>
        <v>0.6428571428571429</v>
      </c>
      <c r="AI195" s="78">
        <f>IFERROR(AVERAGEIFS(Tracker!I:I, Tracker!E:E, 3, Tracker!G:G, "&lt;="&amp;Daily!C195, Tracker!J:J, "Y"), 0)</f>
        <v>40.074074074074076</v>
      </c>
      <c r="AJ195" s="79">
        <f>IFERROR(COUNTIFS(Tracker!E:E, 3, Tracker!G:G, "&lt;="&amp;Daily!C195, Tracker!L:L, "N") / AF195,  0)</f>
        <v>0.35714285714285715</v>
      </c>
      <c r="AK195" s="39">
        <f t="shared" si="110"/>
        <v>327</v>
      </c>
      <c r="AL195" s="36">
        <f t="shared" si="111"/>
        <v>274</v>
      </c>
      <c r="AM195" s="64">
        <f t="shared" si="112"/>
        <v>0.8379204892966361</v>
      </c>
      <c r="AN195" s="78">
        <f>IFERROR(AVERAGEIFS(Tracker!I:I,  Tracker!G:G, "&lt;="&amp;Daily!C195, Tracker!J:J, "Y"), 0)</f>
        <v>23.361313868613138</v>
      </c>
      <c r="AO195" s="79">
        <f>IFERROR(COUNTIFS(Tracker!G:G, "&lt;="&amp;Daily!C195, Tracker!L:L, "N") / AK195,  0)</f>
        <v>0.62996941896024461</v>
      </c>
    </row>
    <row r="196" spans="1:41" x14ac:dyDescent="0.25">
      <c r="A196" s="118">
        <f>A189+1</f>
        <v>28</v>
      </c>
      <c r="B196" s="28">
        <f t="shared" si="96"/>
        <v>45411</v>
      </c>
      <c r="C196" s="29">
        <f t="shared" si="113"/>
        <v>45411</v>
      </c>
      <c r="D196" s="108" t="b">
        <f t="shared" ca="1" si="79"/>
        <v>1</v>
      </c>
      <c r="E196" s="50">
        <f t="shared" si="97"/>
        <v>1</v>
      </c>
      <c r="F196" s="38">
        <f>COUNTIFS(Tracker!G:G,Daily!C196, Tracker!J:J,"Y")</f>
        <v>1</v>
      </c>
      <c r="G196" s="30">
        <f>COUNTIFS(Tracker!G:G,Daily!C196, Tracker!J:J,"Y (with hints)")</f>
        <v>0</v>
      </c>
      <c r="H196" s="31">
        <f>COUNTIFS(Tracker!G:G,Daily!C196, Tracker!J:J,"N")</f>
        <v>0</v>
      </c>
      <c r="I196" s="53">
        <f t="shared" si="98"/>
        <v>0</v>
      </c>
      <c r="J196" s="30">
        <f>COUNTIFS(Tracker!G:G,Daily!C196, Tracker!J:J,"Y",Tracker!E:E,1)</f>
        <v>0</v>
      </c>
      <c r="K196" s="30">
        <f>COUNTIFS(Tracker!G:G,Daily!C196, Tracker!J:J,"Y (with hints)",Tracker!E:E,1)</f>
        <v>0</v>
      </c>
      <c r="L196" s="31">
        <f>COUNTIFS(Tracker!G:G,Daily!C196, Tracker!J:J,"N",Tracker!E:E,1)</f>
        <v>0</v>
      </c>
      <c r="M196" s="53">
        <f t="shared" si="99"/>
        <v>1</v>
      </c>
      <c r="N196" s="30">
        <f>COUNTIFS(Tracker!G:G,Daily!C196, Tracker!J:J,"Y",Tracker!E:E,2)</f>
        <v>1</v>
      </c>
      <c r="O196" s="30">
        <f>COUNTIFS(Tracker!G:G,Daily!C196, Tracker!J:J,"Y (with hints)",Tracker!E:E,2)</f>
        <v>0</v>
      </c>
      <c r="P196" s="31">
        <f>COUNTIFS(Tracker!G:G,Daily!C196, Tracker!J:J,"N",Tracker!E:E,2)</f>
        <v>0</v>
      </c>
      <c r="Q196" s="56">
        <f t="shared" si="100"/>
        <v>0</v>
      </c>
      <c r="R196" s="30">
        <f>COUNTIFS(Tracker!G:G,Daily!C196, Tracker!J:J,"Y",Tracker!E:E,3)</f>
        <v>0</v>
      </c>
      <c r="S196" s="30">
        <f>COUNTIFS(Tracker!G:G,Daily!C196, Tracker!J:J,"Y (with hints)",Tracker!E:E,3)</f>
        <v>0</v>
      </c>
      <c r="T196" s="31">
        <f>COUNTIFS(Tracker!G:G,Daily!C196, Tracker!J:J,"N",Tracker!E:E,3)</f>
        <v>0</v>
      </c>
      <c r="V196" s="38">
        <f t="shared" si="101"/>
        <v>91</v>
      </c>
      <c r="W196" s="30">
        <f t="shared" si="102"/>
        <v>87</v>
      </c>
      <c r="X196" s="73">
        <f t="shared" si="103"/>
        <v>0.95604395604395609</v>
      </c>
      <c r="Y196" s="75">
        <f>AVERAGEIFS(Tracker!I:I, Tracker!E:E, 1, Tracker!G:G, "&lt;="&amp;Daily!C196, Tracker!J:J, "Y")</f>
        <v>12.574712643678161</v>
      </c>
      <c r="Z196" s="76">
        <f>COUNTIFS(Tracker!E:E, 1, Tracker!G:G, "&lt;="&amp;Daily!C196, Tracker!L:L, "N") / V196</f>
        <v>0.80219780219780223</v>
      </c>
      <c r="AA196" s="38">
        <f t="shared" si="104"/>
        <v>195</v>
      </c>
      <c r="AB196" s="30">
        <f t="shared" si="105"/>
        <v>161</v>
      </c>
      <c r="AC196" s="73">
        <f t="shared" si="106"/>
        <v>0.82564102564102559</v>
      </c>
      <c r="AD196" s="75">
        <f>AVERAGEIFS(Tracker!I:I, Tracker!E:E, 2, Tracker!G:G, "&lt;="&amp;Daily!C196, Tracker!J:J, "Y")</f>
        <v>26.378881987577639</v>
      </c>
      <c r="AE196" s="76">
        <f>COUNTIFS(Tracker!E:E, 2, Tracker!G:G, "&lt;="&amp;Daily!C196, Tracker!L:L, "N") / AA196</f>
        <v>0.61025641025641031</v>
      </c>
      <c r="AF196" s="38">
        <f t="shared" si="107"/>
        <v>42</v>
      </c>
      <c r="AG196" s="30">
        <f t="shared" si="108"/>
        <v>27</v>
      </c>
      <c r="AH196" s="73">
        <f t="shared" si="109"/>
        <v>0.6428571428571429</v>
      </c>
      <c r="AI196" s="75">
        <f>IFERROR(AVERAGEIFS(Tracker!I:I, Tracker!E:E, 3, Tracker!G:G, "&lt;="&amp;Daily!C196, Tracker!J:J, "Y"), 0)</f>
        <v>40.074074074074076</v>
      </c>
      <c r="AJ196" s="76">
        <f>IFERROR(COUNTIFS(Tracker!E:E, 3, Tracker!G:G, "&lt;="&amp;Daily!C196, Tracker!L:L, "N") / AF196,  0)</f>
        <v>0.35714285714285715</v>
      </c>
      <c r="AK196" s="38">
        <f t="shared" si="110"/>
        <v>328</v>
      </c>
      <c r="AL196" s="30">
        <f t="shared" si="111"/>
        <v>275</v>
      </c>
      <c r="AM196" s="73">
        <f t="shared" si="112"/>
        <v>0.83841463414634143</v>
      </c>
      <c r="AN196" s="75">
        <f>IFERROR(AVERAGEIFS(Tracker!I:I,  Tracker!G:G, "&lt;="&amp;Daily!C196, Tracker!J:J, "Y"), 0)</f>
        <v>23.356363636363636</v>
      </c>
      <c r="AO196" s="76">
        <f>IFERROR(COUNTIFS(Tracker!G:G, "&lt;="&amp;Daily!C196, Tracker!L:L, "N") / AK196,  0)</f>
        <v>0.63109756097560976</v>
      </c>
    </row>
    <row r="197" spans="1:41" x14ac:dyDescent="0.25">
      <c r="A197" s="119"/>
      <c r="B197" s="32">
        <f t="shared" si="96"/>
        <v>45412</v>
      </c>
      <c r="C197" s="27">
        <f t="shared" si="113"/>
        <v>45412</v>
      </c>
      <c r="D197" s="109" t="b">
        <f t="shared" ref="D197:D260" ca="1" si="114">C197&lt;=TODAY()</f>
        <v>1</v>
      </c>
      <c r="E197" s="51">
        <f t="shared" si="97"/>
        <v>0</v>
      </c>
      <c r="F197" s="48">
        <f>COUNTIFS(Tracker!G:G,Daily!C197, Tracker!J:J,"Y")</f>
        <v>0</v>
      </c>
      <c r="G197" s="26">
        <f>COUNTIFS(Tracker!G:G,Daily!C197, Tracker!J:J,"Y (with hints)")</f>
        <v>0</v>
      </c>
      <c r="H197" s="33">
        <f>COUNTIFS(Tracker!G:G,Daily!C197, Tracker!J:J,"N")</f>
        <v>0</v>
      </c>
      <c r="I197" s="54">
        <f t="shared" si="98"/>
        <v>0</v>
      </c>
      <c r="J197" s="26">
        <f>COUNTIFS(Tracker!G:G,Daily!C197, Tracker!J:J,"Y",Tracker!E:E,1)</f>
        <v>0</v>
      </c>
      <c r="K197" s="26">
        <f>COUNTIFS(Tracker!G:G,Daily!C197, Tracker!J:J,"Y (with hints)",Tracker!E:E,1)</f>
        <v>0</v>
      </c>
      <c r="L197" s="33">
        <f>COUNTIFS(Tracker!G:G,Daily!C197, Tracker!J:J,"N",Tracker!E:E,1)</f>
        <v>0</v>
      </c>
      <c r="M197" s="54">
        <f t="shared" si="99"/>
        <v>0</v>
      </c>
      <c r="N197" s="26">
        <f>COUNTIFS(Tracker!G:G,Daily!C197, Tracker!J:J,"Y",Tracker!E:E,2)</f>
        <v>0</v>
      </c>
      <c r="O197" s="26">
        <f>COUNTIFS(Tracker!G:G,Daily!C197, Tracker!J:J,"Y (with hints)",Tracker!E:E,2)</f>
        <v>0</v>
      </c>
      <c r="P197" s="33">
        <f>COUNTIFS(Tracker!G:G,Daily!C197, Tracker!J:J,"N",Tracker!E:E,2)</f>
        <v>0</v>
      </c>
      <c r="Q197" s="57">
        <f t="shared" si="100"/>
        <v>0</v>
      </c>
      <c r="R197" s="26">
        <f>COUNTIFS(Tracker!G:G,Daily!C197, Tracker!J:J,"Y",Tracker!E:E,3)</f>
        <v>0</v>
      </c>
      <c r="S197" s="26">
        <f>COUNTIFS(Tracker!G:G,Daily!C197, Tracker!J:J,"Y (with hints)",Tracker!E:E,3)</f>
        <v>0</v>
      </c>
      <c r="T197" s="33">
        <f>COUNTIFS(Tracker!G:G,Daily!C197, Tracker!J:J,"N",Tracker!E:E,3)</f>
        <v>0</v>
      </c>
      <c r="V197" s="48">
        <f t="shared" si="101"/>
        <v>91</v>
      </c>
      <c r="W197" s="26">
        <f t="shared" si="102"/>
        <v>87</v>
      </c>
      <c r="X197" s="62">
        <f t="shared" si="103"/>
        <v>0.95604395604395609</v>
      </c>
      <c r="Y197" s="74">
        <f>AVERAGEIFS(Tracker!I:I, Tracker!E:E, 1, Tracker!G:G, "&lt;="&amp;Daily!C197, Tracker!J:J, "Y")</f>
        <v>12.574712643678161</v>
      </c>
      <c r="Z197" s="77">
        <f>COUNTIFS(Tracker!E:E, 1, Tracker!G:G, "&lt;="&amp;Daily!C197, Tracker!L:L, "N") / V197</f>
        <v>0.80219780219780223</v>
      </c>
      <c r="AA197" s="48">
        <f t="shared" si="104"/>
        <v>195</v>
      </c>
      <c r="AB197" s="26">
        <f t="shared" si="105"/>
        <v>161</v>
      </c>
      <c r="AC197" s="62">
        <f t="shared" si="106"/>
        <v>0.82564102564102559</v>
      </c>
      <c r="AD197" s="74">
        <f>AVERAGEIFS(Tracker!I:I, Tracker!E:E, 2, Tracker!G:G, "&lt;="&amp;Daily!C197, Tracker!J:J, "Y")</f>
        <v>26.378881987577639</v>
      </c>
      <c r="AE197" s="77">
        <f>COUNTIFS(Tracker!E:E, 2, Tracker!G:G, "&lt;="&amp;Daily!C197, Tracker!L:L, "N") / AA197</f>
        <v>0.61025641025641031</v>
      </c>
      <c r="AF197" s="48">
        <f t="shared" si="107"/>
        <v>42</v>
      </c>
      <c r="AG197" s="26">
        <f t="shared" si="108"/>
        <v>27</v>
      </c>
      <c r="AH197" s="62">
        <f t="shared" si="109"/>
        <v>0.6428571428571429</v>
      </c>
      <c r="AI197" s="74">
        <f>IFERROR(AVERAGEIFS(Tracker!I:I, Tracker!E:E, 3, Tracker!G:G, "&lt;="&amp;Daily!C197, Tracker!J:J, "Y"), 0)</f>
        <v>40.074074074074076</v>
      </c>
      <c r="AJ197" s="77">
        <f>IFERROR(COUNTIFS(Tracker!E:E, 3, Tracker!G:G, "&lt;="&amp;Daily!C197, Tracker!L:L, "N") / AF197,  0)</f>
        <v>0.35714285714285715</v>
      </c>
      <c r="AK197" s="48">
        <f t="shared" si="110"/>
        <v>328</v>
      </c>
      <c r="AL197" s="26">
        <f t="shared" si="111"/>
        <v>275</v>
      </c>
      <c r="AM197" s="62">
        <f t="shared" si="112"/>
        <v>0.83841463414634143</v>
      </c>
      <c r="AN197" s="74">
        <f>IFERROR(AVERAGEIFS(Tracker!I:I,  Tracker!G:G, "&lt;="&amp;Daily!C197, Tracker!J:J, "Y"), 0)</f>
        <v>23.356363636363636</v>
      </c>
      <c r="AO197" s="77">
        <f>IFERROR(COUNTIFS(Tracker!G:G, "&lt;="&amp;Daily!C197, Tracker!L:L, "N") / AK197,  0)</f>
        <v>0.63109756097560976</v>
      </c>
    </row>
    <row r="198" spans="1:41" x14ac:dyDescent="0.25">
      <c r="A198" s="119"/>
      <c r="B198" s="32">
        <f t="shared" si="96"/>
        <v>45413</v>
      </c>
      <c r="C198" s="27">
        <f t="shared" si="113"/>
        <v>45413</v>
      </c>
      <c r="D198" s="109" t="b">
        <f t="shared" ca="1" si="114"/>
        <v>1</v>
      </c>
      <c r="E198" s="51">
        <f t="shared" si="97"/>
        <v>0</v>
      </c>
      <c r="F198" s="48">
        <f>COUNTIFS(Tracker!G:G,Daily!C198, Tracker!J:J,"Y")</f>
        <v>0</v>
      </c>
      <c r="G198" s="26">
        <f>COUNTIFS(Tracker!G:G,Daily!C198, Tracker!J:J,"Y (with hints)")</f>
        <v>0</v>
      </c>
      <c r="H198" s="33">
        <f>COUNTIFS(Tracker!G:G,Daily!C198, Tracker!J:J,"N")</f>
        <v>0</v>
      </c>
      <c r="I198" s="54">
        <f t="shared" si="98"/>
        <v>0</v>
      </c>
      <c r="J198" s="26">
        <f>COUNTIFS(Tracker!G:G,Daily!C198, Tracker!J:J,"Y",Tracker!E:E,1)</f>
        <v>0</v>
      </c>
      <c r="K198" s="26">
        <f>COUNTIFS(Tracker!G:G,Daily!C198, Tracker!J:J,"Y (with hints)",Tracker!E:E,1)</f>
        <v>0</v>
      </c>
      <c r="L198" s="33">
        <f>COUNTIFS(Tracker!G:G,Daily!C198, Tracker!J:J,"N",Tracker!E:E,1)</f>
        <v>0</v>
      </c>
      <c r="M198" s="54">
        <f t="shared" si="99"/>
        <v>0</v>
      </c>
      <c r="N198" s="26">
        <f>COUNTIFS(Tracker!G:G,Daily!C198, Tracker!J:J,"Y",Tracker!E:E,2)</f>
        <v>0</v>
      </c>
      <c r="O198" s="26">
        <f>COUNTIFS(Tracker!G:G,Daily!C198, Tracker!J:J,"Y (with hints)",Tracker!E:E,2)</f>
        <v>0</v>
      </c>
      <c r="P198" s="33">
        <f>COUNTIFS(Tracker!G:G,Daily!C198, Tracker!J:J,"N",Tracker!E:E,2)</f>
        <v>0</v>
      </c>
      <c r="Q198" s="57">
        <f t="shared" si="100"/>
        <v>0</v>
      </c>
      <c r="R198" s="26">
        <f>COUNTIFS(Tracker!G:G,Daily!C198, Tracker!J:J,"Y",Tracker!E:E,3)</f>
        <v>0</v>
      </c>
      <c r="S198" s="26">
        <f>COUNTIFS(Tracker!G:G,Daily!C198, Tracker!J:J,"Y (with hints)",Tracker!E:E,3)</f>
        <v>0</v>
      </c>
      <c r="T198" s="33">
        <f>COUNTIFS(Tracker!G:G,Daily!C198, Tracker!J:J,"N",Tracker!E:E,3)</f>
        <v>0</v>
      </c>
      <c r="V198" s="48">
        <f t="shared" si="101"/>
        <v>91</v>
      </c>
      <c r="W198" s="26">
        <f t="shared" si="102"/>
        <v>87</v>
      </c>
      <c r="X198" s="62">
        <f t="shared" si="103"/>
        <v>0.95604395604395609</v>
      </c>
      <c r="Y198" s="74">
        <f>AVERAGEIFS(Tracker!I:I, Tracker!E:E, 1, Tracker!G:G, "&lt;="&amp;Daily!C198, Tracker!J:J, "Y")</f>
        <v>12.574712643678161</v>
      </c>
      <c r="Z198" s="77">
        <f>COUNTIFS(Tracker!E:E, 1, Tracker!G:G, "&lt;="&amp;Daily!C198, Tracker!L:L, "N") / V198</f>
        <v>0.80219780219780223</v>
      </c>
      <c r="AA198" s="48">
        <f t="shared" si="104"/>
        <v>195</v>
      </c>
      <c r="AB198" s="26">
        <f t="shared" si="105"/>
        <v>161</v>
      </c>
      <c r="AC198" s="62">
        <f t="shared" si="106"/>
        <v>0.82564102564102559</v>
      </c>
      <c r="AD198" s="74">
        <f>AVERAGEIFS(Tracker!I:I, Tracker!E:E, 2, Tracker!G:G, "&lt;="&amp;Daily!C198, Tracker!J:J, "Y")</f>
        <v>26.378881987577639</v>
      </c>
      <c r="AE198" s="77">
        <f>COUNTIFS(Tracker!E:E, 2, Tracker!G:G, "&lt;="&amp;Daily!C198, Tracker!L:L, "N") / AA198</f>
        <v>0.61025641025641031</v>
      </c>
      <c r="AF198" s="48">
        <f t="shared" si="107"/>
        <v>42</v>
      </c>
      <c r="AG198" s="26">
        <f t="shared" si="108"/>
        <v>27</v>
      </c>
      <c r="AH198" s="62">
        <f t="shared" si="109"/>
        <v>0.6428571428571429</v>
      </c>
      <c r="AI198" s="74">
        <f>IFERROR(AVERAGEIFS(Tracker!I:I, Tracker!E:E, 3, Tracker!G:G, "&lt;="&amp;Daily!C198, Tracker!J:J, "Y"), 0)</f>
        <v>40.074074074074076</v>
      </c>
      <c r="AJ198" s="77">
        <f>IFERROR(COUNTIFS(Tracker!E:E, 3, Tracker!G:G, "&lt;="&amp;Daily!C198, Tracker!L:L, "N") / AF198,  0)</f>
        <v>0.35714285714285715</v>
      </c>
      <c r="AK198" s="48">
        <f t="shared" si="110"/>
        <v>328</v>
      </c>
      <c r="AL198" s="26">
        <f t="shared" si="111"/>
        <v>275</v>
      </c>
      <c r="AM198" s="62">
        <f t="shared" si="112"/>
        <v>0.83841463414634143</v>
      </c>
      <c r="AN198" s="74">
        <f>IFERROR(AVERAGEIFS(Tracker!I:I,  Tracker!G:G, "&lt;="&amp;Daily!C198, Tracker!J:J, "Y"), 0)</f>
        <v>23.356363636363636</v>
      </c>
      <c r="AO198" s="77">
        <f>IFERROR(COUNTIFS(Tracker!G:G, "&lt;="&amp;Daily!C198, Tracker!L:L, "N") / AK198,  0)</f>
        <v>0.63109756097560976</v>
      </c>
    </row>
    <row r="199" spans="1:41" x14ac:dyDescent="0.25">
      <c r="A199" s="119"/>
      <c r="B199" s="32">
        <f t="shared" si="96"/>
        <v>45414</v>
      </c>
      <c r="C199" s="27">
        <f t="shared" si="113"/>
        <v>45414</v>
      </c>
      <c r="D199" s="109" t="b">
        <f t="shared" ca="1" si="114"/>
        <v>1</v>
      </c>
      <c r="E199" s="51">
        <f t="shared" si="97"/>
        <v>0</v>
      </c>
      <c r="F199" s="48">
        <f>COUNTIFS(Tracker!G:G,Daily!C199, Tracker!J:J,"Y")</f>
        <v>0</v>
      </c>
      <c r="G199" s="26">
        <f>COUNTIFS(Tracker!G:G,Daily!C199, Tracker!J:J,"Y (with hints)")</f>
        <v>0</v>
      </c>
      <c r="H199" s="33">
        <f>COUNTIFS(Tracker!G:G,Daily!C199, Tracker!J:J,"N")</f>
        <v>0</v>
      </c>
      <c r="I199" s="54">
        <f t="shared" si="98"/>
        <v>0</v>
      </c>
      <c r="J199" s="26">
        <f>COUNTIFS(Tracker!G:G,Daily!C199, Tracker!J:J,"Y",Tracker!E:E,1)</f>
        <v>0</v>
      </c>
      <c r="K199" s="26">
        <f>COUNTIFS(Tracker!G:G,Daily!C199, Tracker!J:J,"Y (with hints)",Tracker!E:E,1)</f>
        <v>0</v>
      </c>
      <c r="L199" s="33">
        <f>COUNTIFS(Tracker!G:G,Daily!C199, Tracker!J:J,"N",Tracker!E:E,1)</f>
        <v>0</v>
      </c>
      <c r="M199" s="54">
        <f t="shared" si="99"/>
        <v>0</v>
      </c>
      <c r="N199" s="26">
        <f>COUNTIFS(Tracker!G:G,Daily!C199, Tracker!J:J,"Y",Tracker!E:E,2)</f>
        <v>0</v>
      </c>
      <c r="O199" s="26">
        <f>COUNTIFS(Tracker!G:G,Daily!C199, Tracker!J:J,"Y (with hints)",Tracker!E:E,2)</f>
        <v>0</v>
      </c>
      <c r="P199" s="33">
        <f>COUNTIFS(Tracker!G:G,Daily!C199, Tracker!J:J,"N",Tracker!E:E,2)</f>
        <v>0</v>
      </c>
      <c r="Q199" s="57">
        <f t="shared" si="100"/>
        <v>0</v>
      </c>
      <c r="R199" s="26">
        <f>COUNTIFS(Tracker!G:G,Daily!C199, Tracker!J:J,"Y",Tracker!E:E,3)</f>
        <v>0</v>
      </c>
      <c r="S199" s="26">
        <f>COUNTIFS(Tracker!G:G,Daily!C199, Tracker!J:J,"Y (with hints)",Tracker!E:E,3)</f>
        <v>0</v>
      </c>
      <c r="T199" s="33">
        <f>COUNTIFS(Tracker!G:G,Daily!C199, Tracker!J:J,"N",Tracker!E:E,3)</f>
        <v>0</v>
      </c>
      <c r="V199" s="48">
        <f t="shared" si="101"/>
        <v>91</v>
      </c>
      <c r="W199" s="26">
        <f t="shared" si="102"/>
        <v>87</v>
      </c>
      <c r="X199" s="62">
        <f t="shared" si="103"/>
        <v>0.95604395604395609</v>
      </c>
      <c r="Y199" s="74">
        <f>AVERAGEIFS(Tracker!I:I, Tracker!E:E, 1, Tracker!G:G, "&lt;="&amp;Daily!C199, Tracker!J:J, "Y")</f>
        <v>12.574712643678161</v>
      </c>
      <c r="Z199" s="77">
        <f>COUNTIFS(Tracker!E:E, 1, Tracker!G:G, "&lt;="&amp;Daily!C199, Tracker!L:L, "N") / V199</f>
        <v>0.80219780219780223</v>
      </c>
      <c r="AA199" s="48">
        <f t="shared" si="104"/>
        <v>195</v>
      </c>
      <c r="AB199" s="26">
        <f t="shared" si="105"/>
        <v>161</v>
      </c>
      <c r="AC199" s="62">
        <f t="shared" si="106"/>
        <v>0.82564102564102559</v>
      </c>
      <c r="AD199" s="74">
        <f>AVERAGEIFS(Tracker!I:I, Tracker!E:E, 2, Tracker!G:G, "&lt;="&amp;Daily!C199, Tracker!J:J, "Y")</f>
        <v>26.378881987577639</v>
      </c>
      <c r="AE199" s="77">
        <f>COUNTIFS(Tracker!E:E, 2, Tracker!G:G, "&lt;="&amp;Daily!C199, Tracker!L:L, "N") / AA199</f>
        <v>0.61025641025641031</v>
      </c>
      <c r="AF199" s="48">
        <f t="shared" si="107"/>
        <v>42</v>
      </c>
      <c r="AG199" s="26">
        <f t="shared" si="108"/>
        <v>27</v>
      </c>
      <c r="AH199" s="62">
        <f t="shared" si="109"/>
        <v>0.6428571428571429</v>
      </c>
      <c r="AI199" s="74">
        <f>IFERROR(AVERAGEIFS(Tracker!I:I, Tracker!E:E, 3, Tracker!G:G, "&lt;="&amp;Daily!C199, Tracker!J:J, "Y"), 0)</f>
        <v>40.074074074074076</v>
      </c>
      <c r="AJ199" s="77">
        <f>IFERROR(COUNTIFS(Tracker!E:E, 3, Tracker!G:G, "&lt;="&amp;Daily!C199, Tracker!L:L, "N") / AF199,  0)</f>
        <v>0.35714285714285715</v>
      </c>
      <c r="AK199" s="48">
        <f t="shared" si="110"/>
        <v>328</v>
      </c>
      <c r="AL199" s="26">
        <f t="shared" si="111"/>
        <v>275</v>
      </c>
      <c r="AM199" s="62">
        <f t="shared" si="112"/>
        <v>0.83841463414634143</v>
      </c>
      <c r="AN199" s="74">
        <f>IFERROR(AVERAGEIFS(Tracker!I:I,  Tracker!G:G, "&lt;="&amp;Daily!C199, Tracker!J:J, "Y"), 0)</f>
        <v>23.356363636363636</v>
      </c>
      <c r="AO199" s="77">
        <f>IFERROR(COUNTIFS(Tracker!G:G, "&lt;="&amp;Daily!C199, Tracker!L:L, "N") / AK199,  0)</f>
        <v>0.63109756097560976</v>
      </c>
    </row>
    <row r="200" spans="1:41" x14ac:dyDescent="0.25">
      <c r="A200" s="119"/>
      <c r="B200" s="32">
        <f t="shared" si="96"/>
        <v>45415</v>
      </c>
      <c r="C200" s="27">
        <f t="shared" si="113"/>
        <v>45415</v>
      </c>
      <c r="D200" s="109" t="b">
        <f t="shared" ca="1" si="114"/>
        <v>1</v>
      </c>
      <c r="E200" s="51">
        <f t="shared" si="97"/>
        <v>0</v>
      </c>
      <c r="F200" s="48">
        <f>COUNTIFS(Tracker!G:G,Daily!C200, Tracker!J:J,"Y")</f>
        <v>0</v>
      </c>
      <c r="G200" s="26">
        <f>COUNTIFS(Tracker!G:G,Daily!C200, Tracker!J:J,"Y (with hints)")</f>
        <v>0</v>
      </c>
      <c r="H200" s="33">
        <f>COUNTIFS(Tracker!G:G,Daily!C200, Tracker!J:J,"N")</f>
        <v>0</v>
      </c>
      <c r="I200" s="54">
        <f t="shared" si="98"/>
        <v>0</v>
      </c>
      <c r="J200" s="26">
        <f>COUNTIFS(Tracker!G:G,Daily!C200, Tracker!J:J,"Y",Tracker!E:E,1)</f>
        <v>0</v>
      </c>
      <c r="K200" s="26">
        <f>COUNTIFS(Tracker!G:G,Daily!C200, Tracker!J:J,"Y (with hints)",Tracker!E:E,1)</f>
        <v>0</v>
      </c>
      <c r="L200" s="33">
        <f>COUNTIFS(Tracker!G:G,Daily!C200, Tracker!J:J,"N",Tracker!E:E,1)</f>
        <v>0</v>
      </c>
      <c r="M200" s="54">
        <f t="shared" si="99"/>
        <v>0</v>
      </c>
      <c r="N200" s="26">
        <f>COUNTIFS(Tracker!G:G,Daily!C200, Tracker!J:J,"Y",Tracker!E:E,2)</f>
        <v>0</v>
      </c>
      <c r="O200" s="26">
        <f>COUNTIFS(Tracker!G:G,Daily!C200, Tracker!J:J,"Y (with hints)",Tracker!E:E,2)</f>
        <v>0</v>
      </c>
      <c r="P200" s="33">
        <f>COUNTIFS(Tracker!G:G,Daily!C200, Tracker!J:J,"N",Tracker!E:E,2)</f>
        <v>0</v>
      </c>
      <c r="Q200" s="57">
        <f t="shared" si="100"/>
        <v>0</v>
      </c>
      <c r="R200" s="26">
        <f>COUNTIFS(Tracker!G:G,Daily!C200, Tracker!J:J,"Y",Tracker!E:E,3)</f>
        <v>0</v>
      </c>
      <c r="S200" s="26">
        <f>COUNTIFS(Tracker!G:G,Daily!C200, Tracker!J:J,"Y (with hints)",Tracker!E:E,3)</f>
        <v>0</v>
      </c>
      <c r="T200" s="33">
        <f>COUNTIFS(Tracker!G:G,Daily!C200, Tracker!J:J,"N",Tracker!E:E,3)</f>
        <v>0</v>
      </c>
      <c r="V200" s="48">
        <f t="shared" si="101"/>
        <v>91</v>
      </c>
      <c r="W200" s="26">
        <f t="shared" si="102"/>
        <v>87</v>
      </c>
      <c r="X200" s="62">
        <f t="shared" si="103"/>
        <v>0.95604395604395609</v>
      </c>
      <c r="Y200" s="74">
        <f>AVERAGEIFS(Tracker!I:I, Tracker!E:E, 1, Tracker!G:G, "&lt;="&amp;Daily!C200, Tracker!J:J, "Y")</f>
        <v>12.574712643678161</v>
      </c>
      <c r="Z200" s="77">
        <f>COUNTIFS(Tracker!E:E, 1, Tracker!G:G, "&lt;="&amp;Daily!C200, Tracker!L:L, "N") / V200</f>
        <v>0.80219780219780223</v>
      </c>
      <c r="AA200" s="48">
        <f t="shared" si="104"/>
        <v>195</v>
      </c>
      <c r="AB200" s="26">
        <f t="shared" si="105"/>
        <v>161</v>
      </c>
      <c r="AC200" s="62">
        <f t="shared" si="106"/>
        <v>0.82564102564102559</v>
      </c>
      <c r="AD200" s="74">
        <f>AVERAGEIFS(Tracker!I:I, Tracker!E:E, 2, Tracker!G:G, "&lt;="&amp;Daily!C200, Tracker!J:J, "Y")</f>
        <v>26.378881987577639</v>
      </c>
      <c r="AE200" s="77">
        <f>COUNTIFS(Tracker!E:E, 2, Tracker!G:G, "&lt;="&amp;Daily!C200, Tracker!L:L, "N") / AA200</f>
        <v>0.61025641025641031</v>
      </c>
      <c r="AF200" s="48">
        <f t="shared" si="107"/>
        <v>42</v>
      </c>
      <c r="AG200" s="26">
        <f t="shared" si="108"/>
        <v>27</v>
      </c>
      <c r="AH200" s="62">
        <f t="shared" si="109"/>
        <v>0.6428571428571429</v>
      </c>
      <c r="AI200" s="74">
        <f>IFERROR(AVERAGEIFS(Tracker!I:I, Tracker!E:E, 3, Tracker!G:G, "&lt;="&amp;Daily!C200, Tracker!J:J, "Y"), 0)</f>
        <v>40.074074074074076</v>
      </c>
      <c r="AJ200" s="77">
        <f>IFERROR(COUNTIFS(Tracker!E:E, 3, Tracker!G:G, "&lt;="&amp;Daily!C200, Tracker!L:L, "N") / AF200,  0)</f>
        <v>0.35714285714285715</v>
      </c>
      <c r="AK200" s="48">
        <f t="shared" si="110"/>
        <v>328</v>
      </c>
      <c r="AL200" s="26">
        <f t="shared" si="111"/>
        <v>275</v>
      </c>
      <c r="AM200" s="62">
        <f t="shared" si="112"/>
        <v>0.83841463414634143</v>
      </c>
      <c r="AN200" s="74">
        <f>IFERROR(AVERAGEIFS(Tracker!I:I,  Tracker!G:G, "&lt;="&amp;Daily!C200, Tracker!J:J, "Y"), 0)</f>
        <v>23.356363636363636</v>
      </c>
      <c r="AO200" s="77">
        <f>IFERROR(COUNTIFS(Tracker!G:G, "&lt;="&amp;Daily!C200, Tracker!L:L, "N") / AK200,  0)</f>
        <v>0.63109756097560976</v>
      </c>
    </row>
    <row r="201" spans="1:41" x14ac:dyDescent="0.25">
      <c r="A201" s="119"/>
      <c r="B201" s="32">
        <f t="shared" si="96"/>
        <v>45416</v>
      </c>
      <c r="C201" s="27">
        <f t="shared" si="113"/>
        <v>45416</v>
      </c>
      <c r="D201" s="109" t="b">
        <f t="shared" ca="1" si="114"/>
        <v>1</v>
      </c>
      <c r="E201" s="51">
        <f t="shared" si="97"/>
        <v>0</v>
      </c>
      <c r="F201" s="48">
        <f>COUNTIFS(Tracker!G:G,Daily!C201, Tracker!J:J,"Y")</f>
        <v>0</v>
      </c>
      <c r="G201" s="26">
        <f>COUNTIFS(Tracker!G:G,Daily!C201, Tracker!J:J,"Y (with hints)")</f>
        <v>0</v>
      </c>
      <c r="H201" s="33">
        <f>COUNTIFS(Tracker!G:G,Daily!C201, Tracker!J:J,"N")</f>
        <v>0</v>
      </c>
      <c r="I201" s="54">
        <f t="shared" si="98"/>
        <v>0</v>
      </c>
      <c r="J201" s="26">
        <f>COUNTIFS(Tracker!G:G,Daily!C201, Tracker!J:J,"Y",Tracker!E:E,1)</f>
        <v>0</v>
      </c>
      <c r="K201" s="26">
        <f>COUNTIFS(Tracker!G:G,Daily!C201, Tracker!J:J,"Y (with hints)",Tracker!E:E,1)</f>
        <v>0</v>
      </c>
      <c r="L201" s="33">
        <f>COUNTIFS(Tracker!G:G,Daily!C201, Tracker!J:J,"N",Tracker!E:E,1)</f>
        <v>0</v>
      </c>
      <c r="M201" s="54">
        <f t="shared" si="99"/>
        <v>0</v>
      </c>
      <c r="N201" s="26">
        <f>COUNTIFS(Tracker!G:G,Daily!C201, Tracker!J:J,"Y",Tracker!E:E,2)</f>
        <v>0</v>
      </c>
      <c r="O201" s="26">
        <f>COUNTIFS(Tracker!G:G,Daily!C201, Tracker!J:J,"Y (with hints)",Tracker!E:E,2)</f>
        <v>0</v>
      </c>
      <c r="P201" s="33">
        <f>COUNTIFS(Tracker!G:G,Daily!C201, Tracker!J:J,"N",Tracker!E:E,2)</f>
        <v>0</v>
      </c>
      <c r="Q201" s="57">
        <f t="shared" si="100"/>
        <v>0</v>
      </c>
      <c r="R201" s="26">
        <f>COUNTIFS(Tracker!G:G,Daily!C201, Tracker!J:J,"Y",Tracker!E:E,3)</f>
        <v>0</v>
      </c>
      <c r="S201" s="26">
        <f>COUNTIFS(Tracker!G:G,Daily!C201, Tracker!J:J,"Y (with hints)",Tracker!E:E,3)</f>
        <v>0</v>
      </c>
      <c r="T201" s="33">
        <f>COUNTIFS(Tracker!G:G,Daily!C201, Tracker!J:J,"N",Tracker!E:E,3)</f>
        <v>0</v>
      </c>
      <c r="V201" s="48">
        <f t="shared" si="101"/>
        <v>91</v>
      </c>
      <c r="W201" s="26">
        <f t="shared" si="102"/>
        <v>87</v>
      </c>
      <c r="X201" s="62">
        <f t="shared" si="103"/>
        <v>0.95604395604395609</v>
      </c>
      <c r="Y201" s="74">
        <f>AVERAGEIFS(Tracker!I:I, Tracker!E:E, 1, Tracker!G:G, "&lt;="&amp;Daily!C201, Tracker!J:J, "Y")</f>
        <v>12.574712643678161</v>
      </c>
      <c r="Z201" s="77">
        <f>COUNTIFS(Tracker!E:E, 1, Tracker!G:G, "&lt;="&amp;Daily!C201, Tracker!L:L, "N") / V201</f>
        <v>0.80219780219780223</v>
      </c>
      <c r="AA201" s="48">
        <f t="shared" si="104"/>
        <v>195</v>
      </c>
      <c r="AB201" s="26">
        <f t="shared" si="105"/>
        <v>161</v>
      </c>
      <c r="AC201" s="62">
        <f t="shared" si="106"/>
        <v>0.82564102564102559</v>
      </c>
      <c r="AD201" s="74">
        <f>AVERAGEIFS(Tracker!I:I, Tracker!E:E, 2, Tracker!G:G, "&lt;="&amp;Daily!C201, Tracker!J:J, "Y")</f>
        <v>26.378881987577639</v>
      </c>
      <c r="AE201" s="77">
        <f>COUNTIFS(Tracker!E:E, 2, Tracker!G:G, "&lt;="&amp;Daily!C201, Tracker!L:L, "N") / AA201</f>
        <v>0.61025641025641031</v>
      </c>
      <c r="AF201" s="48">
        <f t="shared" si="107"/>
        <v>42</v>
      </c>
      <c r="AG201" s="26">
        <f t="shared" si="108"/>
        <v>27</v>
      </c>
      <c r="AH201" s="62">
        <f t="shared" si="109"/>
        <v>0.6428571428571429</v>
      </c>
      <c r="AI201" s="74">
        <f>IFERROR(AVERAGEIFS(Tracker!I:I, Tracker!E:E, 3, Tracker!G:G, "&lt;="&amp;Daily!C201, Tracker!J:J, "Y"), 0)</f>
        <v>40.074074074074076</v>
      </c>
      <c r="AJ201" s="77">
        <f>IFERROR(COUNTIFS(Tracker!E:E, 3, Tracker!G:G, "&lt;="&amp;Daily!C201, Tracker!L:L, "N") / AF201,  0)</f>
        <v>0.35714285714285715</v>
      </c>
      <c r="AK201" s="48">
        <f t="shared" si="110"/>
        <v>328</v>
      </c>
      <c r="AL201" s="26">
        <f t="shared" si="111"/>
        <v>275</v>
      </c>
      <c r="AM201" s="62">
        <f t="shared" si="112"/>
        <v>0.83841463414634143</v>
      </c>
      <c r="AN201" s="74">
        <f>IFERROR(AVERAGEIFS(Tracker!I:I,  Tracker!G:G, "&lt;="&amp;Daily!C201, Tracker!J:J, "Y"), 0)</f>
        <v>23.356363636363636</v>
      </c>
      <c r="AO201" s="77">
        <f>IFERROR(COUNTIFS(Tracker!G:G, "&lt;="&amp;Daily!C201, Tracker!L:L, "N") / AK201,  0)</f>
        <v>0.63109756097560976</v>
      </c>
    </row>
    <row r="202" spans="1:41" ht="15.75" thickBot="1" x14ac:dyDescent="0.3">
      <c r="A202" s="120"/>
      <c r="B202" s="34">
        <f t="shared" si="96"/>
        <v>45417</v>
      </c>
      <c r="C202" s="35">
        <f t="shared" si="113"/>
        <v>45417</v>
      </c>
      <c r="D202" s="110" t="b">
        <f t="shared" ca="1" si="114"/>
        <v>1</v>
      </c>
      <c r="E202" s="52">
        <f t="shared" si="97"/>
        <v>0</v>
      </c>
      <c r="F202" s="39">
        <f>COUNTIFS(Tracker!G:G,Daily!C202, Tracker!J:J,"Y")</f>
        <v>0</v>
      </c>
      <c r="G202" s="36">
        <f>COUNTIFS(Tracker!G:G,Daily!C202, Tracker!J:J,"Y (with hints)")</f>
        <v>0</v>
      </c>
      <c r="H202" s="37">
        <f>COUNTIFS(Tracker!G:G,Daily!C202, Tracker!J:J,"N")</f>
        <v>0</v>
      </c>
      <c r="I202" s="55">
        <f t="shared" si="98"/>
        <v>0</v>
      </c>
      <c r="J202" s="36">
        <f>COUNTIFS(Tracker!G:G,Daily!C202, Tracker!J:J,"Y",Tracker!E:E,1)</f>
        <v>0</v>
      </c>
      <c r="K202" s="36">
        <f>COUNTIFS(Tracker!G:G,Daily!C202, Tracker!J:J,"Y (with hints)",Tracker!E:E,1)</f>
        <v>0</v>
      </c>
      <c r="L202" s="37">
        <f>COUNTIFS(Tracker!G:G,Daily!C202, Tracker!J:J,"N",Tracker!E:E,1)</f>
        <v>0</v>
      </c>
      <c r="M202" s="55">
        <f t="shared" si="99"/>
        <v>0</v>
      </c>
      <c r="N202" s="36">
        <f>COUNTIFS(Tracker!G:G,Daily!C202, Tracker!J:J,"Y",Tracker!E:E,2)</f>
        <v>0</v>
      </c>
      <c r="O202" s="36">
        <f>COUNTIFS(Tracker!G:G,Daily!C202, Tracker!J:J,"Y (with hints)",Tracker!E:E,2)</f>
        <v>0</v>
      </c>
      <c r="P202" s="37">
        <f>COUNTIFS(Tracker!G:G,Daily!C202, Tracker!J:J,"N",Tracker!E:E,2)</f>
        <v>0</v>
      </c>
      <c r="Q202" s="58">
        <f t="shared" si="100"/>
        <v>0</v>
      </c>
      <c r="R202" s="36">
        <f>COUNTIFS(Tracker!G:G,Daily!C202, Tracker!J:J,"Y",Tracker!E:E,3)</f>
        <v>0</v>
      </c>
      <c r="S202" s="36">
        <f>COUNTIFS(Tracker!G:G,Daily!C202, Tracker!J:J,"Y (with hints)",Tracker!E:E,3)</f>
        <v>0</v>
      </c>
      <c r="T202" s="37">
        <f>COUNTIFS(Tracker!G:G,Daily!C202, Tracker!J:J,"N",Tracker!E:E,3)</f>
        <v>0</v>
      </c>
      <c r="V202" s="39">
        <f t="shared" si="101"/>
        <v>91</v>
      </c>
      <c r="W202" s="36">
        <f t="shared" si="102"/>
        <v>87</v>
      </c>
      <c r="X202" s="64">
        <f t="shared" si="103"/>
        <v>0.95604395604395609</v>
      </c>
      <c r="Y202" s="78">
        <f>AVERAGEIFS(Tracker!I:I, Tracker!E:E, 1, Tracker!G:G, "&lt;="&amp;Daily!C202, Tracker!J:J, "Y")</f>
        <v>12.574712643678161</v>
      </c>
      <c r="Z202" s="79">
        <f>COUNTIFS(Tracker!E:E, 1, Tracker!G:G, "&lt;="&amp;Daily!C202, Tracker!L:L, "N") / V202</f>
        <v>0.80219780219780223</v>
      </c>
      <c r="AA202" s="39">
        <f t="shared" si="104"/>
        <v>195</v>
      </c>
      <c r="AB202" s="36">
        <f t="shared" si="105"/>
        <v>161</v>
      </c>
      <c r="AC202" s="64">
        <f t="shared" si="106"/>
        <v>0.82564102564102559</v>
      </c>
      <c r="AD202" s="78">
        <f>AVERAGEIFS(Tracker!I:I, Tracker!E:E, 2, Tracker!G:G, "&lt;="&amp;Daily!C202, Tracker!J:J, "Y")</f>
        <v>26.378881987577639</v>
      </c>
      <c r="AE202" s="79">
        <f>COUNTIFS(Tracker!E:E, 2, Tracker!G:G, "&lt;="&amp;Daily!C202, Tracker!L:L, "N") / AA202</f>
        <v>0.61025641025641031</v>
      </c>
      <c r="AF202" s="39">
        <f t="shared" si="107"/>
        <v>42</v>
      </c>
      <c r="AG202" s="36">
        <f t="shared" si="108"/>
        <v>27</v>
      </c>
      <c r="AH202" s="64">
        <f t="shared" si="109"/>
        <v>0.6428571428571429</v>
      </c>
      <c r="AI202" s="78">
        <f>IFERROR(AVERAGEIFS(Tracker!I:I, Tracker!E:E, 3, Tracker!G:G, "&lt;="&amp;Daily!C202, Tracker!J:J, "Y"), 0)</f>
        <v>40.074074074074076</v>
      </c>
      <c r="AJ202" s="79">
        <f>IFERROR(COUNTIFS(Tracker!E:E, 3, Tracker!G:G, "&lt;="&amp;Daily!C202, Tracker!L:L, "N") / AF202,  0)</f>
        <v>0.35714285714285715</v>
      </c>
      <c r="AK202" s="39">
        <f t="shared" si="110"/>
        <v>328</v>
      </c>
      <c r="AL202" s="36">
        <f t="shared" si="111"/>
        <v>275</v>
      </c>
      <c r="AM202" s="64">
        <f t="shared" si="112"/>
        <v>0.83841463414634143</v>
      </c>
      <c r="AN202" s="78">
        <f>IFERROR(AVERAGEIFS(Tracker!I:I,  Tracker!G:G, "&lt;="&amp;Daily!C202, Tracker!J:J, "Y"), 0)</f>
        <v>23.356363636363636</v>
      </c>
      <c r="AO202" s="79">
        <f>IFERROR(COUNTIFS(Tracker!G:G, "&lt;="&amp;Daily!C202, Tracker!L:L, "N") / AK202,  0)</f>
        <v>0.63109756097560976</v>
      </c>
    </row>
    <row r="203" spans="1:41" x14ac:dyDescent="0.25">
      <c r="A203" s="118">
        <f>A196+1</f>
        <v>29</v>
      </c>
      <c r="B203" s="28">
        <f t="shared" si="96"/>
        <v>45418</v>
      </c>
      <c r="C203" s="29">
        <f t="shared" si="113"/>
        <v>45418</v>
      </c>
      <c r="D203" s="108" t="b">
        <f t="shared" ca="1" si="114"/>
        <v>1</v>
      </c>
      <c r="E203" s="50">
        <f t="shared" si="97"/>
        <v>0</v>
      </c>
      <c r="F203" s="38">
        <f>COUNTIFS(Tracker!G:G,Daily!C203, Tracker!J:J,"Y")</f>
        <v>0</v>
      </c>
      <c r="G203" s="30">
        <f>COUNTIFS(Tracker!G:G,Daily!C203, Tracker!J:J,"Y (with hints)")</f>
        <v>0</v>
      </c>
      <c r="H203" s="31">
        <f>COUNTIFS(Tracker!G:G,Daily!C203, Tracker!J:J,"N")</f>
        <v>0</v>
      </c>
      <c r="I203" s="53">
        <f t="shared" si="98"/>
        <v>0</v>
      </c>
      <c r="J203" s="30">
        <f>COUNTIFS(Tracker!G:G,Daily!C203, Tracker!J:J,"Y",Tracker!E:E,1)</f>
        <v>0</v>
      </c>
      <c r="K203" s="30">
        <f>COUNTIFS(Tracker!G:G,Daily!C203, Tracker!J:J,"Y (with hints)",Tracker!E:E,1)</f>
        <v>0</v>
      </c>
      <c r="L203" s="31">
        <f>COUNTIFS(Tracker!G:G,Daily!C203, Tracker!J:J,"N",Tracker!E:E,1)</f>
        <v>0</v>
      </c>
      <c r="M203" s="53">
        <f t="shared" si="99"/>
        <v>0</v>
      </c>
      <c r="N203" s="30">
        <f>COUNTIFS(Tracker!G:G,Daily!C203, Tracker!J:J,"Y",Tracker!E:E,2)</f>
        <v>0</v>
      </c>
      <c r="O203" s="30">
        <f>COUNTIFS(Tracker!G:G,Daily!C203, Tracker!J:J,"Y (with hints)",Tracker!E:E,2)</f>
        <v>0</v>
      </c>
      <c r="P203" s="31">
        <f>COUNTIFS(Tracker!G:G,Daily!C203, Tracker!J:J,"N",Tracker!E:E,2)</f>
        <v>0</v>
      </c>
      <c r="Q203" s="56">
        <f t="shared" si="100"/>
        <v>0</v>
      </c>
      <c r="R203" s="30">
        <f>COUNTIFS(Tracker!G:G,Daily!C203, Tracker!J:J,"Y",Tracker!E:E,3)</f>
        <v>0</v>
      </c>
      <c r="S203" s="30">
        <f>COUNTIFS(Tracker!G:G,Daily!C203, Tracker!J:J,"Y (with hints)",Tracker!E:E,3)</f>
        <v>0</v>
      </c>
      <c r="T203" s="31">
        <f>COUNTIFS(Tracker!G:G,Daily!C203, Tracker!J:J,"N",Tracker!E:E,3)</f>
        <v>0</v>
      </c>
      <c r="V203" s="38">
        <f t="shared" si="101"/>
        <v>91</v>
      </c>
      <c r="W203" s="30">
        <f t="shared" si="102"/>
        <v>87</v>
      </c>
      <c r="X203" s="73">
        <f t="shared" si="103"/>
        <v>0.95604395604395609</v>
      </c>
      <c r="Y203" s="75">
        <f>AVERAGEIFS(Tracker!I:I, Tracker!E:E, 1, Tracker!G:G, "&lt;="&amp;Daily!C203, Tracker!J:J, "Y")</f>
        <v>12.574712643678161</v>
      </c>
      <c r="Z203" s="76">
        <f>COUNTIFS(Tracker!E:E, 1, Tracker!G:G, "&lt;="&amp;Daily!C203, Tracker!L:L, "N") / V203</f>
        <v>0.80219780219780223</v>
      </c>
      <c r="AA203" s="38">
        <f t="shared" si="104"/>
        <v>195</v>
      </c>
      <c r="AB203" s="30">
        <f t="shared" si="105"/>
        <v>161</v>
      </c>
      <c r="AC203" s="73">
        <f t="shared" si="106"/>
        <v>0.82564102564102559</v>
      </c>
      <c r="AD203" s="75">
        <f>AVERAGEIFS(Tracker!I:I, Tracker!E:E, 2, Tracker!G:G, "&lt;="&amp;Daily!C203, Tracker!J:J, "Y")</f>
        <v>26.378881987577639</v>
      </c>
      <c r="AE203" s="76">
        <f>COUNTIFS(Tracker!E:E, 2, Tracker!G:G, "&lt;="&amp;Daily!C203, Tracker!L:L, "N") / AA203</f>
        <v>0.61025641025641031</v>
      </c>
      <c r="AF203" s="38">
        <f t="shared" si="107"/>
        <v>42</v>
      </c>
      <c r="AG203" s="30">
        <f t="shared" si="108"/>
        <v>27</v>
      </c>
      <c r="AH203" s="73">
        <f t="shared" si="109"/>
        <v>0.6428571428571429</v>
      </c>
      <c r="AI203" s="75">
        <f>IFERROR(AVERAGEIFS(Tracker!I:I, Tracker!E:E, 3, Tracker!G:G, "&lt;="&amp;Daily!C203, Tracker!J:J, "Y"), 0)</f>
        <v>40.074074074074076</v>
      </c>
      <c r="AJ203" s="76">
        <f>IFERROR(COUNTIFS(Tracker!E:E, 3, Tracker!G:G, "&lt;="&amp;Daily!C203, Tracker!L:L, "N") / AF203,  0)</f>
        <v>0.35714285714285715</v>
      </c>
      <c r="AK203" s="38">
        <f t="shared" si="110"/>
        <v>328</v>
      </c>
      <c r="AL203" s="30">
        <f t="shared" si="111"/>
        <v>275</v>
      </c>
      <c r="AM203" s="73">
        <f t="shared" si="112"/>
        <v>0.83841463414634143</v>
      </c>
      <c r="AN203" s="75">
        <f>IFERROR(AVERAGEIFS(Tracker!I:I,  Tracker!G:G, "&lt;="&amp;Daily!C203, Tracker!J:J, "Y"), 0)</f>
        <v>23.356363636363636</v>
      </c>
      <c r="AO203" s="76">
        <f>IFERROR(COUNTIFS(Tracker!G:G, "&lt;="&amp;Daily!C203, Tracker!L:L, "N") / AK203,  0)</f>
        <v>0.63109756097560976</v>
      </c>
    </row>
    <row r="204" spans="1:41" x14ac:dyDescent="0.25">
      <c r="A204" s="119"/>
      <c r="B204" s="32">
        <f t="shared" ref="B204:B267" si="115">C204</f>
        <v>45419</v>
      </c>
      <c r="C204" s="27">
        <f t="shared" si="113"/>
        <v>45419</v>
      </c>
      <c r="D204" s="109" t="b">
        <f t="shared" ca="1" si="114"/>
        <v>1</v>
      </c>
      <c r="E204" s="51">
        <f t="shared" ref="E204:E267" si="116">SUM(F204:H204)</f>
        <v>0</v>
      </c>
      <c r="F204" s="48">
        <f>COUNTIFS(Tracker!G:G,Daily!C204, Tracker!J:J,"Y")</f>
        <v>0</v>
      </c>
      <c r="G204" s="26">
        <f>COUNTIFS(Tracker!G:G,Daily!C204, Tracker!J:J,"Y (with hints)")</f>
        <v>0</v>
      </c>
      <c r="H204" s="33">
        <f>COUNTIFS(Tracker!G:G,Daily!C204, Tracker!J:J,"N")</f>
        <v>0</v>
      </c>
      <c r="I204" s="54">
        <f t="shared" ref="I204:I267" si="117">SUM(J204:L204)</f>
        <v>0</v>
      </c>
      <c r="J204" s="26">
        <f>COUNTIFS(Tracker!G:G,Daily!C204, Tracker!J:J,"Y",Tracker!E:E,1)</f>
        <v>0</v>
      </c>
      <c r="K204" s="26">
        <f>COUNTIFS(Tracker!G:G,Daily!C204, Tracker!J:J,"Y (with hints)",Tracker!E:E,1)</f>
        <v>0</v>
      </c>
      <c r="L204" s="33">
        <f>COUNTIFS(Tracker!G:G,Daily!C204, Tracker!J:J,"N",Tracker!E:E,1)</f>
        <v>0</v>
      </c>
      <c r="M204" s="54">
        <f t="shared" ref="M204:M267" si="118">SUM(N204:P204)</f>
        <v>0</v>
      </c>
      <c r="N204" s="26">
        <f>COUNTIFS(Tracker!G:G,Daily!C204, Tracker!J:J,"Y",Tracker!E:E,2)</f>
        <v>0</v>
      </c>
      <c r="O204" s="26">
        <f>COUNTIFS(Tracker!G:G,Daily!C204, Tracker!J:J,"Y (with hints)",Tracker!E:E,2)</f>
        <v>0</v>
      </c>
      <c r="P204" s="33">
        <f>COUNTIFS(Tracker!G:G,Daily!C204, Tracker!J:J,"N",Tracker!E:E,2)</f>
        <v>0</v>
      </c>
      <c r="Q204" s="57">
        <f t="shared" ref="Q204:Q267" si="119">SUM(R204:T204)</f>
        <v>0</v>
      </c>
      <c r="R204" s="26">
        <f>COUNTIFS(Tracker!G:G,Daily!C204, Tracker!J:J,"Y",Tracker!E:E,3)</f>
        <v>0</v>
      </c>
      <c r="S204" s="26">
        <f>COUNTIFS(Tracker!G:G,Daily!C204, Tracker!J:J,"Y (with hints)",Tracker!E:E,3)</f>
        <v>0</v>
      </c>
      <c r="T204" s="33">
        <f>COUNTIFS(Tracker!G:G,Daily!C204, Tracker!J:J,"N",Tracker!E:E,3)</f>
        <v>0</v>
      </c>
      <c r="V204" s="48">
        <f t="shared" ref="V204:V267" si="120">V203+I204</f>
        <v>91</v>
      </c>
      <c r="W204" s="26">
        <f t="shared" ref="W204:W267" si="121">W203+J204</f>
        <v>87</v>
      </c>
      <c r="X204" s="62">
        <f t="shared" ref="X204:X267" si="122">W204/V204</f>
        <v>0.95604395604395609</v>
      </c>
      <c r="Y204" s="74">
        <f>AVERAGEIFS(Tracker!I:I, Tracker!E:E, 1, Tracker!G:G, "&lt;="&amp;Daily!C204, Tracker!J:J, "Y")</f>
        <v>12.574712643678161</v>
      </c>
      <c r="Z204" s="77">
        <f>COUNTIFS(Tracker!E:E, 1, Tracker!G:G, "&lt;="&amp;Daily!C204, Tracker!L:L, "N") / V204</f>
        <v>0.80219780219780223</v>
      </c>
      <c r="AA204" s="48">
        <f t="shared" ref="AA204:AA267" si="123">AA203+M204</f>
        <v>195</v>
      </c>
      <c r="AB204" s="26">
        <f t="shared" ref="AB204:AB267" si="124">AB203+N204</f>
        <v>161</v>
      </c>
      <c r="AC204" s="62">
        <f t="shared" ref="AC204:AC267" si="125">AB204/AA204</f>
        <v>0.82564102564102559</v>
      </c>
      <c r="AD204" s="74">
        <f>AVERAGEIFS(Tracker!I:I, Tracker!E:E, 2, Tracker!G:G, "&lt;="&amp;Daily!C204, Tracker!J:J, "Y")</f>
        <v>26.378881987577639</v>
      </c>
      <c r="AE204" s="77">
        <f>COUNTIFS(Tracker!E:E, 2, Tracker!G:G, "&lt;="&amp;Daily!C204, Tracker!L:L, "N") / AA204</f>
        <v>0.61025641025641031</v>
      </c>
      <c r="AF204" s="48">
        <f t="shared" ref="AF204:AF267" si="126">AF203+Q204</f>
        <v>42</v>
      </c>
      <c r="AG204" s="26">
        <f t="shared" ref="AG204:AG267" si="127">AG203+R204</f>
        <v>27</v>
      </c>
      <c r="AH204" s="62">
        <f t="shared" ref="AH204:AH267" si="128">IFERROR(AG204/AF204, 0)</f>
        <v>0.6428571428571429</v>
      </c>
      <c r="AI204" s="74">
        <f>IFERROR(AVERAGEIFS(Tracker!I:I, Tracker!E:E, 3, Tracker!G:G, "&lt;="&amp;Daily!C204, Tracker!J:J, "Y"), 0)</f>
        <v>40.074074074074076</v>
      </c>
      <c r="AJ204" s="77">
        <f>IFERROR(COUNTIFS(Tracker!E:E, 3, Tracker!G:G, "&lt;="&amp;Daily!C204, Tracker!L:L, "N") / AF204,  0)</f>
        <v>0.35714285714285715</v>
      </c>
      <c r="AK204" s="48">
        <f t="shared" ref="AK204:AK267" si="129">V204+AA204+AF204</f>
        <v>328</v>
      </c>
      <c r="AL204" s="26">
        <f t="shared" ref="AL204:AL267" si="130">W204+AB204+AG204</f>
        <v>275</v>
      </c>
      <c r="AM204" s="62">
        <f t="shared" ref="AM204:AM267" si="131">IFERROR(AL204/AK204, 0)</f>
        <v>0.83841463414634143</v>
      </c>
      <c r="AN204" s="74">
        <f>IFERROR(AVERAGEIFS(Tracker!I:I,  Tracker!G:G, "&lt;="&amp;Daily!C204, Tracker!J:J, "Y"), 0)</f>
        <v>23.356363636363636</v>
      </c>
      <c r="AO204" s="77">
        <f>IFERROR(COUNTIFS(Tracker!G:G, "&lt;="&amp;Daily!C204, Tracker!L:L, "N") / AK204,  0)</f>
        <v>0.63109756097560976</v>
      </c>
    </row>
    <row r="205" spans="1:41" x14ac:dyDescent="0.25">
      <c r="A205" s="119"/>
      <c r="B205" s="32">
        <f t="shared" si="115"/>
        <v>45420</v>
      </c>
      <c r="C205" s="27">
        <f t="shared" si="113"/>
        <v>45420</v>
      </c>
      <c r="D205" s="109" t="b">
        <f t="shared" ca="1" si="114"/>
        <v>1</v>
      </c>
      <c r="E205" s="51">
        <f t="shared" si="116"/>
        <v>0</v>
      </c>
      <c r="F205" s="48">
        <f>COUNTIFS(Tracker!G:G,Daily!C205, Tracker!J:J,"Y")</f>
        <v>0</v>
      </c>
      <c r="G205" s="26">
        <f>COUNTIFS(Tracker!G:G,Daily!C205, Tracker!J:J,"Y (with hints)")</f>
        <v>0</v>
      </c>
      <c r="H205" s="33">
        <f>COUNTIFS(Tracker!G:G,Daily!C205, Tracker!J:J,"N")</f>
        <v>0</v>
      </c>
      <c r="I205" s="54">
        <f t="shared" si="117"/>
        <v>0</v>
      </c>
      <c r="J205" s="26">
        <f>COUNTIFS(Tracker!G:G,Daily!C205, Tracker!J:J,"Y",Tracker!E:E,1)</f>
        <v>0</v>
      </c>
      <c r="K205" s="26">
        <f>COUNTIFS(Tracker!G:G,Daily!C205, Tracker!J:J,"Y (with hints)",Tracker!E:E,1)</f>
        <v>0</v>
      </c>
      <c r="L205" s="33">
        <f>COUNTIFS(Tracker!G:G,Daily!C205, Tracker!J:J,"N",Tracker!E:E,1)</f>
        <v>0</v>
      </c>
      <c r="M205" s="54">
        <f t="shared" si="118"/>
        <v>0</v>
      </c>
      <c r="N205" s="26">
        <f>COUNTIFS(Tracker!G:G,Daily!C205, Tracker!J:J,"Y",Tracker!E:E,2)</f>
        <v>0</v>
      </c>
      <c r="O205" s="26">
        <f>COUNTIFS(Tracker!G:G,Daily!C205, Tracker!J:J,"Y (with hints)",Tracker!E:E,2)</f>
        <v>0</v>
      </c>
      <c r="P205" s="33">
        <f>COUNTIFS(Tracker!G:G,Daily!C205, Tracker!J:J,"N",Tracker!E:E,2)</f>
        <v>0</v>
      </c>
      <c r="Q205" s="57">
        <f t="shared" si="119"/>
        <v>0</v>
      </c>
      <c r="R205" s="26">
        <f>COUNTIFS(Tracker!G:G,Daily!C205, Tracker!J:J,"Y",Tracker!E:E,3)</f>
        <v>0</v>
      </c>
      <c r="S205" s="26">
        <f>COUNTIFS(Tracker!G:G,Daily!C205, Tracker!J:J,"Y (with hints)",Tracker!E:E,3)</f>
        <v>0</v>
      </c>
      <c r="T205" s="33">
        <f>COUNTIFS(Tracker!G:G,Daily!C205, Tracker!J:J,"N",Tracker!E:E,3)</f>
        <v>0</v>
      </c>
      <c r="V205" s="48">
        <f t="shared" si="120"/>
        <v>91</v>
      </c>
      <c r="W205" s="26">
        <f t="shared" si="121"/>
        <v>87</v>
      </c>
      <c r="X205" s="62">
        <f t="shared" si="122"/>
        <v>0.95604395604395609</v>
      </c>
      <c r="Y205" s="74">
        <f>AVERAGEIFS(Tracker!I:I, Tracker!E:E, 1, Tracker!G:G, "&lt;="&amp;Daily!C205, Tracker!J:J, "Y")</f>
        <v>12.574712643678161</v>
      </c>
      <c r="Z205" s="77">
        <f>COUNTIFS(Tracker!E:E, 1, Tracker!G:G, "&lt;="&amp;Daily!C205, Tracker!L:L, "N") / V205</f>
        <v>0.80219780219780223</v>
      </c>
      <c r="AA205" s="48">
        <f t="shared" si="123"/>
        <v>195</v>
      </c>
      <c r="AB205" s="26">
        <f t="shared" si="124"/>
        <v>161</v>
      </c>
      <c r="AC205" s="62">
        <f t="shared" si="125"/>
        <v>0.82564102564102559</v>
      </c>
      <c r="AD205" s="74">
        <f>AVERAGEIFS(Tracker!I:I, Tracker!E:E, 2, Tracker!G:G, "&lt;="&amp;Daily!C205, Tracker!J:J, "Y")</f>
        <v>26.378881987577639</v>
      </c>
      <c r="AE205" s="77">
        <f>COUNTIFS(Tracker!E:E, 2, Tracker!G:G, "&lt;="&amp;Daily!C205, Tracker!L:L, "N") / AA205</f>
        <v>0.61025641025641031</v>
      </c>
      <c r="AF205" s="48">
        <f t="shared" si="126"/>
        <v>42</v>
      </c>
      <c r="AG205" s="26">
        <f t="shared" si="127"/>
        <v>27</v>
      </c>
      <c r="AH205" s="62">
        <f t="shared" si="128"/>
        <v>0.6428571428571429</v>
      </c>
      <c r="AI205" s="74">
        <f>IFERROR(AVERAGEIFS(Tracker!I:I, Tracker!E:E, 3, Tracker!G:G, "&lt;="&amp;Daily!C205, Tracker!J:J, "Y"), 0)</f>
        <v>40.074074074074076</v>
      </c>
      <c r="AJ205" s="77">
        <f>IFERROR(COUNTIFS(Tracker!E:E, 3, Tracker!G:G, "&lt;="&amp;Daily!C205, Tracker!L:L, "N") / AF205,  0)</f>
        <v>0.35714285714285715</v>
      </c>
      <c r="AK205" s="48">
        <f t="shared" si="129"/>
        <v>328</v>
      </c>
      <c r="AL205" s="26">
        <f t="shared" si="130"/>
        <v>275</v>
      </c>
      <c r="AM205" s="62">
        <f t="shared" si="131"/>
        <v>0.83841463414634143</v>
      </c>
      <c r="AN205" s="74">
        <f>IFERROR(AVERAGEIFS(Tracker!I:I,  Tracker!G:G, "&lt;="&amp;Daily!C205, Tracker!J:J, "Y"), 0)</f>
        <v>23.356363636363636</v>
      </c>
      <c r="AO205" s="77">
        <f>IFERROR(COUNTIFS(Tracker!G:G, "&lt;="&amp;Daily!C205, Tracker!L:L, "N") / AK205,  0)</f>
        <v>0.63109756097560976</v>
      </c>
    </row>
    <row r="206" spans="1:41" x14ac:dyDescent="0.25">
      <c r="A206" s="119"/>
      <c r="B206" s="32">
        <f t="shared" si="115"/>
        <v>45421</v>
      </c>
      <c r="C206" s="27">
        <f t="shared" si="113"/>
        <v>45421</v>
      </c>
      <c r="D206" s="109" t="b">
        <f t="shared" ca="1" si="114"/>
        <v>1</v>
      </c>
      <c r="E206" s="51">
        <f t="shared" si="116"/>
        <v>0</v>
      </c>
      <c r="F206" s="48">
        <f>COUNTIFS(Tracker!G:G,Daily!C206, Tracker!J:J,"Y")</f>
        <v>0</v>
      </c>
      <c r="G206" s="26">
        <f>COUNTIFS(Tracker!G:G,Daily!C206, Tracker!J:J,"Y (with hints)")</f>
        <v>0</v>
      </c>
      <c r="H206" s="33">
        <f>COUNTIFS(Tracker!G:G,Daily!C206, Tracker!J:J,"N")</f>
        <v>0</v>
      </c>
      <c r="I206" s="54">
        <f t="shared" si="117"/>
        <v>0</v>
      </c>
      <c r="J206" s="26">
        <f>COUNTIFS(Tracker!G:G,Daily!C206, Tracker!J:J,"Y",Tracker!E:E,1)</f>
        <v>0</v>
      </c>
      <c r="K206" s="26">
        <f>COUNTIFS(Tracker!G:G,Daily!C206, Tracker!J:J,"Y (with hints)",Tracker!E:E,1)</f>
        <v>0</v>
      </c>
      <c r="L206" s="33">
        <f>COUNTIFS(Tracker!G:G,Daily!C206, Tracker!J:J,"N",Tracker!E:E,1)</f>
        <v>0</v>
      </c>
      <c r="M206" s="54">
        <f t="shared" si="118"/>
        <v>0</v>
      </c>
      <c r="N206" s="26">
        <f>COUNTIFS(Tracker!G:G,Daily!C206, Tracker!J:J,"Y",Tracker!E:E,2)</f>
        <v>0</v>
      </c>
      <c r="O206" s="26">
        <f>COUNTIFS(Tracker!G:G,Daily!C206, Tracker!J:J,"Y (with hints)",Tracker!E:E,2)</f>
        <v>0</v>
      </c>
      <c r="P206" s="33">
        <f>COUNTIFS(Tracker!G:G,Daily!C206, Tracker!J:J,"N",Tracker!E:E,2)</f>
        <v>0</v>
      </c>
      <c r="Q206" s="57">
        <f t="shared" si="119"/>
        <v>0</v>
      </c>
      <c r="R206" s="26">
        <f>COUNTIFS(Tracker!G:G,Daily!C206, Tracker!J:J,"Y",Tracker!E:E,3)</f>
        <v>0</v>
      </c>
      <c r="S206" s="26">
        <f>COUNTIFS(Tracker!G:G,Daily!C206, Tracker!J:J,"Y (with hints)",Tracker!E:E,3)</f>
        <v>0</v>
      </c>
      <c r="T206" s="33">
        <f>COUNTIFS(Tracker!G:G,Daily!C206, Tracker!J:J,"N",Tracker!E:E,3)</f>
        <v>0</v>
      </c>
      <c r="V206" s="48">
        <f t="shared" si="120"/>
        <v>91</v>
      </c>
      <c r="W206" s="26">
        <f t="shared" si="121"/>
        <v>87</v>
      </c>
      <c r="X206" s="62">
        <f t="shared" si="122"/>
        <v>0.95604395604395609</v>
      </c>
      <c r="Y206" s="74">
        <f>AVERAGEIFS(Tracker!I:I, Tracker!E:E, 1, Tracker!G:G, "&lt;="&amp;Daily!C206, Tracker!J:J, "Y")</f>
        <v>12.574712643678161</v>
      </c>
      <c r="Z206" s="77">
        <f>COUNTIFS(Tracker!E:E, 1, Tracker!G:G, "&lt;="&amp;Daily!C206, Tracker!L:L, "N") / V206</f>
        <v>0.80219780219780223</v>
      </c>
      <c r="AA206" s="48">
        <f t="shared" si="123"/>
        <v>195</v>
      </c>
      <c r="AB206" s="26">
        <f t="shared" si="124"/>
        <v>161</v>
      </c>
      <c r="AC206" s="62">
        <f t="shared" si="125"/>
        <v>0.82564102564102559</v>
      </c>
      <c r="AD206" s="74">
        <f>AVERAGEIFS(Tracker!I:I, Tracker!E:E, 2, Tracker!G:G, "&lt;="&amp;Daily!C206, Tracker!J:J, "Y")</f>
        <v>26.378881987577639</v>
      </c>
      <c r="AE206" s="77">
        <f>COUNTIFS(Tracker!E:E, 2, Tracker!G:G, "&lt;="&amp;Daily!C206, Tracker!L:L, "N") / AA206</f>
        <v>0.61025641025641031</v>
      </c>
      <c r="AF206" s="48">
        <f t="shared" si="126"/>
        <v>42</v>
      </c>
      <c r="AG206" s="26">
        <f t="shared" si="127"/>
        <v>27</v>
      </c>
      <c r="AH206" s="62">
        <f t="shared" si="128"/>
        <v>0.6428571428571429</v>
      </c>
      <c r="AI206" s="74">
        <f>IFERROR(AVERAGEIFS(Tracker!I:I, Tracker!E:E, 3, Tracker!G:G, "&lt;="&amp;Daily!C206, Tracker!J:J, "Y"), 0)</f>
        <v>40.074074074074076</v>
      </c>
      <c r="AJ206" s="77">
        <f>IFERROR(COUNTIFS(Tracker!E:E, 3, Tracker!G:G, "&lt;="&amp;Daily!C206, Tracker!L:L, "N") / AF206,  0)</f>
        <v>0.35714285714285715</v>
      </c>
      <c r="AK206" s="48">
        <f t="shared" si="129"/>
        <v>328</v>
      </c>
      <c r="AL206" s="26">
        <f t="shared" si="130"/>
        <v>275</v>
      </c>
      <c r="AM206" s="62">
        <f t="shared" si="131"/>
        <v>0.83841463414634143</v>
      </c>
      <c r="AN206" s="74">
        <f>IFERROR(AVERAGEIFS(Tracker!I:I,  Tracker!G:G, "&lt;="&amp;Daily!C206, Tracker!J:J, "Y"), 0)</f>
        <v>23.356363636363636</v>
      </c>
      <c r="AO206" s="77">
        <f>IFERROR(COUNTIFS(Tracker!G:G, "&lt;="&amp;Daily!C206, Tracker!L:L, "N") / AK206,  0)</f>
        <v>0.63109756097560976</v>
      </c>
    </row>
    <row r="207" spans="1:41" x14ac:dyDescent="0.25">
      <c r="A207" s="119"/>
      <c r="B207" s="32">
        <f t="shared" si="115"/>
        <v>45422</v>
      </c>
      <c r="C207" s="27">
        <f t="shared" ref="C207:C270" si="132">C200+7</f>
        <v>45422</v>
      </c>
      <c r="D207" s="109" t="b">
        <f t="shared" ca="1" si="114"/>
        <v>1</v>
      </c>
      <c r="E207" s="51">
        <f t="shared" si="116"/>
        <v>0</v>
      </c>
      <c r="F207" s="48">
        <f>COUNTIFS(Tracker!G:G,Daily!C207, Tracker!J:J,"Y")</f>
        <v>0</v>
      </c>
      <c r="G207" s="26">
        <f>COUNTIFS(Tracker!G:G,Daily!C207, Tracker!J:J,"Y (with hints)")</f>
        <v>0</v>
      </c>
      <c r="H207" s="33">
        <f>COUNTIFS(Tracker!G:G,Daily!C207, Tracker!J:J,"N")</f>
        <v>0</v>
      </c>
      <c r="I207" s="54">
        <f t="shared" si="117"/>
        <v>0</v>
      </c>
      <c r="J207" s="26">
        <f>COUNTIFS(Tracker!G:G,Daily!C207, Tracker!J:J,"Y",Tracker!E:E,1)</f>
        <v>0</v>
      </c>
      <c r="K207" s="26">
        <f>COUNTIFS(Tracker!G:G,Daily!C207, Tracker!J:J,"Y (with hints)",Tracker!E:E,1)</f>
        <v>0</v>
      </c>
      <c r="L207" s="33">
        <f>COUNTIFS(Tracker!G:G,Daily!C207, Tracker!J:J,"N",Tracker!E:E,1)</f>
        <v>0</v>
      </c>
      <c r="M207" s="54">
        <f t="shared" si="118"/>
        <v>0</v>
      </c>
      <c r="N207" s="26">
        <f>COUNTIFS(Tracker!G:G,Daily!C207, Tracker!J:J,"Y",Tracker!E:E,2)</f>
        <v>0</v>
      </c>
      <c r="O207" s="26">
        <f>COUNTIFS(Tracker!G:G,Daily!C207, Tracker!J:J,"Y (with hints)",Tracker!E:E,2)</f>
        <v>0</v>
      </c>
      <c r="P207" s="33">
        <f>COUNTIFS(Tracker!G:G,Daily!C207, Tracker!J:J,"N",Tracker!E:E,2)</f>
        <v>0</v>
      </c>
      <c r="Q207" s="57">
        <f t="shared" si="119"/>
        <v>0</v>
      </c>
      <c r="R207" s="26">
        <f>COUNTIFS(Tracker!G:G,Daily!C207, Tracker!J:J,"Y",Tracker!E:E,3)</f>
        <v>0</v>
      </c>
      <c r="S207" s="26">
        <f>COUNTIFS(Tracker!G:G,Daily!C207, Tracker!J:J,"Y (with hints)",Tracker!E:E,3)</f>
        <v>0</v>
      </c>
      <c r="T207" s="33">
        <f>COUNTIFS(Tracker!G:G,Daily!C207, Tracker!J:J,"N",Tracker!E:E,3)</f>
        <v>0</v>
      </c>
      <c r="V207" s="48">
        <f t="shared" si="120"/>
        <v>91</v>
      </c>
      <c r="W207" s="26">
        <f t="shared" si="121"/>
        <v>87</v>
      </c>
      <c r="X207" s="62">
        <f t="shared" si="122"/>
        <v>0.95604395604395609</v>
      </c>
      <c r="Y207" s="74">
        <f>AVERAGEIFS(Tracker!I:I, Tracker!E:E, 1, Tracker!G:G, "&lt;="&amp;Daily!C207, Tracker!J:J, "Y")</f>
        <v>12.574712643678161</v>
      </c>
      <c r="Z207" s="77">
        <f>COUNTIFS(Tracker!E:E, 1, Tracker!G:G, "&lt;="&amp;Daily!C207, Tracker!L:L, "N") / V207</f>
        <v>0.80219780219780223</v>
      </c>
      <c r="AA207" s="48">
        <f t="shared" si="123"/>
        <v>195</v>
      </c>
      <c r="AB207" s="26">
        <f t="shared" si="124"/>
        <v>161</v>
      </c>
      <c r="AC207" s="62">
        <f t="shared" si="125"/>
        <v>0.82564102564102559</v>
      </c>
      <c r="AD207" s="74">
        <f>AVERAGEIFS(Tracker!I:I, Tracker!E:E, 2, Tracker!G:G, "&lt;="&amp;Daily!C207, Tracker!J:J, "Y")</f>
        <v>26.378881987577639</v>
      </c>
      <c r="AE207" s="77">
        <f>COUNTIFS(Tracker!E:E, 2, Tracker!G:G, "&lt;="&amp;Daily!C207, Tracker!L:L, "N") / AA207</f>
        <v>0.61025641025641031</v>
      </c>
      <c r="AF207" s="48">
        <f t="shared" si="126"/>
        <v>42</v>
      </c>
      <c r="AG207" s="26">
        <f t="shared" si="127"/>
        <v>27</v>
      </c>
      <c r="AH207" s="62">
        <f t="shared" si="128"/>
        <v>0.6428571428571429</v>
      </c>
      <c r="AI207" s="74">
        <f>IFERROR(AVERAGEIFS(Tracker!I:I, Tracker!E:E, 3, Tracker!G:G, "&lt;="&amp;Daily!C207, Tracker!J:J, "Y"), 0)</f>
        <v>40.074074074074076</v>
      </c>
      <c r="AJ207" s="77">
        <f>IFERROR(COUNTIFS(Tracker!E:E, 3, Tracker!G:G, "&lt;="&amp;Daily!C207, Tracker!L:L, "N") / AF207,  0)</f>
        <v>0.35714285714285715</v>
      </c>
      <c r="AK207" s="48">
        <f t="shared" si="129"/>
        <v>328</v>
      </c>
      <c r="AL207" s="26">
        <f t="shared" si="130"/>
        <v>275</v>
      </c>
      <c r="AM207" s="62">
        <f t="shared" si="131"/>
        <v>0.83841463414634143</v>
      </c>
      <c r="AN207" s="74">
        <f>IFERROR(AVERAGEIFS(Tracker!I:I,  Tracker!G:G, "&lt;="&amp;Daily!C207, Tracker!J:J, "Y"), 0)</f>
        <v>23.356363636363636</v>
      </c>
      <c r="AO207" s="77">
        <f>IFERROR(COUNTIFS(Tracker!G:G, "&lt;="&amp;Daily!C207, Tracker!L:L, "N") / AK207,  0)</f>
        <v>0.63109756097560976</v>
      </c>
    </row>
    <row r="208" spans="1:41" x14ac:dyDescent="0.25">
      <c r="A208" s="119"/>
      <c r="B208" s="32">
        <f t="shared" si="115"/>
        <v>45423</v>
      </c>
      <c r="C208" s="27">
        <f t="shared" si="132"/>
        <v>45423</v>
      </c>
      <c r="D208" s="109" t="b">
        <f t="shared" ca="1" si="114"/>
        <v>1</v>
      </c>
      <c r="E208" s="51">
        <f t="shared" si="116"/>
        <v>0</v>
      </c>
      <c r="F208" s="48">
        <f>COUNTIFS(Tracker!G:G,Daily!C208, Tracker!J:J,"Y")</f>
        <v>0</v>
      </c>
      <c r="G208" s="26">
        <f>COUNTIFS(Tracker!G:G,Daily!C208, Tracker!J:J,"Y (with hints)")</f>
        <v>0</v>
      </c>
      <c r="H208" s="33">
        <f>COUNTIFS(Tracker!G:G,Daily!C208, Tracker!J:J,"N")</f>
        <v>0</v>
      </c>
      <c r="I208" s="54">
        <f t="shared" si="117"/>
        <v>0</v>
      </c>
      <c r="J208" s="26">
        <f>COUNTIFS(Tracker!G:G,Daily!C208, Tracker!J:J,"Y",Tracker!E:E,1)</f>
        <v>0</v>
      </c>
      <c r="K208" s="26">
        <f>COUNTIFS(Tracker!G:G,Daily!C208, Tracker!J:J,"Y (with hints)",Tracker!E:E,1)</f>
        <v>0</v>
      </c>
      <c r="L208" s="33">
        <f>COUNTIFS(Tracker!G:G,Daily!C208, Tracker!J:J,"N",Tracker!E:E,1)</f>
        <v>0</v>
      </c>
      <c r="M208" s="54">
        <f t="shared" si="118"/>
        <v>0</v>
      </c>
      <c r="N208" s="26">
        <f>COUNTIFS(Tracker!G:G,Daily!C208, Tracker!J:J,"Y",Tracker!E:E,2)</f>
        <v>0</v>
      </c>
      <c r="O208" s="26">
        <f>COUNTIFS(Tracker!G:G,Daily!C208, Tracker!J:J,"Y (with hints)",Tracker!E:E,2)</f>
        <v>0</v>
      </c>
      <c r="P208" s="33">
        <f>COUNTIFS(Tracker!G:G,Daily!C208, Tracker!J:J,"N",Tracker!E:E,2)</f>
        <v>0</v>
      </c>
      <c r="Q208" s="57">
        <f t="shared" si="119"/>
        <v>0</v>
      </c>
      <c r="R208" s="26">
        <f>COUNTIFS(Tracker!G:G,Daily!C208, Tracker!J:J,"Y",Tracker!E:E,3)</f>
        <v>0</v>
      </c>
      <c r="S208" s="26">
        <f>COUNTIFS(Tracker!G:G,Daily!C208, Tracker!J:J,"Y (with hints)",Tracker!E:E,3)</f>
        <v>0</v>
      </c>
      <c r="T208" s="33">
        <f>COUNTIFS(Tracker!G:G,Daily!C208, Tracker!J:J,"N",Tracker!E:E,3)</f>
        <v>0</v>
      </c>
      <c r="V208" s="48">
        <f t="shared" si="120"/>
        <v>91</v>
      </c>
      <c r="W208" s="26">
        <f t="shared" si="121"/>
        <v>87</v>
      </c>
      <c r="X208" s="62">
        <f t="shared" si="122"/>
        <v>0.95604395604395609</v>
      </c>
      <c r="Y208" s="74">
        <f>AVERAGEIFS(Tracker!I:I, Tracker!E:E, 1, Tracker!G:G, "&lt;="&amp;Daily!C208, Tracker!J:J, "Y")</f>
        <v>12.574712643678161</v>
      </c>
      <c r="Z208" s="77">
        <f>COUNTIFS(Tracker!E:E, 1, Tracker!G:G, "&lt;="&amp;Daily!C208, Tracker!L:L, "N") / V208</f>
        <v>0.80219780219780223</v>
      </c>
      <c r="AA208" s="48">
        <f t="shared" si="123"/>
        <v>195</v>
      </c>
      <c r="AB208" s="26">
        <f t="shared" si="124"/>
        <v>161</v>
      </c>
      <c r="AC208" s="62">
        <f t="shared" si="125"/>
        <v>0.82564102564102559</v>
      </c>
      <c r="AD208" s="74">
        <f>AVERAGEIFS(Tracker!I:I, Tracker!E:E, 2, Tracker!G:G, "&lt;="&amp;Daily!C208, Tracker!J:J, "Y")</f>
        <v>26.378881987577639</v>
      </c>
      <c r="AE208" s="77">
        <f>COUNTIFS(Tracker!E:E, 2, Tracker!G:G, "&lt;="&amp;Daily!C208, Tracker!L:L, "N") / AA208</f>
        <v>0.61025641025641031</v>
      </c>
      <c r="AF208" s="48">
        <f t="shared" si="126"/>
        <v>42</v>
      </c>
      <c r="AG208" s="26">
        <f t="shared" si="127"/>
        <v>27</v>
      </c>
      <c r="AH208" s="62">
        <f t="shared" si="128"/>
        <v>0.6428571428571429</v>
      </c>
      <c r="AI208" s="74">
        <f>IFERROR(AVERAGEIFS(Tracker!I:I, Tracker!E:E, 3, Tracker!G:G, "&lt;="&amp;Daily!C208, Tracker!J:J, "Y"), 0)</f>
        <v>40.074074074074076</v>
      </c>
      <c r="AJ208" s="77">
        <f>IFERROR(COUNTIFS(Tracker!E:E, 3, Tracker!G:G, "&lt;="&amp;Daily!C208, Tracker!L:L, "N") / AF208,  0)</f>
        <v>0.35714285714285715</v>
      </c>
      <c r="AK208" s="48">
        <f t="shared" si="129"/>
        <v>328</v>
      </c>
      <c r="AL208" s="26">
        <f t="shared" si="130"/>
        <v>275</v>
      </c>
      <c r="AM208" s="62">
        <f t="shared" si="131"/>
        <v>0.83841463414634143</v>
      </c>
      <c r="AN208" s="74">
        <f>IFERROR(AVERAGEIFS(Tracker!I:I,  Tracker!G:G, "&lt;="&amp;Daily!C208, Tracker!J:J, "Y"), 0)</f>
        <v>23.356363636363636</v>
      </c>
      <c r="AO208" s="77">
        <f>IFERROR(COUNTIFS(Tracker!G:G, "&lt;="&amp;Daily!C208, Tracker!L:L, "N") / AK208,  0)</f>
        <v>0.63109756097560976</v>
      </c>
    </row>
    <row r="209" spans="1:41" ht="15.75" thickBot="1" x14ac:dyDescent="0.3">
      <c r="A209" s="120"/>
      <c r="B209" s="34">
        <f t="shared" si="115"/>
        <v>45424</v>
      </c>
      <c r="C209" s="35">
        <f t="shared" si="132"/>
        <v>45424</v>
      </c>
      <c r="D209" s="110" t="b">
        <f t="shared" ca="1" si="114"/>
        <v>1</v>
      </c>
      <c r="E209" s="52">
        <f t="shared" si="116"/>
        <v>0</v>
      </c>
      <c r="F209" s="39">
        <f>COUNTIFS(Tracker!G:G,Daily!C209, Tracker!J:J,"Y")</f>
        <v>0</v>
      </c>
      <c r="G209" s="36">
        <f>COUNTIFS(Tracker!G:G,Daily!C209, Tracker!J:J,"Y (with hints)")</f>
        <v>0</v>
      </c>
      <c r="H209" s="37">
        <f>COUNTIFS(Tracker!G:G,Daily!C209, Tracker!J:J,"N")</f>
        <v>0</v>
      </c>
      <c r="I209" s="55">
        <f t="shared" si="117"/>
        <v>0</v>
      </c>
      <c r="J209" s="36">
        <f>COUNTIFS(Tracker!G:G,Daily!C209, Tracker!J:J,"Y",Tracker!E:E,1)</f>
        <v>0</v>
      </c>
      <c r="K209" s="36">
        <f>COUNTIFS(Tracker!G:G,Daily!C209, Tracker!J:J,"Y (with hints)",Tracker!E:E,1)</f>
        <v>0</v>
      </c>
      <c r="L209" s="37">
        <f>COUNTIFS(Tracker!G:G,Daily!C209, Tracker!J:J,"N",Tracker!E:E,1)</f>
        <v>0</v>
      </c>
      <c r="M209" s="55">
        <f t="shared" si="118"/>
        <v>0</v>
      </c>
      <c r="N209" s="36">
        <f>COUNTIFS(Tracker!G:G,Daily!C209, Tracker!J:J,"Y",Tracker!E:E,2)</f>
        <v>0</v>
      </c>
      <c r="O209" s="36">
        <f>COUNTIFS(Tracker!G:G,Daily!C209, Tracker!J:J,"Y (with hints)",Tracker!E:E,2)</f>
        <v>0</v>
      </c>
      <c r="P209" s="37">
        <f>COUNTIFS(Tracker!G:G,Daily!C209, Tracker!J:J,"N",Tracker!E:E,2)</f>
        <v>0</v>
      </c>
      <c r="Q209" s="58">
        <f t="shared" si="119"/>
        <v>0</v>
      </c>
      <c r="R209" s="36">
        <f>COUNTIFS(Tracker!G:G,Daily!C209, Tracker!J:J,"Y",Tracker!E:E,3)</f>
        <v>0</v>
      </c>
      <c r="S209" s="36">
        <f>COUNTIFS(Tracker!G:G,Daily!C209, Tracker!J:J,"Y (with hints)",Tracker!E:E,3)</f>
        <v>0</v>
      </c>
      <c r="T209" s="37">
        <f>COUNTIFS(Tracker!G:G,Daily!C209, Tracker!J:J,"N",Tracker!E:E,3)</f>
        <v>0</v>
      </c>
      <c r="V209" s="39">
        <f t="shared" si="120"/>
        <v>91</v>
      </c>
      <c r="W209" s="36">
        <f t="shared" si="121"/>
        <v>87</v>
      </c>
      <c r="X209" s="64">
        <f t="shared" si="122"/>
        <v>0.95604395604395609</v>
      </c>
      <c r="Y209" s="78">
        <f>AVERAGEIFS(Tracker!I:I, Tracker!E:E, 1, Tracker!G:G, "&lt;="&amp;Daily!C209, Tracker!J:J, "Y")</f>
        <v>12.574712643678161</v>
      </c>
      <c r="Z209" s="79">
        <f>COUNTIFS(Tracker!E:E, 1, Tracker!G:G, "&lt;="&amp;Daily!C209, Tracker!L:L, "N") / V209</f>
        <v>0.80219780219780223</v>
      </c>
      <c r="AA209" s="39">
        <f t="shared" si="123"/>
        <v>195</v>
      </c>
      <c r="AB209" s="36">
        <f t="shared" si="124"/>
        <v>161</v>
      </c>
      <c r="AC209" s="64">
        <f t="shared" si="125"/>
        <v>0.82564102564102559</v>
      </c>
      <c r="AD209" s="78">
        <f>AVERAGEIFS(Tracker!I:I, Tracker!E:E, 2, Tracker!G:G, "&lt;="&amp;Daily!C209, Tracker!J:J, "Y")</f>
        <v>26.378881987577639</v>
      </c>
      <c r="AE209" s="79">
        <f>COUNTIFS(Tracker!E:E, 2, Tracker!G:G, "&lt;="&amp;Daily!C209, Tracker!L:L, "N") / AA209</f>
        <v>0.61025641025641031</v>
      </c>
      <c r="AF209" s="39">
        <f t="shared" si="126"/>
        <v>42</v>
      </c>
      <c r="AG209" s="36">
        <f t="shared" si="127"/>
        <v>27</v>
      </c>
      <c r="AH209" s="64">
        <f t="shared" si="128"/>
        <v>0.6428571428571429</v>
      </c>
      <c r="AI209" s="78">
        <f>IFERROR(AVERAGEIFS(Tracker!I:I, Tracker!E:E, 3, Tracker!G:G, "&lt;="&amp;Daily!C209, Tracker!J:J, "Y"), 0)</f>
        <v>40.074074074074076</v>
      </c>
      <c r="AJ209" s="79">
        <f>IFERROR(COUNTIFS(Tracker!E:E, 3, Tracker!G:G, "&lt;="&amp;Daily!C209, Tracker!L:L, "N") / AF209,  0)</f>
        <v>0.35714285714285715</v>
      </c>
      <c r="AK209" s="39">
        <f t="shared" si="129"/>
        <v>328</v>
      </c>
      <c r="AL209" s="36">
        <f t="shared" si="130"/>
        <v>275</v>
      </c>
      <c r="AM209" s="64">
        <f t="shared" si="131"/>
        <v>0.83841463414634143</v>
      </c>
      <c r="AN209" s="78">
        <f>IFERROR(AVERAGEIFS(Tracker!I:I,  Tracker!G:G, "&lt;="&amp;Daily!C209, Tracker!J:J, "Y"), 0)</f>
        <v>23.356363636363636</v>
      </c>
      <c r="AO209" s="79">
        <f>IFERROR(COUNTIFS(Tracker!G:G, "&lt;="&amp;Daily!C209, Tracker!L:L, "N") / AK209,  0)</f>
        <v>0.63109756097560976</v>
      </c>
    </row>
    <row r="210" spans="1:41" x14ac:dyDescent="0.25">
      <c r="A210" s="118">
        <f>A203+1</f>
        <v>30</v>
      </c>
      <c r="B210" s="28">
        <f t="shared" si="115"/>
        <v>45425</v>
      </c>
      <c r="C210" s="29">
        <f t="shared" si="132"/>
        <v>45425</v>
      </c>
      <c r="D210" s="108" t="b">
        <f t="shared" ca="1" si="114"/>
        <v>1</v>
      </c>
      <c r="E210" s="50">
        <f t="shared" si="116"/>
        <v>0</v>
      </c>
      <c r="F210" s="38">
        <f>COUNTIFS(Tracker!G:G,Daily!C210, Tracker!J:J,"Y")</f>
        <v>0</v>
      </c>
      <c r="G210" s="30">
        <f>COUNTIFS(Tracker!G:G,Daily!C210, Tracker!J:J,"Y (with hints)")</f>
        <v>0</v>
      </c>
      <c r="H210" s="31">
        <f>COUNTIFS(Tracker!G:G,Daily!C210, Tracker!J:J,"N")</f>
        <v>0</v>
      </c>
      <c r="I210" s="53">
        <f t="shared" si="117"/>
        <v>0</v>
      </c>
      <c r="J210" s="30">
        <f>COUNTIFS(Tracker!G:G,Daily!C210, Tracker!J:J,"Y",Tracker!E:E,1)</f>
        <v>0</v>
      </c>
      <c r="K210" s="30">
        <f>COUNTIFS(Tracker!G:G,Daily!C210, Tracker!J:J,"Y (with hints)",Tracker!E:E,1)</f>
        <v>0</v>
      </c>
      <c r="L210" s="31">
        <f>COUNTIFS(Tracker!G:G,Daily!C210, Tracker!J:J,"N",Tracker!E:E,1)</f>
        <v>0</v>
      </c>
      <c r="M210" s="53">
        <f t="shared" si="118"/>
        <v>0</v>
      </c>
      <c r="N210" s="30">
        <f>COUNTIFS(Tracker!G:G,Daily!C210, Tracker!J:J,"Y",Tracker!E:E,2)</f>
        <v>0</v>
      </c>
      <c r="O210" s="30">
        <f>COUNTIFS(Tracker!G:G,Daily!C210, Tracker!J:J,"Y (with hints)",Tracker!E:E,2)</f>
        <v>0</v>
      </c>
      <c r="P210" s="31">
        <f>COUNTIFS(Tracker!G:G,Daily!C210, Tracker!J:J,"N",Tracker!E:E,2)</f>
        <v>0</v>
      </c>
      <c r="Q210" s="56">
        <f t="shared" si="119"/>
        <v>0</v>
      </c>
      <c r="R210" s="30">
        <f>COUNTIFS(Tracker!G:G,Daily!C210, Tracker!J:J,"Y",Tracker!E:E,3)</f>
        <v>0</v>
      </c>
      <c r="S210" s="30">
        <f>COUNTIFS(Tracker!G:G,Daily!C210, Tracker!J:J,"Y (with hints)",Tracker!E:E,3)</f>
        <v>0</v>
      </c>
      <c r="T210" s="31">
        <f>COUNTIFS(Tracker!G:G,Daily!C210, Tracker!J:J,"N",Tracker!E:E,3)</f>
        <v>0</v>
      </c>
      <c r="V210" s="38">
        <f t="shared" si="120"/>
        <v>91</v>
      </c>
      <c r="W210" s="30">
        <f t="shared" si="121"/>
        <v>87</v>
      </c>
      <c r="X210" s="73">
        <f t="shared" si="122"/>
        <v>0.95604395604395609</v>
      </c>
      <c r="Y210" s="75">
        <f>AVERAGEIFS(Tracker!I:I, Tracker!E:E, 1, Tracker!G:G, "&lt;="&amp;Daily!C210, Tracker!J:J, "Y")</f>
        <v>12.574712643678161</v>
      </c>
      <c r="Z210" s="76">
        <f>COUNTIFS(Tracker!E:E, 1, Tracker!G:G, "&lt;="&amp;Daily!C210, Tracker!L:L, "N") / V210</f>
        <v>0.80219780219780223</v>
      </c>
      <c r="AA210" s="38">
        <f t="shared" si="123"/>
        <v>195</v>
      </c>
      <c r="AB210" s="30">
        <f t="shared" si="124"/>
        <v>161</v>
      </c>
      <c r="AC210" s="73">
        <f t="shared" si="125"/>
        <v>0.82564102564102559</v>
      </c>
      <c r="AD210" s="75">
        <f>AVERAGEIFS(Tracker!I:I, Tracker!E:E, 2, Tracker!G:G, "&lt;="&amp;Daily!C210, Tracker!J:J, "Y")</f>
        <v>26.378881987577639</v>
      </c>
      <c r="AE210" s="76">
        <f>COUNTIFS(Tracker!E:E, 2, Tracker!G:G, "&lt;="&amp;Daily!C210, Tracker!L:L, "N") / AA210</f>
        <v>0.61025641025641031</v>
      </c>
      <c r="AF210" s="38">
        <f t="shared" si="126"/>
        <v>42</v>
      </c>
      <c r="AG210" s="30">
        <f t="shared" si="127"/>
        <v>27</v>
      </c>
      <c r="AH210" s="73">
        <f t="shared" si="128"/>
        <v>0.6428571428571429</v>
      </c>
      <c r="AI210" s="75">
        <f>IFERROR(AVERAGEIFS(Tracker!I:I, Tracker!E:E, 3, Tracker!G:G, "&lt;="&amp;Daily!C210, Tracker!J:J, "Y"), 0)</f>
        <v>40.074074074074076</v>
      </c>
      <c r="AJ210" s="76">
        <f>IFERROR(COUNTIFS(Tracker!E:E, 3, Tracker!G:G, "&lt;="&amp;Daily!C210, Tracker!L:L, "N") / AF210,  0)</f>
        <v>0.35714285714285715</v>
      </c>
      <c r="AK210" s="38">
        <f t="shared" si="129"/>
        <v>328</v>
      </c>
      <c r="AL210" s="30">
        <f t="shared" si="130"/>
        <v>275</v>
      </c>
      <c r="AM210" s="73">
        <f t="shared" si="131"/>
        <v>0.83841463414634143</v>
      </c>
      <c r="AN210" s="75">
        <f>IFERROR(AVERAGEIFS(Tracker!I:I,  Tracker!G:G, "&lt;="&amp;Daily!C210, Tracker!J:J, "Y"), 0)</f>
        <v>23.356363636363636</v>
      </c>
      <c r="AO210" s="76">
        <f>IFERROR(COUNTIFS(Tracker!G:G, "&lt;="&amp;Daily!C210, Tracker!L:L, "N") / AK210,  0)</f>
        <v>0.63109756097560976</v>
      </c>
    </row>
    <row r="211" spans="1:41" x14ac:dyDescent="0.25">
      <c r="A211" s="119"/>
      <c r="B211" s="32">
        <f t="shared" si="115"/>
        <v>45426</v>
      </c>
      <c r="C211" s="27">
        <f t="shared" si="132"/>
        <v>45426</v>
      </c>
      <c r="D211" s="109" t="b">
        <f t="shared" ca="1" si="114"/>
        <v>1</v>
      </c>
      <c r="E211" s="51">
        <f t="shared" si="116"/>
        <v>0</v>
      </c>
      <c r="F211" s="48">
        <f>COUNTIFS(Tracker!G:G,Daily!C211, Tracker!J:J,"Y")</f>
        <v>0</v>
      </c>
      <c r="G211" s="26">
        <f>COUNTIFS(Tracker!G:G,Daily!C211, Tracker!J:J,"Y (with hints)")</f>
        <v>0</v>
      </c>
      <c r="H211" s="33">
        <f>COUNTIFS(Tracker!G:G,Daily!C211, Tracker!J:J,"N")</f>
        <v>0</v>
      </c>
      <c r="I211" s="54">
        <f t="shared" si="117"/>
        <v>0</v>
      </c>
      <c r="J211" s="26">
        <f>COUNTIFS(Tracker!G:G,Daily!C211, Tracker!J:J,"Y",Tracker!E:E,1)</f>
        <v>0</v>
      </c>
      <c r="K211" s="26">
        <f>COUNTIFS(Tracker!G:G,Daily!C211, Tracker!J:J,"Y (with hints)",Tracker!E:E,1)</f>
        <v>0</v>
      </c>
      <c r="L211" s="33">
        <f>COUNTIFS(Tracker!G:G,Daily!C211, Tracker!J:J,"N",Tracker!E:E,1)</f>
        <v>0</v>
      </c>
      <c r="M211" s="54">
        <f t="shared" si="118"/>
        <v>0</v>
      </c>
      <c r="N211" s="26">
        <f>COUNTIFS(Tracker!G:G,Daily!C211, Tracker!J:J,"Y",Tracker!E:E,2)</f>
        <v>0</v>
      </c>
      <c r="O211" s="26">
        <f>COUNTIFS(Tracker!G:G,Daily!C211, Tracker!J:J,"Y (with hints)",Tracker!E:E,2)</f>
        <v>0</v>
      </c>
      <c r="P211" s="33">
        <f>COUNTIFS(Tracker!G:G,Daily!C211, Tracker!J:J,"N",Tracker!E:E,2)</f>
        <v>0</v>
      </c>
      <c r="Q211" s="57">
        <f t="shared" si="119"/>
        <v>0</v>
      </c>
      <c r="R211" s="26">
        <f>COUNTIFS(Tracker!G:G,Daily!C211, Tracker!J:J,"Y",Tracker!E:E,3)</f>
        <v>0</v>
      </c>
      <c r="S211" s="26">
        <f>COUNTIFS(Tracker!G:G,Daily!C211, Tracker!J:J,"Y (with hints)",Tracker!E:E,3)</f>
        <v>0</v>
      </c>
      <c r="T211" s="33">
        <f>COUNTIFS(Tracker!G:G,Daily!C211, Tracker!J:J,"N",Tracker!E:E,3)</f>
        <v>0</v>
      </c>
      <c r="V211" s="48">
        <f t="shared" si="120"/>
        <v>91</v>
      </c>
      <c r="W211" s="26">
        <f t="shared" si="121"/>
        <v>87</v>
      </c>
      <c r="X211" s="62">
        <f t="shared" si="122"/>
        <v>0.95604395604395609</v>
      </c>
      <c r="Y211" s="74">
        <f>AVERAGEIFS(Tracker!I:I, Tracker!E:E, 1, Tracker!G:G, "&lt;="&amp;Daily!C211, Tracker!J:J, "Y")</f>
        <v>12.574712643678161</v>
      </c>
      <c r="Z211" s="77">
        <f>COUNTIFS(Tracker!E:E, 1, Tracker!G:G, "&lt;="&amp;Daily!C211, Tracker!L:L, "N") / V211</f>
        <v>0.80219780219780223</v>
      </c>
      <c r="AA211" s="48">
        <f t="shared" si="123"/>
        <v>195</v>
      </c>
      <c r="AB211" s="26">
        <f t="shared" si="124"/>
        <v>161</v>
      </c>
      <c r="AC211" s="62">
        <f t="shared" si="125"/>
        <v>0.82564102564102559</v>
      </c>
      <c r="AD211" s="74">
        <f>AVERAGEIFS(Tracker!I:I, Tracker!E:E, 2, Tracker!G:G, "&lt;="&amp;Daily!C211, Tracker!J:J, "Y")</f>
        <v>26.378881987577639</v>
      </c>
      <c r="AE211" s="77">
        <f>COUNTIFS(Tracker!E:E, 2, Tracker!G:G, "&lt;="&amp;Daily!C211, Tracker!L:L, "N") / AA211</f>
        <v>0.61025641025641031</v>
      </c>
      <c r="AF211" s="48">
        <f t="shared" si="126"/>
        <v>42</v>
      </c>
      <c r="AG211" s="26">
        <f t="shared" si="127"/>
        <v>27</v>
      </c>
      <c r="AH211" s="62">
        <f t="shared" si="128"/>
        <v>0.6428571428571429</v>
      </c>
      <c r="AI211" s="74">
        <f>IFERROR(AVERAGEIFS(Tracker!I:I, Tracker!E:E, 3, Tracker!G:G, "&lt;="&amp;Daily!C211, Tracker!J:J, "Y"), 0)</f>
        <v>40.074074074074076</v>
      </c>
      <c r="AJ211" s="77">
        <f>IFERROR(COUNTIFS(Tracker!E:E, 3, Tracker!G:G, "&lt;="&amp;Daily!C211, Tracker!L:L, "N") / AF211,  0)</f>
        <v>0.35714285714285715</v>
      </c>
      <c r="AK211" s="48">
        <f t="shared" si="129"/>
        <v>328</v>
      </c>
      <c r="AL211" s="26">
        <f t="shared" si="130"/>
        <v>275</v>
      </c>
      <c r="AM211" s="62">
        <f t="shared" si="131"/>
        <v>0.83841463414634143</v>
      </c>
      <c r="AN211" s="74">
        <f>IFERROR(AVERAGEIFS(Tracker!I:I,  Tracker!G:G, "&lt;="&amp;Daily!C211, Tracker!J:J, "Y"), 0)</f>
        <v>23.356363636363636</v>
      </c>
      <c r="AO211" s="77">
        <f>IFERROR(COUNTIFS(Tracker!G:G, "&lt;="&amp;Daily!C211, Tracker!L:L, "N") / AK211,  0)</f>
        <v>0.63109756097560976</v>
      </c>
    </row>
    <row r="212" spans="1:41" x14ac:dyDescent="0.25">
      <c r="A212" s="119"/>
      <c r="B212" s="32">
        <f t="shared" si="115"/>
        <v>45427</v>
      </c>
      <c r="C212" s="27">
        <f t="shared" si="132"/>
        <v>45427</v>
      </c>
      <c r="D212" s="109" t="b">
        <f t="shared" ca="1" si="114"/>
        <v>1</v>
      </c>
      <c r="E212" s="51">
        <f t="shared" si="116"/>
        <v>0</v>
      </c>
      <c r="F212" s="48">
        <f>COUNTIFS(Tracker!G:G,Daily!C212, Tracker!J:J,"Y")</f>
        <v>0</v>
      </c>
      <c r="G212" s="26">
        <f>COUNTIFS(Tracker!G:G,Daily!C212, Tracker!J:J,"Y (with hints)")</f>
        <v>0</v>
      </c>
      <c r="H212" s="33">
        <f>COUNTIFS(Tracker!G:G,Daily!C212, Tracker!J:J,"N")</f>
        <v>0</v>
      </c>
      <c r="I212" s="54">
        <f t="shared" si="117"/>
        <v>0</v>
      </c>
      <c r="J212" s="26">
        <f>COUNTIFS(Tracker!G:G,Daily!C212, Tracker!J:J,"Y",Tracker!E:E,1)</f>
        <v>0</v>
      </c>
      <c r="K212" s="26">
        <f>COUNTIFS(Tracker!G:G,Daily!C212, Tracker!J:J,"Y (with hints)",Tracker!E:E,1)</f>
        <v>0</v>
      </c>
      <c r="L212" s="33">
        <f>COUNTIFS(Tracker!G:G,Daily!C212, Tracker!J:J,"N",Tracker!E:E,1)</f>
        <v>0</v>
      </c>
      <c r="M212" s="54">
        <f t="shared" si="118"/>
        <v>0</v>
      </c>
      <c r="N212" s="26">
        <f>COUNTIFS(Tracker!G:G,Daily!C212, Tracker!J:J,"Y",Tracker!E:E,2)</f>
        <v>0</v>
      </c>
      <c r="O212" s="26">
        <f>COUNTIFS(Tracker!G:G,Daily!C212, Tracker!J:J,"Y (with hints)",Tracker!E:E,2)</f>
        <v>0</v>
      </c>
      <c r="P212" s="33">
        <f>COUNTIFS(Tracker!G:G,Daily!C212, Tracker!J:J,"N",Tracker!E:E,2)</f>
        <v>0</v>
      </c>
      <c r="Q212" s="57">
        <f t="shared" si="119"/>
        <v>0</v>
      </c>
      <c r="R212" s="26">
        <f>COUNTIFS(Tracker!G:G,Daily!C212, Tracker!J:J,"Y",Tracker!E:E,3)</f>
        <v>0</v>
      </c>
      <c r="S212" s="26">
        <f>COUNTIFS(Tracker!G:G,Daily!C212, Tracker!J:J,"Y (with hints)",Tracker!E:E,3)</f>
        <v>0</v>
      </c>
      <c r="T212" s="33">
        <f>COUNTIFS(Tracker!G:G,Daily!C212, Tracker!J:J,"N",Tracker!E:E,3)</f>
        <v>0</v>
      </c>
      <c r="V212" s="48">
        <f t="shared" si="120"/>
        <v>91</v>
      </c>
      <c r="W212" s="26">
        <f t="shared" si="121"/>
        <v>87</v>
      </c>
      <c r="X212" s="62">
        <f t="shared" si="122"/>
        <v>0.95604395604395609</v>
      </c>
      <c r="Y212" s="74">
        <f>AVERAGEIFS(Tracker!I:I, Tracker!E:E, 1, Tracker!G:G, "&lt;="&amp;Daily!C212, Tracker!J:J, "Y")</f>
        <v>12.574712643678161</v>
      </c>
      <c r="Z212" s="77">
        <f>COUNTIFS(Tracker!E:E, 1, Tracker!G:G, "&lt;="&amp;Daily!C212, Tracker!L:L, "N") / V212</f>
        <v>0.80219780219780223</v>
      </c>
      <c r="AA212" s="48">
        <f t="shared" si="123"/>
        <v>195</v>
      </c>
      <c r="AB212" s="26">
        <f t="shared" si="124"/>
        <v>161</v>
      </c>
      <c r="AC212" s="62">
        <f t="shared" si="125"/>
        <v>0.82564102564102559</v>
      </c>
      <c r="AD212" s="74">
        <f>AVERAGEIFS(Tracker!I:I, Tracker!E:E, 2, Tracker!G:G, "&lt;="&amp;Daily!C212, Tracker!J:J, "Y")</f>
        <v>26.378881987577639</v>
      </c>
      <c r="AE212" s="77">
        <f>COUNTIFS(Tracker!E:E, 2, Tracker!G:G, "&lt;="&amp;Daily!C212, Tracker!L:L, "N") / AA212</f>
        <v>0.61025641025641031</v>
      </c>
      <c r="AF212" s="48">
        <f t="shared" si="126"/>
        <v>42</v>
      </c>
      <c r="AG212" s="26">
        <f t="shared" si="127"/>
        <v>27</v>
      </c>
      <c r="AH212" s="62">
        <f t="shared" si="128"/>
        <v>0.6428571428571429</v>
      </c>
      <c r="AI212" s="74">
        <f>IFERROR(AVERAGEIFS(Tracker!I:I, Tracker!E:E, 3, Tracker!G:G, "&lt;="&amp;Daily!C212, Tracker!J:J, "Y"), 0)</f>
        <v>40.074074074074076</v>
      </c>
      <c r="AJ212" s="77">
        <f>IFERROR(COUNTIFS(Tracker!E:E, 3, Tracker!G:G, "&lt;="&amp;Daily!C212, Tracker!L:L, "N") / AF212,  0)</f>
        <v>0.35714285714285715</v>
      </c>
      <c r="AK212" s="48">
        <f t="shared" si="129"/>
        <v>328</v>
      </c>
      <c r="AL212" s="26">
        <f t="shared" si="130"/>
        <v>275</v>
      </c>
      <c r="AM212" s="62">
        <f t="shared" si="131"/>
        <v>0.83841463414634143</v>
      </c>
      <c r="AN212" s="74">
        <f>IFERROR(AVERAGEIFS(Tracker!I:I,  Tracker!G:G, "&lt;="&amp;Daily!C212, Tracker!J:J, "Y"), 0)</f>
        <v>23.356363636363636</v>
      </c>
      <c r="AO212" s="77">
        <f>IFERROR(COUNTIFS(Tracker!G:G, "&lt;="&amp;Daily!C212, Tracker!L:L, "N") / AK212,  0)</f>
        <v>0.63109756097560976</v>
      </c>
    </row>
    <row r="213" spans="1:41" x14ac:dyDescent="0.25">
      <c r="A213" s="119"/>
      <c r="B213" s="32">
        <f t="shared" si="115"/>
        <v>45428</v>
      </c>
      <c r="C213" s="27">
        <f t="shared" si="132"/>
        <v>45428</v>
      </c>
      <c r="D213" s="109" t="b">
        <f t="shared" ca="1" si="114"/>
        <v>1</v>
      </c>
      <c r="E213" s="51">
        <f t="shared" si="116"/>
        <v>0</v>
      </c>
      <c r="F213" s="48">
        <f>COUNTIFS(Tracker!G:G,Daily!C213, Tracker!J:J,"Y")</f>
        <v>0</v>
      </c>
      <c r="G213" s="26">
        <f>COUNTIFS(Tracker!G:G,Daily!C213, Tracker!J:J,"Y (with hints)")</f>
        <v>0</v>
      </c>
      <c r="H213" s="33">
        <f>COUNTIFS(Tracker!G:G,Daily!C213, Tracker!J:J,"N")</f>
        <v>0</v>
      </c>
      <c r="I213" s="54">
        <f t="shared" si="117"/>
        <v>0</v>
      </c>
      <c r="J213" s="26">
        <f>COUNTIFS(Tracker!G:G,Daily!C213, Tracker!J:J,"Y",Tracker!E:E,1)</f>
        <v>0</v>
      </c>
      <c r="K213" s="26">
        <f>COUNTIFS(Tracker!G:G,Daily!C213, Tracker!J:J,"Y (with hints)",Tracker!E:E,1)</f>
        <v>0</v>
      </c>
      <c r="L213" s="33">
        <f>COUNTIFS(Tracker!G:G,Daily!C213, Tracker!J:J,"N",Tracker!E:E,1)</f>
        <v>0</v>
      </c>
      <c r="M213" s="54">
        <f t="shared" si="118"/>
        <v>0</v>
      </c>
      <c r="N213" s="26">
        <f>COUNTIFS(Tracker!G:G,Daily!C213, Tracker!J:J,"Y",Tracker!E:E,2)</f>
        <v>0</v>
      </c>
      <c r="O213" s="26">
        <f>COUNTIFS(Tracker!G:G,Daily!C213, Tracker!J:J,"Y (with hints)",Tracker!E:E,2)</f>
        <v>0</v>
      </c>
      <c r="P213" s="33">
        <f>COUNTIFS(Tracker!G:G,Daily!C213, Tracker!J:J,"N",Tracker!E:E,2)</f>
        <v>0</v>
      </c>
      <c r="Q213" s="57">
        <f t="shared" si="119"/>
        <v>0</v>
      </c>
      <c r="R213" s="26">
        <f>COUNTIFS(Tracker!G:G,Daily!C213, Tracker!J:J,"Y",Tracker!E:E,3)</f>
        <v>0</v>
      </c>
      <c r="S213" s="26">
        <f>COUNTIFS(Tracker!G:G,Daily!C213, Tracker!J:J,"Y (with hints)",Tracker!E:E,3)</f>
        <v>0</v>
      </c>
      <c r="T213" s="33">
        <f>COUNTIFS(Tracker!G:G,Daily!C213, Tracker!J:J,"N",Tracker!E:E,3)</f>
        <v>0</v>
      </c>
      <c r="V213" s="48">
        <f t="shared" si="120"/>
        <v>91</v>
      </c>
      <c r="W213" s="26">
        <f t="shared" si="121"/>
        <v>87</v>
      </c>
      <c r="X213" s="62">
        <f t="shared" si="122"/>
        <v>0.95604395604395609</v>
      </c>
      <c r="Y213" s="74">
        <f>AVERAGEIFS(Tracker!I:I, Tracker!E:E, 1, Tracker!G:G, "&lt;="&amp;Daily!C213, Tracker!J:J, "Y")</f>
        <v>12.574712643678161</v>
      </c>
      <c r="Z213" s="77">
        <f>COUNTIFS(Tracker!E:E, 1, Tracker!G:G, "&lt;="&amp;Daily!C213, Tracker!L:L, "N") / V213</f>
        <v>0.80219780219780223</v>
      </c>
      <c r="AA213" s="48">
        <f t="shared" si="123"/>
        <v>195</v>
      </c>
      <c r="AB213" s="26">
        <f t="shared" si="124"/>
        <v>161</v>
      </c>
      <c r="AC213" s="62">
        <f t="shared" si="125"/>
        <v>0.82564102564102559</v>
      </c>
      <c r="AD213" s="74">
        <f>AVERAGEIFS(Tracker!I:I, Tracker!E:E, 2, Tracker!G:G, "&lt;="&amp;Daily!C213, Tracker!J:J, "Y")</f>
        <v>26.378881987577639</v>
      </c>
      <c r="AE213" s="77">
        <f>COUNTIFS(Tracker!E:E, 2, Tracker!G:G, "&lt;="&amp;Daily!C213, Tracker!L:L, "N") / AA213</f>
        <v>0.61025641025641031</v>
      </c>
      <c r="AF213" s="48">
        <f t="shared" si="126"/>
        <v>42</v>
      </c>
      <c r="AG213" s="26">
        <f t="shared" si="127"/>
        <v>27</v>
      </c>
      <c r="AH213" s="62">
        <f t="shared" si="128"/>
        <v>0.6428571428571429</v>
      </c>
      <c r="AI213" s="74">
        <f>IFERROR(AVERAGEIFS(Tracker!I:I, Tracker!E:E, 3, Tracker!G:G, "&lt;="&amp;Daily!C213, Tracker!J:J, "Y"), 0)</f>
        <v>40.074074074074076</v>
      </c>
      <c r="AJ213" s="77">
        <f>IFERROR(COUNTIFS(Tracker!E:E, 3, Tracker!G:G, "&lt;="&amp;Daily!C213, Tracker!L:L, "N") / AF213,  0)</f>
        <v>0.35714285714285715</v>
      </c>
      <c r="AK213" s="48">
        <f t="shared" si="129"/>
        <v>328</v>
      </c>
      <c r="AL213" s="26">
        <f t="shared" si="130"/>
        <v>275</v>
      </c>
      <c r="AM213" s="62">
        <f t="shared" si="131"/>
        <v>0.83841463414634143</v>
      </c>
      <c r="AN213" s="74">
        <f>IFERROR(AVERAGEIFS(Tracker!I:I,  Tracker!G:G, "&lt;="&amp;Daily!C213, Tracker!J:J, "Y"), 0)</f>
        <v>23.356363636363636</v>
      </c>
      <c r="AO213" s="77">
        <f>IFERROR(COUNTIFS(Tracker!G:G, "&lt;="&amp;Daily!C213, Tracker!L:L, "N") / AK213,  0)</f>
        <v>0.63109756097560976</v>
      </c>
    </row>
    <row r="214" spans="1:41" x14ac:dyDescent="0.25">
      <c r="A214" s="119"/>
      <c r="B214" s="32">
        <f t="shared" si="115"/>
        <v>45429</v>
      </c>
      <c r="C214" s="27">
        <f t="shared" si="132"/>
        <v>45429</v>
      </c>
      <c r="D214" s="109" t="b">
        <f t="shared" ca="1" si="114"/>
        <v>1</v>
      </c>
      <c r="E214" s="51">
        <f t="shared" si="116"/>
        <v>0</v>
      </c>
      <c r="F214" s="48">
        <f>COUNTIFS(Tracker!G:G,Daily!C214, Tracker!J:J,"Y")</f>
        <v>0</v>
      </c>
      <c r="G214" s="26">
        <f>COUNTIFS(Tracker!G:G,Daily!C214, Tracker!J:J,"Y (with hints)")</f>
        <v>0</v>
      </c>
      <c r="H214" s="33">
        <f>COUNTIFS(Tracker!G:G,Daily!C214, Tracker!J:J,"N")</f>
        <v>0</v>
      </c>
      <c r="I214" s="54">
        <f t="shared" si="117"/>
        <v>0</v>
      </c>
      <c r="J214" s="26">
        <f>COUNTIFS(Tracker!G:G,Daily!C214, Tracker!J:J,"Y",Tracker!E:E,1)</f>
        <v>0</v>
      </c>
      <c r="K214" s="26">
        <f>COUNTIFS(Tracker!G:G,Daily!C214, Tracker!J:J,"Y (with hints)",Tracker!E:E,1)</f>
        <v>0</v>
      </c>
      <c r="L214" s="33">
        <f>COUNTIFS(Tracker!G:G,Daily!C214, Tracker!J:J,"N",Tracker!E:E,1)</f>
        <v>0</v>
      </c>
      <c r="M214" s="54">
        <f t="shared" si="118"/>
        <v>0</v>
      </c>
      <c r="N214" s="26">
        <f>COUNTIFS(Tracker!G:G,Daily!C214, Tracker!J:J,"Y",Tracker!E:E,2)</f>
        <v>0</v>
      </c>
      <c r="O214" s="26">
        <f>COUNTIFS(Tracker!G:G,Daily!C214, Tracker!J:J,"Y (with hints)",Tracker!E:E,2)</f>
        <v>0</v>
      </c>
      <c r="P214" s="33">
        <f>COUNTIFS(Tracker!G:G,Daily!C214, Tracker!J:J,"N",Tracker!E:E,2)</f>
        <v>0</v>
      </c>
      <c r="Q214" s="57">
        <f t="shared" si="119"/>
        <v>0</v>
      </c>
      <c r="R214" s="26">
        <f>COUNTIFS(Tracker!G:G,Daily!C214, Tracker!J:J,"Y",Tracker!E:E,3)</f>
        <v>0</v>
      </c>
      <c r="S214" s="26">
        <f>COUNTIFS(Tracker!G:G,Daily!C214, Tracker!J:J,"Y (with hints)",Tracker!E:E,3)</f>
        <v>0</v>
      </c>
      <c r="T214" s="33">
        <f>COUNTIFS(Tracker!G:G,Daily!C214, Tracker!J:J,"N",Tracker!E:E,3)</f>
        <v>0</v>
      </c>
      <c r="V214" s="48">
        <f t="shared" si="120"/>
        <v>91</v>
      </c>
      <c r="W214" s="26">
        <f t="shared" si="121"/>
        <v>87</v>
      </c>
      <c r="X214" s="62">
        <f t="shared" si="122"/>
        <v>0.95604395604395609</v>
      </c>
      <c r="Y214" s="74">
        <f>AVERAGEIFS(Tracker!I:I, Tracker!E:E, 1, Tracker!G:G, "&lt;="&amp;Daily!C214, Tracker!J:J, "Y")</f>
        <v>12.574712643678161</v>
      </c>
      <c r="Z214" s="77">
        <f>COUNTIFS(Tracker!E:E, 1, Tracker!G:G, "&lt;="&amp;Daily!C214, Tracker!L:L, "N") / V214</f>
        <v>0.80219780219780223</v>
      </c>
      <c r="AA214" s="48">
        <f t="shared" si="123"/>
        <v>195</v>
      </c>
      <c r="AB214" s="26">
        <f t="shared" si="124"/>
        <v>161</v>
      </c>
      <c r="AC214" s="62">
        <f t="shared" si="125"/>
        <v>0.82564102564102559</v>
      </c>
      <c r="AD214" s="74">
        <f>AVERAGEIFS(Tracker!I:I, Tracker!E:E, 2, Tracker!G:G, "&lt;="&amp;Daily!C214, Tracker!J:J, "Y")</f>
        <v>26.378881987577639</v>
      </c>
      <c r="AE214" s="77">
        <f>COUNTIFS(Tracker!E:E, 2, Tracker!G:G, "&lt;="&amp;Daily!C214, Tracker!L:L, "N") / AA214</f>
        <v>0.61025641025641031</v>
      </c>
      <c r="AF214" s="48">
        <f t="shared" si="126"/>
        <v>42</v>
      </c>
      <c r="AG214" s="26">
        <f t="shared" si="127"/>
        <v>27</v>
      </c>
      <c r="AH214" s="62">
        <f t="shared" si="128"/>
        <v>0.6428571428571429</v>
      </c>
      <c r="AI214" s="74">
        <f>IFERROR(AVERAGEIFS(Tracker!I:I, Tracker!E:E, 3, Tracker!G:G, "&lt;="&amp;Daily!C214, Tracker!J:J, "Y"), 0)</f>
        <v>40.074074074074076</v>
      </c>
      <c r="AJ214" s="77">
        <f>IFERROR(COUNTIFS(Tracker!E:E, 3, Tracker!G:G, "&lt;="&amp;Daily!C214, Tracker!L:L, "N") / AF214,  0)</f>
        <v>0.35714285714285715</v>
      </c>
      <c r="AK214" s="48">
        <f t="shared" si="129"/>
        <v>328</v>
      </c>
      <c r="AL214" s="26">
        <f t="shared" si="130"/>
        <v>275</v>
      </c>
      <c r="AM214" s="62">
        <f t="shared" si="131"/>
        <v>0.83841463414634143</v>
      </c>
      <c r="AN214" s="74">
        <f>IFERROR(AVERAGEIFS(Tracker!I:I,  Tracker!G:G, "&lt;="&amp;Daily!C214, Tracker!J:J, "Y"), 0)</f>
        <v>23.356363636363636</v>
      </c>
      <c r="AO214" s="77">
        <f>IFERROR(COUNTIFS(Tracker!G:G, "&lt;="&amp;Daily!C214, Tracker!L:L, "N") / AK214,  0)</f>
        <v>0.63109756097560976</v>
      </c>
    </row>
    <row r="215" spans="1:41" x14ac:dyDescent="0.25">
      <c r="A215" s="119"/>
      <c r="B215" s="32">
        <f t="shared" si="115"/>
        <v>45430</v>
      </c>
      <c r="C215" s="27">
        <f t="shared" si="132"/>
        <v>45430</v>
      </c>
      <c r="D215" s="109" t="b">
        <f t="shared" ca="1" si="114"/>
        <v>1</v>
      </c>
      <c r="E215" s="51">
        <f t="shared" si="116"/>
        <v>0</v>
      </c>
      <c r="F215" s="48">
        <f>COUNTIFS(Tracker!G:G,Daily!C215, Tracker!J:J,"Y")</f>
        <v>0</v>
      </c>
      <c r="G215" s="26">
        <f>COUNTIFS(Tracker!G:G,Daily!C215, Tracker!J:J,"Y (with hints)")</f>
        <v>0</v>
      </c>
      <c r="H215" s="33">
        <f>COUNTIFS(Tracker!G:G,Daily!C215, Tracker!J:J,"N")</f>
        <v>0</v>
      </c>
      <c r="I215" s="54">
        <f t="shared" si="117"/>
        <v>0</v>
      </c>
      <c r="J215" s="26">
        <f>COUNTIFS(Tracker!G:G,Daily!C215, Tracker!J:J,"Y",Tracker!E:E,1)</f>
        <v>0</v>
      </c>
      <c r="K215" s="26">
        <f>COUNTIFS(Tracker!G:G,Daily!C215, Tracker!J:J,"Y (with hints)",Tracker!E:E,1)</f>
        <v>0</v>
      </c>
      <c r="L215" s="33">
        <f>COUNTIFS(Tracker!G:G,Daily!C215, Tracker!J:J,"N",Tracker!E:E,1)</f>
        <v>0</v>
      </c>
      <c r="M215" s="54">
        <f t="shared" si="118"/>
        <v>0</v>
      </c>
      <c r="N215" s="26">
        <f>COUNTIFS(Tracker!G:G,Daily!C215, Tracker!J:J,"Y",Tracker!E:E,2)</f>
        <v>0</v>
      </c>
      <c r="O215" s="26">
        <f>COUNTIFS(Tracker!G:G,Daily!C215, Tracker!J:J,"Y (with hints)",Tracker!E:E,2)</f>
        <v>0</v>
      </c>
      <c r="P215" s="33">
        <f>COUNTIFS(Tracker!G:G,Daily!C215, Tracker!J:J,"N",Tracker!E:E,2)</f>
        <v>0</v>
      </c>
      <c r="Q215" s="57">
        <f t="shared" si="119"/>
        <v>0</v>
      </c>
      <c r="R215" s="26">
        <f>COUNTIFS(Tracker!G:G,Daily!C215, Tracker!J:J,"Y",Tracker!E:E,3)</f>
        <v>0</v>
      </c>
      <c r="S215" s="26">
        <f>COUNTIFS(Tracker!G:G,Daily!C215, Tracker!J:J,"Y (with hints)",Tracker!E:E,3)</f>
        <v>0</v>
      </c>
      <c r="T215" s="33">
        <f>COUNTIFS(Tracker!G:G,Daily!C215, Tracker!J:J,"N",Tracker!E:E,3)</f>
        <v>0</v>
      </c>
      <c r="V215" s="48">
        <f t="shared" si="120"/>
        <v>91</v>
      </c>
      <c r="W215" s="26">
        <f t="shared" si="121"/>
        <v>87</v>
      </c>
      <c r="X215" s="62">
        <f t="shared" si="122"/>
        <v>0.95604395604395609</v>
      </c>
      <c r="Y215" s="74">
        <f>AVERAGEIFS(Tracker!I:I, Tracker!E:E, 1, Tracker!G:G, "&lt;="&amp;Daily!C215, Tracker!J:J, "Y")</f>
        <v>12.574712643678161</v>
      </c>
      <c r="Z215" s="77">
        <f>COUNTIFS(Tracker!E:E, 1, Tracker!G:G, "&lt;="&amp;Daily!C215, Tracker!L:L, "N") / V215</f>
        <v>0.80219780219780223</v>
      </c>
      <c r="AA215" s="48">
        <f t="shared" si="123"/>
        <v>195</v>
      </c>
      <c r="AB215" s="26">
        <f t="shared" si="124"/>
        <v>161</v>
      </c>
      <c r="AC215" s="62">
        <f t="shared" si="125"/>
        <v>0.82564102564102559</v>
      </c>
      <c r="AD215" s="74">
        <f>AVERAGEIFS(Tracker!I:I, Tracker!E:E, 2, Tracker!G:G, "&lt;="&amp;Daily!C215, Tracker!J:J, "Y")</f>
        <v>26.378881987577639</v>
      </c>
      <c r="AE215" s="77">
        <f>COUNTIFS(Tracker!E:E, 2, Tracker!G:G, "&lt;="&amp;Daily!C215, Tracker!L:L, "N") / AA215</f>
        <v>0.61025641025641031</v>
      </c>
      <c r="AF215" s="48">
        <f t="shared" si="126"/>
        <v>42</v>
      </c>
      <c r="AG215" s="26">
        <f t="shared" si="127"/>
        <v>27</v>
      </c>
      <c r="AH215" s="62">
        <f t="shared" si="128"/>
        <v>0.6428571428571429</v>
      </c>
      <c r="AI215" s="74">
        <f>IFERROR(AVERAGEIFS(Tracker!I:I, Tracker!E:E, 3, Tracker!G:G, "&lt;="&amp;Daily!C215, Tracker!J:J, "Y"), 0)</f>
        <v>40.074074074074076</v>
      </c>
      <c r="AJ215" s="77">
        <f>IFERROR(COUNTIFS(Tracker!E:E, 3, Tracker!G:G, "&lt;="&amp;Daily!C215, Tracker!L:L, "N") / AF215,  0)</f>
        <v>0.35714285714285715</v>
      </c>
      <c r="AK215" s="48">
        <f t="shared" si="129"/>
        <v>328</v>
      </c>
      <c r="AL215" s="26">
        <f t="shared" si="130"/>
        <v>275</v>
      </c>
      <c r="AM215" s="62">
        <f t="shared" si="131"/>
        <v>0.83841463414634143</v>
      </c>
      <c r="AN215" s="74">
        <f>IFERROR(AVERAGEIFS(Tracker!I:I,  Tracker!G:G, "&lt;="&amp;Daily!C215, Tracker!J:J, "Y"), 0)</f>
        <v>23.356363636363636</v>
      </c>
      <c r="AO215" s="77">
        <f>IFERROR(COUNTIFS(Tracker!G:G, "&lt;="&amp;Daily!C215, Tracker!L:L, "N") / AK215,  0)</f>
        <v>0.63109756097560976</v>
      </c>
    </row>
    <row r="216" spans="1:41" ht="15.75" thickBot="1" x14ac:dyDescent="0.3">
      <c r="A216" s="120"/>
      <c r="B216" s="34">
        <f t="shared" si="115"/>
        <v>45431</v>
      </c>
      <c r="C216" s="35">
        <f t="shared" si="132"/>
        <v>45431</v>
      </c>
      <c r="D216" s="110" t="b">
        <f t="shared" ca="1" si="114"/>
        <v>1</v>
      </c>
      <c r="E216" s="52">
        <f t="shared" si="116"/>
        <v>0</v>
      </c>
      <c r="F216" s="39">
        <f>COUNTIFS(Tracker!G:G,Daily!C216, Tracker!J:J,"Y")</f>
        <v>0</v>
      </c>
      <c r="G216" s="36">
        <f>COUNTIFS(Tracker!G:G,Daily!C216, Tracker!J:J,"Y (with hints)")</f>
        <v>0</v>
      </c>
      <c r="H216" s="37">
        <f>COUNTIFS(Tracker!G:G,Daily!C216, Tracker!J:J,"N")</f>
        <v>0</v>
      </c>
      <c r="I216" s="55">
        <f t="shared" si="117"/>
        <v>0</v>
      </c>
      <c r="J216" s="36">
        <f>COUNTIFS(Tracker!G:G,Daily!C216, Tracker!J:J,"Y",Tracker!E:E,1)</f>
        <v>0</v>
      </c>
      <c r="K216" s="36">
        <f>COUNTIFS(Tracker!G:G,Daily!C216, Tracker!J:J,"Y (with hints)",Tracker!E:E,1)</f>
        <v>0</v>
      </c>
      <c r="L216" s="37">
        <f>COUNTIFS(Tracker!G:G,Daily!C216, Tracker!J:J,"N",Tracker!E:E,1)</f>
        <v>0</v>
      </c>
      <c r="M216" s="55">
        <f t="shared" si="118"/>
        <v>0</v>
      </c>
      <c r="N216" s="36">
        <f>COUNTIFS(Tracker!G:G,Daily!C216, Tracker!J:J,"Y",Tracker!E:E,2)</f>
        <v>0</v>
      </c>
      <c r="O216" s="36">
        <f>COUNTIFS(Tracker!G:G,Daily!C216, Tracker!J:J,"Y (with hints)",Tracker!E:E,2)</f>
        <v>0</v>
      </c>
      <c r="P216" s="37">
        <f>COUNTIFS(Tracker!G:G,Daily!C216, Tracker!J:J,"N",Tracker!E:E,2)</f>
        <v>0</v>
      </c>
      <c r="Q216" s="58">
        <f t="shared" si="119"/>
        <v>0</v>
      </c>
      <c r="R216" s="36">
        <f>COUNTIFS(Tracker!G:G,Daily!C216, Tracker!J:J,"Y",Tracker!E:E,3)</f>
        <v>0</v>
      </c>
      <c r="S216" s="36">
        <f>COUNTIFS(Tracker!G:G,Daily!C216, Tracker!J:J,"Y (with hints)",Tracker!E:E,3)</f>
        <v>0</v>
      </c>
      <c r="T216" s="37">
        <f>COUNTIFS(Tracker!G:G,Daily!C216, Tracker!J:J,"N",Tracker!E:E,3)</f>
        <v>0</v>
      </c>
      <c r="V216" s="39">
        <f t="shared" si="120"/>
        <v>91</v>
      </c>
      <c r="W216" s="36">
        <f t="shared" si="121"/>
        <v>87</v>
      </c>
      <c r="X216" s="64">
        <f t="shared" si="122"/>
        <v>0.95604395604395609</v>
      </c>
      <c r="Y216" s="78">
        <f>AVERAGEIFS(Tracker!I:I, Tracker!E:E, 1, Tracker!G:G, "&lt;="&amp;Daily!C216, Tracker!J:J, "Y")</f>
        <v>12.574712643678161</v>
      </c>
      <c r="Z216" s="79">
        <f>COUNTIFS(Tracker!E:E, 1, Tracker!G:G, "&lt;="&amp;Daily!C216, Tracker!L:L, "N") / V216</f>
        <v>0.80219780219780223</v>
      </c>
      <c r="AA216" s="39">
        <f t="shared" si="123"/>
        <v>195</v>
      </c>
      <c r="AB216" s="36">
        <f t="shared" si="124"/>
        <v>161</v>
      </c>
      <c r="AC216" s="64">
        <f t="shared" si="125"/>
        <v>0.82564102564102559</v>
      </c>
      <c r="AD216" s="78">
        <f>AVERAGEIFS(Tracker!I:I, Tracker!E:E, 2, Tracker!G:G, "&lt;="&amp;Daily!C216, Tracker!J:J, "Y")</f>
        <v>26.378881987577639</v>
      </c>
      <c r="AE216" s="79">
        <f>COUNTIFS(Tracker!E:E, 2, Tracker!G:G, "&lt;="&amp;Daily!C216, Tracker!L:L, "N") / AA216</f>
        <v>0.61025641025641031</v>
      </c>
      <c r="AF216" s="39">
        <f t="shared" si="126"/>
        <v>42</v>
      </c>
      <c r="AG216" s="36">
        <f t="shared" si="127"/>
        <v>27</v>
      </c>
      <c r="AH216" s="64">
        <f t="shared" si="128"/>
        <v>0.6428571428571429</v>
      </c>
      <c r="AI216" s="78">
        <f>IFERROR(AVERAGEIFS(Tracker!I:I, Tracker!E:E, 3, Tracker!G:G, "&lt;="&amp;Daily!C216, Tracker!J:J, "Y"), 0)</f>
        <v>40.074074074074076</v>
      </c>
      <c r="AJ216" s="79">
        <f>IFERROR(COUNTIFS(Tracker!E:E, 3, Tracker!G:G, "&lt;="&amp;Daily!C216, Tracker!L:L, "N") / AF216,  0)</f>
        <v>0.35714285714285715</v>
      </c>
      <c r="AK216" s="39">
        <f t="shared" si="129"/>
        <v>328</v>
      </c>
      <c r="AL216" s="36">
        <f t="shared" si="130"/>
        <v>275</v>
      </c>
      <c r="AM216" s="64">
        <f t="shared" si="131"/>
        <v>0.83841463414634143</v>
      </c>
      <c r="AN216" s="78">
        <f>IFERROR(AVERAGEIFS(Tracker!I:I,  Tracker!G:G, "&lt;="&amp;Daily!C216, Tracker!J:J, "Y"), 0)</f>
        <v>23.356363636363636</v>
      </c>
      <c r="AO216" s="79">
        <f>IFERROR(COUNTIFS(Tracker!G:G, "&lt;="&amp;Daily!C216, Tracker!L:L, "N") / AK216,  0)</f>
        <v>0.63109756097560976</v>
      </c>
    </row>
    <row r="217" spans="1:41" x14ac:dyDescent="0.25">
      <c r="A217" s="118">
        <f>A210+1</f>
        <v>31</v>
      </c>
      <c r="B217" s="28">
        <f t="shared" si="115"/>
        <v>45432</v>
      </c>
      <c r="C217" s="29">
        <f t="shared" si="132"/>
        <v>45432</v>
      </c>
      <c r="D217" s="108" t="b">
        <f t="shared" ca="1" si="114"/>
        <v>1</v>
      </c>
      <c r="E217" s="50">
        <f t="shared" si="116"/>
        <v>0</v>
      </c>
      <c r="F217" s="38">
        <f>COUNTIFS(Tracker!G:G,Daily!C217, Tracker!J:J,"Y")</f>
        <v>0</v>
      </c>
      <c r="G217" s="30">
        <f>COUNTIFS(Tracker!G:G,Daily!C217, Tracker!J:J,"Y (with hints)")</f>
        <v>0</v>
      </c>
      <c r="H217" s="31">
        <f>COUNTIFS(Tracker!G:G,Daily!C217, Tracker!J:J,"N")</f>
        <v>0</v>
      </c>
      <c r="I217" s="53">
        <f t="shared" si="117"/>
        <v>0</v>
      </c>
      <c r="J217" s="30">
        <f>COUNTIFS(Tracker!G:G,Daily!C217, Tracker!J:J,"Y",Tracker!E:E,1)</f>
        <v>0</v>
      </c>
      <c r="K217" s="30">
        <f>COUNTIFS(Tracker!G:G,Daily!C217, Tracker!J:J,"Y (with hints)",Tracker!E:E,1)</f>
        <v>0</v>
      </c>
      <c r="L217" s="31">
        <f>COUNTIFS(Tracker!G:G,Daily!C217, Tracker!J:J,"N",Tracker!E:E,1)</f>
        <v>0</v>
      </c>
      <c r="M217" s="53">
        <f t="shared" si="118"/>
        <v>0</v>
      </c>
      <c r="N217" s="30">
        <f>COUNTIFS(Tracker!G:G,Daily!C217, Tracker!J:J,"Y",Tracker!E:E,2)</f>
        <v>0</v>
      </c>
      <c r="O217" s="30">
        <f>COUNTIFS(Tracker!G:G,Daily!C217, Tracker!J:J,"Y (with hints)",Tracker!E:E,2)</f>
        <v>0</v>
      </c>
      <c r="P217" s="31">
        <f>COUNTIFS(Tracker!G:G,Daily!C217, Tracker!J:J,"N",Tracker!E:E,2)</f>
        <v>0</v>
      </c>
      <c r="Q217" s="56">
        <f t="shared" si="119"/>
        <v>0</v>
      </c>
      <c r="R217" s="30">
        <f>COUNTIFS(Tracker!G:G,Daily!C217, Tracker!J:J,"Y",Tracker!E:E,3)</f>
        <v>0</v>
      </c>
      <c r="S217" s="30">
        <f>COUNTIFS(Tracker!G:G,Daily!C217, Tracker!J:J,"Y (with hints)",Tracker!E:E,3)</f>
        <v>0</v>
      </c>
      <c r="T217" s="31">
        <f>COUNTIFS(Tracker!G:G,Daily!C217, Tracker!J:J,"N",Tracker!E:E,3)</f>
        <v>0</v>
      </c>
      <c r="V217" s="38">
        <f t="shared" si="120"/>
        <v>91</v>
      </c>
      <c r="W217" s="30">
        <f t="shared" si="121"/>
        <v>87</v>
      </c>
      <c r="X217" s="73">
        <f t="shared" si="122"/>
        <v>0.95604395604395609</v>
      </c>
      <c r="Y217" s="75">
        <f>AVERAGEIFS(Tracker!I:I, Tracker!E:E, 1, Tracker!G:G, "&lt;="&amp;Daily!C217, Tracker!J:J, "Y")</f>
        <v>12.574712643678161</v>
      </c>
      <c r="Z217" s="76">
        <f>COUNTIFS(Tracker!E:E, 1, Tracker!G:G, "&lt;="&amp;Daily!C217, Tracker!L:L, "N") / V217</f>
        <v>0.80219780219780223</v>
      </c>
      <c r="AA217" s="38">
        <f t="shared" si="123"/>
        <v>195</v>
      </c>
      <c r="AB217" s="30">
        <f t="shared" si="124"/>
        <v>161</v>
      </c>
      <c r="AC217" s="73">
        <f t="shared" si="125"/>
        <v>0.82564102564102559</v>
      </c>
      <c r="AD217" s="75">
        <f>AVERAGEIFS(Tracker!I:I, Tracker!E:E, 2, Tracker!G:G, "&lt;="&amp;Daily!C217, Tracker!J:J, "Y")</f>
        <v>26.378881987577639</v>
      </c>
      <c r="AE217" s="76">
        <f>COUNTIFS(Tracker!E:E, 2, Tracker!G:G, "&lt;="&amp;Daily!C217, Tracker!L:L, "N") / AA217</f>
        <v>0.61025641025641031</v>
      </c>
      <c r="AF217" s="38">
        <f t="shared" si="126"/>
        <v>42</v>
      </c>
      <c r="AG217" s="30">
        <f t="shared" si="127"/>
        <v>27</v>
      </c>
      <c r="AH217" s="73">
        <f t="shared" si="128"/>
        <v>0.6428571428571429</v>
      </c>
      <c r="AI217" s="75">
        <f>IFERROR(AVERAGEIFS(Tracker!I:I, Tracker!E:E, 3, Tracker!G:G, "&lt;="&amp;Daily!C217, Tracker!J:J, "Y"), 0)</f>
        <v>40.074074074074076</v>
      </c>
      <c r="AJ217" s="76">
        <f>IFERROR(COUNTIFS(Tracker!E:E, 3, Tracker!G:G, "&lt;="&amp;Daily!C217, Tracker!L:L, "N") / AF217,  0)</f>
        <v>0.35714285714285715</v>
      </c>
      <c r="AK217" s="38">
        <f t="shared" si="129"/>
        <v>328</v>
      </c>
      <c r="AL217" s="30">
        <f t="shared" si="130"/>
        <v>275</v>
      </c>
      <c r="AM217" s="73">
        <f t="shared" si="131"/>
        <v>0.83841463414634143</v>
      </c>
      <c r="AN217" s="75">
        <f>IFERROR(AVERAGEIFS(Tracker!I:I,  Tracker!G:G, "&lt;="&amp;Daily!C217, Tracker!J:J, "Y"), 0)</f>
        <v>23.356363636363636</v>
      </c>
      <c r="AO217" s="76">
        <f>IFERROR(COUNTIFS(Tracker!G:G, "&lt;="&amp;Daily!C217, Tracker!L:L, "N") / AK217,  0)</f>
        <v>0.63109756097560976</v>
      </c>
    </row>
    <row r="218" spans="1:41" x14ac:dyDescent="0.25">
      <c r="A218" s="119"/>
      <c r="B218" s="32">
        <f t="shared" si="115"/>
        <v>45433</v>
      </c>
      <c r="C218" s="27">
        <f t="shared" si="132"/>
        <v>45433</v>
      </c>
      <c r="D218" s="109" t="b">
        <f t="shared" ca="1" si="114"/>
        <v>1</v>
      </c>
      <c r="E218" s="51">
        <f t="shared" si="116"/>
        <v>0</v>
      </c>
      <c r="F218" s="48">
        <f>COUNTIFS(Tracker!G:G,Daily!C218, Tracker!J:J,"Y")</f>
        <v>0</v>
      </c>
      <c r="G218" s="26">
        <f>COUNTIFS(Tracker!G:G,Daily!C218, Tracker!J:J,"Y (with hints)")</f>
        <v>0</v>
      </c>
      <c r="H218" s="33">
        <f>COUNTIFS(Tracker!G:G,Daily!C218, Tracker!J:J,"N")</f>
        <v>0</v>
      </c>
      <c r="I218" s="54">
        <f t="shared" si="117"/>
        <v>0</v>
      </c>
      <c r="J218" s="26">
        <f>COUNTIFS(Tracker!G:G,Daily!C218, Tracker!J:J,"Y",Tracker!E:E,1)</f>
        <v>0</v>
      </c>
      <c r="K218" s="26">
        <f>COUNTIFS(Tracker!G:G,Daily!C218, Tracker!J:J,"Y (with hints)",Tracker!E:E,1)</f>
        <v>0</v>
      </c>
      <c r="L218" s="33">
        <f>COUNTIFS(Tracker!G:G,Daily!C218, Tracker!J:J,"N",Tracker!E:E,1)</f>
        <v>0</v>
      </c>
      <c r="M218" s="54">
        <f t="shared" si="118"/>
        <v>0</v>
      </c>
      <c r="N218" s="26">
        <f>COUNTIFS(Tracker!G:G,Daily!C218, Tracker!J:J,"Y",Tracker!E:E,2)</f>
        <v>0</v>
      </c>
      <c r="O218" s="26">
        <f>COUNTIFS(Tracker!G:G,Daily!C218, Tracker!J:J,"Y (with hints)",Tracker!E:E,2)</f>
        <v>0</v>
      </c>
      <c r="P218" s="33">
        <f>COUNTIFS(Tracker!G:G,Daily!C218, Tracker!J:J,"N",Tracker!E:E,2)</f>
        <v>0</v>
      </c>
      <c r="Q218" s="57">
        <f t="shared" si="119"/>
        <v>0</v>
      </c>
      <c r="R218" s="26">
        <f>COUNTIFS(Tracker!G:G,Daily!C218, Tracker!J:J,"Y",Tracker!E:E,3)</f>
        <v>0</v>
      </c>
      <c r="S218" s="26">
        <f>COUNTIFS(Tracker!G:G,Daily!C218, Tracker!J:J,"Y (with hints)",Tracker!E:E,3)</f>
        <v>0</v>
      </c>
      <c r="T218" s="33">
        <f>COUNTIFS(Tracker!G:G,Daily!C218, Tracker!J:J,"N",Tracker!E:E,3)</f>
        <v>0</v>
      </c>
      <c r="V218" s="48">
        <f t="shared" si="120"/>
        <v>91</v>
      </c>
      <c r="W218" s="26">
        <f t="shared" si="121"/>
        <v>87</v>
      </c>
      <c r="X218" s="62">
        <f t="shared" si="122"/>
        <v>0.95604395604395609</v>
      </c>
      <c r="Y218" s="74">
        <f>AVERAGEIFS(Tracker!I:I, Tracker!E:E, 1, Tracker!G:G, "&lt;="&amp;Daily!C218, Tracker!J:J, "Y")</f>
        <v>12.574712643678161</v>
      </c>
      <c r="Z218" s="77">
        <f>COUNTIFS(Tracker!E:E, 1, Tracker!G:G, "&lt;="&amp;Daily!C218, Tracker!L:L, "N") / V218</f>
        <v>0.80219780219780223</v>
      </c>
      <c r="AA218" s="48">
        <f t="shared" si="123"/>
        <v>195</v>
      </c>
      <c r="AB218" s="26">
        <f t="shared" si="124"/>
        <v>161</v>
      </c>
      <c r="AC218" s="62">
        <f t="shared" si="125"/>
        <v>0.82564102564102559</v>
      </c>
      <c r="AD218" s="74">
        <f>AVERAGEIFS(Tracker!I:I, Tracker!E:E, 2, Tracker!G:G, "&lt;="&amp;Daily!C218, Tracker!J:J, "Y")</f>
        <v>26.378881987577639</v>
      </c>
      <c r="AE218" s="77">
        <f>COUNTIFS(Tracker!E:E, 2, Tracker!G:G, "&lt;="&amp;Daily!C218, Tracker!L:L, "N") / AA218</f>
        <v>0.61025641025641031</v>
      </c>
      <c r="AF218" s="48">
        <f t="shared" si="126"/>
        <v>42</v>
      </c>
      <c r="AG218" s="26">
        <f t="shared" si="127"/>
        <v>27</v>
      </c>
      <c r="AH218" s="62">
        <f t="shared" si="128"/>
        <v>0.6428571428571429</v>
      </c>
      <c r="AI218" s="74">
        <f>IFERROR(AVERAGEIFS(Tracker!I:I, Tracker!E:E, 3, Tracker!G:G, "&lt;="&amp;Daily!C218, Tracker!J:J, "Y"), 0)</f>
        <v>40.074074074074076</v>
      </c>
      <c r="AJ218" s="77">
        <f>IFERROR(COUNTIFS(Tracker!E:E, 3, Tracker!G:G, "&lt;="&amp;Daily!C218, Tracker!L:L, "N") / AF218,  0)</f>
        <v>0.35714285714285715</v>
      </c>
      <c r="AK218" s="48">
        <f t="shared" si="129"/>
        <v>328</v>
      </c>
      <c r="AL218" s="26">
        <f t="shared" si="130"/>
        <v>275</v>
      </c>
      <c r="AM218" s="62">
        <f t="shared" si="131"/>
        <v>0.83841463414634143</v>
      </c>
      <c r="AN218" s="74">
        <f>IFERROR(AVERAGEIFS(Tracker!I:I,  Tracker!G:G, "&lt;="&amp;Daily!C218, Tracker!J:J, "Y"), 0)</f>
        <v>23.356363636363636</v>
      </c>
      <c r="AO218" s="77">
        <f>IFERROR(COUNTIFS(Tracker!G:G, "&lt;="&amp;Daily!C218, Tracker!L:L, "N") / AK218,  0)</f>
        <v>0.63109756097560976</v>
      </c>
    </row>
    <row r="219" spans="1:41" x14ac:dyDescent="0.25">
      <c r="A219" s="119"/>
      <c r="B219" s="32">
        <f t="shared" si="115"/>
        <v>45434</v>
      </c>
      <c r="C219" s="27">
        <f t="shared" si="132"/>
        <v>45434</v>
      </c>
      <c r="D219" s="109" t="b">
        <f t="shared" ca="1" si="114"/>
        <v>1</v>
      </c>
      <c r="E219" s="51">
        <f t="shared" si="116"/>
        <v>0</v>
      </c>
      <c r="F219" s="48">
        <f>COUNTIFS(Tracker!G:G,Daily!C219, Tracker!J:J,"Y")</f>
        <v>0</v>
      </c>
      <c r="G219" s="26">
        <f>COUNTIFS(Tracker!G:G,Daily!C219, Tracker!J:J,"Y (with hints)")</f>
        <v>0</v>
      </c>
      <c r="H219" s="33">
        <f>COUNTIFS(Tracker!G:G,Daily!C219, Tracker!J:J,"N")</f>
        <v>0</v>
      </c>
      <c r="I219" s="54">
        <f t="shared" si="117"/>
        <v>0</v>
      </c>
      <c r="J219" s="26">
        <f>COUNTIFS(Tracker!G:G,Daily!C219, Tracker!J:J,"Y",Tracker!E:E,1)</f>
        <v>0</v>
      </c>
      <c r="K219" s="26">
        <f>COUNTIFS(Tracker!G:G,Daily!C219, Tracker!J:J,"Y (with hints)",Tracker!E:E,1)</f>
        <v>0</v>
      </c>
      <c r="L219" s="33">
        <f>COUNTIFS(Tracker!G:G,Daily!C219, Tracker!J:J,"N",Tracker!E:E,1)</f>
        <v>0</v>
      </c>
      <c r="M219" s="54">
        <f t="shared" si="118"/>
        <v>0</v>
      </c>
      <c r="N219" s="26">
        <f>COUNTIFS(Tracker!G:G,Daily!C219, Tracker!J:J,"Y",Tracker!E:E,2)</f>
        <v>0</v>
      </c>
      <c r="O219" s="26">
        <f>COUNTIFS(Tracker!G:G,Daily!C219, Tracker!J:J,"Y (with hints)",Tracker!E:E,2)</f>
        <v>0</v>
      </c>
      <c r="P219" s="33">
        <f>COUNTIFS(Tracker!G:G,Daily!C219, Tracker!J:J,"N",Tracker!E:E,2)</f>
        <v>0</v>
      </c>
      <c r="Q219" s="57">
        <f t="shared" si="119"/>
        <v>0</v>
      </c>
      <c r="R219" s="26">
        <f>COUNTIFS(Tracker!G:G,Daily!C219, Tracker!J:J,"Y",Tracker!E:E,3)</f>
        <v>0</v>
      </c>
      <c r="S219" s="26">
        <f>COUNTIFS(Tracker!G:G,Daily!C219, Tracker!J:J,"Y (with hints)",Tracker!E:E,3)</f>
        <v>0</v>
      </c>
      <c r="T219" s="33">
        <f>COUNTIFS(Tracker!G:G,Daily!C219, Tracker!J:J,"N",Tracker!E:E,3)</f>
        <v>0</v>
      </c>
      <c r="V219" s="48">
        <f t="shared" si="120"/>
        <v>91</v>
      </c>
      <c r="W219" s="26">
        <f t="shared" si="121"/>
        <v>87</v>
      </c>
      <c r="X219" s="62">
        <f t="shared" si="122"/>
        <v>0.95604395604395609</v>
      </c>
      <c r="Y219" s="74">
        <f>AVERAGEIFS(Tracker!I:I, Tracker!E:E, 1, Tracker!G:G, "&lt;="&amp;Daily!C219, Tracker!J:J, "Y")</f>
        <v>12.574712643678161</v>
      </c>
      <c r="Z219" s="77">
        <f>COUNTIFS(Tracker!E:E, 1, Tracker!G:G, "&lt;="&amp;Daily!C219, Tracker!L:L, "N") / V219</f>
        <v>0.80219780219780223</v>
      </c>
      <c r="AA219" s="48">
        <f t="shared" si="123"/>
        <v>195</v>
      </c>
      <c r="AB219" s="26">
        <f t="shared" si="124"/>
        <v>161</v>
      </c>
      <c r="AC219" s="62">
        <f t="shared" si="125"/>
        <v>0.82564102564102559</v>
      </c>
      <c r="AD219" s="74">
        <f>AVERAGEIFS(Tracker!I:I, Tracker!E:E, 2, Tracker!G:G, "&lt;="&amp;Daily!C219, Tracker!J:J, "Y")</f>
        <v>26.378881987577639</v>
      </c>
      <c r="AE219" s="77">
        <f>COUNTIFS(Tracker!E:E, 2, Tracker!G:G, "&lt;="&amp;Daily!C219, Tracker!L:L, "N") / AA219</f>
        <v>0.61025641025641031</v>
      </c>
      <c r="AF219" s="48">
        <f t="shared" si="126"/>
        <v>42</v>
      </c>
      <c r="AG219" s="26">
        <f t="shared" si="127"/>
        <v>27</v>
      </c>
      <c r="AH219" s="62">
        <f t="shared" si="128"/>
        <v>0.6428571428571429</v>
      </c>
      <c r="AI219" s="74">
        <f>IFERROR(AVERAGEIFS(Tracker!I:I, Tracker!E:E, 3, Tracker!G:G, "&lt;="&amp;Daily!C219, Tracker!J:J, "Y"), 0)</f>
        <v>40.074074074074076</v>
      </c>
      <c r="AJ219" s="77">
        <f>IFERROR(COUNTIFS(Tracker!E:E, 3, Tracker!G:G, "&lt;="&amp;Daily!C219, Tracker!L:L, "N") / AF219,  0)</f>
        <v>0.35714285714285715</v>
      </c>
      <c r="AK219" s="48">
        <f t="shared" si="129"/>
        <v>328</v>
      </c>
      <c r="AL219" s="26">
        <f t="shared" si="130"/>
        <v>275</v>
      </c>
      <c r="AM219" s="62">
        <f t="shared" si="131"/>
        <v>0.83841463414634143</v>
      </c>
      <c r="AN219" s="74">
        <f>IFERROR(AVERAGEIFS(Tracker!I:I,  Tracker!G:G, "&lt;="&amp;Daily!C219, Tracker!J:J, "Y"), 0)</f>
        <v>23.356363636363636</v>
      </c>
      <c r="AO219" s="77">
        <f>IFERROR(COUNTIFS(Tracker!G:G, "&lt;="&amp;Daily!C219, Tracker!L:L, "N") / AK219,  0)</f>
        <v>0.63109756097560976</v>
      </c>
    </row>
    <row r="220" spans="1:41" x14ac:dyDescent="0.25">
      <c r="A220" s="119"/>
      <c r="B220" s="32">
        <f t="shared" si="115"/>
        <v>45435</v>
      </c>
      <c r="C220" s="27">
        <f t="shared" si="132"/>
        <v>45435</v>
      </c>
      <c r="D220" s="109" t="b">
        <f t="shared" ca="1" si="114"/>
        <v>1</v>
      </c>
      <c r="E220" s="51">
        <f t="shared" si="116"/>
        <v>0</v>
      </c>
      <c r="F220" s="48">
        <f>COUNTIFS(Tracker!G:G,Daily!C220, Tracker!J:J,"Y")</f>
        <v>0</v>
      </c>
      <c r="G220" s="26">
        <f>COUNTIFS(Tracker!G:G,Daily!C220, Tracker!J:J,"Y (with hints)")</f>
        <v>0</v>
      </c>
      <c r="H220" s="33">
        <f>COUNTIFS(Tracker!G:G,Daily!C220, Tracker!J:J,"N")</f>
        <v>0</v>
      </c>
      <c r="I220" s="54">
        <f t="shared" si="117"/>
        <v>0</v>
      </c>
      <c r="J220" s="26">
        <f>COUNTIFS(Tracker!G:G,Daily!C220, Tracker!J:J,"Y",Tracker!E:E,1)</f>
        <v>0</v>
      </c>
      <c r="K220" s="26">
        <f>COUNTIFS(Tracker!G:G,Daily!C220, Tracker!J:J,"Y (with hints)",Tracker!E:E,1)</f>
        <v>0</v>
      </c>
      <c r="L220" s="33">
        <f>COUNTIFS(Tracker!G:G,Daily!C220, Tracker!J:J,"N",Tracker!E:E,1)</f>
        <v>0</v>
      </c>
      <c r="M220" s="54">
        <f t="shared" si="118"/>
        <v>0</v>
      </c>
      <c r="N220" s="26">
        <f>COUNTIFS(Tracker!G:G,Daily!C220, Tracker!J:J,"Y",Tracker!E:E,2)</f>
        <v>0</v>
      </c>
      <c r="O220" s="26">
        <f>COUNTIFS(Tracker!G:G,Daily!C220, Tracker!J:J,"Y (with hints)",Tracker!E:E,2)</f>
        <v>0</v>
      </c>
      <c r="P220" s="33">
        <f>COUNTIFS(Tracker!G:G,Daily!C220, Tracker!J:J,"N",Tracker!E:E,2)</f>
        <v>0</v>
      </c>
      <c r="Q220" s="57">
        <f t="shared" si="119"/>
        <v>0</v>
      </c>
      <c r="R220" s="26">
        <f>COUNTIFS(Tracker!G:G,Daily!C220, Tracker!J:J,"Y",Tracker!E:E,3)</f>
        <v>0</v>
      </c>
      <c r="S220" s="26">
        <f>COUNTIFS(Tracker!G:G,Daily!C220, Tracker!J:J,"Y (with hints)",Tracker!E:E,3)</f>
        <v>0</v>
      </c>
      <c r="T220" s="33">
        <f>COUNTIFS(Tracker!G:G,Daily!C220, Tracker!J:J,"N",Tracker!E:E,3)</f>
        <v>0</v>
      </c>
      <c r="V220" s="48">
        <f t="shared" si="120"/>
        <v>91</v>
      </c>
      <c r="W220" s="26">
        <f t="shared" si="121"/>
        <v>87</v>
      </c>
      <c r="X220" s="62">
        <f t="shared" si="122"/>
        <v>0.95604395604395609</v>
      </c>
      <c r="Y220" s="74">
        <f>AVERAGEIFS(Tracker!I:I, Tracker!E:E, 1, Tracker!G:G, "&lt;="&amp;Daily!C220, Tracker!J:J, "Y")</f>
        <v>12.574712643678161</v>
      </c>
      <c r="Z220" s="77">
        <f>COUNTIFS(Tracker!E:E, 1, Tracker!G:G, "&lt;="&amp;Daily!C220, Tracker!L:L, "N") / V220</f>
        <v>0.80219780219780223</v>
      </c>
      <c r="AA220" s="48">
        <f t="shared" si="123"/>
        <v>195</v>
      </c>
      <c r="AB220" s="26">
        <f t="shared" si="124"/>
        <v>161</v>
      </c>
      <c r="AC220" s="62">
        <f t="shared" si="125"/>
        <v>0.82564102564102559</v>
      </c>
      <c r="AD220" s="74">
        <f>AVERAGEIFS(Tracker!I:I, Tracker!E:E, 2, Tracker!G:G, "&lt;="&amp;Daily!C220, Tracker!J:J, "Y")</f>
        <v>26.378881987577639</v>
      </c>
      <c r="AE220" s="77">
        <f>COUNTIFS(Tracker!E:E, 2, Tracker!G:G, "&lt;="&amp;Daily!C220, Tracker!L:L, "N") / AA220</f>
        <v>0.61025641025641031</v>
      </c>
      <c r="AF220" s="48">
        <f t="shared" si="126"/>
        <v>42</v>
      </c>
      <c r="AG220" s="26">
        <f t="shared" si="127"/>
        <v>27</v>
      </c>
      <c r="AH220" s="62">
        <f t="shared" si="128"/>
        <v>0.6428571428571429</v>
      </c>
      <c r="AI220" s="74">
        <f>IFERROR(AVERAGEIFS(Tracker!I:I, Tracker!E:E, 3, Tracker!G:G, "&lt;="&amp;Daily!C220, Tracker!J:J, "Y"), 0)</f>
        <v>40.074074074074076</v>
      </c>
      <c r="AJ220" s="77">
        <f>IFERROR(COUNTIFS(Tracker!E:E, 3, Tracker!G:G, "&lt;="&amp;Daily!C220, Tracker!L:L, "N") / AF220,  0)</f>
        <v>0.35714285714285715</v>
      </c>
      <c r="AK220" s="48">
        <f t="shared" si="129"/>
        <v>328</v>
      </c>
      <c r="AL220" s="26">
        <f t="shared" si="130"/>
        <v>275</v>
      </c>
      <c r="AM220" s="62">
        <f t="shared" si="131"/>
        <v>0.83841463414634143</v>
      </c>
      <c r="AN220" s="74">
        <f>IFERROR(AVERAGEIFS(Tracker!I:I,  Tracker!G:G, "&lt;="&amp;Daily!C220, Tracker!J:J, "Y"), 0)</f>
        <v>23.356363636363636</v>
      </c>
      <c r="AO220" s="77">
        <f>IFERROR(COUNTIFS(Tracker!G:G, "&lt;="&amp;Daily!C220, Tracker!L:L, "N") / AK220,  0)</f>
        <v>0.63109756097560976</v>
      </c>
    </row>
    <row r="221" spans="1:41" x14ac:dyDescent="0.25">
      <c r="A221" s="119"/>
      <c r="B221" s="32">
        <f t="shared" si="115"/>
        <v>45436</v>
      </c>
      <c r="C221" s="27">
        <f t="shared" si="132"/>
        <v>45436</v>
      </c>
      <c r="D221" s="109" t="b">
        <f t="shared" ca="1" si="114"/>
        <v>1</v>
      </c>
      <c r="E221" s="51">
        <f t="shared" si="116"/>
        <v>0</v>
      </c>
      <c r="F221" s="48">
        <f>COUNTIFS(Tracker!G:G,Daily!C221, Tracker!J:J,"Y")</f>
        <v>0</v>
      </c>
      <c r="G221" s="26">
        <f>COUNTIFS(Tracker!G:G,Daily!C221, Tracker!J:J,"Y (with hints)")</f>
        <v>0</v>
      </c>
      <c r="H221" s="33">
        <f>COUNTIFS(Tracker!G:G,Daily!C221, Tracker!J:J,"N")</f>
        <v>0</v>
      </c>
      <c r="I221" s="54">
        <f t="shared" si="117"/>
        <v>0</v>
      </c>
      <c r="J221" s="26">
        <f>COUNTIFS(Tracker!G:G,Daily!C221, Tracker!J:J,"Y",Tracker!E:E,1)</f>
        <v>0</v>
      </c>
      <c r="K221" s="26">
        <f>COUNTIFS(Tracker!G:G,Daily!C221, Tracker!J:J,"Y (with hints)",Tracker!E:E,1)</f>
        <v>0</v>
      </c>
      <c r="L221" s="33">
        <f>COUNTIFS(Tracker!G:G,Daily!C221, Tracker!J:J,"N",Tracker!E:E,1)</f>
        <v>0</v>
      </c>
      <c r="M221" s="54">
        <f t="shared" si="118"/>
        <v>0</v>
      </c>
      <c r="N221" s="26">
        <f>COUNTIFS(Tracker!G:G,Daily!C221, Tracker!J:J,"Y",Tracker!E:E,2)</f>
        <v>0</v>
      </c>
      <c r="O221" s="26">
        <f>COUNTIFS(Tracker!G:G,Daily!C221, Tracker!J:J,"Y (with hints)",Tracker!E:E,2)</f>
        <v>0</v>
      </c>
      <c r="P221" s="33">
        <f>COUNTIFS(Tracker!G:G,Daily!C221, Tracker!J:J,"N",Tracker!E:E,2)</f>
        <v>0</v>
      </c>
      <c r="Q221" s="57">
        <f t="shared" si="119"/>
        <v>0</v>
      </c>
      <c r="R221" s="26">
        <f>COUNTIFS(Tracker!G:G,Daily!C221, Tracker!J:J,"Y",Tracker!E:E,3)</f>
        <v>0</v>
      </c>
      <c r="S221" s="26">
        <f>COUNTIFS(Tracker!G:G,Daily!C221, Tracker!J:J,"Y (with hints)",Tracker!E:E,3)</f>
        <v>0</v>
      </c>
      <c r="T221" s="33">
        <f>COUNTIFS(Tracker!G:G,Daily!C221, Tracker!J:J,"N",Tracker!E:E,3)</f>
        <v>0</v>
      </c>
      <c r="V221" s="48">
        <f t="shared" si="120"/>
        <v>91</v>
      </c>
      <c r="W221" s="26">
        <f t="shared" si="121"/>
        <v>87</v>
      </c>
      <c r="X221" s="62">
        <f t="shared" si="122"/>
        <v>0.95604395604395609</v>
      </c>
      <c r="Y221" s="74">
        <f>AVERAGEIFS(Tracker!I:I, Tracker!E:E, 1, Tracker!G:G, "&lt;="&amp;Daily!C221, Tracker!J:J, "Y")</f>
        <v>12.574712643678161</v>
      </c>
      <c r="Z221" s="77">
        <f>COUNTIFS(Tracker!E:E, 1, Tracker!G:G, "&lt;="&amp;Daily!C221, Tracker!L:L, "N") / V221</f>
        <v>0.80219780219780223</v>
      </c>
      <c r="AA221" s="48">
        <f t="shared" si="123"/>
        <v>195</v>
      </c>
      <c r="AB221" s="26">
        <f t="shared" si="124"/>
        <v>161</v>
      </c>
      <c r="AC221" s="62">
        <f t="shared" si="125"/>
        <v>0.82564102564102559</v>
      </c>
      <c r="AD221" s="74">
        <f>AVERAGEIFS(Tracker!I:I, Tracker!E:E, 2, Tracker!G:G, "&lt;="&amp;Daily!C221, Tracker!J:J, "Y")</f>
        <v>26.378881987577639</v>
      </c>
      <c r="AE221" s="77">
        <f>COUNTIFS(Tracker!E:E, 2, Tracker!G:G, "&lt;="&amp;Daily!C221, Tracker!L:L, "N") / AA221</f>
        <v>0.61025641025641031</v>
      </c>
      <c r="AF221" s="48">
        <f t="shared" si="126"/>
        <v>42</v>
      </c>
      <c r="AG221" s="26">
        <f t="shared" si="127"/>
        <v>27</v>
      </c>
      <c r="AH221" s="62">
        <f t="shared" si="128"/>
        <v>0.6428571428571429</v>
      </c>
      <c r="AI221" s="74">
        <f>IFERROR(AVERAGEIFS(Tracker!I:I, Tracker!E:E, 3, Tracker!G:G, "&lt;="&amp;Daily!C221, Tracker!J:J, "Y"), 0)</f>
        <v>40.074074074074076</v>
      </c>
      <c r="AJ221" s="77">
        <f>IFERROR(COUNTIFS(Tracker!E:E, 3, Tracker!G:G, "&lt;="&amp;Daily!C221, Tracker!L:L, "N") / AF221,  0)</f>
        <v>0.35714285714285715</v>
      </c>
      <c r="AK221" s="48">
        <f t="shared" si="129"/>
        <v>328</v>
      </c>
      <c r="AL221" s="26">
        <f t="shared" si="130"/>
        <v>275</v>
      </c>
      <c r="AM221" s="62">
        <f t="shared" si="131"/>
        <v>0.83841463414634143</v>
      </c>
      <c r="AN221" s="74">
        <f>IFERROR(AVERAGEIFS(Tracker!I:I,  Tracker!G:G, "&lt;="&amp;Daily!C221, Tracker!J:J, "Y"), 0)</f>
        <v>23.356363636363636</v>
      </c>
      <c r="AO221" s="77">
        <f>IFERROR(COUNTIFS(Tracker!G:G, "&lt;="&amp;Daily!C221, Tracker!L:L, "N") / AK221,  0)</f>
        <v>0.63109756097560976</v>
      </c>
    </row>
    <row r="222" spans="1:41" x14ac:dyDescent="0.25">
      <c r="A222" s="119"/>
      <c r="B222" s="32">
        <f t="shared" si="115"/>
        <v>45437</v>
      </c>
      <c r="C222" s="27">
        <f t="shared" si="132"/>
        <v>45437</v>
      </c>
      <c r="D222" s="109" t="b">
        <f t="shared" ca="1" si="114"/>
        <v>1</v>
      </c>
      <c r="E222" s="51">
        <f t="shared" si="116"/>
        <v>0</v>
      </c>
      <c r="F222" s="48">
        <f>COUNTIFS(Tracker!G:G,Daily!C222, Tracker!J:J,"Y")</f>
        <v>0</v>
      </c>
      <c r="G222" s="26">
        <f>COUNTIFS(Tracker!G:G,Daily!C222, Tracker!J:J,"Y (with hints)")</f>
        <v>0</v>
      </c>
      <c r="H222" s="33">
        <f>COUNTIFS(Tracker!G:G,Daily!C222, Tracker!J:J,"N")</f>
        <v>0</v>
      </c>
      <c r="I222" s="54">
        <f t="shared" si="117"/>
        <v>0</v>
      </c>
      <c r="J222" s="26">
        <f>COUNTIFS(Tracker!G:G,Daily!C222, Tracker!J:J,"Y",Tracker!E:E,1)</f>
        <v>0</v>
      </c>
      <c r="K222" s="26">
        <f>COUNTIFS(Tracker!G:G,Daily!C222, Tracker!J:J,"Y (with hints)",Tracker!E:E,1)</f>
        <v>0</v>
      </c>
      <c r="L222" s="33">
        <f>COUNTIFS(Tracker!G:G,Daily!C222, Tracker!J:J,"N",Tracker!E:E,1)</f>
        <v>0</v>
      </c>
      <c r="M222" s="54">
        <f t="shared" si="118"/>
        <v>0</v>
      </c>
      <c r="N222" s="26">
        <f>COUNTIFS(Tracker!G:G,Daily!C222, Tracker!J:J,"Y",Tracker!E:E,2)</f>
        <v>0</v>
      </c>
      <c r="O222" s="26">
        <f>COUNTIFS(Tracker!G:G,Daily!C222, Tracker!J:J,"Y (with hints)",Tracker!E:E,2)</f>
        <v>0</v>
      </c>
      <c r="P222" s="33">
        <f>COUNTIFS(Tracker!G:G,Daily!C222, Tracker!J:J,"N",Tracker!E:E,2)</f>
        <v>0</v>
      </c>
      <c r="Q222" s="57">
        <f t="shared" si="119"/>
        <v>0</v>
      </c>
      <c r="R222" s="26">
        <f>COUNTIFS(Tracker!G:G,Daily!C222, Tracker!J:J,"Y",Tracker!E:E,3)</f>
        <v>0</v>
      </c>
      <c r="S222" s="26">
        <f>COUNTIFS(Tracker!G:G,Daily!C222, Tracker!J:J,"Y (with hints)",Tracker!E:E,3)</f>
        <v>0</v>
      </c>
      <c r="T222" s="33">
        <f>COUNTIFS(Tracker!G:G,Daily!C222, Tracker!J:J,"N",Tracker!E:E,3)</f>
        <v>0</v>
      </c>
      <c r="V222" s="48">
        <f t="shared" si="120"/>
        <v>91</v>
      </c>
      <c r="W222" s="26">
        <f t="shared" si="121"/>
        <v>87</v>
      </c>
      <c r="X222" s="62">
        <f t="shared" si="122"/>
        <v>0.95604395604395609</v>
      </c>
      <c r="Y222" s="74">
        <f>AVERAGEIFS(Tracker!I:I, Tracker!E:E, 1, Tracker!G:G, "&lt;="&amp;Daily!C222, Tracker!J:J, "Y")</f>
        <v>12.574712643678161</v>
      </c>
      <c r="Z222" s="77">
        <f>COUNTIFS(Tracker!E:E, 1, Tracker!G:G, "&lt;="&amp;Daily!C222, Tracker!L:L, "N") / V222</f>
        <v>0.80219780219780223</v>
      </c>
      <c r="AA222" s="48">
        <f t="shared" si="123"/>
        <v>195</v>
      </c>
      <c r="AB222" s="26">
        <f t="shared" si="124"/>
        <v>161</v>
      </c>
      <c r="AC222" s="62">
        <f t="shared" si="125"/>
        <v>0.82564102564102559</v>
      </c>
      <c r="AD222" s="74">
        <f>AVERAGEIFS(Tracker!I:I, Tracker!E:E, 2, Tracker!G:G, "&lt;="&amp;Daily!C222, Tracker!J:J, "Y")</f>
        <v>26.378881987577639</v>
      </c>
      <c r="AE222" s="77">
        <f>COUNTIFS(Tracker!E:E, 2, Tracker!G:G, "&lt;="&amp;Daily!C222, Tracker!L:L, "N") / AA222</f>
        <v>0.61025641025641031</v>
      </c>
      <c r="AF222" s="48">
        <f t="shared" si="126"/>
        <v>42</v>
      </c>
      <c r="AG222" s="26">
        <f t="shared" si="127"/>
        <v>27</v>
      </c>
      <c r="AH222" s="62">
        <f t="shared" si="128"/>
        <v>0.6428571428571429</v>
      </c>
      <c r="AI222" s="74">
        <f>IFERROR(AVERAGEIFS(Tracker!I:I, Tracker!E:E, 3, Tracker!G:G, "&lt;="&amp;Daily!C222, Tracker!J:J, "Y"), 0)</f>
        <v>40.074074074074076</v>
      </c>
      <c r="AJ222" s="77">
        <f>IFERROR(COUNTIFS(Tracker!E:E, 3, Tracker!G:G, "&lt;="&amp;Daily!C222, Tracker!L:L, "N") / AF222,  0)</f>
        <v>0.35714285714285715</v>
      </c>
      <c r="AK222" s="48">
        <f t="shared" si="129"/>
        <v>328</v>
      </c>
      <c r="AL222" s="26">
        <f t="shared" si="130"/>
        <v>275</v>
      </c>
      <c r="AM222" s="62">
        <f t="shared" si="131"/>
        <v>0.83841463414634143</v>
      </c>
      <c r="AN222" s="74">
        <f>IFERROR(AVERAGEIFS(Tracker!I:I,  Tracker!G:G, "&lt;="&amp;Daily!C222, Tracker!J:J, "Y"), 0)</f>
        <v>23.356363636363636</v>
      </c>
      <c r="AO222" s="77">
        <f>IFERROR(COUNTIFS(Tracker!G:G, "&lt;="&amp;Daily!C222, Tracker!L:L, "N") / AK222,  0)</f>
        <v>0.63109756097560976</v>
      </c>
    </row>
    <row r="223" spans="1:41" ht="15.75" thickBot="1" x14ac:dyDescent="0.3">
      <c r="A223" s="120"/>
      <c r="B223" s="34">
        <f t="shared" si="115"/>
        <v>45438</v>
      </c>
      <c r="C223" s="35">
        <f t="shared" si="132"/>
        <v>45438</v>
      </c>
      <c r="D223" s="110" t="b">
        <f t="shared" ca="1" si="114"/>
        <v>1</v>
      </c>
      <c r="E223" s="52">
        <f t="shared" si="116"/>
        <v>0</v>
      </c>
      <c r="F223" s="39">
        <f>COUNTIFS(Tracker!G:G,Daily!C223, Tracker!J:J,"Y")</f>
        <v>0</v>
      </c>
      <c r="G223" s="36">
        <f>COUNTIFS(Tracker!G:G,Daily!C223, Tracker!J:J,"Y (with hints)")</f>
        <v>0</v>
      </c>
      <c r="H223" s="37">
        <f>COUNTIFS(Tracker!G:G,Daily!C223, Tracker!J:J,"N")</f>
        <v>0</v>
      </c>
      <c r="I223" s="55">
        <f t="shared" si="117"/>
        <v>0</v>
      </c>
      <c r="J223" s="36">
        <f>COUNTIFS(Tracker!G:G,Daily!C223, Tracker!J:J,"Y",Tracker!E:E,1)</f>
        <v>0</v>
      </c>
      <c r="K223" s="36">
        <f>COUNTIFS(Tracker!G:G,Daily!C223, Tracker!J:J,"Y (with hints)",Tracker!E:E,1)</f>
        <v>0</v>
      </c>
      <c r="L223" s="37">
        <f>COUNTIFS(Tracker!G:G,Daily!C223, Tracker!J:J,"N",Tracker!E:E,1)</f>
        <v>0</v>
      </c>
      <c r="M223" s="55">
        <f t="shared" si="118"/>
        <v>0</v>
      </c>
      <c r="N223" s="36">
        <f>COUNTIFS(Tracker!G:G,Daily!C223, Tracker!J:J,"Y",Tracker!E:E,2)</f>
        <v>0</v>
      </c>
      <c r="O223" s="36">
        <f>COUNTIFS(Tracker!G:G,Daily!C223, Tracker!J:J,"Y (with hints)",Tracker!E:E,2)</f>
        <v>0</v>
      </c>
      <c r="P223" s="37">
        <f>COUNTIFS(Tracker!G:G,Daily!C223, Tracker!J:J,"N",Tracker!E:E,2)</f>
        <v>0</v>
      </c>
      <c r="Q223" s="58">
        <f t="shared" si="119"/>
        <v>0</v>
      </c>
      <c r="R223" s="36">
        <f>COUNTIFS(Tracker!G:G,Daily!C223, Tracker!J:J,"Y",Tracker!E:E,3)</f>
        <v>0</v>
      </c>
      <c r="S223" s="36">
        <f>COUNTIFS(Tracker!G:G,Daily!C223, Tracker!J:J,"Y (with hints)",Tracker!E:E,3)</f>
        <v>0</v>
      </c>
      <c r="T223" s="37">
        <f>COUNTIFS(Tracker!G:G,Daily!C223, Tracker!J:J,"N",Tracker!E:E,3)</f>
        <v>0</v>
      </c>
      <c r="V223" s="39">
        <f t="shared" si="120"/>
        <v>91</v>
      </c>
      <c r="W223" s="36">
        <f t="shared" si="121"/>
        <v>87</v>
      </c>
      <c r="X223" s="64">
        <f t="shared" si="122"/>
        <v>0.95604395604395609</v>
      </c>
      <c r="Y223" s="78">
        <f>AVERAGEIFS(Tracker!I:I, Tracker!E:E, 1, Tracker!G:G, "&lt;="&amp;Daily!C223, Tracker!J:J, "Y")</f>
        <v>12.574712643678161</v>
      </c>
      <c r="Z223" s="79">
        <f>COUNTIFS(Tracker!E:E, 1, Tracker!G:G, "&lt;="&amp;Daily!C223, Tracker!L:L, "N") / V223</f>
        <v>0.80219780219780223</v>
      </c>
      <c r="AA223" s="39">
        <f t="shared" si="123"/>
        <v>195</v>
      </c>
      <c r="AB223" s="36">
        <f t="shared" si="124"/>
        <v>161</v>
      </c>
      <c r="AC223" s="64">
        <f t="shared" si="125"/>
        <v>0.82564102564102559</v>
      </c>
      <c r="AD223" s="78">
        <f>AVERAGEIFS(Tracker!I:I, Tracker!E:E, 2, Tracker!G:G, "&lt;="&amp;Daily!C223, Tracker!J:J, "Y")</f>
        <v>26.378881987577639</v>
      </c>
      <c r="AE223" s="79">
        <f>COUNTIFS(Tracker!E:E, 2, Tracker!G:G, "&lt;="&amp;Daily!C223, Tracker!L:L, "N") / AA223</f>
        <v>0.61025641025641031</v>
      </c>
      <c r="AF223" s="39">
        <f t="shared" si="126"/>
        <v>42</v>
      </c>
      <c r="AG223" s="36">
        <f t="shared" si="127"/>
        <v>27</v>
      </c>
      <c r="AH223" s="64">
        <f t="shared" si="128"/>
        <v>0.6428571428571429</v>
      </c>
      <c r="AI223" s="78">
        <f>IFERROR(AVERAGEIFS(Tracker!I:I, Tracker!E:E, 3, Tracker!G:G, "&lt;="&amp;Daily!C223, Tracker!J:J, "Y"), 0)</f>
        <v>40.074074074074076</v>
      </c>
      <c r="AJ223" s="79">
        <f>IFERROR(COUNTIFS(Tracker!E:E, 3, Tracker!G:G, "&lt;="&amp;Daily!C223, Tracker!L:L, "N") / AF223,  0)</f>
        <v>0.35714285714285715</v>
      </c>
      <c r="AK223" s="39">
        <f t="shared" si="129"/>
        <v>328</v>
      </c>
      <c r="AL223" s="36">
        <f t="shared" si="130"/>
        <v>275</v>
      </c>
      <c r="AM223" s="64">
        <f t="shared" si="131"/>
        <v>0.83841463414634143</v>
      </c>
      <c r="AN223" s="78">
        <f>IFERROR(AVERAGEIFS(Tracker!I:I,  Tracker!G:G, "&lt;="&amp;Daily!C223, Tracker!J:J, "Y"), 0)</f>
        <v>23.356363636363636</v>
      </c>
      <c r="AO223" s="79">
        <f>IFERROR(COUNTIFS(Tracker!G:G, "&lt;="&amp;Daily!C223, Tracker!L:L, "N") / AK223,  0)</f>
        <v>0.63109756097560976</v>
      </c>
    </row>
    <row r="224" spans="1:41" x14ac:dyDescent="0.25">
      <c r="A224" s="118">
        <f>A217+1</f>
        <v>32</v>
      </c>
      <c r="B224" s="28">
        <f t="shared" si="115"/>
        <v>45439</v>
      </c>
      <c r="C224" s="29">
        <f t="shared" si="132"/>
        <v>45439</v>
      </c>
      <c r="D224" s="108" t="b">
        <f t="shared" ca="1" si="114"/>
        <v>1</v>
      </c>
      <c r="E224" s="50">
        <f t="shared" si="116"/>
        <v>0</v>
      </c>
      <c r="F224" s="38">
        <f>COUNTIFS(Tracker!G:G,Daily!C224, Tracker!J:J,"Y")</f>
        <v>0</v>
      </c>
      <c r="G224" s="30">
        <f>COUNTIFS(Tracker!G:G,Daily!C224, Tracker!J:J,"Y (with hints)")</f>
        <v>0</v>
      </c>
      <c r="H224" s="31">
        <f>COUNTIFS(Tracker!G:G,Daily!C224, Tracker!J:J,"N")</f>
        <v>0</v>
      </c>
      <c r="I224" s="53">
        <f t="shared" si="117"/>
        <v>0</v>
      </c>
      <c r="J224" s="30">
        <f>COUNTIFS(Tracker!G:G,Daily!C224, Tracker!J:J,"Y",Tracker!E:E,1)</f>
        <v>0</v>
      </c>
      <c r="K224" s="30">
        <f>COUNTIFS(Tracker!G:G,Daily!C224, Tracker!J:J,"Y (with hints)",Tracker!E:E,1)</f>
        <v>0</v>
      </c>
      <c r="L224" s="31">
        <f>COUNTIFS(Tracker!G:G,Daily!C224, Tracker!J:J,"N",Tracker!E:E,1)</f>
        <v>0</v>
      </c>
      <c r="M224" s="53">
        <f t="shared" si="118"/>
        <v>0</v>
      </c>
      <c r="N224" s="30">
        <f>COUNTIFS(Tracker!G:G,Daily!C224, Tracker!J:J,"Y",Tracker!E:E,2)</f>
        <v>0</v>
      </c>
      <c r="O224" s="30">
        <f>COUNTIFS(Tracker!G:G,Daily!C224, Tracker!J:J,"Y (with hints)",Tracker!E:E,2)</f>
        <v>0</v>
      </c>
      <c r="P224" s="31">
        <f>COUNTIFS(Tracker!G:G,Daily!C224, Tracker!J:J,"N",Tracker!E:E,2)</f>
        <v>0</v>
      </c>
      <c r="Q224" s="56">
        <f t="shared" si="119"/>
        <v>0</v>
      </c>
      <c r="R224" s="30">
        <f>COUNTIFS(Tracker!G:G,Daily!C224, Tracker!J:J,"Y",Tracker!E:E,3)</f>
        <v>0</v>
      </c>
      <c r="S224" s="30">
        <f>COUNTIFS(Tracker!G:G,Daily!C224, Tracker!J:J,"Y (with hints)",Tracker!E:E,3)</f>
        <v>0</v>
      </c>
      <c r="T224" s="31">
        <f>COUNTIFS(Tracker!G:G,Daily!C224, Tracker!J:J,"N",Tracker!E:E,3)</f>
        <v>0</v>
      </c>
      <c r="V224" s="38">
        <f t="shared" si="120"/>
        <v>91</v>
      </c>
      <c r="W224" s="30">
        <f t="shared" si="121"/>
        <v>87</v>
      </c>
      <c r="X224" s="73">
        <f t="shared" si="122"/>
        <v>0.95604395604395609</v>
      </c>
      <c r="Y224" s="75">
        <f>AVERAGEIFS(Tracker!I:I, Tracker!E:E, 1, Tracker!G:G, "&lt;="&amp;Daily!C224, Tracker!J:J, "Y")</f>
        <v>12.574712643678161</v>
      </c>
      <c r="Z224" s="76">
        <f>COUNTIFS(Tracker!E:E, 1, Tracker!G:G, "&lt;="&amp;Daily!C224, Tracker!L:L, "N") / V224</f>
        <v>0.80219780219780223</v>
      </c>
      <c r="AA224" s="38">
        <f t="shared" si="123"/>
        <v>195</v>
      </c>
      <c r="AB224" s="30">
        <f t="shared" si="124"/>
        <v>161</v>
      </c>
      <c r="AC224" s="73">
        <f t="shared" si="125"/>
        <v>0.82564102564102559</v>
      </c>
      <c r="AD224" s="75">
        <f>AVERAGEIFS(Tracker!I:I, Tracker!E:E, 2, Tracker!G:G, "&lt;="&amp;Daily!C224, Tracker!J:J, "Y")</f>
        <v>26.378881987577639</v>
      </c>
      <c r="AE224" s="76">
        <f>COUNTIFS(Tracker!E:E, 2, Tracker!G:G, "&lt;="&amp;Daily!C224, Tracker!L:L, "N") / AA224</f>
        <v>0.61025641025641031</v>
      </c>
      <c r="AF224" s="38">
        <f t="shared" si="126"/>
        <v>42</v>
      </c>
      <c r="AG224" s="30">
        <f t="shared" si="127"/>
        <v>27</v>
      </c>
      <c r="AH224" s="73">
        <f t="shared" si="128"/>
        <v>0.6428571428571429</v>
      </c>
      <c r="AI224" s="75">
        <f>IFERROR(AVERAGEIFS(Tracker!I:I, Tracker!E:E, 3, Tracker!G:G, "&lt;="&amp;Daily!C224, Tracker!J:J, "Y"), 0)</f>
        <v>40.074074074074076</v>
      </c>
      <c r="AJ224" s="76">
        <f>IFERROR(COUNTIFS(Tracker!E:E, 3, Tracker!G:G, "&lt;="&amp;Daily!C224, Tracker!L:L, "N") / AF224,  0)</f>
        <v>0.35714285714285715</v>
      </c>
      <c r="AK224" s="38">
        <f t="shared" si="129"/>
        <v>328</v>
      </c>
      <c r="AL224" s="30">
        <f t="shared" si="130"/>
        <v>275</v>
      </c>
      <c r="AM224" s="73">
        <f t="shared" si="131"/>
        <v>0.83841463414634143</v>
      </c>
      <c r="AN224" s="75">
        <f>IFERROR(AVERAGEIFS(Tracker!I:I,  Tracker!G:G, "&lt;="&amp;Daily!C224, Tracker!J:J, "Y"), 0)</f>
        <v>23.356363636363636</v>
      </c>
      <c r="AO224" s="76">
        <f>IFERROR(COUNTIFS(Tracker!G:G, "&lt;="&amp;Daily!C224, Tracker!L:L, "N") / AK224,  0)</f>
        <v>0.63109756097560976</v>
      </c>
    </row>
    <row r="225" spans="1:41" x14ac:dyDescent="0.25">
      <c r="A225" s="119"/>
      <c r="B225" s="32">
        <f t="shared" si="115"/>
        <v>45440</v>
      </c>
      <c r="C225" s="27">
        <f t="shared" si="132"/>
        <v>45440</v>
      </c>
      <c r="D225" s="109" t="b">
        <f t="shared" ca="1" si="114"/>
        <v>1</v>
      </c>
      <c r="E225" s="51">
        <f t="shared" si="116"/>
        <v>0</v>
      </c>
      <c r="F225" s="48">
        <f>COUNTIFS(Tracker!G:G,Daily!C225, Tracker!J:J,"Y")</f>
        <v>0</v>
      </c>
      <c r="G225" s="26">
        <f>COUNTIFS(Tracker!G:G,Daily!C225, Tracker!J:J,"Y (with hints)")</f>
        <v>0</v>
      </c>
      <c r="H225" s="33">
        <f>COUNTIFS(Tracker!G:G,Daily!C225, Tracker!J:J,"N")</f>
        <v>0</v>
      </c>
      <c r="I225" s="54">
        <f t="shared" si="117"/>
        <v>0</v>
      </c>
      <c r="J225" s="26">
        <f>COUNTIFS(Tracker!G:G,Daily!C225, Tracker!J:J,"Y",Tracker!E:E,1)</f>
        <v>0</v>
      </c>
      <c r="K225" s="26">
        <f>COUNTIFS(Tracker!G:G,Daily!C225, Tracker!J:J,"Y (with hints)",Tracker!E:E,1)</f>
        <v>0</v>
      </c>
      <c r="L225" s="33">
        <f>COUNTIFS(Tracker!G:G,Daily!C225, Tracker!J:J,"N",Tracker!E:E,1)</f>
        <v>0</v>
      </c>
      <c r="M225" s="54">
        <f t="shared" si="118"/>
        <v>0</v>
      </c>
      <c r="N225" s="26">
        <f>COUNTIFS(Tracker!G:G,Daily!C225, Tracker!J:J,"Y",Tracker!E:E,2)</f>
        <v>0</v>
      </c>
      <c r="O225" s="26">
        <f>COUNTIFS(Tracker!G:G,Daily!C225, Tracker!J:J,"Y (with hints)",Tracker!E:E,2)</f>
        <v>0</v>
      </c>
      <c r="P225" s="33">
        <f>COUNTIFS(Tracker!G:G,Daily!C225, Tracker!J:J,"N",Tracker!E:E,2)</f>
        <v>0</v>
      </c>
      <c r="Q225" s="57">
        <f t="shared" si="119"/>
        <v>0</v>
      </c>
      <c r="R225" s="26">
        <f>COUNTIFS(Tracker!G:G,Daily!C225, Tracker!J:J,"Y",Tracker!E:E,3)</f>
        <v>0</v>
      </c>
      <c r="S225" s="26">
        <f>COUNTIFS(Tracker!G:G,Daily!C225, Tracker!J:J,"Y (with hints)",Tracker!E:E,3)</f>
        <v>0</v>
      </c>
      <c r="T225" s="33">
        <f>COUNTIFS(Tracker!G:G,Daily!C225, Tracker!J:J,"N",Tracker!E:E,3)</f>
        <v>0</v>
      </c>
      <c r="V225" s="48">
        <f t="shared" si="120"/>
        <v>91</v>
      </c>
      <c r="W225" s="26">
        <f t="shared" si="121"/>
        <v>87</v>
      </c>
      <c r="X225" s="62">
        <f t="shared" si="122"/>
        <v>0.95604395604395609</v>
      </c>
      <c r="Y225" s="74">
        <f>AVERAGEIFS(Tracker!I:I, Tracker!E:E, 1, Tracker!G:G, "&lt;="&amp;Daily!C225, Tracker!J:J, "Y")</f>
        <v>12.574712643678161</v>
      </c>
      <c r="Z225" s="77">
        <f>COUNTIFS(Tracker!E:E, 1, Tracker!G:G, "&lt;="&amp;Daily!C225, Tracker!L:L, "N") / V225</f>
        <v>0.80219780219780223</v>
      </c>
      <c r="AA225" s="48">
        <f t="shared" si="123"/>
        <v>195</v>
      </c>
      <c r="AB225" s="26">
        <f t="shared" si="124"/>
        <v>161</v>
      </c>
      <c r="AC225" s="62">
        <f t="shared" si="125"/>
        <v>0.82564102564102559</v>
      </c>
      <c r="AD225" s="74">
        <f>AVERAGEIFS(Tracker!I:I, Tracker!E:E, 2, Tracker!G:G, "&lt;="&amp;Daily!C225, Tracker!J:J, "Y")</f>
        <v>26.378881987577639</v>
      </c>
      <c r="AE225" s="77">
        <f>COUNTIFS(Tracker!E:E, 2, Tracker!G:G, "&lt;="&amp;Daily!C225, Tracker!L:L, "N") / AA225</f>
        <v>0.61025641025641031</v>
      </c>
      <c r="AF225" s="48">
        <f t="shared" si="126"/>
        <v>42</v>
      </c>
      <c r="AG225" s="26">
        <f t="shared" si="127"/>
        <v>27</v>
      </c>
      <c r="AH225" s="62">
        <f t="shared" si="128"/>
        <v>0.6428571428571429</v>
      </c>
      <c r="AI225" s="74">
        <f>IFERROR(AVERAGEIFS(Tracker!I:I, Tracker!E:E, 3, Tracker!G:G, "&lt;="&amp;Daily!C225, Tracker!J:J, "Y"), 0)</f>
        <v>40.074074074074076</v>
      </c>
      <c r="AJ225" s="77">
        <f>IFERROR(COUNTIFS(Tracker!E:E, 3, Tracker!G:G, "&lt;="&amp;Daily!C225, Tracker!L:L, "N") / AF225,  0)</f>
        <v>0.35714285714285715</v>
      </c>
      <c r="AK225" s="48">
        <f t="shared" si="129"/>
        <v>328</v>
      </c>
      <c r="AL225" s="26">
        <f t="shared" si="130"/>
        <v>275</v>
      </c>
      <c r="AM225" s="62">
        <f t="shared" si="131"/>
        <v>0.83841463414634143</v>
      </c>
      <c r="AN225" s="74">
        <f>IFERROR(AVERAGEIFS(Tracker!I:I,  Tracker!G:G, "&lt;="&amp;Daily!C225, Tracker!J:J, "Y"), 0)</f>
        <v>23.356363636363636</v>
      </c>
      <c r="AO225" s="77">
        <f>IFERROR(COUNTIFS(Tracker!G:G, "&lt;="&amp;Daily!C225, Tracker!L:L, "N") / AK225,  0)</f>
        <v>0.63109756097560976</v>
      </c>
    </row>
    <row r="226" spans="1:41" x14ac:dyDescent="0.25">
      <c r="A226" s="119"/>
      <c r="B226" s="32">
        <f t="shared" si="115"/>
        <v>45441</v>
      </c>
      <c r="C226" s="27">
        <f t="shared" si="132"/>
        <v>45441</v>
      </c>
      <c r="D226" s="109" t="b">
        <f t="shared" ca="1" si="114"/>
        <v>1</v>
      </c>
      <c r="E226" s="51">
        <f t="shared" si="116"/>
        <v>0</v>
      </c>
      <c r="F226" s="48">
        <f>COUNTIFS(Tracker!G:G,Daily!C226, Tracker!J:J,"Y")</f>
        <v>0</v>
      </c>
      <c r="G226" s="26">
        <f>COUNTIFS(Tracker!G:G,Daily!C226, Tracker!J:J,"Y (with hints)")</f>
        <v>0</v>
      </c>
      <c r="H226" s="33">
        <f>COUNTIFS(Tracker!G:G,Daily!C226, Tracker!J:J,"N")</f>
        <v>0</v>
      </c>
      <c r="I226" s="54">
        <f t="shared" si="117"/>
        <v>0</v>
      </c>
      <c r="J226" s="26">
        <f>COUNTIFS(Tracker!G:G,Daily!C226, Tracker!J:J,"Y",Tracker!E:E,1)</f>
        <v>0</v>
      </c>
      <c r="K226" s="26">
        <f>COUNTIFS(Tracker!G:G,Daily!C226, Tracker!J:J,"Y (with hints)",Tracker!E:E,1)</f>
        <v>0</v>
      </c>
      <c r="L226" s="33">
        <f>COUNTIFS(Tracker!G:G,Daily!C226, Tracker!J:J,"N",Tracker!E:E,1)</f>
        <v>0</v>
      </c>
      <c r="M226" s="54">
        <f t="shared" si="118"/>
        <v>0</v>
      </c>
      <c r="N226" s="26">
        <f>COUNTIFS(Tracker!G:G,Daily!C226, Tracker!J:J,"Y",Tracker!E:E,2)</f>
        <v>0</v>
      </c>
      <c r="O226" s="26">
        <f>COUNTIFS(Tracker!G:G,Daily!C226, Tracker!J:J,"Y (with hints)",Tracker!E:E,2)</f>
        <v>0</v>
      </c>
      <c r="P226" s="33">
        <f>COUNTIFS(Tracker!G:G,Daily!C226, Tracker!J:J,"N",Tracker!E:E,2)</f>
        <v>0</v>
      </c>
      <c r="Q226" s="57">
        <f t="shared" si="119"/>
        <v>0</v>
      </c>
      <c r="R226" s="26">
        <f>COUNTIFS(Tracker!G:G,Daily!C226, Tracker!J:J,"Y",Tracker!E:E,3)</f>
        <v>0</v>
      </c>
      <c r="S226" s="26">
        <f>COUNTIFS(Tracker!G:G,Daily!C226, Tracker!J:J,"Y (with hints)",Tracker!E:E,3)</f>
        <v>0</v>
      </c>
      <c r="T226" s="33">
        <f>COUNTIFS(Tracker!G:G,Daily!C226, Tracker!J:J,"N",Tracker!E:E,3)</f>
        <v>0</v>
      </c>
      <c r="V226" s="48">
        <f t="shared" si="120"/>
        <v>91</v>
      </c>
      <c r="W226" s="26">
        <f t="shared" si="121"/>
        <v>87</v>
      </c>
      <c r="X226" s="62">
        <f t="shared" si="122"/>
        <v>0.95604395604395609</v>
      </c>
      <c r="Y226" s="74">
        <f>AVERAGEIFS(Tracker!I:I, Tracker!E:E, 1, Tracker!G:G, "&lt;="&amp;Daily!C226, Tracker!J:J, "Y")</f>
        <v>12.574712643678161</v>
      </c>
      <c r="Z226" s="77">
        <f>COUNTIFS(Tracker!E:E, 1, Tracker!G:G, "&lt;="&amp;Daily!C226, Tracker!L:L, "N") / V226</f>
        <v>0.80219780219780223</v>
      </c>
      <c r="AA226" s="48">
        <f t="shared" si="123"/>
        <v>195</v>
      </c>
      <c r="AB226" s="26">
        <f t="shared" si="124"/>
        <v>161</v>
      </c>
      <c r="AC226" s="62">
        <f t="shared" si="125"/>
        <v>0.82564102564102559</v>
      </c>
      <c r="AD226" s="74">
        <f>AVERAGEIFS(Tracker!I:I, Tracker!E:E, 2, Tracker!G:G, "&lt;="&amp;Daily!C226, Tracker!J:J, "Y")</f>
        <v>26.378881987577639</v>
      </c>
      <c r="AE226" s="77">
        <f>COUNTIFS(Tracker!E:E, 2, Tracker!G:G, "&lt;="&amp;Daily!C226, Tracker!L:L, "N") / AA226</f>
        <v>0.61025641025641031</v>
      </c>
      <c r="AF226" s="48">
        <f t="shared" si="126"/>
        <v>42</v>
      </c>
      <c r="AG226" s="26">
        <f t="shared" si="127"/>
        <v>27</v>
      </c>
      <c r="AH226" s="62">
        <f t="shared" si="128"/>
        <v>0.6428571428571429</v>
      </c>
      <c r="AI226" s="74">
        <f>IFERROR(AVERAGEIFS(Tracker!I:I, Tracker!E:E, 3, Tracker!G:G, "&lt;="&amp;Daily!C226, Tracker!J:J, "Y"), 0)</f>
        <v>40.074074074074076</v>
      </c>
      <c r="AJ226" s="77">
        <f>IFERROR(COUNTIFS(Tracker!E:E, 3, Tracker!G:G, "&lt;="&amp;Daily!C226, Tracker!L:L, "N") / AF226,  0)</f>
        <v>0.35714285714285715</v>
      </c>
      <c r="AK226" s="48">
        <f t="shared" si="129"/>
        <v>328</v>
      </c>
      <c r="AL226" s="26">
        <f t="shared" si="130"/>
        <v>275</v>
      </c>
      <c r="AM226" s="62">
        <f t="shared" si="131"/>
        <v>0.83841463414634143</v>
      </c>
      <c r="AN226" s="74">
        <f>IFERROR(AVERAGEIFS(Tracker!I:I,  Tracker!G:G, "&lt;="&amp;Daily!C226, Tracker!J:J, "Y"), 0)</f>
        <v>23.356363636363636</v>
      </c>
      <c r="AO226" s="77">
        <f>IFERROR(COUNTIFS(Tracker!G:G, "&lt;="&amp;Daily!C226, Tracker!L:L, "N") / AK226,  0)</f>
        <v>0.63109756097560976</v>
      </c>
    </row>
    <row r="227" spans="1:41" x14ac:dyDescent="0.25">
      <c r="A227" s="119"/>
      <c r="B227" s="32">
        <f t="shared" si="115"/>
        <v>45442</v>
      </c>
      <c r="C227" s="27">
        <f t="shared" si="132"/>
        <v>45442</v>
      </c>
      <c r="D227" s="109" t="b">
        <f t="shared" ca="1" si="114"/>
        <v>1</v>
      </c>
      <c r="E227" s="51">
        <f t="shared" si="116"/>
        <v>3</v>
      </c>
      <c r="F227" s="48">
        <f>COUNTIFS(Tracker!G:G,Daily!C227, Tracker!J:J,"Y")</f>
        <v>3</v>
      </c>
      <c r="G227" s="26">
        <f>COUNTIFS(Tracker!G:G,Daily!C227, Tracker!J:J,"Y (with hints)")</f>
        <v>0</v>
      </c>
      <c r="H227" s="33">
        <f>COUNTIFS(Tracker!G:G,Daily!C227, Tracker!J:J,"N")</f>
        <v>0</v>
      </c>
      <c r="I227" s="54">
        <f t="shared" si="117"/>
        <v>2</v>
      </c>
      <c r="J227" s="26">
        <f>COUNTIFS(Tracker!G:G,Daily!C227, Tracker!J:J,"Y",Tracker!E:E,1)</f>
        <v>2</v>
      </c>
      <c r="K227" s="26">
        <f>COUNTIFS(Tracker!G:G,Daily!C227, Tracker!J:J,"Y (with hints)",Tracker!E:E,1)</f>
        <v>0</v>
      </c>
      <c r="L227" s="33">
        <f>COUNTIFS(Tracker!G:G,Daily!C227, Tracker!J:J,"N",Tracker!E:E,1)</f>
        <v>0</v>
      </c>
      <c r="M227" s="54">
        <f t="shared" si="118"/>
        <v>1</v>
      </c>
      <c r="N227" s="26">
        <f>COUNTIFS(Tracker!G:G,Daily!C227, Tracker!J:J,"Y",Tracker!E:E,2)</f>
        <v>1</v>
      </c>
      <c r="O227" s="26">
        <f>COUNTIFS(Tracker!G:G,Daily!C227, Tracker!J:J,"Y (with hints)",Tracker!E:E,2)</f>
        <v>0</v>
      </c>
      <c r="P227" s="33">
        <f>COUNTIFS(Tracker!G:G,Daily!C227, Tracker!J:J,"N",Tracker!E:E,2)</f>
        <v>0</v>
      </c>
      <c r="Q227" s="57">
        <f t="shared" si="119"/>
        <v>0</v>
      </c>
      <c r="R227" s="26">
        <f>COUNTIFS(Tracker!G:G,Daily!C227, Tracker!J:J,"Y",Tracker!E:E,3)</f>
        <v>0</v>
      </c>
      <c r="S227" s="26">
        <f>COUNTIFS(Tracker!G:G,Daily!C227, Tracker!J:J,"Y (with hints)",Tracker!E:E,3)</f>
        <v>0</v>
      </c>
      <c r="T227" s="33">
        <f>COUNTIFS(Tracker!G:G,Daily!C227, Tracker!J:J,"N",Tracker!E:E,3)</f>
        <v>0</v>
      </c>
      <c r="V227" s="48">
        <f t="shared" si="120"/>
        <v>93</v>
      </c>
      <c r="W227" s="26">
        <f t="shared" si="121"/>
        <v>89</v>
      </c>
      <c r="X227" s="62">
        <f t="shared" si="122"/>
        <v>0.956989247311828</v>
      </c>
      <c r="Y227" s="74">
        <f>AVERAGEIFS(Tracker!I:I, Tracker!E:E, 1, Tracker!G:G, "&lt;="&amp;Daily!C227, Tracker!J:J, "Y")</f>
        <v>12.460674157303371</v>
      </c>
      <c r="Z227" s="77">
        <f>COUNTIFS(Tracker!E:E, 1, Tracker!G:G, "&lt;="&amp;Daily!C227, Tracker!L:L, "N") / V227</f>
        <v>0.80645161290322576</v>
      </c>
      <c r="AA227" s="48">
        <f t="shared" si="123"/>
        <v>196</v>
      </c>
      <c r="AB227" s="26">
        <f t="shared" si="124"/>
        <v>162</v>
      </c>
      <c r="AC227" s="62">
        <f t="shared" si="125"/>
        <v>0.82653061224489799</v>
      </c>
      <c r="AD227" s="74">
        <f>AVERAGEIFS(Tracker!I:I, Tracker!E:E, 2, Tracker!G:G, "&lt;="&amp;Daily!C227, Tracker!J:J, "Y")</f>
        <v>26.320987654320987</v>
      </c>
      <c r="AE227" s="77">
        <f>COUNTIFS(Tracker!E:E, 2, Tracker!G:G, "&lt;="&amp;Daily!C227, Tracker!L:L, "N") / AA227</f>
        <v>0.61224489795918369</v>
      </c>
      <c r="AF227" s="48">
        <f t="shared" si="126"/>
        <v>42</v>
      </c>
      <c r="AG227" s="26">
        <f t="shared" si="127"/>
        <v>27</v>
      </c>
      <c r="AH227" s="62">
        <f t="shared" si="128"/>
        <v>0.6428571428571429</v>
      </c>
      <c r="AI227" s="74">
        <f>IFERROR(AVERAGEIFS(Tracker!I:I, Tracker!E:E, 3, Tracker!G:G, "&lt;="&amp;Daily!C227, Tracker!J:J, "Y"), 0)</f>
        <v>40.074074074074076</v>
      </c>
      <c r="AJ227" s="77">
        <f>IFERROR(COUNTIFS(Tracker!E:E, 3, Tracker!G:G, "&lt;="&amp;Daily!C227, Tracker!L:L, "N") / AF227,  0)</f>
        <v>0.35714285714285715</v>
      </c>
      <c r="AK227" s="48">
        <f t="shared" si="129"/>
        <v>331</v>
      </c>
      <c r="AL227" s="26">
        <f t="shared" si="130"/>
        <v>278</v>
      </c>
      <c r="AM227" s="62">
        <f t="shared" si="131"/>
        <v>0.83987915407854985</v>
      </c>
      <c r="AN227" s="74">
        <f>IFERROR(AVERAGEIFS(Tracker!I:I,  Tracker!G:G, "&lt;="&amp;Daily!C227, Tracker!J:J, "Y"), 0)</f>
        <v>23.219424460431654</v>
      </c>
      <c r="AO227" s="77">
        <f>IFERROR(COUNTIFS(Tracker!G:G, "&lt;="&amp;Daily!C227, Tracker!L:L, "N") / AK227,  0)</f>
        <v>0.6344410876132931</v>
      </c>
    </row>
    <row r="228" spans="1:41" x14ac:dyDescent="0.25">
      <c r="A228" s="119"/>
      <c r="B228" s="32">
        <f t="shared" si="115"/>
        <v>45443</v>
      </c>
      <c r="C228" s="27">
        <f t="shared" si="132"/>
        <v>45443</v>
      </c>
      <c r="D228" s="109" t="b">
        <f t="shared" ca="1" si="114"/>
        <v>1</v>
      </c>
      <c r="E228" s="51">
        <f t="shared" si="116"/>
        <v>0</v>
      </c>
      <c r="F228" s="48">
        <f>COUNTIFS(Tracker!G:G,Daily!C228, Tracker!J:J,"Y")</f>
        <v>0</v>
      </c>
      <c r="G228" s="26">
        <f>COUNTIFS(Tracker!G:G,Daily!C228, Tracker!J:J,"Y (with hints)")</f>
        <v>0</v>
      </c>
      <c r="H228" s="33">
        <f>COUNTIFS(Tracker!G:G,Daily!C228, Tracker!J:J,"N")</f>
        <v>0</v>
      </c>
      <c r="I228" s="54">
        <f t="shared" si="117"/>
        <v>0</v>
      </c>
      <c r="J228" s="26">
        <f>COUNTIFS(Tracker!G:G,Daily!C228, Tracker!J:J,"Y",Tracker!E:E,1)</f>
        <v>0</v>
      </c>
      <c r="K228" s="26">
        <f>COUNTIFS(Tracker!G:G,Daily!C228, Tracker!J:J,"Y (with hints)",Tracker!E:E,1)</f>
        <v>0</v>
      </c>
      <c r="L228" s="33">
        <f>COUNTIFS(Tracker!G:G,Daily!C228, Tracker!J:J,"N",Tracker!E:E,1)</f>
        <v>0</v>
      </c>
      <c r="M228" s="54">
        <f t="shared" si="118"/>
        <v>0</v>
      </c>
      <c r="N228" s="26">
        <f>COUNTIFS(Tracker!G:G,Daily!C228, Tracker!J:J,"Y",Tracker!E:E,2)</f>
        <v>0</v>
      </c>
      <c r="O228" s="26">
        <f>COUNTIFS(Tracker!G:G,Daily!C228, Tracker!J:J,"Y (with hints)",Tracker!E:E,2)</f>
        <v>0</v>
      </c>
      <c r="P228" s="33">
        <f>COUNTIFS(Tracker!G:G,Daily!C228, Tracker!J:J,"N",Tracker!E:E,2)</f>
        <v>0</v>
      </c>
      <c r="Q228" s="57">
        <f t="shared" si="119"/>
        <v>0</v>
      </c>
      <c r="R228" s="26">
        <f>COUNTIFS(Tracker!G:G,Daily!C228, Tracker!J:J,"Y",Tracker!E:E,3)</f>
        <v>0</v>
      </c>
      <c r="S228" s="26">
        <f>COUNTIFS(Tracker!G:G,Daily!C228, Tracker!J:J,"Y (with hints)",Tracker!E:E,3)</f>
        <v>0</v>
      </c>
      <c r="T228" s="33">
        <f>COUNTIFS(Tracker!G:G,Daily!C228, Tracker!J:J,"N",Tracker!E:E,3)</f>
        <v>0</v>
      </c>
      <c r="V228" s="48">
        <f t="shared" si="120"/>
        <v>93</v>
      </c>
      <c r="W228" s="26">
        <f t="shared" si="121"/>
        <v>89</v>
      </c>
      <c r="X228" s="62">
        <f t="shared" si="122"/>
        <v>0.956989247311828</v>
      </c>
      <c r="Y228" s="74">
        <f>AVERAGEIFS(Tracker!I:I, Tracker!E:E, 1, Tracker!G:G, "&lt;="&amp;Daily!C228, Tracker!J:J, "Y")</f>
        <v>12.460674157303371</v>
      </c>
      <c r="Z228" s="77">
        <f>COUNTIFS(Tracker!E:E, 1, Tracker!G:G, "&lt;="&amp;Daily!C228, Tracker!L:L, "N") / V228</f>
        <v>0.80645161290322576</v>
      </c>
      <c r="AA228" s="48">
        <f t="shared" si="123"/>
        <v>196</v>
      </c>
      <c r="AB228" s="26">
        <f t="shared" si="124"/>
        <v>162</v>
      </c>
      <c r="AC228" s="62">
        <f t="shared" si="125"/>
        <v>0.82653061224489799</v>
      </c>
      <c r="AD228" s="74">
        <f>AVERAGEIFS(Tracker!I:I, Tracker!E:E, 2, Tracker!G:G, "&lt;="&amp;Daily!C228, Tracker!J:J, "Y")</f>
        <v>26.320987654320987</v>
      </c>
      <c r="AE228" s="77">
        <f>COUNTIFS(Tracker!E:E, 2, Tracker!G:G, "&lt;="&amp;Daily!C228, Tracker!L:L, "N") / AA228</f>
        <v>0.61224489795918369</v>
      </c>
      <c r="AF228" s="48">
        <f t="shared" si="126"/>
        <v>42</v>
      </c>
      <c r="AG228" s="26">
        <f t="shared" si="127"/>
        <v>27</v>
      </c>
      <c r="AH228" s="62">
        <f t="shared" si="128"/>
        <v>0.6428571428571429</v>
      </c>
      <c r="AI228" s="74">
        <f>IFERROR(AVERAGEIFS(Tracker!I:I, Tracker!E:E, 3, Tracker!G:G, "&lt;="&amp;Daily!C228, Tracker!J:J, "Y"), 0)</f>
        <v>40.074074074074076</v>
      </c>
      <c r="AJ228" s="77">
        <f>IFERROR(COUNTIFS(Tracker!E:E, 3, Tracker!G:G, "&lt;="&amp;Daily!C228, Tracker!L:L, "N") / AF228,  0)</f>
        <v>0.35714285714285715</v>
      </c>
      <c r="AK228" s="48">
        <f t="shared" si="129"/>
        <v>331</v>
      </c>
      <c r="AL228" s="26">
        <f t="shared" si="130"/>
        <v>278</v>
      </c>
      <c r="AM228" s="62">
        <f t="shared" si="131"/>
        <v>0.83987915407854985</v>
      </c>
      <c r="AN228" s="74">
        <f>IFERROR(AVERAGEIFS(Tracker!I:I,  Tracker!G:G, "&lt;="&amp;Daily!C228, Tracker!J:J, "Y"), 0)</f>
        <v>23.219424460431654</v>
      </c>
      <c r="AO228" s="77">
        <f>IFERROR(COUNTIFS(Tracker!G:G, "&lt;="&amp;Daily!C228, Tracker!L:L, "N") / AK228,  0)</f>
        <v>0.6344410876132931</v>
      </c>
    </row>
    <row r="229" spans="1:41" x14ac:dyDescent="0.25">
      <c r="A229" s="119"/>
      <c r="B229" s="32">
        <f t="shared" si="115"/>
        <v>45444</v>
      </c>
      <c r="C229" s="27">
        <f t="shared" si="132"/>
        <v>45444</v>
      </c>
      <c r="D229" s="109" t="b">
        <f t="shared" ca="1" si="114"/>
        <v>1</v>
      </c>
      <c r="E229" s="51">
        <f t="shared" si="116"/>
        <v>0</v>
      </c>
      <c r="F229" s="48">
        <f>COUNTIFS(Tracker!G:G,Daily!C229, Tracker!J:J,"Y")</f>
        <v>0</v>
      </c>
      <c r="G229" s="26">
        <f>COUNTIFS(Tracker!G:G,Daily!C229, Tracker!J:J,"Y (with hints)")</f>
        <v>0</v>
      </c>
      <c r="H229" s="33">
        <f>COUNTIFS(Tracker!G:G,Daily!C229, Tracker!J:J,"N")</f>
        <v>0</v>
      </c>
      <c r="I229" s="54">
        <f t="shared" si="117"/>
        <v>0</v>
      </c>
      <c r="J229" s="26">
        <f>COUNTIFS(Tracker!G:G,Daily!C229, Tracker!J:J,"Y",Tracker!E:E,1)</f>
        <v>0</v>
      </c>
      <c r="K229" s="26">
        <f>COUNTIFS(Tracker!G:G,Daily!C229, Tracker!J:J,"Y (with hints)",Tracker!E:E,1)</f>
        <v>0</v>
      </c>
      <c r="L229" s="33">
        <f>COUNTIFS(Tracker!G:G,Daily!C229, Tracker!J:J,"N",Tracker!E:E,1)</f>
        <v>0</v>
      </c>
      <c r="M229" s="54">
        <f t="shared" si="118"/>
        <v>0</v>
      </c>
      <c r="N229" s="26">
        <f>COUNTIFS(Tracker!G:G,Daily!C229, Tracker!J:J,"Y",Tracker!E:E,2)</f>
        <v>0</v>
      </c>
      <c r="O229" s="26">
        <f>COUNTIFS(Tracker!G:G,Daily!C229, Tracker!J:J,"Y (with hints)",Tracker!E:E,2)</f>
        <v>0</v>
      </c>
      <c r="P229" s="33">
        <f>COUNTIFS(Tracker!G:G,Daily!C229, Tracker!J:J,"N",Tracker!E:E,2)</f>
        <v>0</v>
      </c>
      <c r="Q229" s="57">
        <f t="shared" si="119"/>
        <v>0</v>
      </c>
      <c r="R229" s="26">
        <f>COUNTIFS(Tracker!G:G,Daily!C229, Tracker!J:J,"Y",Tracker!E:E,3)</f>
        <v>0</v>
      </c>
      <c r="S229" s="26">
        <f>COUNTIFS(Tracker!G:G,Daily!C229, Tracker!J:J,"Y (with hints)",Tracker!E:E,3)</f>
        <v>0</v>
      </c>
      <c r="T229" s="33">
        <f>COUNTIFS(Tracker!G:G,Daily!C229, Tracker!J:J,"N",Tracker!E:E,3)</f>
        <v>0</v>
      </c>
      <c r="V229" s="48">
        <f t="shared" si="120"/>
        <v>93</v>
      </c>
      <c r="W229" s="26">
        <f t="shared" si="121"/>
        <v>89</v>
      </c>
      <c r="X229" s="62">
        <f t="shared" si="122"/>
        <v>0.956989247311828</v>
      </c>
      <c r="Y229" s="74">
        <f>AVERAGEIFS(Tracker!I:I, Tracker!E:E, 1, Tracker!G:G, "&lt;="&amp;Daily!C229, Tracker!J:J, "Y")</f>
        <v>12.460674157303371</v>
      </c>
      <c r="Z229" s="77">
        <f>COUNTIFS(Tracker!E:E, 1, Tracker!G:G, "&lt;="&amp;Daily!C229, Tracker!L:L, "N") / V229</f>
        <v>0.80645161290322576</v>
      </c>
      <c r="AA229" s="48">
        <f t="shared" si="123"/>
        <v>196</v>
      </c>
      <c r="AB229" s="26">
        <f t="shared" si="124"/>
        <v>162</v>
      </c>
      <c r="AC229" s="62">
        <f t="shared" si="125"/>
        <v>0.82653061224489799</v>
      </c>
      <c r="AD229" s="74">
        <f>AVERAGEIFS(Tracker!I:I, Tracker!E:E, 2, Tracker!G:G, "&lt;="&amp;Daily!C229, Tracker!J:J, "Y")</f>
        <v>26.320987654320987</v>
      </c>
      <c r="AE229" s="77">
        <f>COUNTIFS(Tracker!E:E, 2, Tracker!G:G, "&lt;="&amp;Daily!C229, Tracker!L:L, "N") / AA229</f>
        <v>0.61224489795918369</v>
      </c>
      <c r="AF229" s="48">
        <f t="shared" si="126"/>
        <v>42</v>
      </c>
      <c r="AG229" s="26">
        <f t="shared" si="127"/>
        <v>27</v>
      </c>
      <c r="AH229" s="62">
        <f t="shared" si="128"/>
        <v>0.6428571428571429</v>
      </c>
      <c r="AI229" s="74">
        <f>IFERROR(AVERAGEIFS(Tracker!I:I, Tracker!E:E, 3, Tracker!G:G, "&lt;="&amp;Daily!C229, Tracker!J:J, "Y"), 0)</f>
        <v>40.074074074074076</v>
      </c>
      <c r="AJ229" s="77">
        <f>IFERROR(COUNTIFS(Tracker!E:E, 3, Tracker!G:G, "&lt;="&amp;Daily!C229, Tracker!L:L, "N") / AF229,  0)</f>
        <v>0.35714285714285715</v>
      </c>
      <c r="AK229" s="48">
        <f t="shared" si="129"/>
        <v>331</v>
      </c>
      <c r="AL229" s="26">
        <f t="shared" si="130"/>
        <v>278</v>
      </c>
      <c r="AM229" s="62">
        <f t="shared" si="131"/>
        <v>0.83987915407854985</v>
      </c>
      <c r="AN229" s="74">
        <f>IFERROR(AVERAGEIFS(Tracker!I:I,  Tracker!G:G, "&lt;="&amp;Daily!C229, Tracker!J:J, "Y"), 0)</f>
        <v>23.219424460431654</v>
      </c>
      <c r="AO229" s="77">
        <f>IFERROR(COUNTIFS(Tracker!G:G, "&lt;="&amp;Daily!C229, Tracker!L:L, "N") / AK229,  0)</f>
        <v>0.6344410876132931</v>
      </c>
    </row>
    <row r="230" spans="1:41" ht="15.75" thickBot="1" x14ac:dyDescent="0.3">
      <c r="A230" s="120"/>
      <c r="B230" s="34">
        <f t="shared" si="115"/>
        <v>45445</v>
      </c>
      <c r="C230" s="35">
        <f t="shared" si="132"/>
        <v>45445</v>
      </c>
      <c r="D230" s="110" t="b">
        <f t="shared" ca="1" si="114"/>
        <v>1</v>
      </c>
      <c r="E230" s="52">
        <f t="shared" si="116"/>
        <v>0</v>
      </c>
      <c r="F230" s="39">
        <f>COUNTIFS(Tracker!G:G,Daily!C230, Tracker!J:J,"Y")</f>
        <v>0</v>
      </c>
      <c r="G230" s="36">
        <f>COUNTIFS(Tracker!G:G,Daily!C230, Tracker!J:J,"Y (with hints)")</f>
        <v>0</v>
      </c>
      <c r="H230" s="37">
        <f>COUNTIFS(Tracker!G:G,Daily!C230, Tracker!J:J,"N")</f>
        <v>0</v>
      </c>
      <c r="I230" s="55">
        <f t="shared" si="117"/>
        <v>0</v>
      </c>
      <c r="J230" s="36">
        <f>COUNTIFS(Tracker!G:G,Daily!C230, Tracker!J:J,"Y",Tracker!E:E,1)</f>
        <v>0</v>
      </c>
      <c r="K230" s="36">
        <f>COUNTIFS(Tracker!G:G,Daily!C230, Tracker!J:J,"Y (with hints)",Tracker!E:E,1)</f>
        <v>0</v>
      </c>
      <c r="L230" s="37">
        <f>COUNTIFS(Tracker!G:G,Daily!C230, Tracker!J:J,"N",Tracker!E:E,1)</f>
        <v>0</v>
      </c>
      <c r="M230" s="55">
        <f t="shared" si="118"/>
        <v>0</v>
      </c>
      <c r="N230" s="36">
        <f>COUNTIFS(Tracker!G:G,Daily!C230, Tracker!J:J,"Y",Tracker!E:E,2)</f>
        <v>0</v>
      </c>
      <c r="O230" s="36">
        <f>COUNTIFS(Tracker!G:G,Daily!C230, Tracker!J:J,"Y (with hints)",Tracker!E:E,2)</f>
        <v>0</v>
      </c>
      <c r="P230" s="37">
        <f>COUNTIFS(Tracker!G:G,Daily!C230, Tracker!J:J,"N",Tracker!E:E,2)</f>
        <v>0</v>
      </c>
      <c r="Q230" s="58">
        <f t="shared" si="119"/>
        <v>0</v>
      </c>
      <c r="R230" s="36">
        <f>COUNTIFS(Tracker!G:G,Daily!C230, Tracker!J:J,"Y",Tracker!E:E,3)</f>
        <v>0</v>
      </c>
      <c r="S230" s="36">
        <f>COUNTIFS(Tracker!G:G,Daily!C230, Tracker!J:J,"Y (with hints)",Tracker!E:E,3)</f>
        <v>0</v>
      </c>
      <c r="T230" s="37">
        <f>COUNTIFS(Tracker!G:G,Daily!C230, Tracker!J:J,"N",Tracker!E:E,3)</f>
        <v>0</v>
      </c>
      <c r="V230" s="39">
        <f t="shared" si="120"/>
        <v>93</v>
      </c>
      <c r="W230" s="36">
        <f t="shared" si="121"/>
        <v>89</v>
      </c>
      <c r="X230" s="64">
        <f t="shared" si="122"/>
        <v>0.956989247311828</v>
      </c>
      <c r="Y230" s="78">
        <f>AVERAGEIFS(Tracker!I:I, Tracker!E:E, 1, Tracker!G:G, "&lt;="&amp;Daily!C230, Tracker!J:J, "Y")</f>
        <v>12.460674157303371</v>
      </c>
      <c r="Z230" s="79">
        <f>COUNTIFS(Tracker!E:E, 1, Tracker!G:G, "&lt;="&amp;Daily!C230, Tracker!L:L, "N") / V230</f>
        <v>0.80645161290322576</v>
      </c>
      <c r="AA230" s="39">
        <f t="shared" si="123"/>
        <v>196</v>
      </c>
      <c r="AB230" s="36">
        <f t="shared" si="124"/>
        <v>162</v>
      </c>
      <c r="AC230" s="64">
        <f t="shared" si="125"/>
        <v>0.82653061224489799</v>
      </c>
      <c r="AD230" s="78">
        <f>AVERAGEIFS(Tracker!I:I, Tracker!E:E, 2, Tracker!G:G, "&lt;="&amp;Daily!C230, Tracker!J:J, "Y")</f>
        <v>26.320987654320987</v>
      </c>
      <c r="AE230" s="79">
        <f>COUNTIFS(Tracker!E:E, 2, Tracker!G:G, "&lt;="&amp;Daily!C230, Tracker!L:L, "N") / AA230</f>
        <v>0.61224489795918369</v>
      </c>
      <c r="AF230" s="39">
        <f t="shared" si="126"/>
        <v>42</v>
      </c>
      <c r="AG230" s="36">
        <f t="shared" si="127"/>
        <v>27</v>
      </c>
      <c r="AH230" s="64">
        <f t="shared" si="128"/>
        <v>0.6428571428571429</v>
      </c>
      <c r="AI230" s="78">
        <f>IFERROR(AVERAGEIFS(Tracker!I:I, Tracker!E:E, 3, Tracker!G:G, "&lt;="&amp;Daily!C230, Tracker!J:J, "Y"), 0)</f>
        <v>40.074074074074076</v>
      </c>
      <c r="AJ230" s="79">
        <f>IFERROR(COUNTIFS(Tracker!E:E, 3, Tracker!G:G, "&lt;="&amp;Daily!C230, Tracker!L:L, "N") / AF230,  0)</f>
        <v>0.35714285714285715</v>
      </c>
      <c r="AK230" s="39">
        <f t="shared" si="129"/>
        <v>331</v>
      </c>
      <c r="AL230" s="36">
        <f t="shared" si="130"/>
        <v>278</v>
      </c>
      <c r="AM230" s="64">
        <f t="shared" si="131"/>
        <v>0.83987915407854985</v>
      </c>
      <c r="AN230" s="78">
        <f>IFERROR(AVERAGEIFS(Tracker!I:I,  Tracker!G:G, "&lt;="&amp;Daily!C230, Tracker!J:J, "Y"), 0)</f>
        <v>23.219424460431654</v>
      </c>
      <c r="AO230" s="79">
        <f>IFERROR(COUNTIFS(Tracker!G:G, "&lt;="&amp;Daily!C230, Tracker!L:L, "N") / AK230,  0)</f>
        <v>0.6344410876132931</v>
      </c>
    </row>
    <row r="231" spans="1:41" x14ac:dyDescent="0.25">
      <c r="A231" s="118">
        <f>A224+1</f>
        <v>33</v>
      </c>
      <c r="B231" s="28">
        <f t="shared" si="115"/>
        <v>45446</v>
      </c>
      <c r="C231" s="29">
        <f t="shared" si="132"/>
        <v>45446</v>
      </c>
      <c r="D231" s="108" t="b">
        <f t="shared" ca="1" si="114"/>
        <v>1</v>
      </c>
      <c r="E231" s="50">
        <f t="shared" si="116"/>
        <v>3</v>
      </c>
      <c r="F231" s="38">
        <f>COUNTIFS(Tracker!G:G,Daily!C231, Tracker!J:J,"Y")</f>
        <v>1</v>
      </c>
      <c r="G231" s="30">
        <f>COUNTIFS(Tracker!G:G,Daily!C231, Tracker!J:J,"Y (with hints)")</f>
        <v>2</v>
      </c>
      <c r="H231" s="31">
        <f>COUNTIFS(Tracker!G:G,Daily!C231, Tracker!J:J,"N")</f>
        <v>0</v>
      </c>
      <c r="I231" s="53">
        <f t="shared" si="117"/>
        <v>1</v>
      </c>
      <c r="J231" s="30">
        <f>COUNTIFS(Tracker!G:G,Daily!C231, Tracker!J:J,"Y",Tracker!E:E,1)</f>
        <v>1</v>
      </c>
      <c r="K231" s="30">
        <f>COUNTIFS(Tracker!G:G,Daily!C231, Tracker!J:J,"Y (with hints)",Tracker!E:E,1)</f>
        <v>0</v>
      </c>
      <c r="L231" s="31">
        <f>COUNTIFS(Tracker!G:G,Daily!C231, Tracker!J:J,"N",Tracker!E:E,1)</f>
        <v>0</v>
      </c>
      <c r="M231" s="53">
        <f t="shared" si="118"/>
        <v>2</v>
      </c>
      <c r="N231" s="30">
        <f>COUNTIFS(Tracker!G:G,Daily!C231, Tracker!J:J,"Y",Tracker!E:E,2)</f>
        <v>0</v>
      </c>
      <c r="O231" s="30">
        <f>COUNTIFS(Tracker!G:G,Daily!C231, Tracker!J:J,"Y (with hints)",Tracker!E:E,2)</f>
        <v>2</v>
      </c>
      <c r="P231" s="31">
        <f>COUNTIFS(Tracker!G:G,Daily!C231, Tracker!J:J,"N",Tracker!E:E,2)</f>
        <v>0</v>
      </c>
      <c r="Q231" s="56">
        <f t="shared" si="119"/>
        <v>0</v>
      </c>
      <c r="R231" s="30">
        <f>COUNTIFS(Tracker!G:G,Daily!C231, Tracker!J:J,"Y",Tracker!E:E,3)</f>
        <v>0</v>
      </c>
      <c r="S231" s="30">
        <f>COUNTIFS(Tracker!G:G,Daily!C231, Tracker!J:J,"Y (with hints)",Tracker!E:E,3)</f>
        <v>0</v>
      </c>
      <c r="T231" s="31">
        <f>COUNTIFS(Tracker!G:G,Daily!C231, Tracker!J:J,"N",Tracker!E:E,3)</f>
        <v>0</v>
      </c>
      <c r="V231" s="38">
        <f t="shared" si="120"/>
        <v>94</v>
      </c>
      <c r="W231" s="30">
        <f t="shared" si="121"/>
        <v>90</v>
      </c>
      <c r="X231" s="73">
        <f t="shared" si="122"/>
        <v>0.95744680851063835</v>
      </c>
      <c r="Y231" s="75">
        <f>AVERAGEIFS(Tracker!I:I, Tracker!E:E, 1, Tracker!G:G, "&lt;="&amp;Daily!C231, Tracker!J:J, "Y")</f>
        <v>12.4</v>
      </c>
      <c r="Z231" s="76">
        <f>COUNTIFS(Tracker!E:E, 1, Tracker!G:G, "&lt;="&amp;Daily!C231, Tracker!L:L, "N") / V231</f>
        <v>0.80851063829787229</v>
      </c>
      <c r="AA231" s="38">
        <f t="shared" si="123"/>
        <v>198</v>
      </c>
      <c r="AB231" s="30">
        <f t="shared" si="124"/>
        <v>162</v>
      </c>
      <c r="AC231" s="73">
        <f t="shared" si="125"/>
        <v>0.81818181818181823</v>
      </c>
      <c r="AD231" s="75">
        <f>AVERAGEIFS(Tracker!I:I, Tracker!E:E, 2, Tracker!G:G, "&lt;="&amp;Daily!C231, Tracker!J:J, "Y")</f>
        <v>26.320987654320987</v>
      </c>
      <c r="AE231" s="76">
        <f>COUNTIFS(Tracker!E:E, 2, Tracker!G:G, "&lt;="&amp;Daily!C231, Tracker!L:L, "N") / AA231</f>
        <v>0.60606060606060608</v>
      </c>
      <c r="AF231" s="38">
        <f t="shared" si="126"/>
        <v>42</v>
      </c>
      <c r="AG231" s="30">
        <f t="shared" si="127"/>
        <v>27</v>
      </c>
      <c r="AH231" s="73">
        <f t="shared" si="128"/>
        <v>0.6428571428571429</v>
      </c>
      <c r="AI231" s="75">
        <f>IFERROR(AVERAGEIFS(Tracker!I:I, Tracker!E:E, 3, Tracker!G:G, "&lt;="&amp;Daily!C231, Tracker!J:J, "Y"), 0)</f>
        <v>40.074074074074076</v>
      </c>
      <c r="AJ231" s="76">
        <f>IFERROR(COUNTIFS(Tracker!E:E, 3, Tracker!G:G, "&lt;="&amp;Daily!C231, Tracker!L:L, "N") / AF231,  0)</f>
        <v>0.35714285714285715</v>
      </c>
      <c r="AK231" s="38">
        <f t="shared" si="129"/>
        <v>334</v>
      </c>
      <c r="AL231" s="30">
        <f t="shared" si="130"/>
        <v>279</v>
      </c>
      <c r="AM231" s="73">
        <f t="shared" si="131"/>
        <v>0.83532934131736525</v>
      </c>
      <c r="AN231" s="75">
        <f>IFERROR(AVERAGEIFS(Tracker!I:I,  Tracker!G:G, "&lt;="&amp;Daily!C231, Tracker!J:J, "Y"), 0)</f>
        <v>23.161290322580644</v>
      </c>
      <c r="AO231" s="76">
        <f>IFERROR(COUNTIFS(Tracker!G:G, "&lt;="&amp;Daily!C231, Tracker!L:L, "N") / AK231,  0)</f>
        <v>0.63173652694610782</v>
      </c>
    </row>
    <row r="232" spans="1:41" x14ac:dyDescent="0.25">
      <c r="A232" s="119"/>
      <c r="B232" s="32">
        <f t="shared" si="115"/>
        <v>45447</v>
      </c>
      <c r="C232" s="27">
        <f t="shared" si="132"/>
        <v>45447</v>
      </c>
      <c r="D232" s="109" t="b">
        <f t="shared" ca="1" si="114"/>
        <v>1</v>
      </c>
      <c r="E232" s="51">
        <f t="shared" si="116"/>
        <v>3</v>
      </c>
      <c r="F232" s="48">
        <f>COUNTIFS(Tracker!G:G,Daily!C232, Tracker!J:J,"Y")</f>
        <v>3</v>
      </c>
      <c r="G232" s="26">
        <f>COUNTIFS(Tracker!G:G,Daily!C232, Tracker!J:J,"Y (with hints)")</f>
        <v>0</v>
      </c>
      <c r="H232" s="33">
        <f>COUNTIFS(Tracker!G:G,Daily!C232, Tracker!J:J,"N")</f>
        <v>0</v>
      </c>
      <c r="I232" s="54">
        <f t="shared" si="117"/>
        <v>0</v>
      </c>
      <c r="J232" s="26">
        <f>COUNTIFS(Tracker!G:G,Daily!C232, Tracker!J:J,"Y",Tracker!E:E,1)</f>
        <v>0</v>
      </c>
      <c r="K232" s="26">
        <f>COUNTIFS(Tracker!G:G,Daily!C232, Tracker!J:J,"Y (with hints)",Tracker!E:E,1)</f>
        <v>0</v>
      </c>
      <c r="L232" s="33">
        <f>COUNTIFS(Tracker!G:G,Daily!C232, Tracker!J:J,"N",Tracker!E:E,1)</f>
        <v>0</v>
      </c>
      <c r="M232" s="54">
        <f t="shared" si="118"/>
        <v>3</v>
      </c>
      <c r="N232" s="26">
        <f>COUNTIFS(Tracker!G:G,Daily!C232, Tracker!J:J,"Y",Tracker!E:E,2)</f>
        <v>3</v>
      </c>
      <c r="O232" s="26">
        <f>COUNTIFS(Tracker!G:G,Daily!C232, Tracker!J:J,"Y (with hints)",Tracker!E:E,2)</f>
        <v>0</v>
      </c>
      <c r="P232" s="33">
        <f>COUNTIFS(Tracker!G:G,Daily!C232, Tracker!J:J,"N",Tracker!E:E,2)</f>
        <v>0</v>
      </c>
      <c r="Q232" s="57">
        <f t="shared" si="119"/>
        <v>0</v>
      </c>
      <c r="R232" s="26">
        <f>COUNTIFS(Tracker!G:G,Daily!C232, Tracker!J:J,"Y",Tracker!E:E,3)</f>
        <v>0</v>
      </c>
      <c r="S232" s="26">
        <f>COUNTIFS(Tracker!G:G,Daily!C232, Tracker!J:J,"Y (with hints)",Tracker!E:E,3)</f>
        <v>0</v>
      </c>
      <c r="T232" s="33">
        <f>COUNTIFS(Tracker!G:G,Daily!C232, Tracker!J:J,"N",Tracker!E:E,3)</f>
        <v>0</v>
      </c>
      <c r="V232" s="48">
        <f t="shared" si="120"/>
        <v>94</v>
      </c>
      <c r="W232" s="26">
        <f t="shared" si="121"/>
        <v>90</v>
      </c>
      <c r="X232" s="62">
        <f t="shared" si="122"/>
        <v>0.95744680851063835</v>
      </c>
      <c r="Y232" s="74">
        <f>AVERAGEIFS(Tracker!I:I, Tracker!E:E, 1, Tracker!G:G, "&lt;="&amp;Daily!C232, Tracker!J:J, "Y")</f>
        <v>12.4</v>
      </c>
      <c r="Z232" s="77">
        <f>COUNTIFS(Tracker!E:E, 1, Tracker!G:G, "&lt;="&amp;Daily!C232, Tracker!L:L, "N") / V232</f>
        <v>0.80851063829787229</v>
      </c>
      <c r="AA232" s="48">
        <f t="shared" si="123"/>
        <v>201</v>
      </c>
      <c r="AB232" s="26">
        <f t="shared" si="124"/>
        <v>165</v>
      </c>
      <c r="AC232" s="62">
        <f t="shared" si="125"/>
        <v>0.82089552238805974</v>
      </c>
      <c r="AD232" s="74">
        <f>AVERAGEIFS(Tracker!I:I, Tracker!E:E, 2, Tracker!G:G, "&lt;="&amp;Daily!C232, Tracker!J:J, "Y")</f>
        <v>26.272727272727273</v>
      </c>
      <c r="AE232" s="77">
        <f>COUNTIFS(Tracker!E:E, 2, Tracker!G:G, "&lt;="&amp;Daily!C232, Tracker!L:L, "N") / AA232</f>
        <v>0.61194029850746268</v>
      </c>
      <c r="AF232" s="48">
        <f t="shared" si="126"/>
        <v>42</v>
      </c>
      <c r="AG232" s="26">
        <f t="shared" si="127"/>
        <v>27</v>
      </c>
      <c r="AH232" s="62">
        <f t="shared" si="128"/>
        <v>0.6428571428571429</v>
      </c>
      <c r="AI232" s="74">
        <f>IFERROR(AVERAGEIFS(Tracker!I:I, Tracker!E:E, 3, Tracker!G:G, "&lt;="&amp;Daily!C232, Tracker!J:J, "Y"), 0)</f>
        <v>40.074074074074076</v>
      </c>
      <c r="AJ232" s="77">
        <f>IFERROR(COUNTIFS(Tracker!E:E, 3, Tracker!G:G, "&lt;="&amp;Daily!C232, Tracker!L:L, "N") / AF232,  0)</f>
        <v>0.35714285714285715</v>
      </c>
      <c r="AK232" s="48">
        <f t="shared" si="129"/>
        <v>337</v>
      </c>
      <c r="AL232" s="26">
        <f t="shared" si="130"/>
        <v>282</v>
      </c>
      <c r="AM232" s="62">
        <f t="shared" si="131"/>
        <v>0.83679525222551931</v>
      </c>
      <c r="AN232" s="74">
        <f>IFERROR(AVERAGEIFS(Tracker!I:I,  Tracker!G:G, "&lt;="&amp;Daily!C232, Tracker!J:J, "Y"), 0)</f>
        <v>23.166666666666668</v>
      </c>
      <c r="AO232" s="77">
        <f>IFERROR(COUNTIFS(Tracker!G:G, "&lt;="&amp;Daily!C232, Tracker!L:L, "N") / AK232,  0)</f>
        <v>0.63501483679525228</v>
      </c>
    </row>
    <row r="233" spans="1:41" x14ac:dyDescent="0.25">
      <c r="A233" s="119"/>
      <c r="B233" s="32">
        <f t="shared" si="115"/>
        <v>45448</v>
      </c>
      <c r="C233" s="27">
        <f t="shared" si="132"/>
        <v>45448</v>
      </c>
      <c r="D233" s="109" t="b">
        <f t="shared" ca="1" si="114"/>
        <v>1</v>
      </c>
      <c r="E233" s="51">
        <f t="shared" si="116"/>
        <v>0</v>
      </c>
      <c r="F233" s="48">
        <f>COUNTIFS(Tracker!G:G,Daily!C233, Tracker!J:J,"Y")</f>
        <v>0</v>
      </c>
      <c r="G233" s="26">
        <f>COUNTIFS(Tracker!G:G,Daily!C233, Tracker!J:J,"Y (with hints)")</f>
        <v>0</v>
      </c>
      <c r="H233" s="33">
        <f>COUNTIFS(Tracker!G:G,Daily!C233, Tracker!J:J,"N")</f>
        <v>0</v>
      </c>
      <c r="I233" s="54">
        <f t="shared" si="117"/>
        <v>0</v>
      </c>
      <c r="J233" s="26">
        <f>COUNTIFS(Tracker!G:G,Daily!C233, Tracker!J:J,"Y",Tracker!E:E,1)</f>
        <v>0</v>
      </c>
      <c r="K233" s="26">
        <f>COUNTIFS(Tracker!G:G,Daily!C233, Tracker!J:J,"Y (with hints)",Tracker!E:E,1)</f>
        <v>0</v>
      </c>
      <c r="L233" s="33">
        <f>COUNTIFS(Tracker!G:G,Daily!C233, Tracker!J:J,"N",Tracker!E:E,1)</f>
        <v>0</v>
      </c>
      <c r="M233" s="54">
        <f t="shared" si="118"/>
        <v>0</v>
      </c>
      <c r="N233" s="26">
        <f>COUNTIFS(Tracker!G:G,Daily!C233, Tracker!J:J,"Y",Tracker!E:E,2)</f>
        <v>0</v>
      </c>
      <c r="O233" s="26">
        <f>COUNTIFS(Tracker!G:G,Daily!C233, Tracker!J:J,"Y (with hints)",Tracker!E:E,2)</f>
        <v>0</v>
      </c>
      <c r="P233" s="33">
        <f>COUNTIFS(Tracker!G:G,Daily!C233, Tracker!J:J,"N",Tracker!E:E,2)</f>
        <v>0</v>
      </c>
      <c r="Q233" s="57">
        <f t="shared" si="119"/>
        <v>0</v>
      </c>
      <c r="R233" s="26">
        <f>COUNTIFS(Tracker!G:G,Daily!C233, Tracker!J:J,"Y",Tracker!E:E,3)</f>
        <v>0</v>
      </c>
      <c r="S233" s="26">
        <f>COUNTIFS(Tracker!G:G,Daily!C233, Tracker!J:J,"Y (with hints)",Tracker!E:E,3)</f>
        <v>0</v>
      </c>
      <c r="T233" s="33">
        <f>COUNTIFS(Tracker!G:G,Daily!C233, Tracker!J:J,"N",Tracker!E:E,3)</f>
        <v>0</v>
      </c>
      <c r="V233" s="48">
        <f t="shared" si="120"/>
        <v>94</v>
      </c>
      <c r="W233" s="26">
        <f t="shared" si="121"/>
        <v>90</v>
      </c>
      <c r="X233" s="62">
        <f t="shared" si="122"/>
        <v>0.95744680851063835</v>
      </c>
      <c r="Y233" s="74">
        <f>AVERAGEIFS(Tracker!I:I, Tracker!E:E, 1, Tracker!G:G, "&lt;="&amp;Daily!C233, Tracker!J:J, "Y")</f>
        <v>12.4</v>
      </c>
      <c r="Z233" s="77">
        <f>COUNTIFS(Tracker!E:E, 1, Tracker!G:G, "&lt;="&amp;Daily!C233, Tracker!L:L, "N") / V233</f>
        <v>0.80851063829787229</v>
      </c>
      <c r="AA233" s="48">
        <f t="shared" si="123"/>
        <v>201</v>
      </c>
      <c r="AB233" s="26">
        <f t="shared" si="124"/>
        <v>165</v>
      </c>
      <c r="AC233" s="62">
        <f t="shared" si="125"/>
        <v>0.82089552238805974</v>
      </c>
      <c r="AD233" s="74">
        <f>AVERAGEIFS(Tracker!I:I, Tracker!E:E, 2, Tracker!G:G, "&lt;="&amp;Daily!C233, Tracker!J:J, "Y")</f>
        <v>26.272727272727273</v>
      </c>
      <c r="AE233" s="77">
        <f>COUNTIFS(Tracker!E:E, 2, Tracker!G:G, "&lt;="&amp;Daily!C233, Tracker!L:L, "N") / AA233</f>
        <v>0.61194029850746268</v>
      </c>
      <c r="AF233" s="48">
        <f t="shared" si="126"/>
        <v>42</v>
      </c>
      <c r="AG233" s="26">
        <f t="shared" si="127"/>
        <v>27</v>
      </c>
      <c r="AH233" s="62">
        <f t="shared" si="128"/>
        <v>0.6428571428571429</v>
      </c>
      <c r="AI233" s="74">
        <f>IFERROR(AVERAGEIFS(Tracker!I:I, Tracker!E:E, 3, Tracker!G:G, "&lt;="&amp;Daily!C233, Tracker!J:J, "Y"), 0)</f>
        <v>40.074074074074076</v>
      </c>
      <c r="AJ233" s="77">
        <f>IFERROR(COUNTIFS(Tracker!E:E, 3, Tracker!G:G, "&lt;="&amp;Daily!C233, Tracker!L:L, "N") / AF233,  0)</f>
        <v>0.35714285714285715</v>
      </c>
      <c r="AK233" s="48">
        <f t="shared" si="129"/>
        <v>337</v>
      </c>
      <c r="AL233" s="26">
        <f t="shared" si="130"/>
        <v>282</v>
      </c>
      <c r="AM233" s="62">
        <f t="shared" si="131"/>
        <v>0.83679525222551931</v>
      </c>
      <c r="AN233" s="74">
        <f>IFERROR(AVERAGEIFS(Tracker!I:I,  Tracker!G:G, "&lt;="&amp;Daily!C233, Tracker!J:J, "Y"), 0)</f>
        <v>23.166666666666668</v>
      </c>
      <c r="AO233" s="77">
        <f>IFERROR(COUNTIFS(Tracker!G:G, "&lt;="&amp;Daily!C233, Tracker!L:L, "N") / AK233,  0)</f>
        <v>0.63501483679525228</v>
      </c>
    </row>
    <row r="234" spans="1:41" x14ac:dyDescent="0.25">
      <c r="A234" s="119"/>
      <c r="B234" s="32">
        <f t="shared" si="115"/>
        <v>45449</v>
      </c>
      <c r="C234" s="27">
        <f t="shared" si="132"/>
        <v>45449</v>
      </c>
      <c r="D234" s="109" t="b">
        <f t="shared" ca="1" si="114"/>
        <v>1</v>
      </c>
      <c r="E234" s="51">
        <f t="shared" si="116"/>
        <v>0</v>
      </c>
      <c r="F234" s="48">
        <f>COUNTIFS(Tracker!G:G,Daily!C234, Tracker!J:J,"Y")</f>
        <v>0</v>
      </c>
      <c r="G234" s="26">
        <f>COUNTIFS(Tracker!G:G,Daily!C234, Tracker!J:J,"Y (with hints)")</f>
        <v>0</v>
      </c>
      <c r="H234" s="33">
        <f>COUNTIFS(Tracker!G:G,Daily!C234, Tracker!J:J,"N")</f>
        <v>0</v>
      </c>
      <c r="I234" s="54">
        <f t="shared" si="117"/>
        <v>0</v>
      </c>
      <c r="J234" s="26">
        <f>COUNTIFS(Tracker!G:G,Daily!C234, Tracker!J:J,"Y",Tracker!E:E,1)</f>
        <v>0</v>
      </c>
      <c r="K234" s="26">
        <f>COUNTIFS(Tracker!G:G,Daily!C234, Tracker!J:J,"Y (with hints)",Tracker!E:E,1)</f>
        <v>0</v>
      </c>
      <c r="L234" s="33">
        <f>COUNTIFS(Tracker!G:G,Daily!C234, Tracker!J:J,"N",Tracker!E:E,1)</f>
        <v>0</v>
      </c>
      <c r="M234" s="54">
        <f t="shared" si="118"/>
        <v>0</v>
      </c>
      <c r="N234" s="26">
        <f>COUNTIFS(Tracker!G:G,Daily!C234, Tracker!J:J,"Y",Tracker!E:E,2)</f>
        <v>0</v>
      </c>
      <c r="O234" s="26">
        <f>COUNTIFS(Tracker!G:G,Daily!C234, Tracker!J:J,"Y (with hints)",Tracker!E:E,2)</f>
        <v>0</v>
      </c>
      <c r="P234" s="33">
        <f>COUNTIFS(Tracker!G:G,Daily!C234, Tracker!J:J,"N",Tracker!E:E,2)</f>
        <v>0</v>
      </c>
      <c r="Q234" s="57">
        <f t="shared" si="119"/>
        <v>0</v>
      </c>
      <c r="R234" s="26">
        <f>COUNTIFS(Tracker!G:G,Daily!C234, Tracker!J:J,"Y",Tracker!E:E,3)</f>
        <v>0</v>
      </c>
      <c r="S234" s="26">
        <f>COUNTIFS(Tracker!G:G,Daily!C234, Tracker!J:J,"Y (with hints)",Tracker!E:E,3)</f>
        <v>0</v>
      </c>
      <c r="T234" s="33">
        <f>COUNTIFS(Tracker!G:G,Daily!C234, Tracker!J:J,"N",Tracker!E:E,3)</f>
        <v>0</v>
      </c>
      <c r="V234" s="48">
        <f t="shared" si="120"/>
        <v>94</v>
      </c>
      <c r="W234" s="26">
        <f t="shared" si="121"/>
        <v>90</v>
      </c>
      <c r="X234" s="62">
        <f t="shared" si="122"/>
        <v>0.95744680851063835</v>
      </c>
      <c r="Y234" s="74">
        <f>AVERAGEIFS(Tracker!I:I, Tracker!E:E, 1, Tracker!G:G, "&lt;="&amp;Daily!C234, Tracker!J:J, "Y")</f>
        <v>12.4</v>
      </c>
      <c r="Z234" s="77">
        <f>COUNTIFS(Tracker!E:E, 1, Tracker!G:G, "&lt;="&amp;Daily!C234, Tracker!L:L, "N") / V234</f>
        <v>0.80851063829787229</v>
      </c>
      <c r="AA234" s="48">
        <f t="shared" si="123"/>
        <v>201</v>
      </c>
      <c r="AB234" s="26">
        <f t="shared" si="124"/>
        <v>165</v>
      </c>
      <c r="AC234" s="62">
        <f t="shared" si="125"/>
        <v>0.82089552238805974</v>
      </c>
      <c r="AD234" s="74">
        <f>AVERAGEIFS(Tracker!I:I, Tracker!E:E, 2, Tracker!G:G, "&lt;="&amp;Daily!C234, Tracker!J:J, "Y")</f>
        <v>26.272727272727273</v>
      </c>
      <c r="AE234" s="77">
        <f>COUNTIFS(Tracker!E:E, 2, Tracker!G:G, "&lt;="&amp;Daily!C234, Tracker!L:L, "N") / AA234</f>
        <v>0.61194029850746268</v>
      </c>
      <c r="AF234" s="48">
        <f t="shared" si="126"/>
        <v>42</v>
      </c>
      <c r="AG234" s="26">
        <f t="shared" si="127"/>
        <v>27</v>
      </c>
      <c r="AH234" s="62">
        <f t="shared" si="128"/>
        <v>0.6428571428571429</v>
      </c>
      <c r="AI234" s="74">
        <f>IFERROR(AVERAGEIFS(Tracker!I:I, Tracker!E:E, 3, Tracker!G:G, "&lt;="&amp;Daily!C234, Tracker!J:J, "Y"), 0)</f>
        <v>40.074074074074076</v>
      </c>
      <c r="AJ234" s="77">
        <f>IFERROR(COUNTIFS(Tracker!E:E, 3, Tracker!G:G, "&lt;="&amp;Daily!C234, Tracker!L:L, "N") / AF234,  0)</f>
        <v>0.35714285714285715</v>
      </c>
      <c r="AK234" s="48">
        <f t="shared" si="129"/>
        <v>337</v>
      </c>
      <c r="AL234" s="26">
        <f t="shared" si="130"/>
        <v>282</v>
      </c>
      <c r="AM234" s="62">
        <f t="shared" si="131"/>
        <v>0.83679525222551931</v>
      </c>
      <c r="AN234" s="74">
        <f>IFERROR(AVERAGEIFS(Tracker!I:I,  Tracker!G:G, "&lt;="&amp;Daily!C234, Tracker!J:J, "Y"), 0)</f>
        <v>23.166666666666668</v>
      </c>
      <c r="AO234" s="77">
        <f>IFERROR(COUNTIFS(Tracker!G:G, "&lt;="&amp;Daily!C234, Tracker!L:L, "N") / AK234,  0)</f>
        <v>0.63501483679525228</v>
      </c>
    </row>
    <row r="235" spans="1:41" x14ac:dyDescent="0.25">
      <c r="A235" s="119"/>
      <c r="B235" s="32">
        <f t="shared" si="115"/>
        <v>45450</v>
      </c>
      <c r="C235" s="27">
        <f t="shared" si="132"/>
        <v>45450</v>
      </c>
      <c r="D235" s="109" t="b">
        <f t="shared" ca="1" si="114"/>
        <v>1</v>
      </c>
      <c r="E235" s="51">
        <f t="shared" si="116"/>
        <v>0</v>
      </c>
      <c r="F235" s="48">
        <f>COUNTIFS(Tracker!G:G,Daily!C235, Tracker!J:J,"Y")</f>
        <v>0</v>
      </c>
      <c r="G235" s="26">
        <f>COUNTIFS(Tracker!G:G,Daily!C235, Tracker!J:J,"Y (with hints)")</f>
        <v>0</v>
      </c>
      <c r="H235" s="33">
        <f>COUNTIFS(Tracker!G:G,Daily!C235, Tracker!J:J,"N")</f>
        <v>0</v>
      </c>
      <c r="I235" s="54">
        <f t="shared" si="117"/>
        <v>0</v>
      </c>
      <c r="J235" s="26">
        <f>COUNTIFS(Tracker!G:G,Daily!C235, Tracker!J:J,"Y",Tracker!E:E,1)</f>
        <v>0</v>
      </c>
      <c r="K235" s="26">
        <f>COUNTIFS(Tracker!G:G,Daily!C235, Tracker!J:J,"Y (with hints)",Tracker!E:E,1)</f>
        <v>0</v>
      </c>
      <c r="L235" s="33">
        <f>COUNTIFS(Tracker!G:G,Daily!C235, Tracker!J:J,"N",Tracker!E:E,1)</f>
        <v>0</v>
      </c>
      <c r="M235" s="54">
        <f t="shared" si="118"/>
        <v>0</v>
      </c>
      <c r="N235" s="26">
        <f>COUNTIFS(Tracker!G:G,Daily!C235, Tracker!J:J,"Y",Tracker!E:E,2)</f>
        <v>0</v>
      </c>
      <c r="O235" s="26">
        <f>COUNTIFS(Tracker!G:G,Daily!C235, Tracker!J:J,"Y (with hints)",Tracker!E:E,2)</f>
        <v>0</v>
      </c>
      <c r="P235" s="33">
        <f>COUNTIFS(Tracker!G:G,Daily!C235, Tracker!J:J,"N",Tracker!E:E,2)</f>
        <v>0</v>
      </c>
      <c r="Q235" s="57">
        <f t="shared" si="119"/>
        <v>0</v>
      </c>
      <c r="R235" s="26">
        <f>COUNTIFS(Tracker!G:G,Daily!C235, Tracker!J:J,"Y",Tracker!E:E,3)</f>
        <v>0</v>
      </c>
      <c r="S235" s="26">
        <f>COUNTIFS(Tracker!G:G,Daily!C235, Tracker!J:J,"Y (with hints)",Tracker!E:E,3)</f>
        <v>0</v>
      </c>
      <c r="T235" s="33">
        <f>COUNTIFS(Tracker!G:G,Daily!C235, Tracker!J:J,"N",Tracker!E:E,3)</f>
        <v>0</v>
      </c>
      <c r="V235" s="48">
        <f t="shared" si="120"/>
        <v>94</v>
      </c>
      <c r="W235" s="26">
        <f t="shared" si="121"/>
        <v>90</v>
      </c>
      <c r="X235" s="62">
        <f t="shared" si="122"/>
        <v>0.95744680851063835</v>
      </c>
      <c r="Y235" s="74">
        <f>AVERAGEIFS(Tracker!I:I, Tracker!E:E, 1, Tracker!G:G, "&lt;="&amp;Daily!C235, Tracker!J:J, "Y")</f>
        <v>12.4</v>
      </c>
      <c r="Z235" s="77">
        <f>COUNTIFS(Tracker!E:E, 1, Tracker!G:G, "&lt;="&amp;Daily!C235, Tracker!L:L, "N") / V235</f>
        <v>0.80851063829787229</v>
      </c>
      <c r="AA235" s="48">
        <f t="shared" si="123"/>
        <v>201</v>
      </c>
      <c r="AB235" s="26">
        <f t="shared" si="124"/>
        <v>165</v>
      </c>
      <c r="AC235" s="62">
        <f t="shared" si="125"/>
        <v>0.82089552238805974</v>
      </c>
      <c r="AD235" s="74">
        <f>AVERAGEIFS(Tracker!I:I, Tracker!E:E, 2, Tracker!G:G, "&lt;="&amp;Daily!C235, Tracker!J:J, "Y")</f>
        <v>26.272727272727273</v>
      </c>
      <c r="AE235" s="77">
        <f>COUNTIFS(Tracker!E:E, 2, Tracker!G:G, "&lt;="&amp;Daily!C235, Tracker!L:L, "N") / AA235</f>
        <v>0.61194029850746268</v>
      </c>
      <c r="AF235" s="48">
        <f t="shared" si="126"/>
        <v>42</v>
      </c>
      <c r="AG235" s="26">
        <f t="shared" si="127"/>
        <v>27</v>
      </c>
      <c r="AH235" s="62">
        <f t="shared" si="128"/>
        <v>0.6428571428571429</v>
      </c>
      <c r="AI235" s="74">
        <f>IFERROR(AVERAGEIFS(Tracker!I:I, Tracker!E:E, 3, Tracker!G:G, "&lt;="&amp;Daily!C235, Tracker!J:J, "Y"), 0)</f>
        <v>40.074074074074076</v>
      </c>
      <c r="AJ235" s="77">
        <f>IFERROR(COUNTIFS(Tracker!E:E, 3, Tracker!G:G, "&lt;="&amp;Daily!C235, Tracker!L:L, "N") / AF235,  0)</f>
        <v>0.35714285714285715</v>
      </c>
      <c r="AK235" s="48">
        <f t="shared" si="129"/>
        <v>337</v>
      </c>
      <c r="AL235" s="26">
        <f t="shared" si="130"/>
        <v>282</v>
      </c>
      <c r="AM235" s="62">
        <f t="shared" si="131"/>
        <v>0.83679525222551931</v>
      </c>
      <c r="AN235" s="74">
        <f>IFERROR(AVERAGEIFS(Tracker!I:I,  Tracker!G:G, "&lt;="&amp;Daily!C235, Tracker!J:J, "Y"), 0)</f>
        <v>23.166666666666668</v>
      </c>
      <c r="AO235" s="77">
        <f>IFERROR(COUNTIFS(Tracker!G:G, "&lt;="&amp;Daily!C235, Tracker!L:L, "N") / AK235,  0)</f>
        <v>0.63501483679525228</v>
      </c>
    </row>
    <row r="236" spans="1:41" x14ac:dyDescent="0.25">
      <c r="A236" s="119"/>
      <c r="B236" s="32">
        <f t="shared" si="115"/>
        <v>45451</v>
      </c>
      <c r="C236" s="27">
        <f t="shared" si="132"/>
        <v>45451</v>
      </c>
      <c r="D236" s="109" t="b">
        <f t="shared" ca="1" si="114"/>
        <v>1</v>
      </c>
      <c r="E236" s="51">
        <f t="shared" si="116"/>
        <v>0</v>
      </c>
      <c r="F236" s="48">
        <f>COUNTIFS(Tracker!G:G,Daily!C236, Tracker!J:J,"Y")</f>
        <v>0</v>
      </c>
      <c r="G236" s="26">
        <f>COUNTIFS(Tracker!G:G,Daily!C236, Tracker!J:J,"Y (with hints)")</f>
        <v>0</v>
      </c>
      <c r="H236" s="33">
        <f>COUNTIFS(Tracker!G:G,Daily!C236, Tracker!J:J,"N")</f>
        <v>0</v>
      </c>
      <c r="I236" s="54">
        <f t="shared" si="117"/>
        <v>0</v>
      </c>
      <c r="J236" s="26">
        <f>COUNTIFS(Tracker!G:G,Daily!C236, Tracker!J:J,"Y",Tracker!E:E,1)</f>
        <v>0</v>
      </c>
      <c r="K236" s="26">
        <f>COUNTIFS(Tracker!G:G,Daily!C236, Tracker!J:J,"Y (with hints)",Tracker!E:E,1)</f>
        <v>0</v>
      </c>
      <c r="L236" s="33">
        <f>COUNTIFS(Tracker!G:G,Daily!C236, Tracker!J:J,"N",Tracker!E:E,1)</f>
        <v>0</v>
      </c>
      <c r="M236" s="54">
        <f t="shared" si="118"/>
        <v>0</v>
      </c>
      <c r="N236" s="26">
        <f>COUNTIFS(Tracker!G:G,Daily!C236, Tracker!J:J,"Y",Tracker!E:E,2)</f>
        <v>0</v>
      </c>
      <c r="O236" s="26">
        <f>COUNTIFS(Tracker!G:G,Daily!C236, Tracker!J:J,"Y (with hints)",Tracker!E:E,2)</f>
        <v>0</v>
      </c>
      <c r="P236" s="33">
        <f>COUNTIFS(Tracker!G:G,Daily!C236, Tracker!J:J,"N",Tracker!E:E,2)</f>
        <v>0</v>
      </c>
      <c r="Q236" s="57">
        <f t="shared" si="119"/>
        <v>0</v>
      </c>
      <c r="R236" s="26">
        <f>COUNTIFS(Tracker!G:G,Daily!C236, Tracker!J:J,"Y",Tracker!E:E,3)</f>
        <v>0</v>
      </c>
      <c r="S236" s="26">
        <f>COUNTIFS(Tracker!G:G,Daily!C236, Tracker!J:J,"Y (with hints)",Tracker!E:E,3)</f>
        <v>0</v>
      </c>
      <c r="T236" s="33">
        <f>COUNTIFS(Tracker!G:G,Daily!C236, Tracker!J:J,"N",Tracker!E:E,3)</f>
        <v>0</v>
      </c>
      <c r="V236" s="48">
        <f t="shared" si="120"/>
        <v>94</v>
      </c>
      <c r="W236" s="26">
        <f t="shared" si="121"/>
        <v>90</v>
      </c>
      <c r="X236" s="62">
        <f t="shared" si="122"/>
        <v>0.95744680851063835</v>
      </c>
      <c r="Y236" s="74">
        <f>AVERAGEIFS(Tracker!I:I, Tracker!E:E, 1, Tracker!G:G, "&lt;="&amp;Daily!C236, Tracker!J:J, "Y")</f>
        <v>12.4</v>
      </c>
      <c r="Z236" s="77">
        <f>COUNTIFS(Tracker!E:E, 1, Tracker!G:G, "&lt;="&amp;Daily!C236, Tracker!L:L, "N") / V236</f>
        <v>0.80851063829787229</v>
      </c>
      <c r="AA236" s="48">
        <f t="shared" si="123"/>
        <v>201</v>
      </c>
      <c r="AB236" s="26">
        <f t="shared" si="124"/>
        <v>165</v>
      </c>
      <c r="AC236" s="62">
        <f t="shared" si="125"/>
        <v>0.82089552238805974</v>
      </c>
      <c r="AD236" s="74">
        <f>AVERAGEIFS(Tracker!I:I, Tracker!E:E, 2, Tracker!G:G, "&lt;="&amp;Daily!C236, Tracker!J:J, "Y")</f>
        <v>26.272727272727273</v>
      </c>
      <c r="AE236" s="77">
        <f>COUNTIFS(Tracker!E:E, 2, Tracker!G:G, "&lt;="&amp;Daily!C236, Tracker!L:L, "N") / AA236</f>
        <v>0.61194029850746268</v>
      </c>
      <c r="AF236" s="48">
        <f t="shared" si="126"/>
        <v>42</v>
      </c>
      <c r="AG236" s="26">
        <f t="shared" si="127"/>
        <v>27</v>
      </c>
      <c r="AH236" s="62">
        <f t="shared" si="128"/>
        <v>0.6428571428571429</v>
      </c>
      <c r="AI236" s="74">
        <f>IFERROR(AVERAGEIFS(Tracker!I:I, Tracker!E:E, 3, Tracker!G:G, "&lt;="&amp;Daily!C236, Tracker!J:J, "Y"), 0)</f>
        <v>40.074074074074076</v>
      </c>
      <c r="AJ236" s="77">
        <f>IFERROR(COUNTIFS(Tracker!E:E, 3, Tracker!G:G, "&lt;="&amp;Daily!C236, Tracker!L:L, "N") / AF236,  0)</f>
        <v>0.35714285714285715</v>
      </c>
      <c r="AK236" s="48">
        <f t="shared" si="129"/>
        <v>337</v>
      </c>
      <c r="AL236" s="26">
        <f t="shared" si="130"/>
        <v>282</v>
      </c>
      <c r="AM236" s="62">
        <f t="shared" si="131"/>
        <v>0.83679525222551931</v>
      </c>
      <c r="AN236" s="74">
        <f>IFERROR(AVERAGEIFS(Tracker!I:I,  Tracker!G:G, "&lt;="&amp;Daily!C236, Tracker!J:J, "Y"), 0)</f>
        <v>23.166666666666668</v>
      </c>
      <c r="AO236" s="77">
        <f>IFERROR(COUNTIFS(Tracker!G:G, "&lt;="&amp;Daily!C236, Tracker!L:L, "N") / AK236,  0)</f>
        <v>0.63501483679525228</v>
      </c>
    </row>
    <row r="237" spans="1:41" ht="15.75" thickBot="1" x14ac:dyDescent="0.3">
      <c r="A237" s="120"/>
      <c r="B237" s="34">
        <f t="shared" si="115"/>
        <v>45452</v>
      </c>
      <c r="C237" s="35">
        <f t="shared" si="132"/>
        <v>45452</v>
      </c>
      <c r="D237" s="110" t="b">
        <f t="shared" ca="1" si="114"/>
        <v>1</v>
      </c>
      <c r="E237" s="52">
        <f t="shared" si="116"/>
        <v>0</v>
      </c>
      <c r="F237" s="39">
        <f>COUNTIFS(Tracker!G:G,Daily!C237, Tracker!J:J,"Y")</f>
        <v>0</v>
      </c>
      <c r="G237" s="36">
        <f>COUNTIFS(Tracker!G:G,Daily!C237, Tracker!J:J,"Y (with hints)")</f>
        <v>0</v>
      </c>
      <c r="H237" s="37">
        <f>COUNTIFS(Tracker!G:G,Daily!C237, Tracker!J:J,"N")</f>
        <v>0</v>
      </c>
      <c r="I237" s="55">
        <f t="shared" si="117"/>
        <v>0</v>
      </c>
      <c r="J237" s="36">
        <f>COUNTIFS(Tracker!G:G,Daily!C237, Tracker!J:J,"Y",Tracker!E:E,1)</f>
        <v>0</v>
      </c>
      <c r="K237" s="36">
        <f>COUNTIFS(Tracker!G:G,Daily!C237, Tracker!J:J,"Y (with hints)",Tracker!E:E,1)</f>
        <v>0</v>
      </c>
      <c r="L237" s="37">
        <f>COUNTIFS(Tracker!G:G,Daily!C237, Tracker!J:J,"N",Tracker!E:E,1)</f>
        <v>0</v>
      </c>
      <c r="M237" s="55">
        <f t="shared" si="118"/>
        <v>0</v>
      </c>
      <c r="N237" s="36">
        <f>COUNTIFS(Tracker!G:G,Daily!C237, Tracker!J:J,"Y",Tracker!E:E,2)</f>
        <v>0</v>
      </c>
      <c r="O237" s="36">
        <f>COUNTIFS(Tracker!G:G,Daily!C237, Tracker!J:J,"Y (with hints)",Tracker!E:E,2)</f>
        <v>0</v>
      </c>
      <c r="P237" s="37">
        <f>COUNTIFS(Tracker!G:G,Daily!C237, Tracker!J:J,"N",Tracker!E:E,2)</f>
        <v>0</v>
      </c>
      <c r="Q237" s="58">
        <f t="shared" si="119"/>
        <v>0</v>
      </c>
      <c r="R237" s="36">
        <f>COUNTIFS(Tracker!G:G,Daily!C237, Tracker!J:J,"Y",Tracker!E:E,3)</f>
        <v>0</v>
      </c>
      <c r="S237" s="36">
        <f>COUNTIFS(Tracker!G:G,Daily!C237, Tracker!J:J,"Y (with hints)",Tracker!E:E,3)</f>
        <v>0</v>
      </c>
      <c r="T237" s="37">
        <f>COUNTIFS(Tracker!G:G,Daily!C237, Tracker!J:J,"N",Tracker!E:E,3)</f>
        <v>0</v>
      </c>
      <c r="V237" s="39">
        <f t="shared" si="120"/>
        <v>94</v>
      </c>
      <c r="W237" s="36">
        <f t="shared" si="121"/>
        <v>90</v>
      </c>
      <c r="X237" s="64">
        <f t="shared" si="122"/>
        <v>0.95744680851063835</v>
      </c>
      <c r="Y237" s="78">
        <f>AVERAGEIFS(Tracker!I:I, Tracker!E:E, 1, Tracker!G:G, "&lt;="&amp;Daily!C237, Tracker!J:J, "Y")</f>
        <v>12.4</v>
      </c>
      <c r="Z237" s="79">
        <f>COUNTIFS(Tracker!E:E, 1, Tracker!G:G, "&lt;="&amp;Daily!C237, Tracker!L:L, "N") / V237</f>
        <v>0.80851063829787229</v>
      </c>
      <c r="AA237" s="39">
        <f t="shared" si="123"/>
        <v>201</v>
      </c>
      <c r="AB237" s="36">
        <f t="shared" si="124"/>
        <v>165</v>
      </c>
      <c r="AC237" s="64">
        <f t="shared" si="125"/>
        <v>0.82089552238805974</v>
      </c>
      <c r="AD237" s="78">
        <f>AVERAGEIFS(Tracker!I:I, Tracker!E:E, 2, Tracker!G:G, "&lt;="&amp;Daily!C237, Tracker!J:J, "Y")</f>
        <v>26.272727272727273</v>
      </c>
      <c r="AE237" s="79">
        <f>COUNTIFS(Tracker!E:E, 2, Tracker!G:G, "&lt;="&amp;Daily!C237, Tracker!L:L, "N") / AA237</f>
        <v>0.61194029850746268</v>
      </c>
      <c r="AF237" s="39">
        <f t="shared" si="126"/>
        <v>42</v>
      </c>
      <c r="AG237" s="36">
        <f t="shared" si="127"/>
        <v>27</v>
      </c>
      <c r="AH237" s="64">
        <f t="shared" si="128"/>
        <v>0.6428571428571429</v>
      </c>
      <c r="AI237" s="78">
        <f>IFERROR(AVERAGEIFS(Tracker!I:I, Tracker!E:E, 3, Tracker!G:G, "&lt;="&amp;Daily!C237, Tracker!J:J, "Y"), 0)</f>
        <v>40.074074074074076</v>
      </c>
      <c r="AJ237" s="79">
        <f>IFERROR(COUNTIFS(Tracker!E:E, 3, Tracker!G:G, "&lt;="&amp;Daily!C237, Tracker!L:L, "N") / AF237,  0)</f>
        <v>0.35714285714285715</v>
      </c>
      <c r="AK237" s="39">
        <f t="shared" si="129"/>
        <v>337</v>
      </c>
      <c r="AL237" s="36">
        <f t="shared" si="130"/>
        <v>282</v>
      </c>
      <c r="AM237" s="64">
        <f t="shared" si="131"/>
        <v>0.83679525222551931</v>
      </c>
      <c r="AN237" s="78">
        <f>IFERROR(AVERAGEIFS(Tracker!I:I,  Tracker!G:G, "&lt;="&amp;Daily!C237, Tracker!J:J, "Y"), 0)</f>
        <v>23.166666666666668</v>
      </c>
      <c r="AO237" s="79">
        <f>IFERROR(COUNTIFS(Tracker!G:G, "&lt;="&amp;Daily!C237, Tracker!L:L, "N") / AK237,  0)</f>
        <v>0.63501483679525228</v>
      </c>
    </row>
    <row r="238" spans="1:41" x14ac:dyDescent="0.25">
      <c r="A238" s="118">
        <f>A231+1</f>
        <v>34</v>
      </c>
      <c r="B238" s="28">
        <f t="shared" si="115"/>
        <v>45453</v>
      </c>
      <c r="C238" s="29">
        <f t="shared" si="132"/>
        <v>45453</v>
      </c>
      <c r="D238" s="108" t="b">
        <f t="shared" ca="1" si="114"/>
        <v>1</v>
      </c>
      <c r="E238" s="50">
        <f t="shared" si="116"/>
        <v>2</v>
      </c>
      <c r="F238" s="38">
        <f>COUNTIFS(Tracker!G:G,Daily!C238, Tracker!J:J,"Y")</f>
        <v>2</v>
      </c>
      <c r="G238" s="30">
        <f>COUNTIFS(Tracker!G:G,Daily!C238, Tracker!J:J,"Y (with hints)")</f>
        <v>0</v>
      </c>
      <c r="H238" s="31">
        <f>COUNTIFS(Tracker!G:G,Daily!C238, Tracker!J:J,"N")</f>
        <v>0</v>
      </c>
      <c r="I238" s="53">
        <f t="shared" si="117"/>
        <v>0</v>
      </c>
      <c r="J238" s="30">
        <f>COUNTIFS(Tracker!G:G,Daily!C238, Tracker!J:J,"Y",Tracker!E:E,1)</f>
        <v>0</v>
      </c>
      <c r="K238" s="30">
        <f>COUNTIFS(Tracker!G:G,Daily!C238, Tracker!J:J,"Y (with hints)",Tracker!E:E,1)</f>
        <v>0</v>
      </c>
      <c r="L238" s="31">
        <f>COUNTIFS(Tracker!G:G,Daily!C238, Tracker!J:J,"N",Tracker!E:E,1)</f>
        <v>0</v>
      </c>
      <c r="M238" s="53">
        <f t="shared" si="118"/>
        <v>2</v>
      </c>
      <c r="N238" s="30">
        <f>COUNTIFS(Tracker!G:G,Daily!C238, Tracker!J:J,"Y",Tracker!E:E,2)</f>
        <v>2</v>
      </c>
      <c r="O238" s="30">
        <f>COUNTIFS(Tracker!G:G,Daily!C238, Tracker!J:J,"Y (with hints)",Tracker!E:E,2)</f>
        <v>0</v>
      </c>
      <c r="P238" s="31">
        <f>COUNTIFS(Tracker!G:G,Daily!C238, Tracker!J:J,"N",Tracker!E:E,2)</f>
        <v>0</v>
      </c>
      <c r="Q238" s="56">
        <f t="shared" si="119"/>
        <v>0</v>
      </c>
      <c r="R238" s="30">
        <f>COUNTIFS(Tracker!G:G,Daily!C238, Tracker!J:J,"Y",Tracker!E:E,3)</f>
        <v>0</v>
      </c>
      <c r="S238" s="30">
        <f>COUNTIFS(Tracker!G:G,Daily!C238, Tracker!J:J,"Y (with hints)",Tracker!E:E,3)</f>
        <v>0</v>
      </c>
      <c r="T238" s="31">
        <f>COUNTIFS(Tracker!G:G,Daily!C238, Tracker!J:J,"N",Tracker!E:E,3)</f>
        <v>0</v>
      </c>
      <c r="V238" s="38">
        <f t="shared" si="120"/>
        <v>94</v>
      </c>
      <c r="W238" s="30">
        <f t="shared" si="121"/>
        <v>90</v>
      </c>
      <c r="X238" s="73">
        <f t="shared" si="122"/>
        <v>0.95744680851063835</v>
      </c>
      <c r="Y238" s="75">
        <f>AVERAGEIFS(Tracker!I:I, Tracker!E:E, 1, Tracker!G:G, "&lt;="&amp;Daily!C238, Tracker!J:J, "Y")</f>
        <v>12.4</v>
      </c>
      <c r="Z238" s="76">
        <f>COUNTIFS(Tracker!E:E, 1, Tracker!G:G, "&lt;="&amp;Daily!C238, Tracker!L:L, "N") / V238</f>
        <v>0.80851063829787229</v>
      </c>
      <c r="AA238" s="38">
        <f t="shared" si="123"/>
        <v>203</v>
      </c>
      <c r="AB238" s="30">
        <f t="shared" si="124"/>
        <v>167</v>
      </c>
      <c r="AC238" s="73">
        <f t="shared" si="125"/>
        <v>0.82266009852216748</v>
      </c>
      <c r="AD238" s="75">
        <f>AVERAGEIFS(Tracker!I:I, Tracker!E:E, 2, Tracker!G:G, "&lt;="&amp;Daily!C238, Tracker!J:J, "Y")</f>
        <v>26.407185628742514</v>
      </c>
      <c r="AE238" s="76">
        <f>COUNTIFS(Tracker!E:E, 2, Tracker!G:G, "&lt;="&amp;Daily!C238, Tracker!L:L, "N") / AA238</f>
        <v>0.61083743842364535</v>
      </c>
      <c r="AF238" s="38">
        <f t="shared" si="126"/>
        <v>42</v>
      </c>
      <c r="AG238" s="30">
        <f t="shared" si="127"/>
        <v>27</v>
      </c>
      <c r="AH238" s="73">
        <f t="shared" si="128"/>
        <v>0.6428571428571429</v>
      </c>
      <c r="AI238" s="75">
        <f>IFERROR(AVERAGEIFS(Tracker!I:I, Tracker!E:E, 3, Tracker!G:G, "&lt;="&amp;Daily!C238, Tracker!J:J, "Y"), 0)</f>
        <v>40.074074074074076</v>
      </c>
      <c r="AJ238" s="76">
        <f>IFERROR(COUNTIFS(Tracker!E:E, 3, Tracker!G:G, "&lt;="&amp;Daily!C238, Tracker!L:L, "N") / AF238,  0)</f>
        <v>0.35714285714285715</v>
      </c>
      <c r="AK238" s="38">
        <f t="shared" si="129"/>
        <v>339</v>
      </c>
      <c r="AL238" s="30">
        <f t="shared" si="130"/>
        <v>284</v>
      </c>
      <c r="AM238" s="73">
        <f t="shared" si="131"/>
        <v>0.83775811209439532</v>
      </c>
      <c r="AN238" s="75">
        <f>IFERROR(AVERAGEIFS(Tracker!I:I,  Tracker!G:G, "&lt;="&amp;Daily!C238, Tracker!J:J, "Y"), 0)</f>
        <v>23.267605633802816</v>
      </c>
      <c r="AO238" s="76">
        <f>IFERROR(COUNTIFS(Tracker!G:G, "&lt;="&amp;Daily!C238, Tracker!L:L, "N") / AK238,  0)</f>
        <v>0.63421828908554567</v>
      </c>
    </row>
    <row r="239" spans="1:41" x14ac:dyDescent="0.25">
      <c r="A239" s="119"/>
      <c r="B239" s="32">
        <f t="shared" si="115"/>
        <v>45454</v>
      </c>
      <c r="C239" s="27">
        <f t="shared" si="132"/>
        <v>45454</v>
      </c>
      <c r="D239" s="109" t="b">
        <f t="shared" ca="1" si="114"/>
        <v>1</v>
      </c>
      <c r="E239" s="51">
        <f t="shared" si="116"/>
        <v>2</v>
      </c>
      <c r="F239" s="48">
        <f>COUNTIFS(Tracker!G:G,Daily!C239, Tracker!J:J,"Y")</f>
        <v>0</v>
      </c>
      <c r="G239" s="26">
        <f>COUNTIFS(Tracker!G:G,Daily!C239, Tracker!J:J,"Y (with hints)")</f>
        <v>0</v>
      </c>
      <c r="H239" s="33">
        <f>COUNTIFS(Tracker!G:G,Daily!C239, Tracker!J:J,"N")</f>
        <v>2</v>
      </c>
      <c r="I239" s="54">
        <f t="shared" si="117"/>
        <v>0</v>
      </c>
      <c r="J239" s="26">
        <f>COUNTIFS(Tracker!G:G,Daily!C239, Tracker!J:J,"Y",Tracker!E:E,1)</f>
        <v>0</v>
      </c>
      <c r="K239" s="26">
        <f>COUNTIFS(Tracker!G:G,Daily!C239, Tracker!J:J,"Y (with hints)",Tracker!E:E,1)</f>
        <v>0</v>
      </c>
      <c r="L239" s="33">
        <f>COUNTIFS(Tracker!G:G,Daily!C239, Tracker!J:J,"N",Tracker!E:E,1)</f>
        <v>0</v>
      </c>
      <c r="M239" s="54">
        <f t="shared" si="118"/>
        <v>2</v>
      </c>
      <c r="N239" s="26">
        <f>COUNTIFS(Tracker!G:G,Daily!C239, Tracker!J:J,"Y",Tracker!E:E,2)</f>
        <v>0</v>
      </c>
      <c r="O239" s="26">
        <f>COUNTIFS(Tracker!G:G,Daily!C239, Tracker!J:J,"Y (with hints)",Tracker!E:E,2)</f>
        <v>0</v>
      </c>
      <c r="P239" s="33">
        <f>COUNTIFS(Tracker!G:G,Daily!C239, Tracker!J:J,"N",Tracker!E:E,2)</f>
        <v>2</v>
      </c>
      <c r="Q239" s="57">
        <f t="shared" si="119"/>
        <v>0</v>
      </c>
      <c r="R239" s="26">
        <f>COUNTIFS(Tracker!G:G,Daily!C239, Tracker!J:J,"Y",Tracker!E:E,3)</f>
        <v>0</v>
      </c>
      <c r="S239" s="26">
        <f>COUNTIFS(Tracker!G:G,Daily!C239, Tracker!J:J,"Y (with hints)",Tracker!E:E,3)</f>
        <v>0</v>
      </c>
      <c r="T239" s="33">
        <f>COUNTIFS(Tracker!G:G,Daily!C239, Tracker!J:J,"N",Tracker!E:E,3)</f>
        <v>0</v>
      </c>
      <c r="V239" s="48">
        <f t="shared" si="120"/>
        <v>94</v>
      </c>
      <c r="W239" s="26">
        <f t="shared" si="121"/>
        <v>90</v>
      </c>
      <c r="X239" s="62">
        <f t="shared" si="122"/>
        <v>0.95744680851063835</v>
      </c>
      <c r="Y239" s="74">
        <f>AVERAGEIFS(Tracker!I:I, Tracker!E:E, 1, Tracker!G:G, "&lt;="&amp;Daily!C239, Tracker!J:J, "Y")</f>
        <v>12.4</v>
      </c>
      <c r="Z239" s="77">
        <f>COUNTIFS(Tracker!E:E, 1, Tracker!G:G, "&lt;="&amp;Daily!C239, Tracker!L:L, "N") / V239</f>
        <v>0.80851063829787229</v>
      </c>
      <c r="AA239" s="48">
        <f t="shared" si="123"/>
        <v>205</v>
      </c>
      <c r="AB239" s="26">
        <f t="shared" si="124"/>
        <v>167</v>
      </c>
      <c r="AC239" s="62">
        <f t="shared" si="125"/>
        <v>0.81463414634146336</v>
      </c>
      <c r="AD239" s="74">
        <f>AVERAGEIFS(Tracker!I:I, Tracker!E:E, 2, Tracker!G:G, "&lt;="&amp;Daily!C239, Tracker!J:J, "Y")</f>
        <v>26.407185628742514</v>
      </c>
      <c r="AE239" s="77">
        <f>COUNTIFS(Tracker!E:E, 2, Tracker!G:G, "&lt;="&amp;Daily!C239, Tracker!L:L, "N") / AA239</f>
        <v>0.60487804878048779</v>
      </c>
      <c r="AF239" s="48">
        <f t="shared" si="126"/>
        <v>42</v>
      </c>
      <c r="AG239" s="26">
        <f t="shared" si="127"/>
        <v>27</v>
      </c>
      <c r="AH239" s="62">
        <f t="shared" si="128"/>
        <v>0.6428571428571429</v>
      </c>
      <c r="AI239" s="74">
        <f>IFERROR(AVERAGEIFS(Tracker!I:I, Tracker!E:E, 3, Tracker!G:G, "&lt;="&amp;Daily!C239, Tracker!J:J, "Y"), 0)</f>
        <v>40.074074074074076</v>
      </c>
      <c r="AJ239" s="77">
        <f>IFERROR(COUNTIFS(Tracker!E:E, 3, Tracker!G:G, "&lt;="&amp;Daily!C239, Tracker!L:L, "N") / AF239,  0)</f>
        <v>0.35714285714285715</v>
      </c>
      <c r="AK239" s="48">
        <f t="shared" si="129"/>
        <v>341</v>
      </c>
      <c r="AL239" s="26">
        <f t="shared" si="130"/>
        <v>284</v>
      </c>
      <c r="AM239" s="62">
        <f t="shared" si="131"/>
        <v>0.83284457478005869</v>
      </c>
      <c r="AN239" s="74">
        <f>IFERROR(AVERAGEIFS(Tracker!I:I,  Tracker!G:G, "&lt;="&amp;Daily!C239, Tracker!J:J, "Y"), 0)</f>
        <v>23.267605633802816</v>
      </c>
      <c r="AO239" s="77">
        <f>IFERROR(COUNTIFS(Tracker!G:G, "&lt;="&amp;Daily!C239, Tracker!L:L, "N") / AK239,  0)</f>
        <v>0.63049853372434017</v>
      </c>
    </row>
    <row r="240" spans="1:41" x14ac:dyDescent="0.25">
      <c r="A240" s="119"/>
      <c r="B240" s="32">
        <f t="shared" si="115"/>
        <v>45455</v>
      </c>
      <c r="C240" s="27">
        <f t="shared" si="132"/>
        <v>45455</v>
      </c>
      <c r="D240" s="109" t="b">
        <f t="shared" ca="1" si="114"/>
        <v>1</v>
      </c>
      <c r="E240" s="51">
        <f t="shared" si="116"/>
        <v>1</v>
      </c>
      <c r="F240" s="48">
        <f>COUNTIFS(Tracker!G:G,Daily!C240, Tracker!J:J,"Y")</f>
        <v>0</v>
      </c>
      <c r="G240" s="26">
        <f>COUNTIFS(Tracker!G:G,Daily!C240, Tracker!J:J,"Y (with hints)")</f>
        <v>0</v>
      </c>
      <c r="H240" s="33">
        <f>COUNTIFS(Tracker!G:G,Daily!C240, Tracker!J:J,"N")</f>
        <v>1</v>
      </c>
      <c r="I240" s="54">
        <f t="shared" si="117"/>
        <v>0</v>
      </c>
      <c r="J240" s="26">
        <f>COUNTIFS(Tracker!G:G,Daily!C240, Tracker!J:J,"Y",Tracker!E:E,1)</f>
        <v>0</v>
      </c>
      <c r="K240" s="26">
        <f>COUNTIFS(Tracker!G:G,Daily!C240, Tracker!J:J,"Y (with hints)",Tracker!E:E,1)</f>
        <v>0</v>
      </c>
      <c r="L240" s="33">
        <f>COUNTIFS(Tracker!G:G,Daily!C240, Tracker!J:J,"N",Tracker!E:E,1)</f>
        <v>0</v>
      </c>
      <c r="M240" s="54">
        <f t="shared" si="118"/>
        <v>1</v>
      </c>
      <c r="N240" s="26">
        <f>COUNTIFS(Tracker!G:G,Daily!C240, Tracker!J:J,"Y",Tracker!E:E,2)</f>
        <v>0</v>
      </c>
      <c r="O240" s="26">
        <f>COUNTIFS(Tracker!G:G,Daily!C240, Tracker!J:J,"Y (with hints)",Tracker!E:E,2)</f>
        <v>0</v>
      </c>
      <c r="P240" s="33">
        <f>COUNTIFS(Tracker!G:G,Daily!C240, Tracker!J:J,"N",Tracker!E:E,2)</f>
        <v>1</v>
      </c>
      <c r="Q240" s="57">
        <f t="shared" si="119"/>
        <v>0</v>
      </c>
      <c r="R240" s="26">
        <f>COUNTIFS(Tracker!G:G,Daily!C240, Tracker!J:J,"Y",Tracker!E:E,3)</f>
        <v>0</v>
      </c>
      <c r="S240" s="26">
        <f>COUNTIFS(Tracker!G:G,Daily!C240, Tracker!J:J,"Y (with hints)",Tracker!E:E,3)</f>
        <v>0</v>
      </c>
      <c r="T240" s="33">
        <f>COUNTIFS(Tracker!G:G,Daily!C240, Tracker!J:J,"N",Tracker!E:E,3)</f>
        <v>0</v>
      </c>
      <c r="V240" s="48">
        <f t="shared" si="120"/>
        <v>94</v>
      </c>
      <c r="W240" s="26">
        <f t="shared" si="121"/>
        <v>90</v>
      </c>
      <c r="X240" s="62">
        <f t="shared" si="122"/>
        <v>0.95744680851063835</v>
      </c>
      <c r="Y240" s="74">
        <f>AVERAGEIFS(Tracker!I:I, Tracker!E:E, 1, Tracker!G:G, "&lt;="&amp;Daily!C240, Tracker!J:J, "Y")</f>
        <v>12.4</v>
      </c>
      <c r="Z240" s="77">
        <f>COUNTIFS(Tracker!E:E, 1, Tracker!G:G, "&lt;="&amp;Daily!C240, Tracker!L:L, "N") / V240</f>
        <v>0.80851063829787229</v>
      </c>
      <c r="AA240" s="48">
        <f t="shared" si="123"/>
        <v>206</v>
      </c>
      <c r="AB240" s="26">
        <f t="shared" si="124"/>
        <v>167</v>
      </c>
      <c r="AC240" s="62">
        <f t="shared" si="125"/>
        <v>0.81067961165048541</v>
      </c>
      <c r="AD240" s="74">
        <f>AVERAGEIFS(Tracker!I:I, Tracker!E:E, 2, Tracker!G:G, "&lt;="&amp;Daily!C240, Tracker!J:J, "Y")</f>
        <v>26.407185628742514</v>
      </c>
      <c r="AE240" s="77">
        <f>COUNTIFS(Tracker!E:E, 2, Tracker!G:G, "&lt;="&amp;Daily!C240, Tracker!L:L, "N") / AA240</f>
        <v>0.60194174757281549</v>
      </c>
      <c r="AF240" s="48">
        <f t="shared" si="126"/>
        <v>42</v>
      </c>
      <c r="AG240" s="26">
        <f t="shared" si="127"/>
        <v>27</v>
      </c>
      <c r="AH240" s="62">
        <f t="shared" si="128"/>
        <v>0.6428571428571429</v>
      </c>
      <c r="AI240" s="74">
        <f>IFERROR(AVERAGEIFS(Tracker!I:I, Tracker!E:E, 3, Tracker!G:G, "&lt;="&amp;Daily!C240, Tracker!J:J, "Y"), 0)</f>
        <v>40.074074074074076</v>
      </c>
      <c r="AJ240" s="77">
        <f>IFERROR(COUNTIFS(Tracker!E:E, 3, Tracker!G:G, "&lt;="&amp;Daily!C240, Tracker!L:L, "N") / AF240,  0)</f>
        <v>0.35714285714285715</v>
      </c>
      <c r="AK240" s="48">
        <f t="shared" si="129"/>
        <v>342</v>
      </c>
      <c r="AL240" s="26">
        <f t="shared" si="130"/>
        <v>284</v>
      </c>
      <c r="AM240" s="62">
        <f t="shared" si="131"/>
        <v>0.83040935672514615</v>
      </c>
      <c r="AN240" s="74">
        <f>IFERROR(AVERAGEIFS(Tracker!I:I,  Tracker!G:G, "&lt;="&amp;Daily!C240, Tracker!J:J, "Y"), 0)</f>
        <v>23.267605633802816</v>
      </c>
      <c r="AO240" s="77">
        <f>IFERROR(COUNTIFS(Tracker!G:G, "&lt;="&amp;Daily!C240, Tracker!L:L, "N") / AK240,  0)</f>
        <v>0.62865497076023391</v>
      </c>
    </row>
    <row r="241" spans="1:41" x14ac:dyDescent="0.25">
      <c r="A241" s="119"/>
      <c r="B241" s="32">
        <f t="shared" si="115"/>
        <v>45456</v>
      </c>
      <c r="C241" s="27">
        <f t="shared" si="132"/>
        <v>45456</v>
      </c>
      <c r="D241" s="109" t="b">
        <f t="shared" ca="1" si="114"/>
        <v>1</v>
      </c>
      <c r="E241" s="51">
        <f t="shared" si="116"/>
        <v>0</v>
      </c>
      <c r="F241" s="48">
        <f>COUNTIFS(Tracker!G:G,Daily!C241, Tracker!J:J,"Y")</f>
        <v>0</v>
      </c>
      <c r="G241" s="26">
        <f>COUNTIFS(Tracker!G:G,Daily!C241, Tracker!J:J,"Y (with hints)")</f>
        <v>0</v>
      </c>
      <c r="H241" s="33">
        <f>COUNTIFS(Tracker!G:G,Daily!C241, Tracker!J:J,"N")</f>
        <v>0</v>
      </c>
      <c r="I241" s="54">
        <f t="shared" si="117"/>
        <v>0</v>
      </c>
      <c r="J241" s="26">
        <f>COUNTIFS(Tracker!G:G,Daily!C241, Tracker!J:J,"Y",Tracker!E:E,1)</f>
        <v>0</v>
      </c>
      <c r="K241" s="26">
        <f>COUNTIFS(Tracker!G:G,Daily!C241, Tracker!J:J,"Y (with hints)",Tracker!E:E,1)</f>
        <v>0</v>
      </c>
      <c r="L241" s="33">
        <f>COUNTIFS(Tracker!G:G,Daily!C241, Tracker!J:J,"N",Tracker!E:E,1)</f>
        <v>0</v>
      </c>
      <c r="M241" s="54">
        <f t="shared" si="118"/>
        <v>0</v>
      </c>
      <c r="N241" s="26">
        <f>COUNTIFS(Tracker!G:G,Daily!C241, Tracker!J:J,"Y",Tracker!E:E,2)</f>
        <v>0</v>
      </c>
      <c r="O241" s="26">
        <f>COUNTIFS(Tracker!G:G,Daily!C241, Tracker!J:J,"Y (with hints)",Tracker!E:E,2)</f>
        <v>0</v>
      </c>
      <c r="P241" s="33">
        <f>COUNTIFS(Tracker!G:G,Daily!C241, Tracker!J:J,"N",Tracker!E:E,2)</f>
        <v>0</v>
      </c>
      <c r="Q241" s="57">
        <f t="shared" si="119"/>
        <v>0</v>
      </c>
      <c r="R241" s="26">
        <f>COUNTIFS(Tracker!G:G,Daily!C241, Tracker!J:J,"Y",Tracker!E:E,3)</f>
        <v>0</v>
      </c>
      <c r="S241" s="26">
        <f>COUNTIFS(Tracker!G:G,Daily!C241, Tracker!J:J,"Y (with hints)",Tracker!E:E,3)</f>
        <v>0</v>
      </c>
      <c r="T241" s="33">
        <f>COUNTIFS(Tracker!G:G,Daily!C241, Tracker!J:J,"N",Tracker!E:E,3)</f>
        <v>0</v>
      </c>
      <c r="V241" s="48">
        <f t="shared" si="120"/>
        <v>94</v>
      </c>
      <c r="W241" s="26">
        <f t="shared" si="121"/>
        <v>90</v>
      </c>
      <c r="X241" s="62">
        <f t="shared" si="122"/>
        <v>0.95744680851063835</v>
      </c>
      <c r="Y241" s="74">
        <f>AVERAGEIFS(Tracker!I:I, Tracker!E:E, 1, Tracker!G:G, "&lt;="&amp;Daily!C241, Tracker!J:J, "Y")</f>
        <v>12.4</v>
      </c>
      <c r="Z241" s="77">
        <f>COUNTIFS(Tracker!E:E, 1, Tracker!G:G, "&lt;="&amp;Daily!C241, Tracker!L:L, "N") / V241</f>
        <v>0.80851063829787229</v>
      </c>
      <c r="AA241" s="48">
        <f t="shared" si="123"/>
        <v>206</v>
      </c>
      <c r="AB241" s="26">
        <f t="shared" si="124"/>
        <v>167</v>
      </c>
      <c r="AC241" s="62">
        <f t="shared" si="125"/>
        <v>0.81067961165048541</v>
      </c>
      <c r="AD241" s="74">
        <f>AVERAGEIFS(Tracker!I:I, Tracker!E:E, 2, Tracker!G:G, "&lt;="&amp;Daily!C241, Tracker!J:J, "Y")</f>
        <v>26.407185628742514</v>
      </c>
      <c r="AE241" s="77">
        <f>COUNTIFS(Tracker!E:E, 2, Tracker!G:G, "&lt;="&amp;Daily!C241, Tracker!L:L, "N") / AA241</f>
        <v>0.60194174757281549</v>
      </c>
      <c r="AF241" s="48">
        <f t="shared" si="126"/>
        <v>42</v>
      </c>
      <c r="AG241" s="26">
        <f t="shared" si="127"/>
        <v>27</v>
      </c>
      <c r="AH241" s="62">
        <f t="shared" si="128"/>
        <v>0.6428571428571429</v>
      </c>
      <c r="AI241" s="74">
        <f>IFERROR(AVERAGEIFS(Tracker!I:I, Tracker!E:E, 3, Tracker!G:G, "&lt;="&amp;Daily!C241, Tracker!J:J, "Y"), 0)</f>
        <v>40.074074074074076</v>
      </c>
      <c r="AJ241" s="77">
        <f>IFERROR(COUNTIFS(Tracker!E:E, 3, Tracker!G:G, "&lt;="&amp;Daily!C241, Tracker!L:L, "N") / AF241,  0)</f>
        <v>0.35714285714285715</v>
      </c>
      <c r="AK241" s="48">
        <f t="shared" si="129"/>
        <v>342</v>
      </c>
      <c r="AL241" s="26">
        <f t="shared" si="130"/>
        <v>284</v>
      </c>
      <c r="AM241" s="62">
        <f t="shared" si="131"/>
        <v>0.83040935672514615</v>
      </c>
      <c r="AN241" s="74">
        <f>IFERROR(AVERAGEIFS(Tracker!I:I,  Tracker!G:G, "&lt;="&amp;Daily!C241, Tracker!J:J, "Y"), 0)</f>
        <v>23.267605633802816</v>
      </c>
      <c r="AO241" s="77">
        <f>IFERROR(COUNTIFS(Tracker!G:G, "&lt;="&amp;Daily!C241, Tracker!L:L, "N") / AK241,  0)</f>
        <v>0.62865497076023391</v>
      </c>
    </row>
    <row r="242" spans="1:41" x14ac:dyDescent="0.25">
      <c r="A242" s="119"/>
      <c r="B242" s="32">
        <f t="shared" si="115"/>
        <v>45457</v>
      </c>
      <c r="C242" s="27">
        <f t="shared" si="132"/>
        <v>45457</v>
      </c>
      <c r="D242" s="109" t="b">
        <f t="shared" ca="1" si="114"/>
        <v>1</v>
      </c>
      <c r="E242" s="51">
        <f t="shared" si="116"/>
        <v>0</v>
      </c>
      <c r="F242" s="48">
        <f>COUNTIFS(Tracker!G:G,Daily!C242, Tracker!J:J,"Y")</f>
        <v>0</v>
      </c>
      <c r="G242" s="26">
        <f>COUNTIFS(Tracker!G:G,Daily!C242, Tracker!J:J,"Y (with hints)")</f>
        <v>0</v>
      </c>
      <c r="H242" s="33">
        <f>COUNTIFS(Tracker!G:G,Daily!C242, Tracker!J:J,"N")</f>
        <v>0</v>
      </c>
      <c r="I242" s="54">
        <f t="shared" si="117"/>
        <v>0</v>
      </c>
      <c r="J242" s="26">
        <f>COUNTIFS(Tracker!G:G,Daily!C242, Tracker!J:J,"Y",Tracker!E:E,1)</f>
        <v>0</v>
      </c>
      <c r="K242" s="26">
        <f>COUNTIFS(Tracker!G:G,Daily!C242, Tracker!J:J,"Y (with hints)",Tracker!E:E,1)</f>
        <v>0</v>
      </c>
      <c r="L242" s="33">
        <f>COUNTIFS(Tracker!G:G,Daily!C242, Tracker!J:J,"N",Tracker!E:E,1)</f>
        <v>0</v>
      </c>
      <c r="M242" s="54">
        <f t="shared" si="118"/>
        <v>0</v>
      </c>
      <c r="N242" s="26">
        <f>COUNTIFS(Tracker!G:G,Daily!C242, Tracker!J:J,"Y",Tracker!E:E,2)</f>
        <v>0</v>
      </c>
      <c r="O242" s="26">
        <f>COUNTIFS(Tracker!G:G,Daily!C242, Tracker!J:J,"Y (with hints)",Tracker!E:E,2)</f>
        <v>0</v>
      </c>
      <c r="P242" s="33">
        <f>COUNTIFS(Tracker!G:G,Daily!C242, Tracker!J:J,"N",Tracker!E:E,2)</f>
        <v>0</v>
      </c>
      <c r="Q242" s="57">
        <f t="shared" si="119"/>
        <v>0</v>
      </c>
      <c r="R242" s="26">
        <f>COUNTIFS(Tracker!G:G,Daily!C242, Tracker!J:J,"Y",Tracker!E:E,3)</f>
        <v>0</v>
      </c>
      <c r="S242" s="26">
        <f>COUNTIFS(Tracker!G:G,Daily!C242, Tracker!J:J,"Y (with hints)",Tracker!E:E,3)</f>
        <v>0</v>
      </c>
      <c r="T242" s="33">
        <f>COUNTIFS(Tracker!G:G,Daily!C242, Tracker!J:J,"N",Tracker!E:E,3)</f>
        <v>0</v>
      </c>
      <c r="V242" s="48">
        <f t="shared" si="120"/>
        <v>94</v>
      </c>
      <c r="W242" s="26">
        <f t="shared" si="121"/>
        <v>90</v>
      </c>
      <c r="X242" s="62">
        <f t="shared" si="122"/>
        <v>0.95744680851063835</v>
      </c>
      <c r="Y242" s="74">
        <f>AVERAGEIFS(Tracker!I:I, Tracker!E:E, 1, Tracker!G:G, "&lt;="&amp;Daily!C242, Tracker!J:J, "Y")</f>
        <v>12.4</v>
      </c>
      <c r="Z242" s="77">
        <f>COUNTIFS(Tracker!E:E, 1, Tracker!G:G, "&lt;="&amp;Daily!C242, Tracker!L:L, "N") / V242</f>
        <v>0.80851063829787229</v>
      </c>
      <c r="AA242" s="48">
        <f t="shared" si="123"/>
        <v>206</v>
      </c>
      <c r="AB242" s="26">
        <f t="shared" si="124"/>
        <v>167</v>
      </c>
      <c r="AC242" s="62">
        <f t="shared" si="125"/>
        <v>0.81067961165048541</v>
      </c>
      <c r="AD242" s="74">
        <f>AVERAGEIFS(Tracker!I:I, Tracker!E:E, 2, Tracker!G:G, "&lt;="&amp;Daily!C242, Tracker!J:J, "Y")</f>
        <v>26.407185628742514</v>
      </c>
      <c r="AE242" s="77">
        <f>COUNTIFS(Tracker!E:E, 2, Tracker!G:G, "&lt;="&amp;Daily!C242, Tracker!L:L, "N") / AA242</f>
        <v>0.60194174757281549</v>
      </c>
      <c r="AF242" s="48">
        <f t="shared" si="126"/>
        <v>42</v>
      </c>
      <c r="AG242" s="26">
        <f t="shared" si="127"/>
        <v>27</v>
      </c>
      <c r="AH242" s="62">
        <f t="shared" si="128"/>
        <v>0.6428571428571429</v>
      </c>
      <c r="AI242" s="74">
        <f>IFERROR(AVERAGEIFS(Tracker!I:I, Tracker!E:E, 3, Tracker!G:G, "&lt;="&amp;Daily!C242, Tracker!J:J, "Y"), 0)</f>
        <v>40.074074074074076</v>
      </c>
      <c r="AJ242" s="77">
        <f>IFERROR(COUNTIFS(Tracker!E:E, 3, Tracker!G:G, "&lt;="&amp;Daily!C242, Tracker!L:L, "N") / AF242,  0)</f>
        <v>0.35714285714285715</v>
      </c>
      <c r="AK242" s="48">
        <f t="shared" si="129"/>
        <v>342</v>
      </c>
      <c r="AL242" s="26">
        <f t="shared" si="130"/>
        <v>284</v>
      </c>
      <c r="AM242" s="62">
        <f t="shared" si="131"/>
        <v>0.83040935672514615</v>
      </c>
      <c r="AN242" s="74">
        <f>IFERROR(AVERAGEIFS(Tracker!I:I,  Tracker!G:G, "&lt;="&amp;Daily!C242, Tracker!J:J, "Y"), 0)</f>
        <v>23.267605633802816</v>
      </c>
      <c r="AO242" s="77">
        <f>IFERROR(COUNTIFS(Tracker!G:G, "&lt;="&amp;Daily!C242, Tracker!L:L, "N") / AK242,  0)</f>
        <v>0.62865497076023391</v>
      </c>
    </row>
    <row r="243" spans="1:41" x14ac:dyDescent="0.25">
      <c r="A243" s="119"/>
      <c r="B243" s="32">
        <f t="shared" si="115"/>
        <v>45458</v>
      </c>
      <c r="C243" s="27">
        <f t="shared" si="132"/>
        <v>45458</v>
      </c>
      <c r="D243" s="109" t="b">
        <f t="shared" ca="1" si="114"/>
        <v>1</v>
      </c>
      <c r="E243" s="51">
        <f t="shared" si="116"/>
        <v>0</v>
      </c>
      <c r="F243" s="48">
        <f>COUNTIFS(Tracker!G:G,Daily!C243, Tracker!J:J,"Y")</f>
        <v>0</v>
      </c>
      <c r="G243" s="26">
        <f>COUNTIFS(Tracker!G:G,Daily!C243, Tracker!J:J,"Y (with hints)")</f>
        <v>0</v>
      </c>
      <c r="H243" s="33">
        <f>COUNTIFS(Tracker!G:G,Daily!C243, Tracker!J:J,"N")</f>
        <v>0</v>
      </c>
      <c r="I243" s="54">
        <f t="shared" si="117"/>
        <v>0</v>
      </c>
      <c r="J243" s="26">
        <f>COUNTIFS(Tracker!G:G,Daily!C243, Tracker!J:J,"Y",Tracker!E:E,1)</f>
        <v>0</v>
      </c>
      <c r="K243" s="26">
        <f>COUNTIFS(Tracker!G:G,Daily!C243, Tracker!J:J,"Y (with hints)",Tracker!E:E,1)</f>
        <v>0</v>
      </c>
      <c r="L243" s="33">
        <f>COUNTIFS(Tracker!G:G,Daily!C243, Tracker!J:J,"N",Tracker!E:E,1)</f>
        <v>0</v>
      </c>
      <c r="M243" s="54">
        <f t="shared" si="118"/>
        <v>0</v>
      </c>
      <c r="N243" s="26">
        <f>COUNTIFS(Tracker!G:G,Daily!C243, Tracker!J:J,"Y",Tracker!E:E,2)</f>
        <v>0</v>
      </c>
      <c r="O243" s="26">
        <f>COUNTIFS(Tracker!G:G,Daily!C243, Tracker!J:J,"Y (with hints)",Tracker!E:E,2)</f>
        <v>0</v>
      </c>
      <c r="P243" s="33">
        <f>COUNTIFS(Tracker!G:G,Daily!C243, Tracker!J:J,"N",Tracker!E:E,2)</f>
        <v>0</v>
      </c>
      <c r="Q243" s="57">
        <f t="shared" si="119"/>
        <v>0</v>
      </c>
      <c r="R243" s="26">
        <f>COUNTIFS(Tracker!G:G,Daily!C243, Tracker!J:J,"Y",Tracker!E:E,3)</f>
        <v>0</v>
      </c>
      <c r="S243" s="26">
        <f>COUNTIFS(Tracker!G:G,Daily!C243, Tracker!J:J,"Y (with hints)",Tracker!E:E,3)</f>
        <v>0</v>
      </c>
      <c r="T243" s="33">
        <f>COUNTIFS(Tracker!G:G,Daily!C243, Tracker!J:J,"N",Tracker!E:E,3)</f>
        <v>0</v>
      </c>
      <c r="V243" s="48">
        <f t="shared" si="120"/>
        <v>94</v>
      </c>
      <c r="W243" s="26">
        <f t="shared" si="121"/>
        <v>90</v>
      </c>
      <c r="X243" s="62">
        <f t="shared" si="122"/>
        <v>0.95744680851063835</v>
      </c>
      <c r="Y243" s="74">
        <f>AVERAGEIFS(Tracker!I:I, Tracker!E:E, 1, Tracker!G:G, "&lt;="&amp;Daily!C243, Tracker!J:J, "Y")</f>
        <v>12.4</v>
      </c>
      <c r="Z243" s="77">
        <f>COUNTIFS(Tracker!E:E, 1, Tracker!G:G, "&lt;="&amp;Daily!C243, Tracker!L:L, "N") / V243</f>
        <v>0.80851063829787229</v>
      </c>
      <c r="AA243" s="48">
        <f t="shared" si="123"/>
        <v>206</v>
      </c>
      <c r="AB243" s="26">
        <f t="shared" si="124"/>
        <v>167</v>
      </c>
      <c r="AC243" s="62">
        <f t="shared" si="125"/>
        <v>0.81067961165048541</v>
      </c>
      <c r="AD243" s="74">
        <f>AVERAGEIFS(Tracker!I:I, Tracker!E:E, 2, Tracker!G:G, "&lt;="&amp;Daily!C243, Tracker!J:J, "Y")</f>
        <v>26.407185628742514</v>
      </c>
      <c r="AE243" s="77">
        <f>COUNTIFS(Tracker!E:E, 2, Tracker!G:G, "&lt;="&amp;Daily!C243, Tracker!L:L, "N") / AA243</f>
        <v>0.60194174757281549</v>
      </c>
      <c r="AF243" s="48">
        <f t="shared" si="126"/>
        <v>42</v>
      </c>
      <c r="AG243" s="26">
        <f t="shared" si="127"/>
        <v>27</v>
      </c>
      <c r="AH243" s="62">
        <f t="shared" si="128"/>
        <v>0.6428571428571429</v>
      </c>
      <c r="AI243" s="74">
        <f>IFERROR(AVERAGEIFS(Tracker!I:I, Tracker!E:E, 3, Tracker!G:G, "&lt;="&amp;Daily!C243, Tracker!J:J, "Y"), 0)</f>
        <v>40.074074074074076</v>
      </c>
      <c r="AJ243" s="77">
        <f>IFERROR(COUNTIFS(Tracker!E:E, 3, Tracker!G:G, "&lt;="&amp;Daily!C243, Tracker!L:L, "N") / AF243,  0)</f>
        <v>0.35714285714285715</v>
      </c>
      <c r="AK243" s="48">
        <f t="shared" si="129"/>
        <v>342</v>
      </c>
      <c r="AL243" s="26">
        <f t="shared" si="130"/>
        <v>284</v>
      </c>
      <c r="AM243" s="62">
        <f t="shared" si="131"/>
        <v>0.83040935672514615</v>
      </c>
      <c r="AN243" s="74">
        <f>IFERROR(AVERAGEIFS(Tracker!I:I,  Tracker!G:G, "&lt;="&amp;Daily!C243, Tracker!J:J, "Y"), 0)</f>
        <v>23.267605633802816</v>
      </c>
      <c r="AO243" s="77">
        <f>IFERROR(COUNTIFS(Tracker!G:G, "&lt;="&amp;Daily!C243, Tracker!L:L, "N") / AK243,  0)</f>
        <v>0.62865497076023391</v>
      </c>
    </row>
    <row r="244" spans="1:41" ht="15.75" thickBot="1" x14ac:dyDescent="0.3">
      <c r="A244" s="120"/>
      <c r="B244" s="34">
        <f t="shared" si="115"/>
        <v>45459</v>
      </c>
      <c r="C244" s="35">
        <f t="shared" si="132"/>
        <v>45459</v>
      </c>
      <c r="D244" s="110" t="b">
        <f t="shared" ca="1" si="114"/>
        <v>1</v>
      </c>
      <c r="E244" s="52">
        <f t="shared" si="116"/>
        <v>0</v>
      </c>
      <c r="F244" s="39">
        <f>COUNTIFS(Tracker!G:G,Daily!C244, Tracker!J:J,"Y")</f>
        <v>0</v>
      </c>
      <c r="G244" s="36">
        <f>COUNTIFS(Tracker!G:G,Daily!C244, Tracker!J:J,"Y (with hints)")</f>
        <v>0</v>
      </c>
      <c r="H244" s="37">
        <f>COUNTIFS(Tracker!G:G,Daily!C244, Tracker!J:J,"N")</f>
        <v>0</v>
      </c>
      <c r="I244" s="55">
        <f t="shared" si="117"/>
        <v>0</v>
      </c>
      <c r="J244" s="36">
        <f>COUNTIFS(Tracker!G:G,Daily!C244, Tracker!J:J,"Y",Tracker!E:E,1)</f>
        <v>0</v>
      </c>
      <c r="K244" s="36">
        <f>COUNTIFS(Tracker!G:G,Daily!C244, Tracker!J:J,"Y (with hints)",Tracker!E:E,1)</f>
        <v>0</v>
      </c>
      <c r="L244" s="37">
        <f>COUNTIFS(Tracker!G:G,Daily!C244, Tracker!J:J,"N",Tracker!E:E,1)</f>
        <v>0</v>
      </c>
      <c r="M244" s="55">
        <f t="shared" si="118"/>
        <v>0</v>
      </c>
      <c r="N244" s="36">
        <f>COUNTIFS(Tracker!G:G,Daily!C244, Tracker!J:J,"Y",Tracker!E:E,2)</f>
        <v>0</v>
      </c>
      <c r="O244" s="36">
        <f>COUNTIFS(Tracker!G:G,Daily!C244, Tracker!J:J,"Y (with hints)",Tracker!E:E,2)</f>
        <v>0</v>
      </c>
      <c r="P244" s="37">
        <f>COUNTIFS(Tracker!G:G,Daily!C244, Tracker!J:J,"N",Tracker!E:E,2)</f>
        <v>0</v>
      </c>
      <c r="Q244" s="58">
        <f t="shared" si="119"/>
        <v>0</v>
      </c>
      <c r="R244" s="36">
        <f>COUNTIFS(Tracker!G:G,Daily!C244, Tracker!J:J,"Y",Tracker!E:E,3)</f>
        <v>0</v>
      </c>
      <c r="S244" s="36">
        <f>COUNTIFS(Tracker!G:G,Daily!C244, Tracker!J:J,"Y (with hints)",Tracker!E:E,3)</f>
        <v>0</v>
      </c>
      <c r="T244" s="37">
        <f>COUNTIFS(Tracker!G:G,Daily!C244, Tracker!J:J,"N",Tracker!E:E,3)</f>
        <v>0</v>
      </c>
      <c r="V244" s="39">
        <f t="shared" si="120"/>
        <v>94</v>
      </c>
      <c r="W244" s="36">
        <f t="shared" si="121"/>
        <v>90</v>
      </c>
      <c r="X244" s="64">
        <f t="shared" si="122"/>
        <v>0.95744680851063835</v>
      </c>
      <c r="Y244" s="78">
        <f>AVERAGEIFS(Tracker!I:I, Tracker!E:E, 1, Tracker!G:G, "&lt;="&amp;Daily!C244, Tracker!J:J, "Y")</f>
        <v>12.4</v>
      </c>
      <c r="Z244" s="79">
        <f>COUNTIFS(Tracker!E:E, 1, Tracker!G:G, "&lt;="&amp;Daily!C244, Tracker!L:L, "N") / V244</f>
        <v>0.80851063829787229</v>
      </c>
      <c r="AA244" s="39">
        <f t="shared" si="123"/>
        <v>206</v>
      </c>
      <c r="AB244" s="36">
        <f t="shared" si="124"/>
        <v>167</v>
      </c>
      <c r="AC244" s="64">
        <f t="shared" si="125"/>
        <v>0.81067961165048541</v>
      </c>
      <c r="AD244" s="78">
        <f>AVERAGEIFS(Tracker!I:I, Tracker!E:E, 2, Tracker!G:G, "&lt;="&amp;Daily!C244, Tracker!J:J, "Y")</f>
        <v>26.407185628742514</v>
      </c>
      <c r="AE244" s="79">
        <f>COUNTIFS(Tracker!E:E, 2, Tracker!G:G, "&lt;="&amp;Daily!C244, Tracker!L:L, "N") / AA244</f>
        <v>0.60194174757281549</v>
      </c>
      <c r="AF244" s="39">
        <f t="shared" si="126"/>
        <v>42</v>
      </c>
      <c r="AG244" s="36">
        <f t="shared" si="127"/>
        <v>27</v>
      </c>
      <c r="AH244" s="64">
        <f t="shared" si="128"/>
        <v>0.6428571428571429</v>
      </c>
      <c r="AI244" s="78">
        <f>IFERROR(AVERAGEIFS(Tracker!I:I, Tracker!E:E, 3, Tracker!G:G, "&lt;="&amp;Daily!C244, Tracker!J:J, "Y"), 0)</f>
        <v>40.074074074074076</v>
      </c>
      <c r="AJ244" s="79">
        <f>IFERROR(COUNTIFS(Tracker!E:E, 3, Tracker!G:G, "&lt;="&amp;Daily!C244, Tracker!L:L, "N") / AF244,  0)</f>
        <v>0.35714285714285715</v>
      </c>
      <c r="AK244" s="39">
        <f t="shared" si="129"/>
        <v>342</v>
      </c>
      <c r="AL244" s="36">
        <f t="shared" si="130"/>
        <v>284</v>
      </c>
      <c r="AM244" s="64">
        <f t="shared" si="131"/>
        <v>0.83040935672514615</v>
      </c>
      <c r="AN244" s="78">
        <f>IFERROR(AVERAGEIFS(Tracker!I:I,  Tracker!G:G, "&lt;="&amp;Daily!C244, Tracker!J:J, "Y"), 0)</f>
        <v>23.267605633802816</v>
      </c>
      <c r="AO244" s="79">
        <f>IFERROR(COUNTIFS(Tracker!G:G, "&lt;="&amp;Daily!C244, Tracker!L:L, "N") / AK244,  0)</f>
        <v>0.62865497076023391</v>
      </c>
    </row>
    <row r="245" spans="1:41" x14ac:dyDescent="0.25">
      <c r="A245" s="118">
        <f>A238+1</f>
        <v>35</v>
      </c>
      <c r="B245" s="28">
        <f t="shared" si="115"/>
        <v>45460</v>
      </c>
      <c r="C245" s="29">
        <f t="shared" si="132"/>
        <v>45460</v>
      </c>
      <c r="D245" s="108" t="b">
        <f t="shared" ca="1" si="114"/>
        <v>1</v>
      </c>
      <c r="E245" s="50">
        <f t="shared" si="116"/>
        <v>1</v>
      </c>
      <c r="F245" s="38">
        <f>COUNTIFS(Tracker!G:G,Daily!C245, Tracker!J:J,"Y")</f>
        <v>0</v>
      </c>
      <c r="G245" s="30">
        <f>COUNTIFS(Tracker!G:G,Daily!C245, Tracker!J:J,"Y (with hints)")</f>
        <v>0</v>
      </c>
      <c r="H245" s="31">
        <f>COUNTIFS(Tracker!G:G,Daily!C245, Tracker!J:J,"N")</f>
        <v>1</v>
      </c>
      <c r="I245" s="53">
        <f t="shared" si="117"/>
        <v>0</v>
      </c>
      <c r="J245" s="30">
        <f>COUNTIFS(Tracker!G:G,Daily!C245, Tracker!J:J,"Y",Tracker!E:E,1)</f>
        <v>0</v>
      </c>
      <c r="K245" s="30">
        <f>COUNTIFS(Tracker!G:G,Daily!C245, Tracker!J:J,"Y (with hints)",Tracker!E:E,1)</f>
        <v>0</v>
      </c>
      <c r="L245" s="31">
        <f>COUNTIFS(Tracker!G:G,Daily!C245, Tracker!J:J,"N",Tracker!E:E,1)</f>
        <v>0</v>
      </c>
      <c r="M245" s="53">
        <f t="shared" si="118"/>
        <v>1</v>
      </c>
      <c r="N245" s="30">
        <f>COUNTIFS(Tracker!G:G,Daily!C245, Tracker!J:J,"Y",Tracker!E:E,2)</f>
        <v>0</v>
      </c>
      <c r="O245" s="30">
        <f>COUNTIFS(Tracker!G:G,Daily!C245, Tracker!J:J,"Y (with hints)",Tracker!E:E,2)</f>
        <v>0</v>
      </c>
      <c r="P245" s="31">
        <f>COUNTIFS(Tracker!G:G,Daily!C245, Tracker!J:J,"N",Tracker!E:E,2)</f>
        <v>1</v>
      </c>
      <c r="Q245" s="56">
        <f t="shared" si="119"/>
        <v>0</v>
      </c>
      <c r="R245" s="30">
        <f>COUNTIFS(Tracker!G:G,Daily!C245, Tracker!J:J,"Y",Tracker!E:E,3)</f>
        <v>0</v>
      </c>
      <c r="S245" s="30">
        <f>COUNTIFS(Tracker!G:G,Daily!C245, Tracker!J:J,"Y (with hints)",Tracker!E:E,3)</f>
        <v>0</v>
      </c>
      <c r="T245" s="31">
        <f>COUNTIFS(Tracker!G:G,Daily!C245, Tracker!J:J,"N",Tracker!E:E,3)</f>
        <v>0</v>
      </c>
      <c r="V245" s="38">
        <f t="shared" si="120"/>
        <v>94</v>
      </c>
      <c r="W245" s="30">
        <f t="shared" si="121"/>
        <v>90</v>
      </c>
      <c r="X245" s="73">
        <f t="shared" si="122"/>
        <v>0.95744680851063835</v>
      </c>
      <c r="Y245" s="75">
        <f>AVERAGEIFS(Tracker!I:I, Tracker!E:E, 1, Tracker!G:G, "&lt;="&amp;Daily!C245, Tracker!J:J, "Y")</f>
        <v>12.4</v>
      </c>
      <c r="Z245" s="76">
        <f>COUNTIFS(Tracker!E:E, 1, Tracker!G:G, "&lt;="&amp;Daily!C245, Tracker!L:L, "N") / V245</f>
        <v>0.80851063829787229</v>
      </c>
      <c r="AA245" s="38">
        <f t="shared" si="123"/>
        <v>207</v>
      </c>
      <c r="AB245" s="30">
        <f t="shared" si="124"/>
        <v>167</v>
      </c>
      <c r="AC245" s="73">
        <f t="shared" si="125"/>
        <v>0.80676328502415462</v>
      </c>
      <c r="AD245" s="75">
        <f>AVERAGEIFS(Tracker!I:I, Tracker!E:E, 2, Tracker!G:G, "&lt;="&amp;Daily!C245, Tracker!J:J, "Y")</f>
        <v>26.407185628742514</v>
      </c>
      <c r="AE245" s="76">
        <f>COUNTIFS(Tracker!E:E, 2, Tracker!G:G, "&lt;="&amp;Daily!C245, Tracker!L:L, "N") / AA245</f>
        <v>0.59903381642512077</v>
      </c>
      <c r="AF245" s="38">
        <f t="shared" si="126"/>
        <v>42</v>
      </c>
      <c r="AG245" s="30">
        <f t="shared" si="127"/>
        <v>27</v>
      </c>
      <c r="AH245" s="73">
        <f t="shared" si="128"/>
        <v>0.6428571428571429</v>
      </c>
      <c r="AI245" s="75">
        <f>IFERROR(AVERAGEIFS(Tracker!I:I, Tracker!E:E, 3, Tracker!G:G, "&lt;="&amp;Daily!C245, Tracker!J:J, "Y"), 0)</f>
        <v>40.074074074074076</v>
      </c>
      <c r="AJ245" s="76">
        <f>IFERROR(COUNTIFS(Tracker!E:E, 3, Tracker!G:G, "&lt;="&amp;Daily!C245, Tracker!L:L, "N") / AF245,  0)</f>
        <v>0.35714285714285715</v>
      </c>
      <c r="AK245" s="38">
        <f t="shared" si="129"/>
        <v>343</v>
      </c>
      <c r="AL245" s="30">
        <f t="shared" si="130"/>
        <v>284</v>
      </c>
      <c r="AM245" s="73">
        <f t="shared" si="131"/>
        <v>0.82798833819241979</v>
      </c>
      <c r="AN245" s="75">
        <f>IFERROR(AVERAGEIFS(Tracker!I:I,  Tracker!G:G, "&lt;="&amp;Daily!C245, Tracker!J:J, "Y"), 0)</f>
        <v>23.267605633802816</v>
      </c>
      <c r="AO245" s="76">
        <f>IFERROR(COUNTIFS(Tracker!G:G, "&lt;="&amp;Daily!C245, Tracker!L:L, "N") / AK245,  0)</f>
        <v>0.62682215743440228</v>
      </c>
    </row>
    <row r="246" spans="1:41" x14ac:dyDescent="0.25">
      <c r="A246" s="119"/>
      <c r="B246" s="32">
        <f t="shared" si="115"/>
        <v>45461</v>
      </c>
      <c r="C246" s="27">
        <f t="shared" si="132"/>
        <v>45461</v>
      </c>
      <c r="D246" s="109" t="b">
        <f t="shared" ca="1" si="114"/>
        <v>1</v>
      </c>
      <c r="E246" s="51">
        <f t="shared" si="116"/>
        <v>2</v>
      </c>
      <c r="F246" s="48">
        <f>COUNTIFS(Tracker!G:G,Daily!C246, Tracker!J:J,"Y")</f>
        <v>2</v>
      </c>
      <c r="G246" s="26">
        <f>COUNTIFS(Tracker!G:G,Daily!C246, Tracker!J:J,"Y (with hints)")</f>
        <v>0</v>
      </c>
      <c r="H246" s="33">
        <f>COUNTIFS(Tracker!G:G,Daily!C246, Tracker!J:J,"N")</f>
        <v>0</v>
      </c>
      <c r="I246" s="54">
        <f t="shared" si="117"/>
        <v>0</v>
      </c>
      <c r="J246" s="26">
        <f>COUNTIFS(Tracker!G:G,Daily!C246, Tracker!J:J,"Y",Tracker!E:E,1)</f>
        <v>0</v>
      </c>
      <c r="K246" s="26">
        <f>COUNTIFS(Tracker!G:G,Daily!C246, Tracker!J:J,"Y (with hints)",Tracker!E:E,1)</f>
        <v>0</v>
      </c>
      <c r="L246" s="33">
        <f>COUNTIFS(Tracker!G:G,Daily!C246, Tracker!J:J,"N",Tracker!E:E,1)</f>
        <v>0</v>
      </c>
      <c r="M246" s="54">
        <f t="shared" si="118"/>
        <v>2</v>
      </c>
      <c r="N246" s="26">
        <f>COUNTIFS(Tracker!G:G,Daily!C246, Tracker!J:J,"Y",Tracker!E:E,2)</f>
        <v>2</v>
      </c>
      <c r="O246" s="26">
        <f>COUNTIFS(Tracker!G:G,Daily!C246, Tracker!J:J,"Y (with hints)",Tracker!E:E,2)</f>
        <v>0</v>
      </c>
      <c r="P246" s="33">
        <f>COUNTIFS(Tracker!G:G,Daily!C246, Tracker!J:J,"N",Tracker!E:E,2)</f>
        <v>0</v>
      </c>
      <c r="Q246" s="57">
        <f t="shared" si="119"/>
        <v>0</v>
      </c>
      <c r="R246" s="26">
        <f>COUNTIFS(Tracker!G:G,Daily!C246, Tracker!J:J,"Y",Tracker!E:E,3)</f>
        <v>0</v>
      </c>
      <c r="S246" s="26">
        <f>COUNTIFS(Tracker!G:G,Daily!C246, Tracker!J:J,"Y (with hints)",Tracker!E:E,3)</f>
        <v>0</v>
      </c>
      <c r="T246" s="33">
        <f>COUNTIFS(Tracker!G:G,Daily!C246, Tracker!J:J,"N",Tracker!E:E,3)</f>
        <v>0</v>
      </c>
      <c r="V246" s="48">
        <f t="shared" si="120"/>
        <v>94</v>
      </c>
      <c r="W246" s="26">
        <f t="shared" si="121"/>
        <v>90</v>
      </c>
      <c r="X246" s="62">
        <f t="shared" si="122"/>
        <v>0.95744680851063835</v>
      </c>
      <c r="Y246" s="74">
        <f>AVERAGEIFS(Tracker!I:I, Tracker!E:E, 1, Tracker!G:G, "&lt;="&amp;Daily!C246, Tracker!J:J, "Y")</f>
        <v>12.4</v>
      </c>
      <c r="Z246" s="77">
        <f>COUNTIFS(Tracker!E:E, 1, Tracker!G:G, "&lt;="&amp;Daily!C246, Tracker!L:L, "N") / V246</f>
        <v>0.80851063829787229</v>
      </c>
      <c r="AA246" s="48">
        <f t="shared" si="123"/>
        <v>209</v>
      </c>
      <c r="AB246" s="26">
        <f t="shared" si="124"/>
        <v>169</v>
      </c>
      <c r="AC246" s="62">
        <f t="shared" si="125"/>
        <v>0.80861244019138756</v>
      </c>
      <c r="AD246" s="74">
        <f>AVERAGEIFS(Tracker!I:I, Tracker!E:E, 2, Tracker!G:G, "&lt;="&amp;Daily!C246, Tracker!J:J, "Y")</f>
        <v>26.319526627218934</v>
      </c>
      <c r="AE246" s="77">
        <f>COUNTIFS(Tracker!E:E, 2, Tracker!G:G, "&lt;="&amp;Daily!C246, Tracker!L:L, "N") / AA246</f>
        <v>0.60287081339712922</v>
      </c>
      <c r="AF246" s="48">
        <f t="shared" si="126"/>
        <v>42</v>
      </c>
      <c r="AG246" s="26">
        <f t="shared" si="127"/>
        <v>27</v>
      </c>
      <c r="AH246" s="62">
        <f t="shared" si="128"/>
        <v>0.6428571428571429</v>
      </c>
      <c r="AI246" s="74">
        <f>IFERROR(AVERAGEIFS(Tracker!I:I, Tracker!E:E, 3, Tracker!G:G, "&lt;="&amp;Daily!C246, Tracker!J:J, "Y"), 0)</f>
        <v>40.074074074074076</v>
      </c>
      <c r="AJ246" s="77">
        <f>IFERROR(COUNTIFS(Tracker!E:E, 3, Tracker!G:G, "&lt;="&amp;Daily!C246, Tracker!L:L, "N") / AF246,  0)</f>
        <v>0.35714285714285715</v>
      </c>
      <c r="AK246" s="48">
        <f t="shared" si="129"/>
        <v>345</v>
      </c>
      <c r="AL246" s="26">
        <f t="shared" si="130"/>
        <v>286</v>
      </c>
      <c r="AM246" s="62">
        <f t="shared" si="131"/>
        <v>0.82898550724637676</v>
      </c>
      <c r="AN246" s="74">
        <f>IFERROR(AVERAGEIFS(Tracker!I:I,  Tracker!G:G, "&lt;="&amp;Daily!C246, Tracker!J:J, "Y"), 0)</f>
        <v>23.237762237762237</v>
      </c>
      <c r="AO246" s="77">
        <f>IFERROR(COUNTIFS(Tracker!G:G, "&lt;="&amp;Daily!C246, Tracker!L:L, "N") / AK246,  0)</f>
        <v>0.62898550724637681</v>
      </c>
    </row>
    <row r="247" spans="1:41" x14ac:dyDescent="0.25">
      <c r="A247" s="119"/>
      <c r="B247" s="32">
        <f t="shared" si="115"/>
        <v>45462</v>
      </c>
      <c r="C247" s="27">
        <f t="shared" si="132"/>
        <v>45462</v>
      </c>
      <c r="D247" s="109" t="b">
        <f t="shared" ca="1" si="114"/>
        <v>1</v>
      </c>
      <c r="E247" s="51">
        <f t="shared" si="116"/>
        <v>1</v>
      </c>
      <c r="F247" s="48">
        <f>COUNTIFS(Tracker!G:G,Daily!C247, Tracker!J:J,"Y")</f>
        <v>1</v>
      </c>
      <c r="G247" s="26">
        <f>COUNTIFS(Tracker!G:G,Daily!C247, Tracker!J:J,"Y (with hints)")</f>
        <v>0</v>
      </c>
      <c r="H247" s="33">
        <f>COUNTIFS(Tracker!G:G,Daily!C247, Tracker!J:J,"N")</f>
        <v>0</v>
      </c>
      <c r="I247" s="54">
        <f t="shared" si="117"/>
        <v>0</v>
      </c>
      <c r="J247" s="26">
        <f>COUNTIFS(Tracker!G:G,Daily!C247, Tracker!J:J,"Y",Tracker!E:E,1)</f>
        <v>0</v>
      </c>
      <c r="K247" s="26">
        <f>COUNTIFS(Tracker!G:G,Daily!C247, Tracker!J:J,"Y (with hints)",Tracker!E:E,1)</f>
        <v>0</v>
      </c>
      <c r="L247" s="33">
        <f>COUNTIFS(Tracker!G:G,Daily!C247, Tracker!J:J,"N",Tracker!E:E,1)</f>
        <v>0</v>
      </c>
      <c r="M247" s="54">
        <f t="shared" si="118"/>
        <v>1</v>
      </c>
      <c r="N247" s="26">
        <f>COUNTIFS(Tracker!G:G,Daily!C247, Tracker!J:J,"Y",Tracker!E:E,2)</f>
        <v>1</v>
      </c>
      <c r="O247" s="26">
        <f>COUNTIFS(Tracker!G:G,Daily!C247, Tracker!J:J,"Y (with hints)",Tracker!E:E,2)</f>
        <v>0</v>
      </c>
      <c r="P247" s="33">
        <f>COUNTIFS(Tracker!G:G,Daily!C247, Tracker!J:J,"N",Tracker!E:E,2)</f>
        <v>0</v>
      </c>
      <c r="Q247" s="57">
        <f t="shared" si="119"/>
        <v>0</v>
      </c>
      <c r="R247" s="26">
        <f>COUNTIFS(Tracker!G:G,Daily!C247, Tracker!J:J,"Y",Tracker!E:E,3)</f>
        <v>0</v>
      </c>
      <c r="S247" s="26">
        <f>COUNTIFS(Tracker!G:G,Daily!C247, Tracker!J:J,"Y (with hints)",Tracker!E:E,3)</f>
        <v>0</v>
      </c>
      <c r="T247" s="33">
        <f>COUNTIFS(Tracker!G:G,Daily!C247, Tracker!J:J,"N",Tracker!E:E,3)</f>
        <v>0</v>
      </c>
      <c r="V247" s="48">
        <f t="shared" si="120"/>
        <v>94</v>
      </c>
      <c r="W247" s="26">
        <f t="shared" si="121"/>
        <v>90</v>
      </c>
      <c r="X247" s="62">
        <f t="shared" si="122"/>
        <v>0.95744680851063835</v>
      </c>
      <c r="Y247" s="74">
        <f>AVERAGEIFS(Tracker!I:I, Tracker!E:E, 1, Tracker!G:G, "&lt;="&amp;Daily!C247, Tracker!J:J, "Y")</f>
        <v>12.4</v>
      </c>
      <c r="Z247" s="77">
        <f>COUNTIFS(Tracker!E:E, 1, Tracker!G:G, "&lt;="&amp;Daily!C247, Tracker!L:L, "N") / V247</f>
        <v>0.80851063829787229</v>
      </c>
      <c r="AA247" s="48">
        <f t="shared" si="123"/>
        <v>210</v>
      </c>
      <c r="AB247" s="26">
        <f t="shared" si="124"/>
        <v>170</v>
      </c>
      <c r="AC247" s="62">
        <f t="shared" si="125"/>
        <v>0.80952380952380953</v>
      </c>
      <c r="AD247" s="74">
        <f>AVERAGEIFS(Tracker!I:I, Tracker!E:E, 2, Tracker!G:G, "&lt;="&amp;Daily!C247, Tracker!J:J, "Y")</f>
        <v>26.252941176470589</v>
      </c>
      <c r="AE247" s="77">
        <f>COUNTIFS(Tracker!E:E, 2, Tracker!G:G, "&lt;="&amp;Daily!C247, Tracker!L:L, "N") / AA247</f>
        <v>0.60476190476190472</v>
      </c>
      <c r="AF247" s="48">
        <f t="shared" si="126"/>
        <v>42</v>
      </c>
      <c r="AG247" s="26">
        <f t="shared" si="127"/>
        <v>27</v>
      </c>
      <c r="AH247" s="62">
        <f t="shared" si="128"/>
        <v>0.6428571428571429</v>
      </c>
      <c r="AI247" s="74">
        <f>IFERROR(AVERAGEIFS(Tracker!I:I, Tracker!E:E, 3, Tracker!G:G, "&lt;="&amp;Daily!C247, Tracker!J:J, "Y"), 0)</f>
        <v>40.074074074074076</v>
      </c>
      <c r="AJ247" s="77">
        <f>IFERROR(COUNTIFS(Tracker!E:E, 3, Tracker!G:G, "&lt;="&amp;Daily!C247, Tracker!L:L, "N") / AF247,  0)</f>
        <v>0.35714285714285715</v>
      </c>
      <c r="AK247" s="48">
        <f t="shared" si="129"/>
        <v>346</v>
      </c>
      <c r="AL247" s="26">
        <f t="shared" si="130"/>
        <v>287</v>
      </c>
      <c r="AM247" s="62">
        <f t="shared" si="131"/>
        <v>0.82947976878612717</v>
      </c>
      <c r="AN247" s="74">
        <f>IFERROR(AVERAGEIFS(Tracker!I:I,  Tracker!G:G, "&lt;="&amp;Daily!C247, Tracker!J:J, "Y"), 0)</f>
        <v>23.209059233449477</v>
      </c>
      <c r="AO247" s="77">
        <f>IFERROR(COUNTIFS(Tracker!G:G, "&lt;="&amp;Daily!C247, Tracker!L:L, "N") / AK247,  0)</f>
        <v>0.63005780346820806</v>
      </c>
    </row>
    <row r="248" spans="1:41" x14ac:dyDescent="0.25">
      <c r="A248" s="119"/>
      <c r="B248" s="32">
        <f t="shared" si="115"/>
        <v>45463</v>
      </c>
      <c r="C248" s="27">
        <f t="shared" si="132"/>
        <v>45463</v>
      </c>
      <c r="D248" s="109" t="b">
        <f t="shared" ca="1" si="114"/>
        <v>1</v>
      </c>
      <c r="E248" s="51">
        <f t="shared" si="116"/>
        <v>0</v>
      </c>
      <c r="F248" s="48">
        <f>COUNTIFS(Tracker!G:G,Daily!C248, Tracker!J:J,"Y")</f>
        <v>0</v>
      </c>
      <c r="G248" s="26">
        <f>COUNTIFS(Tracker!G:G,Daily!C248, Tracker!J:J,"Y (with hints)")</f>
        <v>0</v>
      </c>
      <c r="H248" s="33">
        <f>COUNTIFS(Tracker!G:G,Daily!C248, Tracker!J:J,"N")</f>
        <v>0</v>
      </c>
      <c r="I248" s="54">
        <f t="shared" si="117"/>
        <v>0</v>
      </c>
      <c r="J248" s="26">
        <f>COUNTIFS(Tracker!G:G,Daily!C248, Tracker!J:J,"Y",Tracker!E:E,1)</f>
        <v>0</v>
      </c>
      <c r="K248" s="26">
        <f>COUNTIFS(Tracker!G:G,Daily!C248, Tracker!J:J,"Y (with hints)",Tracker!E:E,1)</f>
        <v>0</v>
      </c>
      <c r="L248" s="33">
        <f>COUNTIFS(Tracker!G:G,Daily!C248, Tracker!J:J,"N",Tracker!E:E,1)</f>
        <v>0</v>
      </c>
      <c r="M248" s="54">
        <f t="shared" si="118"/>
        <v>0</v>
      </c>
      <c r="N248" s="26">
        <f>COUNTIFS(Tracker!G:G,Daily!C248, Tracker!J:J,"Y",Tracker!E:E,2)</f>
        <v>0</v>
      </c>
      <c r="O248" s="26">
        <f>COUNTIFS(Tracker!G:G,Daily!C248, Tracker!J:J,"Y (with hints)",Tracker!E:E,2)</f>
        <v>0</v>
      </c>
      <c r="P248" s="33">
        <f>COUNTIFS(Tracker!G:G,Daily!C248, Tracker!J:J,"N",Tracker!E:E,2)</f>
        <v>0</v>
      </c>
      <c r="Q248" s="57">
        <f t="shared" si="119"/>
        <v>0</v>
      </c>
      <c r="R248" s="26">
        <f>COUNTIFS(Tracker!G:G,Daily!C248, Tracker!J:J,"Y",Tracker!E:E,3)</f>
        <v>0</v>
      </c>
      <c r="S248" s="26">
        <f>COUNTIFS(Tracker!G:G,Daily!C248, Tracker!J:J,"Y (with hints)",Tracker!E:E,3)</f>
        <v>0</v>
      </c>
      <c r="T248" s="33">
        <f>COUNTIFS(Tracker!G:G,Daily!C248, Tracker!J:J,"N",Tracker!E:E,3)</f>
        <v>0</v>
      </c>
      <c r="V248" s="48">
        <f t="shared" si="120"/>
        <v>94</v>
      </c>
      <c r="W248" s="26">
        <f t="shared" si="121"/>
        <v>90</v>
      </c>
      <c r="X248" s="62">
        <f t="shared" si="122"/>
        <v>0.95744680851063835</v>
      </c>
      <c r="Y248" s="74">
        <f>AVERAGEIFS(Tracker!I:I, Tracker!E:E, 1, Tracker!G:G, "&lt;="&amp;Daily!C248, Tracker!J:J, "Y")</f>
        <v>12.4</v>
      </c>
      <c r="Z248" s="77">
        <f>COUNTIFS(Tracker!E:E, 1, Tracker!G:G, "&lt;="&amp;Daily!C248, Tracker!L:L, "N") / V248</f>
        <v>0.80851063829787229</v>
      </c>
      <c r="AA248" s="48">
        <f t="shared" si="123"/>
        <v>210</v>
      </c>
      <c r="AB248" s="26">
        <f t="shared" si="124"/>
        <v>170</v>
      </c>
      <c r="AC248" s="62">
        <f t="shared" si="125"/>
        <v>0.80952380952380953</v>
      </c>
      <c r="AD248" s="74">
        <f>AVERAGEIFS(Tracker!I:I, Tracker!E:E, 2, Tracker!G:G, "&lt;="&amp;Daily!C248, Tracker!J:J, "Y")</f>
        <v>26.252941176470589</v>
      </c>
      <c r="AE248" s="77">
        <f>COUNTIFS(Tracker!E:E, 2, Tracker!G:G, "&lt;="&amp;Daily!C248, Tracker!L:L, "N") / AA248</f>
        <v>0.60476190476190472</v>
      </c>
      <c r="AF248" s="48">
        <f t="shared" si="126"/>
        <v>42</v>
      </c>
      <c r="AG248" s="26">
        <f t="shared" si="127"/>
        <v>27</v>
      </c>
      <c r="AH248" s="62">
        <f t="shared" si="128"/>
        <v>0.6428571428571429</v>
      </c>
      <c r="AI248" s="74">
        <f>IFERROR(AVERAGEIFS(Tracker!I:I, Tracker!E:E, 3, Tracker!G:G, "&lt;="&amp;Daily!C248, Tracker!J:J, "Y"), 0)</f>
        <v>40.074074074074076</v>
      </c>
      <c r="AJ248" s="77">
        <f>IFERROR(COUNTIFS(Tracker!E:E, 3, Tracker!G:G, "&lt;="&amp;Daily!C248, Tracker!L:L, "N") / AF248,  0)</f>
        <v>0.35714285714285715</v>
      </c>
      <c r="AK248" s="48">
        <f t="shared" si="129"/>
        <v>346</v>
      </c>
      <c r="AL248" s="26">
        <f t="shared" si="130"/>
        <v>287</v>
      </c>
      <c r="AM248" s="62">
        <f t="shared" si="131"/>
        <v>0.82947976878612717</v>
      </c>
      <c r="AN248" s="74">
        <f>IFERROR(AVERAGEIFS(Tracker!I:I,  Tracker!G:G, "&lt;="&amp;Daily!C248, Tracker!J:J, "Y"), 0)</f>
        <v>23.209059233449477</v>
      </c>
      <c r="AO248" s="77">
        <f>IFERROR(COUNTIFS(Tracker!G:G, "&lt;="&amp;Daily!C248, Tracker!L:L, "N") / AK248,  0)</f>
        <v>0.63005780346820806</v>
      </c>
    </row>
    <row r="249" spans="1:41" x14ac:dyDescent="0.25">
      <c r="A249" s="119"/>
      <c r="B249" s="32">
        <f t="shared" si="115"/>
        <v>45464</v>
      </c>
      <c r="C249" s="27">
        <f t="shared" si="132"/>
        <v>45464</v>
      </c>
      <c r="D249" s="109" t="b">
        <f t="shared" ca="1" si="114"/>
        <v>1</v>
      </c>
      <c r="E249" s="51">
        <f t="shared" si="116"/>
        <v>0</v>
      </c>
      <c r="F249" s="48">
        <f>COUNTIFS(Tracker!G:G,Daily!C249, Tracker!J:J,"Y")</f>
        <v>0</v>
      </c>
      <c r="G249" s="26">
        <f>COUNTIFS(Tracker!G:G,Daily!C249, Tracker!J:J,"Y (with hints)")</f>
        <v>0</v>
      </c>
      <c r="H249" s="33">
        <f>COUNTIFS(Tracker!G:G,Daily!C249, Tracker!J:J,"N")</f>
        <v>0</v>
      </c>
      <c r="I249" s="54">
        <f t="shared" si="117"/>
        <v>0</v>
      </c>
      <c r="J249" s="26">
        <f>COUNTIFS(Tracker!G:G,Daily!C249, Tracker!J:J,"Y",Tracker!E:E,1)</f>
        <v>0</v>
      </c>
      <c r="K249" s="26">
        <f>COUNTIFS(Tracker!G:G,Daily!C249, Tracker!J:J,"Y (with hints)",Tracker!E:E,1)</f>
        <v>0</v>
      </c>
      <c r="L249" s="33">
        <f>COUNTIFS(Tracker!G:G,Daily!C249, Tracker!J:J,"N",Tracker!E:E,1)</f>
        <v>0</v>
      </c>
      <c r="M249" s="54">
        <f t="shared" si="118"/>
        <v>0</v>
      </c>
      <c r="N249" s="26">
        <f>COUNTIFS(Tracker!G:G,Daily!C249, Tracker!J:J,"Y",Tracker!E:E,2)</f>
        <v>0</v>
      </c>
      <c r="O249" s="26">
        <f>COUNTIFS(Tracker!G:G,Daily!C249, Tracker!J:J,"Y (with hints)",Tracker!E:E,2)</f>
        <v>0</v>
      </c>
      <c r="P249" s="33">
        <f>COUNTIFS(Tracker!G:G,Daily!C249, Tracker!J:J,"N",Tracker!E:E,2)</f>
        <v>0</v>
      </c>
      <c r="Q249" s="57">
        <f t="shared" si="119"/>
        <v>0</v>
      </c>
      <c r="R249" s="26">
        <f>COUNTIFS(Tracker!G:G,Daily!C249, Tracker!J:J,"Y",Tracker!E:E,3)</f>
        <v>0</v>
      </c>
      <c r="S249" s="26">
        <f>COUNTIFS(Tracker!G:G,Daily!C249, Tracker!J:J,"Y (with hints)",Tracker!E:E,3)</f>
        <v>0</v>
      </c>
      <c r="T249" s="33">
        <f>COUNTIFS(Tracker!G:G,Daily!C249, Tracker!J:J,"N",Tracker!E:E,3)</f>
        <v>0</v>
      </c>
      <c r="V249" s="48">
        <f t="shared" si="120"/>
        <v>94</v>
      </c>
      <c r="W249" s="26">
        <f t="shared" si="121"/>
        <v>90</v>
      </c>
      <c r="X249" s="62">
        <f t="shared" si="122"/>
        <v>0.95744680851063835</v>
      </c>
      <c r="Y249" s="74">
        <f>AVERAGEIFS(Tracker!I:I, Tracker!E:E, 1, Tracker!G:G, "&lt;="&amp;Daily!C249, Tracker!J:J, "Y")</f>
        <v>12.4</v>
      </c>
      <c r="Z249" s="77">
        <f>COUNTIFS(Tracker!E:E, 1, Tracker!G:G, "&lt;="&amp;Daily!C249, Tracker!L:L, "N") / V249</f>
        <v>0.80851063829787229</v>
      </c>
      <c r="AA249" s="48">
        <f t="shared" si="123"/>
        <v>210</v>
      </c>
      <c r="AB249" s="26">
        <f t="shared" si="124"/>
        <v>170</v>
      </c>
      <c r="AC249" s="62">
        <f t="shared" si="125"/>
        <v>0.80952380952380953</v>
      </c>
      <c r="AD249" s="74">
        <f>AVERAGEIFS(Tracker!I:I, Tracker!E:E, 2, Tracker!G:G, "&lt;="&amp;Daily!C249, Tracker!J:J, "Y")</f>
        <v>26.252941176470589</v>
      </c>
      <c r="AE249" s="77">
        <f>COUNTIFS(Tracker!E:E, 2, Tracker!G:G, "&lt;="&amp;Daily!C249, Tracker!L:L, "N") / AA249</f>
        <v>0.60476190476190472</v>
      </c>
      <c r="AF249" s="48">
        <f t="shared" si="126"/>
        <v>42</v>
      </c>
      <c r="AG249" s="26">
        <f t="shared" si="127"/>
        <v>27</v>
      </c>
      <c r="AH249" s="62">
        <f t="shared" si="128"/>
        <v>0.6428571428571429</v>
      </c>
      <c r="AI249" s="74">
        <f>IFERROR(AVERAGEIFS(Tracker!I:I, Tracker!E:E, 3, Tracker!G:G, "&lt;="&amp;Daily!C249, Tracker!J:J, "Y"), 0)</f>
        <v>40.074074074074076</v>
      </c>
      <c r="AJ249" s="77">
        <f>IFERROR(COUNTIFS(Tracker!E:E, 3, Tracker!G:G, "&lt;="&amp;Daily!C249, Tracker!L:L, "N") / AF249,  0)</f>
        <v>0.35714285714285715</v>
      </c>
      <c r="AK249" s="48">
        <f t="shared" si="129"/>
        <v>346</v>
      </c>
      <c r="AL249" s="26">
        <f t="shared" si="130"/>
        <v>287</v>
      </c>
      <c r="AM249" s="62">
        <f t="shared" si="131"/>
        <v>0.82947976878612717</v>
      </c>
      <c r="AN249" s="74">
        <f>IFERROR(AVERAGEIFS(Tracker!I:I,  Tracker!G:G, "&lt;="&amp;Daily!C249, Tracker!J:J, "Y"), 0)</f>
        <v>23.209059233449477</v>
      </c>
      <c r="AO249" s="77">
        <f>IFERROR(COUNTIFS(Tracker!G:G, "&lt;="&amp;Daily!C249, Tracker!L:L, "N") / AK249,  0)</f>
        <v>0.63005780346820806</v>
      </c>
    </row>
    <row r="250" spans="1:41" x14ac:dyDescent="0.25">
      <c r="A250" s="119"/>
      <c r="B250" s="32">
        <f t="shared" si="115"/>
        <v>45465</v>
      </c>
      <c r="C250" s="27">
        <f t="shared" si="132"/>
        <v>45465</v>
      </c>
      <c r="D250" s="109" t="b">
        <f t="shared" ca="1" si="114"/>
        <v>1</v>
      </c>
      <c r="E250" s="51">
        <f t="shared" si="116"/>
        <v>0</v>
      </c>
      <c r="F250" s="48">
        <f>COUNTIFS(Tracker!G:G,Daily!C250, Tracker!J:J,"Y")</f>
        <v>0</v>
      </c>
      <c r="G250" s="26">
        <f>COUNTIFS(Tracker!G:G,Daily!C250, Tracker!J:J,"Y (with hints)")</f>
        <v>0</v>
      </c>
      <c r="H250" s="33">
        <f>COUNTIFS(Tracker!G:G,Daily!C250, Tracker!J:J,"N")</f>
        <v>0</v>
      </c>
      <c r="I250" s="54">
        <f t="shared" si="117"/>
        <v>0</v>
      </c>
      <c r="J250" s="26">
        <f>COUNTIFS(Tracker!G:G,Daily!C250, Tracker!J:J,"Y",Tracker!E:E,1)</f>
        <v>0</v>
      </c>
      <c r="K250" s="26">
        <f>COUNTIFS(Tracker!G:G,Daily!C250, Tracker!J:J,"Y (with hints)",Tracker!E:E,1)</f>
        <v>0</v>
      </c>
      <c r="L250" s="33">
        <f>COUNTIFS(Tracker!G:G,Daily!C250, Tracker!J:J,"N",Tracker!E:E,1)</f>
        <v>0</v>
      </c>
      <c r="M250" s="54">
        <f t="shared" si="118"/>
        <v>0</v>
      </c>
      <c r="N250" s="26">
        <f>COUNTIFS(Tracker!G:G,Daily!C250, Tracker!J:J,"Y",Tracker!E:E,2)</f>
        <v>0</v>
      </c>
      <c r="O250" s="26">
        <f>COUNTIFS(Tracker!G:G,Daily!C250, Tracker!J:J,"Y (with hints)",Tracker!E:E,2)</f>
        <v>0</v>
      </c>
      <c r="P250" s="33">
        <f>COUNTIFS(Tracker!G:G,Daily!C250, Tracker!J:J,"N",Tracker!E:E,2)</f>
        <v>0</v>
      </c>
      <c r="Q250" s="57">
        <f t="shared" si="119"/>
        <v>0</v>
      </c>
      <c r="R250" s="26">
        <f>COUNTIFS(Tracker!G:G,Daily!C250, Tracker!J:J,"Y",Tracker!E:E,3)</f>
        <v>0</v>
      </c>
      <c r="S250" s="26">
        <f>COUNTIFS(Tracker!G:G,Daily!C250, Tracker!J:J,"Y (with hints)",Tracker!E:E,3)</f>
        <v>0</v>
      </c>
      <c r="T250" s="33">
        <f>COUNTIFS(Tracker!G:G,Daily!C250, Tracker!J:J,"N",Tracker!E:E,3)</f>
        <v>0</v>
      </c>
      <c r="V250" s="48">
        <f t="shared" si="120"/>
        <v>94</v>
      </c>
      <c r="W250" s="26">
        <f t="shared" si="121"/>
        <v>90</v>
      </c>
      <c r="X250" s="62">
        <f t="shared" si="122"/>
        <v>0.95744680851063835</v>
      </c>
      <c r="Y250" s="74">
        <f>AVERAGEIFS(Tracker!I:I, Tracker!E:E, 1, Tracker!G:G, "&lt;="&amp;Daily!C250, Tracker!J:J, "Y")</f>
        <v>12.4</v>
      </c>
      <c r="Z250" s="77">
        <f>COUNTIFS(Tracker!E:E, 1, Tracker!G:G, "&lt;="&amp;Daily!C250, Tracker!L:L, "N") / V250</f>
        <v>0.80851063829787229</v>
      </c>
      <c r="AA250" s="48">
        <f t="shared" si="123"/>
        <v>210</v>
      </c>
      <c r="AB250" s="26">
        <f t="shared" si="124"/>
        <v>170</v>
      </c>
      <c r="AC250" s="62">
        <f t="shared" si="125"/>
        <v>0.80952380952380953</v>
      </c>
      <c r="AD250" s="74">
        <f>AVERAGEIFS(Tracker!I:I, Tracker!E:E, 2, Tracker!G:G, "&lt;="&amp;Daily!C250, Tracker!J:J, "Y")</f>
        <v>26.252941176470589</v>
      </c>
      <c r="AE250" s="77">
        <f>COUNTIFS(Tracker!E:E, 2, Tracker!G:G, "&lt;="&amp;Daily!C250, Tracker!L:L, "N") / AA250</f>
        <v>0.60476190476190472</v>
      </c>
      <c r="AF250" s="48">
        <f t="shared" si="126"/>
        <v>42</v>
      </c>
      <c r="AG250" s="26">
        <f t="shared" si="127"/>
        <v>27</v>
      </c>
      <c r="AH250" s="62">
        <f t="shared" si="128"/>
        <v>0.6428571428571429</v>
      </c>
      <c r="AI250" s="74">
        <f>IFERROR(AVERAGEIFS(Tracker!I:I, Tracker!E:E, 3, Tracker!G:G, "&lt;="&amp;Daily!C250, Tracker!J:J, "Y"), 0)</f>
        <v>40.074074074074076</v>
      </c>
      <c r="AJ250" s="77">
        <f>IFERROR(COUNTIFS(Tracker!E:E, 3, Tracker!G:G, "&lt;="&amp;Daily!C250, Tracker!L:L, "N") / AF250,  0)</f>
        <v>0.35714285714285715</v>
      </c>
      <c r="AK250" s="48">
        <f t="shared" si="129"/>
        <v>346</v>
      </c>
      <c r="AL250" s="26">
        <f t="shared" si="130"/>
        <v>287</v>
      </c>
      <c r="AM250" s="62">
        <f t="shared" si="131"/>
        <v>0.82947976878612717</v>
      </c>
      <c r="AN250" s="74">
        <f>IFERROR(AVERAGEIFS(Tracker!I:I,  Tracker!G:G, "&lt;="&amp;Daily!C250, Tracker!J:J, "Y"), 0)</f>
        <v>23.209059233449477</v>
      </c>
      <c r="AO250" s="77">
        <f>IFERROR(COUNTIFS(Tracker!G:G, "&lt;="&amp;Daily!C250, Tracker!L:L, "N") / AK250,  0)</f>
        <v>0.63005780346820806</v>
      </c>
    </row>
    <row r="251" spans="1:41" ht="15.75" thickBot="1" x14ac:dyDescent="0.3">
      <c r="A251" s="120"/>
      <c r="B251" s="34">
        <f t="shared" si="115"/>
        <v>45466</v>
      </c>
      <c r="C251" s="35">
        <f t="shared" si="132"/>
        <v>45466</v>
      </c>
      <c r="D251" s="110" t="b">
        <f t="shared" ca="1" si="114"/>
        <v>1</v>
      </c>
      <c r="E251" s="52">
        <f t="shared" si="116"/>
        <v>0</v>
      </c>
      <c r="F251" s="39">
        <f>COUNTIFS(Tracker!G:G,Daily!C251, Tracker!J:J,"Y")</f>
        <v>0</v>
      </c>
      <c r="G251" s="36">
        <f>COUNTIFS(Tracker!G:G,Daily!C251, Tracker!J:J,"Y (with hints)")</f>
        <v>0</v>
      </c>
      <c r="H251" s="37">
        <f>COUNTIFS(Tracker!G:G,Daily!C251, Tracker!J:J,"N")</f>
        <v>0</v>
      </c>
      <c r="I251" s="55">
        <f t="shared" si="117"/>
        <v>0</v>
      </c>
      <c r="J251" s="36">
        <f>COUNTIFS(Tracker!G:G,Daily!C251, Tracker!J:J,"Y",Tracker!E:E,1)</f>
        <v>0</v>
      </c>
      <c r="K251" s="36">
        <f>COUNTIFS(Tracker!G:G,Daily!C251, Tracker!J:J,"Y (with hints)",Tracker!E:E,1)</f>
        <v>0</v>
      </c>
      <c r="L251" s="37">
        <f>COUNTIFS(Tracker!G:G,Daily!C251, Tracker!J:J,"N",Tracker!E:E,1)</f>
        <v>0</v>
      </c>
      <c r="M251" s="55">
        <f t="shared" si="118"/>
        <v>0</v>
      </c>
      <c r="N251" s="36">
        <f>COUNTIFS(Tracker!G:G,Daily!C251, Tracker!J:J,"Y",Tracker!E:E,2)</f>
        <v>0</v>
      </c>
      <c r="O251" s="36">
        <f>COUNTIFS(Tracker!G:G,Daily!C251, Tracker!J:J,"Y (with hints)",Tracker!E:E,2)</f>
        <v>0</v>
      </c>
      <c r="P251" s="37">
        <f>COUNTIFS(Tracker!G:G,Daily!C251, Tracker!J:J,"N",Tracker!E:E,2)</f>
        <v>0</v>
      </c>
      <c r="Q251" s="58">
        <f t="shared" si="119"/>
        <v>0</v>
      </c>
      <c r="R251" s="36">
        <f>COUNTIFS(Tracker!G:G,Daily!C251, Tracker!J:J,"Y",Tracker!E:E,3)</f>
        <v>0</v>
      </c>
      <c r="S251" s="36">
        <f>COUNTIFS(Tracker!G:G,Daily!C251, Tracker!J:J,"Y (with hints)",Tracker!E:E,3)</f>
        <v>0</v>
      </c>
      <c r="T251" s="37">
        <f>COUNTIFS(Tracker!G:G,Daily!C251, Tracker!J:J,"N",Tracker!E:E,3)</f>
        <v>0</v>
      </c>
      <c r="V251" s="39">
        <f t="shared" si="120"/>
        <v>94</v>
      </c>
      <c r="W251" s="36">
        <f t="shared" si="121"/>
        <v>90</v>
      </c>
      <c r="X251" s="64">
        <f t="shared" si="122"/>
        <v>0.95744680851063835</v>
      </c>
      <c r="Y251" s="78">
        <f>AVERAGEIFS(Tracker!I:I, Tracker!E:E, 1, Tracker!G:G, "&lt;="&amp;Daily!C251, Tracker!J:J, "Y")</f>
        <v>12.4</v>
      </c>
      <c r="Z251" s="79">
        <f>COUNTIFS(Tracker!E:E, 1, Tracker!G:G, "&lt;="&amp;Daily!C251, Tracker!L:L, "N") / V251</f>
        <v>0.80851063829787229</v>
      </c>
      <c r="AA251" s="39">
        <f t="shared" si="123"/>
        <v>210</v>
      </c>
      <c r="AB251" s="36">
        <f t="shared" si="124"/>
        <v>170</v>
      </c>
      <c r="AC251" s="64">
        <f t="shared" si="125"/>
        <v>0.80952380952380953</v>
      </c>
      <c r="AD251" s="78">
        <f>AVERAGEIFS(Tracker!I:I, Tracker!E:E, 2, Tracker!G:G, "&lt;="&amp;Daily!C251, Tracker!J:J, "Y")</f>
        <v>26.252941176470589</v>
      </c>
      <c r="AE251" s="79">
        <f>COUNTIFS(Tracker!E:E, 2, Tracker!G:G, "&lt;="&amp;Daily!C251, Tracker!L:L, "N") / AA251</f>
        <v>0.60476190476190472</v>
      </c>
      <c r="AF251" s="39">
        <f t="shared" si="126"/>
        <v>42</v>
      </c>
      <c r="AG251" s="36">
        <f t="shared" si="127"/>
        <v>27</v>
      </c>
      <c r="AH251" s="64">
        <f t="shared" si="128"/>
        <v>0.6428571428571429</v>
      </c>
      <c r="AI251" s="78">
        <f>IFERROR(AVERAGEIFS(Tracker!I:I, Tracker!E:E, 3, Tracker!G:G, "&lt;="&amp;Daily!C251, Tracker!J:J, "Y"), 0)</f>
        <v>40.074074074074076</v>
      </c>
      <c r="AJ251" s="79">
        <f>IFERROR(COUNTIFS(Tracker!E:E, 3, Tracker!G:G, "&lt;="&amp;Daily!C251, Tracker!L:L, "N") / AF251,  0)</f>
        <v>0.35714285714285715</v>
      </c>
      <c r="AK251" s="39">
        <f t="shared" si="129"/>
        <v>346</v>
      </c>
      <c r="AL251" s="36">
        <f t="shared" si="130"/>
        <v>287</v>
      </c>
      <c r="AM251" s="64">
        <f t="shared" si="131"/>
        <v>0.82947976878612717</v>
      </c>
      <c r="AN251" s="78">
        <f>IFERROR(AVERAGEIFS(Tracker!I:I,  Tracker!G:G, "&lt;="&amp;Daily!C251, Tracker!J:J, "Y"), 0)</f>
        <v>23.209059233449477</v>
      </c>
      <c r="AO251" s="79">
        <f>IFERROR(COUNTIFS(Tracker!G:G, "&lt;="&amp;Daily!C251, Tracker!L:L, "N") / AK251,  0)</f>
        <v>0.63005780346820806</v>
      </c>
    </row>
    <row r="252" spans="1:41" x14ac:dyDescent="0.25">
      <c r="A252" s="118">
        <f>A245+1</f>
        <v>36</v>
      </c>
      <c r="B252" s="28">
        <f t="shared" si="115"/>
        <v>45467</v>
      </c>
      <c r="C252" s="29">
        <f t="shared" si="132"/>
        <v>45467</v>
      </c>
      <c r="D252" s="108" t="b">
        <f t="shared" ca="1" si="114"/>
        <v>1</v>
      </c>
      <c r="E252" s="50">
        <f t="shared" si="116"/>
        <v>1</v>
      </c>
      <c r="F252" s="38">
        <f>COUNTIFS(Tracker!G:G,Daily!C252, Tracker!J:J,"Y")</f>
        <v>1</v>
      </c>
      <c r="G252" s="30">
        <f>COUNTIFS(Tracker!G:G,Daily!C252, Tracker!J:J,"Y (with hints)")</f>
        <v>0</v>
      </c>
      <c r="H252" s="31">
        <f>COUNTIFS(Tracker!G:G,Daily!C252, Tracker!J:J,"N")</f>
        <v>0</v>
      </c>
      <c r="I252" s="53">
        <f t="shared" si="117"/>
        <v>0</v>
      </c>
      <c r="J252" s="30">
        <f>COUNTIFS(Tracker!G:G,Daily!C252, Tracker!J:J,"Y",Tracker!E:E,1)</f>
        <v>0</v>
      </c>
      <c r="K252" s="30">
        <f>COUNTIFS(Tracker!G:G,Daily!C252, Tracker!J:J,"Y (with hints)",Tracker!E:E,1)</f>
        <v>0</v>
      </c>
      <c r="L252" s="31">
        <f>COUNTIFS(Tracker!G:G,Daily!C252, Tracker!J:J,"N",Tracker!E:E,1)</f>
        <v>0</v>
      </c>
      <c r="M252" s="53">
        <f t="shared" si="118"/>
        <v>1</v>
      </c>
      <c r="N252" s="30">
        <f>COUNTIFS(Tracker!G:G,Daily!C252, Tracker!J:J,"Y",Tracker!E:E,2)</f>
        <v>1</v>
      </c>
      <c r="O252" s="30">
        <f>COUNTIFS(Tracker!G:G,Daily!C252, Tracker!J:J,"Y (with hints)",Tracker!E:E,2)</f>
        <v>0</v>
      </c>
      <c r="P252" s="31">
        <f>COUNTIFS(Tracker!G:G,Daily!C252, Tracker!J:J,"N",Tracker!E:E,2)</f>
        <v>0</v>
      </c>
      <c r="Q252" s="56">
        <f t="shared" si="119"/>
        <v>0</v>
      </c>
      <c r="R252" s="30">
        <f>COUNTIFS(Tracker!G:G,Daily!C252, Tracker!J:J,"Y",Tracker!E:E,3)</f>
        <v>0</v>
      </c>
      <c r="S252" s="30">
        <f>COUNTIFS(Tracker!G:G,Daily!C252, Tracker!J:J,"Y (with hints)",Tracker!E:E,3)</f>
        <v>0</v>
      </c>
      <c r="T252" s="31">
        <f>COUNTIFS(Tracker!G:G,Daily!C252, Tracker!J:J,"N",Tracker!E:E,3)</f>
        <v>0</v>
      </c>
      <c r="V252" s="38">
        <f t="shared" si="120"/>
        <v>94</v>
      </c>
      <c r="W252" s="30">
        <f t="shared" si="121"/>
        <v>90</v>
      </c>
      <c r="X252" s="73">
        <f t="shared" si="122"/>
        <v>0.95744680851063835</v>
      </c>
      <c r="Y252" s="75">
        <f>AVERAGEIFS(Tracker!I:I, Tracker!E:E, 1, Tracker!G:G, "&lt;="&amp;Daily!C252, Tracker!J:J, "Y")</f>
        <v>12.4</v>
      </c>
      <c r="Z252" s="76">
        <f>COUNTIFS(Tracker!E:E, 1, Tracker!G:G, "&lt;="&amp;Daily!C252, Tracker!L:L, "N") / V252</f>
        <v>0.80851063829787229</v>
      </c>
      <c r="AA252" s="38">
        <f t="shared" si="123"/>
        <v>211</v>
      </c>
      <c r="AB252" s="30">
        <f t="shared" si="124"/>
        <v>171</v>
      </c>
      <c r="AC252" s="73">
        <f t="shared" si="125"/>
        <v>0.81042654028436023</v>
      </c>
      <c r="AD252" s="75">
        <f>AVERAGEIFS(Tracker!I:I, Tracker!E:E, 2, Tracker!G:G, "&lt;="&amp;Daily!C252, Tracker!J:J, "Y")</f>
        <v>26.222222222222221</v>
      </c>
      <c r="AE252" s="76">
        <f>COUNTIFS(Tracker!E:E, 2, Tracker!G:G, "&lt;="&amp;Daily!C252, Tracker!L:L, "N") / AA252</f>
        <v>0.60663507109004744</v>
      </c>
      <c r="AF252" s="38">
        <f t="shared" si="126"/>
        <v>42</v>
      </c>
      <c r="AG252" s="30">
        <f t="shared" si="127"/>
        <v>27</v>
      </c>
      <c r="AH252" s="73">
        <f t="shared" si="128"/>
        <v>0.6428571428571429</v>
      </c>
      <c r="AI252" s="75">
        <f>IFERROR(AVERAGEIFS(Tracker!I:I, Tracker!E:E, 3, Tracker!G:G, "&lt;="&amp;Daily!C252, Tracker!J:J, "Y"), 0)</f>
        <v>40.074074074074076</v>
      </c>
      <c r="AJ252" s="76">
        <f>IFERROR(COUNTIFS(Tracker!E:E, 3, Tracker!G:G, "&lt;="&amp;Daily!C252, Tracker!L:L, "N") / AF252,  0)</f>
        <v>0.35714285714285715</v>
      </c>
      <c r="AK252" s="38">
        <f t="shared" si="129"/>
        <v>347</v>
      </c>
      <c r="AL252" s="30">
        <f t="shared" si="130"/>
        <v>288</v>
      </c>
      <c r="AM252" s="73">
        <f t="shared" si="131"/>
        <v>0.82997118155619598</v>
      </c>
      <c r="AN252" s="75">
        <f>IFERROR(AVERAGEIFS(Tracker!I:I,  Tracker!G:G, "&lt;="&amp;Daily!C252, Tracker!J:J, "Y"), 0)</f>
        <v>23.201388888888889</v>
      </c>
      <c r="AO252" s="76">
        <f>IFERROR(COUNTIFS(Tracker!G:G, "&lt;="&amp;Daily!C252, Tracker!L:L, "N") / AK252,  0)</f>
        <v>0.63112391930835732</v>
      </c>
    </row>
    <row r="253" spans="1:41" x14ac:dyDescent="0.25">
      <c r="A253" s="119"/>
      <c r="B253" s="32">
        <f t="shared" si="115"/>
        <v>45468</v>
      </c>
      <c r="C253" s="27">
        <f t="shared" si="132"/>
        <v>45468</v>
      </c>
      <c r="D253" s="109" t="b">
        <f t="shared" ca="1" si="114"/>
        <v>1</v>
      </c>
      <c r="E253" s="51">
        <f t="shared" si="116"/>
        <v>0</v>
      </c>
      <c r="F253" s="48">
        <f>COUNTIFS(Tracker!G:G,Daily!C253, Tracker!J:J,"Y")</f>
        <v>0</v>
      </c>
      <c r="G253" s="26">
        <f>COUNTIFS(Tracker!G:G,Daily!C253, Tracker!J:J,"Y (with hints)")</f>
        <v>0</v>
      </c>
      <c r="H253" s="33">
        <f>COUNTIFS(Tracker!G:G,Daily!C253, Tracker!J:J,"N")</f>
        <v>0</v>
      </c>
      <c r="I253" s="54">
        <f t="shared" si="117"/>
        <v>0</v>
      </c>
      <c r="J253" s="26">
        <f>COUNTIFS(Tracker!G:G,Daily!C253, Tracker!J:J,"Y",Tracker!E:E,1)</f>
        <v>0</v>
      </c>
      <c r="K253" s="26">
        <f>COUNTIFS(Tracker!G:G,Daily!C253, Tracker!J:J,"Y (with hints)",Tracker!E:E,1)</f>
        <v>0</v>
      </c>
      <c r="L253" s="33">
        <f>COUNTIFS(Tracker!G:G,Daily!C253, Tracker!J:J,"N",Tracker!E:E,1)</f>
        <v>0</v>
      </c>
      <c r="M253" s="54">
        <f t="shared" si="118"/>
        <v>0</v>
      </c>
      <c r="N253" s="26">
        <f>COUNTIFS(Tracker!G:G,Daily!C253, Tracker!J:J,"Y",Tracker!E:E,2)</f>
        <v>0</v>
      </c>
      <c r="O253" s="26">
        <f>COUNTIFS(Tracker!G:G,Daily!C253, Tracker!J:J,"Y (with hints)",Tracker!E:E,2)</f>
        <v>0</v>
      </c>
      <c r="P253" s="33">
        <f>COUNTIFS(Tracker!G:G,Daily!C253, Tracker!J:J,"N",Tracker!E:E,2)</f>
        <v>0</v>
      </c>
      <c r="Q253" s="57">
        <f t="shared" si="119"/>
        <v>0</v>
      </c>
      <c r="R253" s="26">
        <f>COUNTIFS(Tracker!G:G,Daily!C253, Tracker!J:J,"Y",Tracker!E:E,3)</f>
        <v>0</v>
      </c>
      <c r="S253" s="26">
        <f>COUNTIFS(Tracker!G:G,Daily!C253, Tracker!J:J,"Y (with hints)",Tracker!E:E,3)</f>
        <v>0</v>
      </c>
      <c r="T253" s="33">
        <f>COUNTIFS(Tracker!G:G,Daily!C253, Tracker!J:J,"N",Tracker!E:E,3)</f>
        <v>0</v>
      </c>
      <c r="V253" s="48">
        <f t="shared" si="120"/>
        <v>94</v>
      </c>
      <c r="W253" s="26">
        <f t="shared" si="121"/>
        <v>90</v>
      </c>
      <c r="X253" s="62">
        <f t="shared" si="122"/>
        <v>0.95744680851063835</v>
      </c>
      <c r="Y253" s="74">
        <f>AVERAGEIFS(Tracker!I:I, Tracker!E:E, 1, Tracker!G:G, "&lt;="&amp;Daily!C253, Tracker!J:J, "Y")</f>
        <v>12.4</v>
      </c>
      <c r="Z253" s="77">
        <f>COUNTIFS(Tracker!E:E, 1, Tracker!G:G, "&lt;="&amp;Daily!C253, Tracker!L:L, "N") / V253</f>
        <v>0.80851063829787229</v>
      </c>
      <c r="AA253" s="48">
        <f t="shared" si="123"/>
        <v>211</v>
      </c>
      <c r="AB253" s="26">
        <f t="shared" si="124"/>
        <v>171</v>
      </c>
      <c r="AC253" s="62">
        <f t="shared" si="125"/>
        <v>0.81042654028436023</v>
      </c>
      <c r="AD253" s="74">
        <f>AVERAGEIFS(Tracker!I:I, Tracker!E:E, 2, Tracker!G:G, "&lt;="&amp;Daily!C253, Tracker!J:J, "Y")</f>
        <v>26.222222222222221</v>
      </c>
      <c r="AE253" s="77">
        <f>COUNTIFS(Tracker!E:E, 2, Tracker!G:G, "&lt;="&amp;Daily!C253, Tracker!L:L, "N") / AA253</f>
        <v>0.60663507109004744</v>
      </c>
      <c r="AF253" s="48">
        <f t="shared" si="126"/>
        <v>42</v>
      </c>
      <c r="AG253" s="26">
        <f t="shared" si="127"/>
        <v>27</v>
      </c>
      <c r="AH253" s="62">
        <f t="shared" si="128"/>
        <v>0.6428571428571429</v>
      </c>
      <c r="AI253" s="74">
        <f>IFERROR(AVERAGEIFS(Tracker!I:I, Tracker!E:E, 3, Tracker!G:G, "&lt;="&amp;Daily!C253, Tracker!J:J, "Y"), 0)</f>
        <v>40.074074074074076</v>
      </c>
      <c r="AJ253" s="77">
        <f>IFERROR(COUNTIFS(Tracker!E:E, 3, Tracker!G:G, "&lt;="&amp;Daily!C253, Tracker!L:L, "N") / AF253,  0)</f>
        <v>0.35714285714285715</v>
      </c>
      <c r="AK253" s="48">
        <f t="shared" si="129"/>
        <v>347</v>
      </c>
      <c r="AL253" s="26">
        <f t="shared" si="130"/>
        <v>288</v>
      </c>
      <c r="AM253" s="62">
        <f t="shared" si="131"/>
        <v>0.82997118155619598</v>
      </c>
      <c r="AN253" s="74">
        <f>IFERROR(AVERAGEIFS(Tracker!I:I,  Tracker!G:G, "&lt;="&amp;Daily!C253, Tracker!J:J, "Y"), 0)</f>
        <v>23.201388888888889</v>
      </c>
      <c r="AO253" s="77">
        <f>IFERROR(COUNTIFS(Tracker!G:G, "&lt;="&amp;Daily!C253, Tracker!L:L, "N") / AK253,  0)</f>
        <v>0.63112391930835732</v>
      </c>
    </row>
    <row r="254" spans="1:41" x14ac:dyDescent="0.25">
      <c r="A254" s="119"/>
      <c r="B254" s="32">
        <f t="shared" si="115"/>
        <v>45469</v>
      </c>
      <c r="C254" s="27">
        <f t="shared" si="132"/>
        <v>45469</v>
      </c>
      <c r="D254" s="109" t="b">
        <f t="shared" ca="1" si="114"/>
        <v>1</v>
      </c>
      <c r="E254" s="51">
        <f t="shared" si="116"/>
        <v>1</v>
      </c>
      <c r="F254" s="48">
        <f>COUNTIFS(Tracker!G:G,Daily!C254, Tracker!J:J,"Y")</f>
        <v>0</v>
      </c>
      <c r="G254" s="26">
        <f>COUNTIFS(Tracker!G:G,Daily!C254, Tracker!J:J,"Y (with hints)")</f>
        <v>0</v>
      </c>
      <c r="H254" s="33">
        <f>COUNTIFS(Tracker!G:G,Daily!C254, Tracker!J:J,"N")</f>
        <v>1</v>
      </c>
      <c r="I254" s="54">
        <f t="shared" si="117"/>
        <v>0</v>
      </c>
      <c r="J254" s="26">
        <f>COUNTIFS(Tracker!G:G,Daily!C254, Tracker!J:J,"Y",Tracker!E:E,1)</f>
        <v>0</v>
      </c>
      <c r="K254" s="26">
        <f>COUNTIFS(Tracker!G:G,Daily!C254, Tracker!J:J,"Y (with hints)",Tracker!E:E,1)</f>
        <v>0</v>
      </c>
      <c r="L254" s="33">
        <f>COUNTIFS(Tracker!G:G,Daily!C254, Tracker!J:J,"N",Tracker!E:E,1)</f>
        <v>0</v>
      </c>
      <c r="M254" s="54">
        <f t="shared" si="118"/>
        <v>1</v>
      </c>
      <c r="N254" s="26">
        <f>COUNTIFS(Tracker!G:G,Daily!C254, Tracker!J:J,"Y",Tracker!E:E,2)</f>
        <v>0</v>
      </c>
      <c r="O254" s="26">
        <f>COUNTIFS(Tracker!G:G,Daily!C254, Tracker!J:J,"Y (with hints)",Tracker!E:E,2)</f>
        <v>0</v>
      </c>
      <c r="P254" s="33">
        <f>COUNTIFS(Tracker!G:G,Daily!C254, Tracker!J:J,"N",Tracker!E:E,2)</f>
        <v>1</v>
      </c>
      <c r="Q254" s="57">
        <f t="shared" si="119"/>
        <v>0</v>
      </c>
      <c r="R254" s="26">
        <f>COUNTIFS(Tracker!G:G,Daily!C254, Tracker!J:J,"Y",Tracker!E:E,3)</f>
        <v>0</v>
      </c>
      <c r="S254" s="26">
        <f>COUNTIFS(Tracker!G:G,Daily!C254, Tracker!J:J,"Y (with hints)",Tracker!E:E,3)</f>
        <v>0</v>
      </c>
      <c r="T254" s="33">
        <f>COUNTIFS(Tracker!G:G,Daily!C254, Tracker!J:J,"N",Tracker!E:E,3)</f>
        <v>0</v>
      </c>
      <c r="V254" s="48">
        <f t="shared" si="120"/>
        <v>94</v>
      </c>
      <c r="W254" s="26">
        <f t="shared" si="121"/>
        <v>90</v>
      </c>
      <c r="X254" s="62">
        <f t="shared" si="122"/>
        <v>0.95744680851063835</v>
      </c>
      <c r="Y254" s="74">
        <f>AVERAGEIFS(Tracker!I:I, Tracker!E:E, 1, Tracker!G:G, "&lt;="&amp;Daily!C254, Tracker!J:J, "Y")</f>
        <v>12.4</v>
      </c>
      <c r="Z254" s="77">
        <f>COUNTIFS(Tracker!E:E, 1, Tracker!G:G, "&lt;="&amp;Daily!C254, Tracker!L:L, "N") / V254</f>
        <v>0.80851063829787229</v>
      </c>
      <c r="AA254" s="48">
        <f t="shared" si="123"/>
        <v>212</v>
      </c>
      <c r="AB254" s="26">
        <f t="shared" si="124"/>
        <v>171</v>
      </c>
      <c r="AC254" s="62">
        <f t="shared" si="125"/>
        <v>0.80660377358490565</v>
      </c>
      <c r="AD254" s="74">
        <f>AVERAGEIFS(Tracker!I:I, Tracker!E:E, 2, Tracker!G:G, "&lt;="&amp;Daily!C254, Tracker!J:J, "Y")</f>
        <v>26.222222222222221</v>
      </c>
      <c r="AE254" s="77">
        <f>COUNTIFS(Tracker!E:E, 2, Tracker!G:G, "&lt;="&amp;Daily!C254, Tracker!L:L, "N") / AA254</f>
        <v>0.60377358490566035</v>
      </c>
      <c r="AF254" s="48">
        <f t="shared" si="126"/>
        <v>42</v>
      </c>
      <c r="AG254" s="26">
        <f t="shared" si="127"/>
        <v>27</v>
      </c>
      <c r="AH254" s="62">
        <f t="shared" si="128"/>
        <v>0.6428571428571429</v>
      </c>
      <c r="AI254" s="74">
        <f>IFERROR(AVERAGEIFS(Tracker!I:I, Tracker!E:E, 3, Tracker!G:G, "&lt;="&amp;Daily!C254, Tracker!J:J, "Y"), 0)</f>
        <v>40.074074074074076</v>
      </c>
      <c r="AJ254" s="77">
        <f>IFERROR(COUNTIFS(Tracker!E:E, 3, Tracker!G:G, "&lt;="&amp;Daily!C254, Tracker!L:L, "N") / AF254,  0)</f>
        <v>0.35714285714285715</v>
      </c>
      <c r="AK254" s="48">
        <f t="shared" si="129"/>
        <v>348</v>
      </c>
      <c r="AL254" s="26">
        <f t="shared" si="130"/>
        <v>288</v>
      </c>
      <c r="AM254" s="62">
        <f t="shared" si="131"/>
        <v>0.82758620689655171</v>
      </c>
      <c r="AN254" s="74">
        <f>IFERROR(AVERAGEIFS(Tracker!I:I,  Tracker!G:G, "&lt;="&amp;Daily!C254, Tracker!J:J, "Y"), 0)</f>
        <v>23.201388888888889</v>
      </c>
      <c r="AO254" s="77">
        <f>IFERROR(COUNTIFS(Tracker!G:G, "&lt;="&amp;Daily!C254, Tracker!L:L, "N") / AK254,  0)</f>
        <v>0.62931034482758619</v>
      </c>
    </row>
    <row r="255" spans="1:41" x14ac:dyDescent="0.25">
      <c r="A255" s="119"/>
      <c r="B255" s="32">
        <f t="shared" si="115"/>
        <v>45470</v>
      </c>
      <c r="C255" s="27">
        <f t="shared" si="132"/>
        <v>45470</v>
      </c>
      <c r="D255" s="109" t="b">
        <f t="shared" ca="1" si="114"/>
        <v>1</v>
      </c>
      <c r="E255" s="51">
        <f t="shared" si="116"/>
        <v>2</v>
      </c>
      <c r="F255" s="48">
        <f>COUNTIFS(Tracker!G:G,Daily!C255, Tracker!J:J,"Y")</f>
        <v>1</v>
      </c>
      <c r="G255" s="26">
        <f>COUNTIFS(Tracker!G:G,Daily!C255, Tracker!J:J,"Y (with hints)")</f>
        <v>0</v>
      </c>
      <c r="H255" s="33">
        <f>COUNTIFS(Tracker!G:G,Daily!C255, Tracker!J:J,"N")</f>
        <v>1</v>
      </c>
      <c r="I255" s="54">
        <f t="shared" si="117"/>
        <v>0</v>
      </c>
      <c r="J255" s="26">
        <f>COUNTIFS(Tracker!G:G,Daily!C255, Tracker!J:J,"Y",Tracker!E:E,1)</f>
        <v>0</v>
      </c>
      <c r="K255" s="26">
        <f>COUNTIFS(Tracker!G:G,Daily!C255, Tracker!J:J,"Y (with hints)",Tracker!E:E,1)</f>
        <v>0</v>
      </c>
      <c r="L255" s="33">
        <f>COUNTIFS(Tracker!G:G,Daily!C255, Tracker!J:J,"N",Tracker!E:E,1)</f>
        <v>0</v>
      </c>
      <c r="M255" s="54">
        <f t="shared" si="118"/>
        <v>2</v>
      </c>
      <c r="N255" s="26">
        <f>COUNTIFS(Tracker!G:G,Daily!C255, Tracker!J:J,"Y",Tracker!E:E,2)</f>
        <v>1</v>
      </c>
      <c r="O255" s="26">
        <f>COUNTIFS(Tracker!G:G,Daily!C255, Tracker!J:J,"Y (with hints)",Tracker!E:E,2)</f>
        <v>0</v>
      </c>
      <c r="P255" s="33">
        <f>COUNTIFS(Tracker!G:G,Daily!C255, Tracker!J:J,"N",Tracker!E:E,2)</f>
        <v>1</v>
      </c>
      <c r="Q255" s="57">
        <f t="shared" si="119"/>
        <v>0</v>
      </c>
      <c r="R255" s="26">
        <f>COUNTIFS(Tracker!G:G,Daily!C255, Tracker!J:J,"Y",Tracker!E:E,3)</f>
        <v>0</v>
      </c>
      <c r="S255" s="26">
        <f>COUNTIFS(Tracker!G:G,Daily!C255, Tracker!J:J,"Y (with hints)",Tracker!E:E,3)</f>
        <v>0</v>
      </c>
      <c r="T255" s="33">
        <f>COUNTIFS(Tracker!G:G,Daily!C255, Tracker!J:J,"N",Tracker!E:E,3)</f>
        <v>0</v>
      </c>
      <c r="V255" s="48">
        <f t="shared" si="120"/>
        <v>94</v>
      </c>
      <c r="W255" s="26">
        <f t="shared" si="121"/>
        <v>90</v>
      </c>
      <c r="X255" s="62">
        <f t="shared" si="122"/>
        <v>0.95744680851063835</v>
      </c>
      <c r="Y255" s="74">
        <f>AVERAGEIFS(Tracker!I:I, Tracker!E:E, 1, Tracker!G:G, "&lt;="&amp;Daily!C255, Tracker!J:J, "Y")</f>
        <v>12.4</v>
      </c>
      <c r="Z255" s="77">
        <f>COUNTIFS(Tracker!E:E, 1, Tracker!G:G, "&lt;="&amp;Daily!C255, Tracker!L:L, "N") / V255</f>
        <v>0.80851063829787229</v>
      </c>
      <c r="AA255" s="48">
        <f t="shared" si="123"/>
        <v>214</v>
      </c>
      <c r="AB255" s="26">
        <f t="shared" si="124"/>
        <v>172</v>
      </c>
      <c r="AC255" s="62">
        <f t="shared" si="125"/>
        <v>0.80373831775700932</v>
      </c>
      <c r="AD255" s="74">
        <f>AVERAGEIFS(Tracker!I:I, Tracker!E:E, 2, Tracker!G:G, "&lt;="&amp;Daily!C255, Tracker!J:J, "Y")</f>
        <v>26.151162790697676</v>
      </c>
      <c r="AE255" s="77">
        <f>COUNTIFS(Tracker!E:E, 2, Tracker!G:G, "&lt;="&amp;Daily!C255, Tracker!L:L, "N") / AA255</f>
        <v>0.60280373831775702</v>
      </c>
      <c r="AF255" s="48">
        <f t="shared" si="126"/>
        <v>42</v>
      </c>
      <c r="AG255" s="26">
        <f t="shared" si="127"/>
        <v>27</v>
      </c>
      <c r="AH255" s="62">
        <f t="shared" si="128"/>
        <v>0.6428571428571429</v>
      </c>
      <c r="AI255" s="74">
        <f>IFERROR(AVERAGEIFS(Tracker!I:I, Tracker!E:E, 3, Tracker!G:G, "&lt;="&amp;Daily!C255, Tracker!J:J, "Y"), 0)</f>
        <v>40.074074074074076</v>
      </c>
      <c r="AJ255" s="77">
        <f>IFERROR(COUNTIFS(Tracker!E:E, 3, Tracker!G:G, "&lt;="&amp;Daily!C255, Tracker!L:L, "N") / AF255,  0)</f>
        <v>0.35714285714285715</v>
      </c>
      <c r="AK255" s="48">
        <f t="shared" si="129"/>
        <v>350</v>
      </c>
      <c r="AL255" s="26">
        <f t="shared" si="130"/>
        <v>289</v>
      </c>
      <c r="AM255" s="62">
        <f t="shared" si="131"/>
        <v>0.82571428571428573</v>
      </c>
      <c r="AN255" s="74">
        <f>IFERROR(AVERAGEIFS(Tracker!I:I,  Tracker!G:G, "&lt;="&amp;Daily!C255, Tracker!J:J, "Y"), 0)</f>
        <v>23.169550173010382</v>
      </c>
      <c r="AO255" s="77">
        <f>IFERROR(COUNTIFS(Tracker!G:G, "&lt;="&amp;Daily!C255, Tracker!L:L, "N") / AK255,  0)</f>
        <v>0.62857142857142856</v>
      </c>
    </row>
    <row r="256" spans="1:41" x14ac:dyDescent="0.25">
      <c r="A256" s="119"/>
      <c r="B256" s="32">
        <f t="shared" si="115"/>
        <v>45471</v>
      </c>
      <c r="C256" s="27">
        <f t="shared" si="132"/>
        <v>45471</v>
      </c>
      <c r="D256" s="109" t="b">
        <f t="shared" ca="1" si="114"/>
        <v>1</v>
      </c>
      <c r="E256" s="51">
        <f t="shared" si="116"/>
        <v>0</v>
      </c>
      <c r="F256" s="48">
        <f>COUNTIFS(Tracker!G:G,Daily!C256, Tracker!J:J,"Y")</f>
        <v>0</v>
      </c>
      <c r="G256" s="26">
        <f>COUNTIFS(Tracker!G:G,Daily!C256, Tracker!J:J,"Y (with hints)")</f>
        <v>0</v>
      </c>
      <c r="H256" s="33">
        <f>COUNTIFS(Tracker!G:G,Daily!C256, Tracker!J:J,"N")</f>
        <v>0</v>
      </c>
      <c r="I256" s="54">
        <f t="shared" si="117"/>
        <v>0</v>
      </c>
      <c r="J256" s="26">
        <f>COUNTIFS(Tracker!G:G,Daily!C256, Tracker!J:J,"Y",Tracker!E:E,1)</f>
        <v>0</v>
      </c>
      <c r="K256" s="26">
        <f>COUNTIFS(Tracker!G:G,Daily!C256, Tracker!J:J,"Y (with hints)",Tracker!E:E,1)</f>
        <v>0</v>
      </c>
      <c r="L256" s="33">
        <f>COUNTIFS(Tracker!G:G,Daily!C256, Tracker!J:J,"N",Tracker!E:E,1)</f>
        <v>0</v>
      </c>
      <c r="M256" s="54">
        <f t="shared" si="118"/>
        <v>0</v>
      </c>
      <c r="N256" s="26">
        <f>COUNTIFS(Tracker!G:G,Daily!C256, Tracker!J:J,"Y",Tracker!E:E,2)</f>
        <v>0</v>
      </c>
      <c r="O256" s="26">
        <f>COUNTIFS(Tracker!G:G,Daily!C256, Tracker!J:J,"Y (with hints)",Tracker!E:E,2)</f>
        <v>0</v>
      </c>
      <c r="P256" s="33">
        <f>COUNTIFS(Tracker!G:G,Daily!C256, Tracker!J:J,"N",Tracker!E:E,2)</f>
        <v>0</v>
      </c>
      <c r="Q256" s="57">
        <f t="shared" si="119"/>
        <v>0</v>
      </c>
      <c r="R256" s="26">
        <f>COUNTIFS(Tracker!G:G,Daily!C256, Tracker!J:J,"Y",Tracker!E:E,3)</f>
        <v>0</v>
      </c>
      <c r="S256" s="26">
        <f>COUNTIFS(Tracker!G:G,Daily!C256, Tracker!J:J,"Y (with hints)",Tracker!E:E,3)</f>
        <v>0</v>
      </c>
      <c r="T256" s="33">
        <f>COUNTIFS(Tracker!G:G,Daily!C256, Tracker!J:J,"N",Tracker!E:E,3)</f>
        <v>0</v>
      </c>
      <c r="V256" s="48">
        <f t="shared" si="120"/>
        <v>94</v>
      </c>
      <c r="W256" s="26">
        <f t="shared" si="121"/>
        <v>90</v>
      </c>
      <c r="X256" s="62">
        <f t="shared" si="122"/>
        <v>0.95744680851063835</v>
      </c>
      <c r="Y256" s="74">
        <f>AVERAGEIFS(Tracker!I:I, Tracker!E:E, 1, Tracker!G:G, "&lt;="&amp;Daily!C256, Tracker!J:J, "Y")</f>
        <v>12.4</v>
      </c>
      <c r="Z256" s="77">
        <f>COUNTIFS(Tracker!E:E, 1, Tracker!G:G, "&lt;="&amp;Daily!C256, Tracker!L:L, "N") / V256</f>
        <v>0.80851063829787229</v>
      </c>
      <c r="AA256" s="48">
        <f t="shared" si="123"/>
        <v>214</v>
      </c>
      <c r="AB256" s="26">
        <f t="shared" si="124"/>
        <v>172</v>
      </c>
      <c r="AC256" s="62">
        <f t="shared" si="125"/>
        <v>0.80373831775700932</v>
      </c>
      <c r="AD256" s="74">
        <f>AVERAGEIFS(Tracker!I:I, Tracker!E:E, 2, Tracker!G:G, "&lt;="&amp;Daily!C256, Tracker!J:J, "Y")</f>
        <v>26.151162790697676</v>
      </c>
      <c r="AE256" s="77">
        <f>COUNTIFS(Tracker!E:E, 2, Tracker!G:G, "&lt;="&amp;Daily!C256, Tracker!L:L, "N") / AA256</f>
        <v>0.60280373831775702</v>
      </c>
      <c r="AF256" s="48">
        <f t="shared" si="126"/>
        <v>42</v>
      </c>
      <c r="AG256" s="26">
        <f t="shared" si="127"/>
        <v>27</v>
      </c>
      <c r="AH256" s="62">
        <f t="shared" si="128"/>
        <v>0.6428571428571429</v>
      </c>
      <c r="AI256" s="74">
        <f>IFERROR(AVERAGEIFS(Tracker!I:I, Tracker!E:E, 3, Tracker!G:G, "&lt;="&amp;Daily!C256, Tracker!J:J, "Y"), 0)</f>
        <v>40.074074074074076</v>
      </c>
      <c r="AJ256" s="77">
        <f>IFERROR(COUNTIFS(Tracker!E:E, 3, Tracker!G:G, "&lt;="&amp;Daily!C256, Tracker!L:L, "N") / AF256,  0)</f>
        <v>0.35714285714285715</v>
      </c>
      <c r="AK256" s="48">
        <f t="shared" si="129"/>
        <v>350</v>
      </c>
      <c r="AL256" s="26">
        <f t="shared" si="130"/>
        <v>289</v>
      </c>
      <c r="AM256" s="62">
        <f t="shared" si="131"/>
        <v>0.82571428571428573</v>
      </c>
      <c r="AN256" s="74">
        <f>IFERROR(AVERAGEIFS(Tracker!I:I,  Tracker!G:G, "&lt;="&amp;Daily!C256, Tracker!J:J, "Y"), 0)</f>
        <v>23.169550173010382</v>
      </c>
      <c r="AO256" s="77">
        <f>IFERROR(COUNTIFS(Tracker!G:G, "&lt;="&amp;Daily!C256, Tracker!L:L, "N") / AK256,  0)</f>
        <v>0.62857142857142856</v>
      </c>
    </row>
    <row r="257" spans="1:41" x14ac:dyDescent="0.25">
      <c r="A257" s="119"/>
      <c r="B257" s="32">
        <f t="shared" si="115"/>
        <v>45472</v>
      </c>
      <c r="C257" s="27">
        <f t="shared" si="132"/>
        <v>45472</v>
      </c>
      <c r="D257" s="109" t="b">
        <f t="shared" ca="1" si="114"/>
        <v>1</v>
      </c>
      <c r="E257" s="51">
        <f t="shared" si="116"/>
        <v>0</v>
      </c>
      <c r="F257" s="48">
        <f>COUNTIFS(Tracker!G:G,Daily!C257, Tracker!J:J,"Y")</f>
        <v>0</v>
      </c>
      <c r="G257" s="26">
        <f>COUNTIFS(Tracker!G:G,Daily!C257, Tracker!J:J,"Y (with hints)")</f>
        <v>0</v>
      </c>
      <c r="H257" s="33">
        <f>COUNTIFS(Tracker!G:G,Daily!C257, Tracker!J:J,"N")</f>
        <v>0</v>
      </c>
      <c r="I257" s="54">
        <f t="shared" si="117"/>
        <v>0</v>
      </c>
      <c r="J257" s="26">
        <f>COUNTIFS(Tracker!G:G,Daily!C257, Tracker!J:J,"Y",Tracker!E:E,1)</f>
        <v>0</v>
      </c>
      <c r="K257" s="26">
        <f>COUNTIFS(Tracker!G:G,Daily!C257, Tracker!J:J,"Y (with hints)",Tracker!E:E,1)</f>
        <v>0</v>
      </c>
      <c r="L257" s="33">
        <f>COUNTIFS(Tracker!G:G,Daily!C257, Tracker!J:J,"N",Tracker!E:E,1)</f>
        <v>0</v>
      </c>
      <c r="M257" s="54">
        <f t="shared" si="118"/>
        <v>0</v>
      </c>
      <c r="N257" s="26">
        <f>COUNTIFS(Tracker!G:G,Daily!C257, Tracker!J:J,"Y",Tracker!E:E,2)</f>
        <v>0</v>
      </c>
      <c r="O257" s="26">
        <f>COUNTIFS(Tracker!G:G,Daily!C257, Tracker!J:J,"Y (with hints)",Tracker!E:E,2)</f>
        <v>0</v>
      </c>
      <c r="P257" s="33">
        <f>COUNTIFS(Tracker!G:G,Daily!C257, Tracker!J:J,"N",Tracker!E:E,2)</f>
        <v>0</v>
      </c>
      <c r="Q257" s="57">
        <f t="shared" si="119"/>
        <v>0</v>
      </c>
      <c r="R257" s="26">
        <f>COUNTIFS(Tracker!G:G,Daily!C257, Tracker!J:J,"Y",Tracker!E:E,3)</f>
        <v>0</v>
      </c>
      <c r="S257" s="26">
        <f>COUNTIFS(Tracker!G:G,Daily!C257, Tracker!J:J,"Y (with hints)",Tracker!E:E,3)</f>
        <v>0</v>
      </c>
      <c r="T257" s="33">
        <f>COUNTIFS(Tracker!G:G,Daily!C257, Tracker!J:J,"N",Tracker!E:E,3)</f>
        <v>0</v>
      </c>
      <c r="V257" s="48">
        <f t="shared" si="120"/>
        <v>94</v>
      </c>
      <c r="W257" s="26">
        <f t="shared" si="121"/>
        <v>90</v>
      </c>
      <c r="X257" s="62">
        <f t="shared" si="122"/>
        <v>0.95744680851063835</v>
      </c>
      <c r="Y257" s="74">
        <f>AVERAGEIFS(Tracker!I:I, Tracker!E:E, 1, Tracker!G:G, "&lt;="&amp;Daily!C257, Tracker!J:J, "Y")</f>
        <v>12.4</v>
      </c>
      <c r="Z257" s="77">
        <f>COUNTIFS(Tracker!E:E, 1, Tracker!G:G, "&lt;="&amp;Daily!C257, Tracker!L:L, "N") / V257</f>
        <v>0.80851063829787229</v>
      </c>
      <c r="AA257" s="48">
        <f t="shared" si="123"/>
        <v>214</v>
      </c>
      <c r="AB257" s="26">
        <f t="shared" si="124"/>
        <v>172</v>
      </c>
      <c r="AC257" s="62">
        <f t="shared" si="125"/>
        <v>0.80373831775700932</v>
      </c>
      <c r="AD257" s="74">
        <f>AVERAGEIFS(Tracker!I:I, Tracker!E:E, 2, Tracker!G:G, "&lt;="&amp;Daily!C257, Tracker!J:J, "Y")</f>
        <v>26.151162790697676</v>
      </c>
      <c r="AE257" s="77">
        <f>COUNTIFS(Tracker!E:E, 2, Tracker!G:G, "&lt;="&amp;Daily!C257, Tracker!L:L, "N") / AA257</f>
        <v>0.60280373831775702</v>
      </c>
      <c r="AF257" s="48">
        <f t="shared" si="126"/>
        <v>42</v>
      </c>
      <c r="AG257" s="26">
        <f t="shared" si="127"/>
        <v>27</v>
      </c>
      <c r="AH257" s="62">
        <f t="shared" si="128"/>
        <v>0.6428571428571429</v>
      </c>
      <c r="AI257" s="74">
        <f>IFERROR(AVERAGEIFS(Tracker!I:I, Tracker!E:E, 3, Tracker!G:G, "&lt;="&amp;Daily!C257, Tracker!J:J, "Y"), 0)</f>
        <v>40.074074074074076</v>
      </c>
      <c r="AJ257" s="77">
        <f>IFERROR(COUNTIFS(Tracker!E:E, 3, Tracker!G:G, "&lt;="&amp;Daily!C257, Tracker!L:L, "N") / AF257,  0)</f>
        <v>0.35714285714285715</v>
      </c>
      <c r="AK257" s="48">
        <f t="shared" si="129"/>
        <v>350</v>
      </c>
      <c r="AL257" s="26">
        <f t="shared" si="130"/>
        <v>289</v>
      </c>
      <c r="AM257" s="62">
        <f t="shared" si="131"/>
        <v>0.82571428571428573</v>
      </c>
      <c r="AN257" s="74">
        <f>IFERROR(AVERAGEIFS(Tracker!I:I,  Tracker!G:G, "&lt;="&amp;Daily!C257, Tracker!J:J, "Y"), 0)</f>
        <v>23.169550173010382</v>
      </c>
      <c r="AO257" s="77">
        <f>IFERROR(COUNTIFS(Tracker!G:G, "&lt;="&amp;Daily!C257, Tracker!L:L, "N") / AK257,  0)</f>
        <v>0.62857142857142856</v>
      </c>
    </row>
    <row r="258" spans="1:41" ht="15.75" thickBot="1" x14ac:dyDescent="0.3">
      <c r="A258" s="120"/>
      <c r="B258" s="34">
        <f t="shared" si="115"/>
        <v>45473</v>
      </c>
      <c r="C258" s="35">
        <f t="shared" si="132"/>
        <v>45473</v>
      </c>
      <c r="D258" s="110" t="b">
        <f t="shared" ca="1" si="114"/>
        <v>1</v>
      </c>
      <c r="E258" s="52">
        <f t="shared" si="116"/>
        <v>0</v>
      </c>
      <c r="F258" s="39">
        <f>COUNTIFS(Tracker!G:G,Daily!C258, Tracker!J:J,"Y")</f>
        <v>0</v>
      </c>
      <c r="G258" s="36">
        <f>COUNTIFS(Tracker!G:G,Daily!C258, Tracker!J:J,"Y (with hints)")</f>
        <v>0</v>
      </c>
      <c r="H258" s="37">
        <f>COUNTIFS(Tracker!G:G,Daily!C258, Tracker!J:J,"N")</f>
        <v>0</v>
      </c>
      <c r="I258" s="55">
        <f t="shared" si="117"/>
        <v>0</v>
      </c>
      <c r="J258" s="36">
        <f>COUNTIFS(Tracker!G:G,Daily!C258, Tracker!J:J,"Y",Tracker!E:E,1)</f>
        <v>0</v>
      </c>
      <c r="K258" s="36">
        <f>COUNTIFS(Tracker!G:G,Daily!C258, Tracker!J:J,"Y (with hints)",Tracker!E:E,1)</f>
        <v>0</v>
      </c>
      <c r="L258" s="37">
        <f>COUNTIFS(Tracker!G:G,Daily!C258, Tracker!J:J,"N",Tracker!E:E,1)</f>
        <v>0</v>
      </c>
      <c r="M258" s="55">
        <f t="shared" si="118"/>
        <v>0</v>
      </c>
      <c r="N258" s="36">
        <f>COUNTIFS(Tracker!G:G,Daily!C258, Tracker!J:J,"Y",Tracker!E:E,2)</f>
        <v>0</v>
      </c>
      <c r="O258" s="36">
        <f>COUNTIFS(Tracker!G:G,Daily!C258, Tracker!J:J,"Y (with hints)",Tracker!E:E,2)</f>
        <v>0</v>
      </c>
      <c r="P258" s="37">
        <f>COUNTIFS(Tracker!G:G,Daily!C258, Tracker!J:J,"N",Tracker!E:E,2)</f>
        <v>0</v>
      </c>
      <c r="Q258" s="58">
        <f t="shared" si="119"/>
        <v>0</v>
      </c>
      <c r="R258" s="36">
        <f>COUNTIFS(Tracker!G:G,Daily!C258, Tracker!J:J,"Y",Tracker!E:E,3)</f>
        <v>0</v>
      </c>
      <c r="S258" s="36">
        <f>COUNTIFS(Tracker!G:G,Daily!C258, Tracker!J:J,"Y (with hints)",Tracker!E:E,3)</f>
        <v>0</v>
      </c>
      <c r="T258" s="37">
        <f>COUNTIFS(Tracker!G:G,Daily!C258, Tracker!J:J,"N",Tracker!E:E,3)</f>
        <v>0</v>
      </c>
      <c r="V258" s="39">
        <f t="shared" si="120"/>
        <v>94</v>
      </c>
      <c r="W258" s="36">
        <f t="shared" si="121"/>
        <v>90</v>
      </c>
      <c r="X258" s="64">
        <f t="shared" si="122"/>
        <v>0.95744680851063835</v>
      </c>
      <c r="Y258" s="78">
        <f>AVERAGEIFS(Tracker!I:I, Tracker!E:E, 1, Tracker!G:G, "&lt;="&amp;Daily!C258, Tracker!J:J, "Y")</f>
        <v>12.4</v>
      </c>
      <c r="Z258" s="79">
        <f>COUNTIFS(Tracker!E:E, 1, Tracker!G:G, "&lt;="&amp;Daily!C258, Tracker!L:L, "N") / V258</f>
        <v>0.80851063829787229</v>
      </c>
      <c r="AA258" s="39">
        <f t="shared" si="123"/>
        <v>214</v>
      </c>
      <c r="AB258" s="36">
        <f t="shared" si="124"/>
        <v>172</v>
      </c>
      <c r="AC258" s="64">
        <f t="shared" si="125"/>
        <v>0.80373831775700932</v>
      </c>
      <c r="AD258" s="78">
        <f>AVERAGEIFS(Tracker!I:I, Tracker!E:E, 2, Tracker!G:G, "&lt;="&amp;Daily!C258, Tracker!J:J, "Y")</f>
        <v>26.151162790697676</v>
      </c>
      <c r="AE258" s="79">
        <f>COUNTIFS(Tracker!E:E, 2, Tracker!G:G, "&lt;="&amp;Daily!C258, Tracker!L:L, "N") / AA258</f>
        <v>0.60280373831775702</v>
      </c>
      <c r="AF258" s="39">
        <f t="shared" si="126"/>
        <v>42</v>
      </c>
      <c r="AG258" s="36">
        <f t="shared" si="127"/>
        <v>27</v>
      </c>
      <c r="AH258" s="64">
        <f t="shared" si="128"/>
        <v>0.6428571428571429</v>
      </c>
      <c r="AI258" s="78">
        <f>IFERROR(AVERAGEIFS(Tracker!I:I, Tracker!E:E, 3, Tracker!G:G, "&lt;="&amp;Daily!C258, Tracker!J:J, "Y"), 0)</f>
        <v>40.074074074074076</v>
      </c>
      <c r="AJ258" s="79">
        <f>IFERROR(COUNTIFS(Tracker!E:E, 3, Tracker!G:G, "&lt;="&amp;Daily!C258, Tracker!L:L, "N") / AF258,  0)</f>
        <v>0.35714285714285715</v>
      </c>
      <c r="AK258" s="39">
        <f t="shared" si="129"/>
        <v>350</v>
      </c>
      <c r="AL258" s="36">
        <f t="shared" si="130"/>
        <v>289</v>
      </c>
      <c r="AM258" s="64">
        <f t="shared" si="131"/>
        <v>0.82571428571428573</v>
      </c>
      <c r="AN258" s="78">
        <f>IFERROR(AVERAGEIFS(Tracker!I:I,  Tracker!G:G, "&lt;="&amp;Daily!C258, Tracker!J:J, "Y"), 0)</f>
        <v>23.169550173010382</v>
      </c>
      <c r="AO258" s="79">
        <f>IFERROR(COUNTIFS(Tracker!G:G, "&lt;="&amp;Daily!C258, Tracker!L:L, "N") / AK258,  0)</f>
        <v>0.62857142857142856</v>
      </c>
    </row>
    <row r="259" spans="1:41" x14ac:dyDescent="0.25">
      <c r="A259" s="118">
        <f>A252+1</f>
        <v>37</v>
      </c>
      <c r="B259" s="28">
        <f t="shared" si="115"/>
        <v>45474</v>
      </c>
      <c r="C259" s="29">
        <f t="shared" si="132"/>
        <v>45474</v>
      </c>
      <c r="D259" s="108" t="b">
        <f t="shared" ca="1" si="114"/>
        <v>1</v>
      </c>
      <c r="E259" s="50">
        <f t="shared" si="116"/>
        <v>0</v>
      </c>
      <c r="F259" s="38">
        <f>COUNTIFS(Tracker!G:G,Daily!C259, Tracker!J:J,"Y")</f>
        <v>0</v>
      </c>
      <c r="G259" s="30">
        <f>COUNTIFS(Tracker!G:G,Daily!C259, Tracker!J:J,"Y (with hints)")</f>
        <v>0</v>
      </c>
      <c r="H259" s="31">
        <f>COUNTIFS(Tracker!G:G,Daily!C259, Tracker!J:J,"N")</f>
        <v>0</v>
      </c>
      <c r="I259" s="53">
        <f t="shared" si="117"/>
        <v>0</v>
      </c>
      <c r="J259" s="30">
        <f>COUNTIFS(Tracker!G:G,Daily!C259, Tracker!J:J,"Y",Tracker!E:E,1)</f>
        <v>0</v>
      </c>
      <c r="K259" s="30">
        <f>COUNTIFS(Tracker!G:G,Daily!C259, Tracker!J:J,"Y (with hints)",Tracker!E:E,1)</f>
        <v>0</v>
      </c>
      <c r="L259" s="31">
        <f>COUNTIFS(Tracker!G:G,Daily!C259, Tracker!J:J,"N",Tracker!E:E,1)</f>
        <v>0</v>
      </c>
      <c r="M259" s="53">
        <f t="shared" si="118"/>
        <v>0</v>
      </c>
      <c r="N259" s="30">
        <f>COUNTIFS(Tracker!G:G,Daily!C259, Tracker!J:J,"Y",Tracker!E:E,2)</f>
        <v>0</v>
      </c>
      <c r="O259" s="30">
        <f>COUNTIFS(Tracker!G:G,Daily!C259, Tracker!J:J,"Y (with hints)",Tracker!E:E,2)</f>
        <v>0</v>
      </c>
      <c r="P259" s="31">
        <f>COUNTIFS(Tracker!G:G,Daily!C259, Tracker!J:J,"N",Tracker!E:E,2)</f>
        <v>0</v>
      </c>
      <c r="Q259" s="56">
        <f t="shared" si="119"/>
        <v>0</v>
      </c>
      <c r="R259" s="30">
        <f>COUNTIFS(Tracker!G:G,Daily!C259, Tracker!J:J,"Y",Tracker!E:E,3)</f>
        <v>0</v>
      </c>
      <c r="S259" s="30">
        <f>COUNTIFS(Tracker!G:G,Daily!C259, Tracker!J:J,"Y (with hints)",Tracker!E:E,3)</f>
        <v>0</v>
      </c>
      <c r="T259" s="31">
        <f>COUNTIFS(Tracker!G:G,Daily!C259, Tracker!J:J,"N",Tracker!E:E,3)</f>
        <v>0</v>
      </c>
      <c r="V259" s="38">
        <f t="shared" si="120"/>
        <v>94</v>
      </c>
      <c r="W259" s="30">
        <f t="shared" si="121"/>
        <v>90</v>
      </c>
      <c r="X259" s="73">
        <f t="shared" si="122"/>
        <v>0.95744680851063835</v>
      </c>
      <c r="Y259" s="75">
        <f>AVERAGEIFS(Tracker!I:I, Tracker!E:E, 1, Tracker!G:G, "&lt;="&amp;Daily!C259, Tracker!J:J, "Y")</f>
        <v>12.4</v>
      </c>
      <c r="Z259" s="76">
        <f>COUNTIFS(Tracker!E:E, 1, Tracker!G:G, "&lt;="&amp;Daily!C259, Tracker!L:L, "N") / V259</f>
        <v>0.80851063829787229</v>
      </c>
      <c r="AA259" s="38">
        <f t="shared" si="123"/>
        <v>214</v>
      </c>
      <c r="AB259" s="30">
        <f t="shared" si="124"/>
        <v>172</v>
      </c>
      <c r="AC259" s="73">
        <f t="shared" si="125"/>
        <v>0.80373831775700932</v>
      </c>
      <c r="AD259" s="75">
        <f>AVERAGEIFS(Tracker!I:I, Tracker!E:E, 2, Tracker!G:G, "&lt;="&amp;Daily!C259, Tracker!J:J, "Y")</f>
        <v>26.151162790697676</v>
      </c>
      <c r="AE259" s="76">
        <f>COUNTIFS(Tracker!E:E, 2, Tracker!G:G, "&lt;="&amp;Daily!C259, Tracker!L:L, "N") / AA259</f>
        <v>0.60280373831775702</v>
      </c>
      <c r="AF259" s="38">
        <f t="shared" si="126"/>
        <v>42</v>
      </c>
      <c r="AG259" s="30">
        <f t="shared" si="127"/>
        <v>27</v>
      </c>
      <c r="AH259" s="73">
        <f t="shared" si="128"/>
        <v>0.6428571428571429</v>
      </c>
      <c r="AI259" s="75">
        <f>IFERROR(AVERAGEIFS(Tracker!I:I, Tracker!E:E, 3, Tracker!G:G, "&lt;="&amp;Daily!C259, Tracker!J:J, "Y"), 0)</f>
        <v>40.074074074074076</v>
      </c>
      <c r="AJ259" s="76">
        <f>IFERROR(COUNTIFS(Tracker!E:E, 3, Tracker!G:G, "&lt;="&amp;Daily!C259, Tracker!L:L, "N") / AF259,  0)</f>
        <v>0.35714285714285715</v>
      </c>
      <c r="AK259" s="38">
        <f t="shared" si="129"/>
        <v>350</v>
      </c>
      <c r="AL259" s="30">
        <f t="shared" si="130"/>
        <v>289</v>
      </c>
      <c r="AM259" s="73">
        <f t="shared" si="131"/>
        <v>0.82571428571428573</v>
      </c>
      <c r="AN259" s="75">
        <f>IFERROR(AVERAGEIFS(Tracker!I:I,  Tracker!G:G, "&lt;="&amp;Daily!C259, Tracker!J:J, "Y"), 0)</f>
        <v>23.169550173010382</v>
      </c>
      <c r="AO259" s="76">
        <f>IFERROR(COUNTIFS(Tracker!G:G, "&lt;="&amp;Daily!C259, Tracker!L:L, "N") / AK259,  0)</f>
        <v>0.62857142857142856</v>
      </c>
    </row>
    <row r="260" spans="1:41" x14ac:dyDescent="0.25">
      <c r="A260" s="119"/>
      <c r="B260" s="32">
        <f t="shared" si="115"/>
        <v>45475</v>
      </c>
      <c r="C260" s="27">
        <f t="shared" si="132"/>
        <v>45475</v>
      </c>
      <c r="D260" s="109" t="b">
        <f t="shared" ca="1" si="114"/>
        <v>1</v>
      </c>
      <c r="E260" s="51">
        <f t="shared" si="116"/>
        <v>2</v>
      </c>
      <c r="F260" s="48">
        <f>COUNTIFS(Tracker!G:G,Daily!C260, Tracker!J:J,"Y")</f>
        <v>2</v>
      </c>
      <c r="G260" s="26">
        <f>COUNTIFS(Tracker!G:G,Daily!C260, Tracker!J:J,"Y (with hints)")</f>
        <v>0</v>
      </c>
      <c r="H260" s="33">
        <f>COUNTIFS(Tracker!G:G,Daily!C260, Tracker!J:J,"N")</f>
        <v>0</v>
      </c>
      <c r="I260" s="54">
        <f t="shared" si="117"/>
        <v>0</v>
      </c>
      <c r="J260" s="26">
        <f>COUNTIFS(Tracker!G:G,Daily!C260, Tracker!J:J,"Y",Tracker!E:E,1)</f>
        <v>0</v>
      </c>
      <c r="K260" s="26">
        <f>COUNTIFS(Tracker!G:G,Daily!C260, Tracker!J:J,"Y (with hints)",Tracker!E:E,1)</f>
        <v>0</v>
      </c>
      <c r="L260" s="33">
        <f>COUNTIFS(Tracker!G:G,Daily!C260, Tracker!J:J,"N",Tracker!E:E,1)</f>
        <v>0</v>
      </c>
      <c r="M260" s="54">
        <f t="shared" si="118"/>
        <v>2</v>
      </c>
      <c r="N260" s="26">
        <f>COUNTIFS(Tracker!G:G,Daily!C260, Tracker!J:J,"Y",Tracker!E:E,2)</f>
        <v>2</v>
      </c>
      <c r="O260" s="26">
        <f>COUNTIFS(Tracker!G:G,Daily!C260, Tracker!J:J,"Y (with hints)",Tracker!E:E,2)</f>
        <v>0</v>
      </c>
      <c r="P260" s="33">
        <f>COUNTIFS(Tracker!G:G,Daily!C260, Tracker!J:J,"N",Tracker!E:E,2)</f>
        <v>0</v>
      </c>
      <c r="Q260" s="57">
        <f t="shared" si="119"/>
        <v>0</v>
      </c>
      <c r="R260" s="26">
        <f>COUNTIFS(Tracker!G:G,Daily!C260, Tracker!J:J,"Y",Tracker!E:E,3)</f>
        <v>0</v>
      </c>
      <c r="S260" s="26">
        <f>COUNTIFS(Tracker!G:G,Daily!C260, Tracker!J:J,"Y (with hints)",Tracker!E:E,3)</f>
        <v>0</v>
      </c>
      <c r="T260" s="33">
        <f>COUNTIFS(Tracker!G:G,Daily!C260, Tracker!J:J,"N",Tracker!E:E,3)</f>
        <v>0</v>
      </c>
      <c r="V260" s="48">
        <f t="shared" si="120"/>
        <v>94</v>
      </c>
      <c r="W260" s="26">
        <f t="shared" si="121"/>
        <v>90</v>
      </c>
      <c r="X260" s="62">
        <f t="shared" si="122"/>
        <v>0.95744680851063835</v>
      </c>
      <c r="Y260" s="74">
        <f>AVERAGEIFS(Tracker!I:I, Tracker!E:E, 1, Tracker!G:G, "&lt;="&amp;Daily!C260, Tracker!J:J, "Y")</f>
        <v>12.4</v>
      </c>
      <c r="Z260" s="77">
        <f>COUNTIFS(Tracker!E:E, 1, Tracker!G:G, "&lt;="&amp;Daily!C260, Tracker!L:L, "N") / V260</f>
        <v>0.80851063829787229</v>
      </c>
      <c r="AA260" s="48">
        <f t="shared" si="123"/>
        <v>216</v>
      </c>
      <c r="AB260" s="26">
        <f t="shared" si="124"/>
        <v>174</v>
      </c>
      <c r="AC260" s="62">
        <f t="shared" si="125"/>
        <v>0.80555555555555558</v>
      </c>
      <c r="AD260" s="74">
        <f>AVERAGEIFS(Tracker!I:I, Tracker!E:E, 2, Tracker!G:G, "&lt;="&amp;Daily!C260, Tracker!J:J, "Y")</f>
        <v>26.086206896551722</v>
      </c>
      <c r="AE260" s="77">
        <f>COUNTIFS(Tracker!E:E, 2, Tracker!G:G, "&lt;="&amp;Daily!C260, Tracker!L:L, "N") / AA260</f>
        <v>0.60648148148148151</v>
      </c>
      <c r="AF260" s="48">
        <f t="shared" si="126"/>
        <v>42</v>
      </c>
      <c r="AG260" s="26">
        <f t="shared" si="127"/>
        <v>27</v>
      </c>
      <c r="AH260" s="62">
        <f t="shared" si="128"/>
        <v>0.6428571428571429</v>
      </c>
      <c r="AI260" s="74">
        <f>IFERROR(AVERAGEIFS(Tracker!I:I, Tracker!E:E, 3, Tracker!G:G, "&lt;="&amp;Daily!C260, Tracker!J:J, "Y"), 0)</f>
        <v>40.074074074074076</v>
      </c>
      <c r="AJ260" s="77">
        <f>IFERROR(COUNTIFS(Tracker!E:E, 3, Tracker!G:G, "&lt;="&amp;Daily!C260, Tracker!L:L, "N") / AF260,  0)</f>
        <v>0.35714285714285715</v>
      </c>
      <c r="AK260" s="48">
        <f t="shared" si="129"/>
        <v>352</v>
      </c>
      <c r="AL260" s="26">
        <f t="shared" si="130"/>
        <v>291</v>
      </c>
      <c r="AM260" s="62">
        <f t="shared" si="131"/>
        <v>0.82670454545454541</v>
      </c>
      <c r="AN260" s="74">
        <f>IFERROR(AVERAGEIFS(Tracker!I:I,  Tracker!G:G, "&lt;="&amp;Daily!C260, Tracker!J:J, "Y"), 0)</f>
        <v>23.151202749140893</v>
      </c>
      <c r="AO260" s="77">
        <f>IFERROR(COUNTIFS(Tracker!G:G, "&lt;="&amp;Daily!C260, Tracker!L:L, "N") / AK260,  0)</f>
        <v>0.63068181818181823</v>
      </c>
    </row>
    <row r="261" spans="1:41" x14ac:dyDescent="0.25">
      <c r="A261" s="119"/>
      <c r="B261" s="32">
        <f t="shared" si="115"/>
        <v>45476</v>
      </c>
      <c r="C261" s="27">
        <f t="shared" si="132"/>
        <v>45476</v>
      </c>
      <c r="D261" s="109" t="b">
        <f t="shared" ref="D261:D324" ca="1" si="133">C261&lt;=TODAY()</f>
        <v>1</v>
      </c>
      <c r="E261" s="51">
        <f t="shared" si="116"/>
        <v>5</v>
      </c>
      <c r="F261" s="48">
        <f>COUNTIFS(Tracker!G:G,Daily!C261, Tracker!J:J,"Y")</f>
        <v>4</v>
      </c>
      <c r="G261" s="26">
        <f>COUNTIFS(Tracker!G:G,Daily!C261, Tracker!J:J,"Y (with hints)")</f>
        <v>0</v>
      </c>
      <c r="H261" s="33">
        <f>COUNTIFS(Tracker!G:G,Daily!C261, Tracker!J:J,"N")</f>
        <v>1</v>
      </c>
      <c r="I261" s="54">
        <f t="shared" si="117"/>
        <v>0</v>
      </c>
      <c r="J261" s="26">
        <f>COUNTIFS(Tracker!G:G,Daily!C261, Tracker!J:J,"Y",Tracker!E:E,1)</f>
        <v>0</v>
      </c>
      <c r="K261" s="26">
        <f>COUNTIFS(Tracker!G:G,Daily!C261, Tracker!J:J,"Y (with hints)",Tracker!E:E,1)</f>
        <v>0</v>
      </c>
      <c r="L261" s="33">
        <f>COUNTIFS(Tracker!G:G,Daily!C261, Tracker!J:J,"N",Tracker!E:E,1)</f>
        <v>0</v>
      </c>
      <c r="M261" s="54">
        <f t="shared" si="118"/>
        <v>5</v>
      </c>
      <c r="N261" s="26">
        <f>COUNTIFS(Tracker!G:G,Daily!C261, Tracker!J:J,"Y",Tracker!E:E,2)</f>
        <v>4</v>
      </c>
      <c r="O261" s="26">
        <f>COUNTIFS(Tracker!G:G,Daily!C261, Tracker!J:J,"Y (with hints)",Tracker!E:E,2)</f>
        <v>0</v>
      </c>
      <c r="P261" s="33">
        <f>COUNTIFS(Tracker!G:G,Daily!C261, Tracker!J:J,"N",Tracker!E:E,2)</f>
        <v>1</v>
      </c>
      <c r="Q261" s="57">
        <f t="shared" si="119"/>
        <v>0</v>
      </c>
      <c r="R261" s="26">
        <f>COUNTIFS(Tracker!G:G,Daily!C261, Tracker!J:J,"Y",Tracker!E:E,3)</f>
        <v>0</v>
      </c>
      <c r="S261" s="26">
        <f>COUNTIFS(Tracker!G:G,Daily!C261, Tracker!J:J,"Y (with hints)",Tracker!E:E,3)</f>
        <v>0</v>
      </c>
      <c r="T261" s="33">
        <f>COUNTIFS(Tracker!G:G,Daily!C261, Tracker!J:J,"N",Tracker!E:E,3)</f>
        <v>0</v>
      </c>
      <c r="V261" s="48">
        <f t="shared" si="120"/>
        <v>94</v>
      </c>
      <c r="W261" s="26">
        <f t="shared" si="121"/>
        <v>90</v>
      </c>
      <c r="X261" s="62">
        <f t="shared" si="122"/>
        <v>0.95744680851063835</v>
      </c>
      <c r="Y261" s="74">
        <f>AVERAGEIFS(Tracker!I:I, Tracker!E:E, 1, Tracker!G:G, "&lt;="&amp;Daily!C261, Tracker!J:J, "Y")</f>
        <v>12.4</v>
      </c>
      <c r="Z261" s="77">
        <f>COUNTIFS(Tracker!E:E, 1, Tracker!G:G, "&lt;="&amp;Daily!C261, Tracker!L:L, "N") / V261</f>
        <v>0.80851063829787229</v>
      </c>
      <c r="AA261" s="48">
        <f t="shared" si="123"/>
        <v>221</v>
      </c>
      <c r="AB261" s="26">
        <f t="shared" si="124"/>
        <v>178</v>
      </c>
      <c r="AC261" s="62">
        <f t="shared" si="125"/>
        <v>0.80542986425339369</v>
      </c>
      <c r="AD261" s="74">
        <f>AVERAGEIFS(Tracker!I:I, Tracker!E:E, 2, Tracker!G:G, "&lt;="&amp;Daily!C261, Tracker!J:J, "Y")</f>
        <v>25.983146067415731</v>
      </c>
      <c r="AE261" s="77">
        <f>COUNTIFS(Tracker!E:E, 2, Tracker!G:G, "&lt;="&amp;Daily!C261, Tracker!L:L, "N") / AA261</f>
        <v>0.61085972850678738</v>
      </c>
      <c r="AF261" s="48">
        <f t="shared" si="126"/>
        <v>42</v>
      </c>
      <c r="AG261" s="26">
        <f t="shared" si="127"/>
        <v>27</v>
      </c>
      <c r="AH261" s="62">
        <f t="shared" si="128"/>
        <v>0.6428571428571429</v>
      </c>
      <c r="AI261" s="74">
        <f>IFERROR(AVERAGEIFS(Tracker!I:I, Tracker!E:E, 3, Tracker!G:G, "&lt;="&amp;Daily!C261, Tracker!J:J, "Y"), 0)</f>
        <v>40.074074074074076</v>
      </c>
      <c r="AJ261" s="77">
        <f>IFERROR(COUNTIFS(Tracker!E:E, 3, Tracker!G:G, "&lt;="&amp;Daily!C261, Tracker!L:L, "N") / AF261,  0)</f>
        <v>0.35714285714285715</v>
      </c>
      <c r="AK261" s="48">
        <f t="shared" si="129"/>
        <v>357</v>
      </c>
      <c r="AL261" s="26">
        <f t="shared" si="130"/>
        <v>295</v>
      </c>
      <c r="AM261" s="62">
        <f t="shared" si="131"/>
        <v>0.8263305322128851</v>
      </c>
      <c r="AN261" s="74">
        <f>IFERROR(AVERAGEIFS(Tracker!I:I,  Tracker!G:G, "&lt;="&amp;Daily!C261, Tracker!J:J, "Y"), 0)</f>
        <v>23.128813559322033</v>
      </c>
      <c r="AO261" s="77">
        <f>IFERROR(COUNTIFS(Tracker!G:G, "&lt;="&amp;Daily!C261, Tracker!L:L, "N") / AK261,  0)</f>
        <v>0.63305322128851538</v>
      </c>
    </row>
    <row r="262" spans="1:41" x14ac:dyDescent="0.25">
      <c r="A262" s="119"/>
      <c r="B262" s="32">
        <f t="shared" si="115"/>
        <v>45477</v>
      </c>
      <c r="C262" s="27">
        <f t="shared" si="132"/>
        <v>45477</v>
      </c>
      <c r="D262" s="109" t="b">
        <f t="shared" ca="1" si="133"/>
        <v>1</v>
      </c>
      <c r="E262" s="51">
        <f t="shared" si="116"/>
        <v>0</v>
      </c>
      <c r="F262" s="48">
        <f>COUNTIFS(Tracker!G:G,Daily!C262, Tracker!J:J,"Y")</f>
        <v>0</v>
      </c>
      <c r="G262" s="26">
        <f>COUNTIFS(Tracker!G:G,Daily!C262, Tracker!J:J,"Y (with hints)")</f>
        <v>0</v>
      </c>
      <c r="H262" s="33">
        <f>COUNTIFS(Tracker!G:G,Daily!C262, Tracker!J:J,"N")</f>
        <v>0</v>
      </c>
      <c r="I262" s="54">
        <f t="shared" si="117"/>
        <v>0</v>
      </c>
      <c r="J262" s="26">
        <f>COUNTIFS(Tracker!G:G,Daily!C262, Tracker!J:J,"Y",Tracker!E:E,1)</f>
        <v>0</v>
      </c>
      <c r="K262" s="26">
        <f>COUNTIFS(Tracker!G:G,Daily!C262, Tracker!J:J,"Y (with hints)",Tracker!E:E,1)</f>
        <v>0</v>
      </c>
      <c r="L262" s="33">
        <f>COUNTIFS(Tracker!G:G,Daily!C262, Tracker!J:J,"N",Tracker!E:E,1)</f>
        <v>0</v>
      </c>
      <c r="M262" s="54">
        <f t="shared" si="118"/>
        <v>0</v>
      </c>
      <c r="N262" s="26">
        <f>COUNTIFS(Tracker!G:G,Daily!C262, Tracker!J:J,"Y",Tracker!E:E,2)</f>
        <v>0</v>
      </c>
      <c r="O262" s="26">
        <f>COUNTIFS(Tracker!G:G,Daily!C262, Tracker!J:J,"Y (with hints)",Tracker!E:E,2)</f>
        <v>0</v>
      </c>
      <c r="P262" s="33">
        <f>COUNTIFS(Tracker!G:G,Daily!C262, Tracker!J:J,"N",Tracker!E:E,2)</f>
        <v>0</v>
      </c>
      <c r="Q262" s="57">
        <f t="shared" si="119"/>
        <v>0</v>
      </c>
      <c r="R262" s="26">
        <f>COUNTIFS(Tracker!G:G,Daily!C262, Tracker!J:J,"Y",Tracker!E:E,3)</f>
        <v>0</v>
      </c>
      <c r="S262" s="26">
        <f>COUNTIFS(Tracker!G:G,Daily!C262, Tracker!J:J,"Y (with hints)",Tracker!E:E,3)</f>
        <v>0</v>
      </c>
      <c r="T262" s="33">
        <f>COUNTIFS(Tracker!G:G,Daily!C262, Tracker!J:J,"N",Tracker!E:E,3)</f>
        <v>0</v>
      </c>
      <c r="V262" s="48">
        <f t="shared" si="120"/>
        <v>94</v>
      </c>
      <c r="W262" s="26">
        <f t="shared" si="121"/>
        <v>90</v>
      </c>
      <c r="X262" s="62">
        <f t="shared" si="122"/>
        <v>0.95744680851063835</v>
      </c>
      <c r="Y262" s="74">
        <f>AVERAGEIFS(Tracker!I:I, Tracker!E:E, 1, Tracker!G:G, "&lt;="&amp;Daily!C262, Tracker!J:J, "Y")</f>
        <v>12.4</v>
      </c>
      <c r="Z262" s="77">
        <f>COUNTIFS(Tracker!E:E, 1, Tracker!G:G, "&lt;="&amp;Daily!C262, Tracker!L:L, "N") / V262</f>
        <v>0.80851063829787229</v>
      </c>
      <c r="AA262" s="48">
        <f t="shared" si="123"/>
        <v>221</v>
      </c>
      <c r="AB262" s="26">
        <f t="shared" si="124"/>
        <v>178</v>
      </c>
      <c r="AC262" s="62">
        <f t="shared" si="125"/>
        <v>0.80542986425339369</v>
      </c>
      <c r="AD262" s="74">
        <f>AVERAGEIFS(Tracker!I:I, Tracker!E:E, 2, Tracker!G:G, "&lt;="&amp;Daily!C262, Tracker!J:J, "Y")</f>
        <v>25.983146067415731</v>
      </c>
      <c r="AE262" s="77">
        <f>COUNTIFS(Tracker!E:E, 2, Tracker!G:G, "&lt;="&amp;Daily!C262, Tracker!L:L, "N") / AA262</f>
        <v>0.61085972850678738</v>
      </c>
      <c r="AF262" s="48">
        <f t="shared" si="126"/>
        <v>42</v>
      </c>
      <c r="AG262" s="26">
        <f t="shared" si="127"/>
        <v>27</v>
      </c>
      <c r="AH262" s="62">
        <f t="shared" si="128"/>
        <v>0.6428571428571429</v>
      </c>
      <c r="AI262" s="74">
        <f>IFERROR(AVERAGEIFS(Tracker!I:I, Tracker!E:E, 3, Tracker!G:G, "&lt;="&amp;Daily!C262, Tracker!J:J, "Y"), 0)</f>
        <v>40.074074074074076</v>
      </c>
      <c r="AJ262" s="77">
        <f>IFERROR(COUNTIFS(Tracker!E:E, 3, Tracker!G:G, "&lt;="&amp;Daily!C262, Tracker!L:L, "N") / AF262,  0)</f>
        <v>0.35714285714285715</v>
      </c>
      <c r="AK262" s="48">
        <f t="shared" si="129"/>
        <v>357</v>
      </c>
      <c r="AL262" s="26">
        <f t="shared" si="130"/>
        <v>295</v>
      </c>
      <c r="AM262" s="62">
        <f t="shared" si="131"/>
        <v>0.8263305322128851</v>
      </c>
      <c r="AN262" s="74">
        <f>IFERROR(AVERAGEIFS(Tracker!I:I,  Tracker!G:G, "&lt;="&amp;Daily!C262, Tracker!J:J, "Y"), 0)</f>
        <v>23.128813559322033</v>
      </c>
      <c r="AO262" s="77">
        <f>IFERROR(COUNTIFS(Tracker!G:G, "&lt;="&amp;Daily!C262, Tracker!L:L, "N") / AK262,  0)</f>
        <v>0.63305322128851538</v>
      </c>
    </row>
    <row r="263" spans="1:41" x14ac:dyDescent="0.25">
      <c r="A263" s="119"/>
      <c r="B263" s="32">
        <f t="shared" si="115"/>
        <v>45478</v>
      </c>
      <c r="C263" s="27">
        <f t="shared" si="132"/>
        <v>45478</v>
      </c>
      <c r="D263" s="109" t="b">
        <f t="shared" ca="1" si="133"/>
        <v>1</v>
      </c>
      <c r="E263" s="51">
        <f t="shared" si="116"/>
        <v>0</v>
      </c>
      <c r="F263" s="48">
        <f>COUNTIFS(Tracker!G:G,Daily!C263, Tracker!J:J,"Y")</f>
        <v>0</v>
      </c>
      <c r="G263" s="26">
        <f>COUNTIFS(Tracker!G:G,Daily!C263, Tracker!J:J,"Y (with hints)")</f>
        <v>0</v>
      </c>
      <c r="H263" s="33">
        <f>COUNTIFS(Tracker!G:G,Daily!C263, Tracker!J:J,"N")</f>
        <v>0</v>
      </c>
      <c r="I263" s="54">
        <f t="shared" si="117"/>
        <v>0</v>
      </c>
      <c r="J263" s="26">
        <f>COUNTIFS(Tracker!G:G,Daily!C263, Tracker!J:J,"Y",Tracker!E:E,1)</f>
        <v>0</v>
      </c>
      <c r="K263" s="26">
        <f>COUNTIFS(Tracker!G:G,Daily!C263, Tracker!J:J,"Y (with hints)",Tracker!E:E,1)</f>
        <v>0</v>
      </c>
      <c r="L263" s="33">
        <f>COUNTIFS(Tracker!G:G,Daily!C263, Tracker!J:J,"N",Tracker!E:E,1)</f>
        <v>0</v>
      </c>
      <c r="M263" s="54">
        <f t="shared" si="118"/>
        <v>0</v>
      </c>
      <c r="N263" s="26">
        <f>COUNTIFS(Tracker!G:G,Daily!C263, Tracker!J:J,"Y",Tracker!E:E,2)</f>
        <v>0</v>
      </c>
      <c r="O263" s="26">
        <f>COUNTIFS(Tracker!G:G,Daily!C263, Tracker!J:J,"Y (with hints)",Tracker!E:E,2)</f>
        <v>0</v>
      </c>
      <c r="P263" s="33">
        <f>COUNTIFS(Tracker!G:G,Daily!C263, Tracker!J:J,"N",Tracker!E:E,2)</f>
        <v>0</v>
      </c>
      <c r="Q263" s="57">
        <f t="shared" si="119"/>
        <v>0</v>
      </c>
      <c r="R263" s="26">
        <f>COUNTIFS(Tracker!G:G,Daily!C263, Tracker!J:J,"Y",Tracker!E:E,3)</f>
        <v>0</v>
      </c>
      <c r="S263" s="26">
        <f>COUNTIFS(Tracker!G:G,Daily!C263, Tracker!J:J,"Y (with hints)",Tracker!E:E,3)</f>
        <v>0</v>
      </c>
      <c r="T263" s="33">
        <f>COUNTIFS(Tracker!G:G,Daily!C263, Tracker!J:J,"N",Tracker!E:E,3)</f>
        <v>0</v>
      </c>
      <c r="V263" s="48">
        <f t="shared" si="120"/>
        <v>94</v>
      </c>
      <c r="W263" s="26">
        <f t="shared" si="121"/>
        <v>90</v>
      </c>
      <c r="X263" s="62">
        <f t="shared" si="122"/>
        <v>0.95744680851063835</v>
      </c>
      <c r="Y263" s="74">
        <f>AVERAGEIFS(Tracker!I:I, Tracker!E:E, 1, Tracker!G:G, "&lt;="&amp;Daily!C263, Tracker!J:J, "Y")</f>
        <v>12.4</v>
      </c>
      <c r="Z263" s="77">
        <f>COUNTIFS(Tracker!E:E, 1, Tracker!G:G, "&lt;="&amp;Daily!C263, Tracker!L:L, "N") / V263</f>
        <v>0.80851063829787229</v>
      </c>
      <c r="AA263" s="48">
        <f t="shared" si="123"/>
        <v>221</v>
      </c>
      <c r="AB263" s="26">
        <f t="shared" si="124"/>
        <v>178</v>
      </c>
      <c r="AC263" s="62">
        <f t="shared" si="125"/>
        <v>0.80542986425339369</v>
      </c>
      <c r="AD263" s="74">
        <f>AVERAGEIFS(Tracker!I:I, Tracker!E:E, 2, Tracker!G:G, "&lt;="&amp;Daily!C263, Tracker!J:J, "Y")</f>
        <v>25.983146067415731</v>
      </c>
      <c r="AE263" s="77">
        <f>COUNTIFS(Tracker!E:E, 2, Tracker!G:G, "&lt;="&amp;Daily!C263, Tracker!L:L, "N") / AA263</f>
        <v>0.61085972850678738</v>
      </c>
      <c r="AF263" s="48">
        <f t="shared" si="126"/>
        <v>42</v>
      </c>
      <c r="AG263" s="26">
        <f t="shared" si="127"/>
        <v>27</v>
      </c>
      <c r="AH263" s="62">
        <f t="shared" si="128"/>
        <v>0.6428571428571429</v>
      </c>
      <c r="AI263" s="74">
        <f>IFERROR(AVERAGEIFS(Tracker!I:I, Tracker!E:E, 3, Tracker!G:G, "&lt;="&amp;Daily!C263, Tracker!J:J, "Y"), 0)</f>
        <v>40.074074074074076</v>
      </c>
      <c r="AJ263" s="77">
        <f>IFERROR(COUNTIFS(Tracker!E:E, 3, Tracker!G:G, "&lt;="&amp;Daily!C263, Tracker!L:L, "N") / AF263,  0)</f>
        <v>0.35714285714285715</v>
      </c>
      <c r="AK263" s="48">
        <f t="shared" si="129"/>
        <v>357</v>
      </c>
      <c r="AL263" s="26">
        <f t="shared" si="130"/>
        <v>295</v>
      </c>
      <c r="AM263" s="62">
        <f t="shared" si="131"/>
        <v>0.8263305322128851</v>
      </c>
      <c r="AN263" s="74">
        <f>IFERROR(AVERAGEIFS(Tracker!I:I,  Tracker!G:G, "&lt;="&amp;Daily!C263, Tracker!J:J, "Y"), 0)</f>
        <v>23.128813559322033</v>
      </c>
      <c r="AO263" s="77">
        <f>IFERROR(COUNTIFS(Tracker!G:G, "&lt;="&amp;Daily!C263, Tracker!L:L, "N") / AK263,  0)</f>
        <v>0.63305322128851538</v>
      </c>
    </row>
    <row r="264" spans="1:41" x14ac:dyDescent="0.25">
      <c r="A264" s="119"/>
      <c r="B264" s="32">
        <f t="shared" si="115"/>
        <v>45479</v>
      </c>
      <c r="C264" s="27">
        <f t="shared" si="132"/>
        <v>45479</v>
      </c>
      <c r="D264" s="109" t="b">
        <f t="shared" ca="1" si="133"/>
        <v>1</v>
      </c>
      <c r="E264" s="51">
        <f t="shared" si="116"/>
        <v>0</v>
      </c>
      <c r="F264" s="48">
        <f>COUNTIFS(Tracker!G:G,Daily!C264, Tracker!J:J,"Y")</f>
        <v>0</v>
      </c>
      <c r="G264" s="26">
        <f>COUNTIFS(Tracker!G:G,Daily!C264, Tracker!J:J,"Y (with hints)")</f>
        <v>0</v>
      </c>
      <c r="H264" s="33">
        <f>COUNTIFS(Tracker!G:G,Daily!C264, Tracker!J:J,"N")</f>
        <v>0</v>
      </c>
      <c r="I264" s="54">
        <f t="shared" si="117"/>
        <v>0</v>
      </c>
      <c r="J264" s="26">
        <f>COUNTIFS(Tracker!G:G,Daily!C264, Tracker!J:J,"Y",Tracker!E:E,1)</f>
        <v>0</v>
      </c>
      <c r="K264" s="26">
        <f>COUNTIFS(Tracker!G:G,Daily!C264, Tracker!J:J,"Y (with hints)",Tracker!E:E,1)</f>
        <v>0</v>
      </c>
      <c r="L264" s="33">
        <f>COUNTIFS(Tracker!G:G,Daily!C264, Tracker!J:J,"N",Tracker!E:E,1)</f>
        <v>0</v>
      </c>
      <c r="M264" s="54">
        <f t="shared" si="118"/>
        <v>0</v>
      </c>
      <c r="N264" s="26">
        <f>COUNTIFS(Tracker!G:G,Daily!C264, Tracker!J:J,"Y",Tracker!E:E,2)</f>
        <v>0</v>
      </c>
      <c r="O264" s="26">
        <f>COUNTIFS(Tracker!G:G,Daily!C264, Tracker!J:J,"Y (with hints)",Tracker!E:E,2)</f>
        <v>0</v>
      </c>
      <c r="P264" s="33">
        <f>COUNTIFS(Tracker!G:G,Daily!C264, Tracker!J:J,"N",Tracker!E:E,2)</f>
        <v>0</v>
      </c>
      <c r="Q264" s="57">
        <f t="shared" si="119"/>
        <v>0</v>
      </c>
      <c r="R264" s="26">
        <f>COUNTIFS(Tracker!G:G,Daily!C264, Tracker!J:J,"Y",Tracker!E:E,3)</f>
        <v>0</v>
      </c>
      <c r="S264" s="26">
        <f>COUNTIFS(Tracker!G:G,Daily!C264, Tracker!J:J,"Y (with hints)",Tracker!E:E,3)</f>
        <v>0</v>
      </c>
      <c r="T264" s="33">
        <f>COUNTIFS(Tracker!G:G,Daily!C264, Tracker!J:J,"N",Tracker!E:E,3)</f>
        <v>0</v>
      </c>
      <c r="V264" s="48">
        <f t="shared" si="120"/>
        <v>94</v>
      </c>
      <c r="W264" s="26">
        <f t="shared" si="121"/>
        <v>90</v>
      </c>
      <c r="X264" s="62">
        <f t="shared" si="122"/>
        <v>0.95744680851063835</v>
      </c>
      <c r="Y264" s="74">
        <f>AVERAGEIFS(Tracker!I:I, Tracker!E:E, 1, Tracker!G:G, "&lt;="&amp;Daily!C264, Tracker!J:J, "Y")</f>
        <v>12.4</v>
      </c>
      <c r="Z264" s="77">
        <f>COUNTIFS(Tracker!E:E, 1, Tracker!G:G, "&lt;="&amp;Daily!C264, Tracker!L:L, "N") / V264</f>
        <v>0.80851063829787229</v>
      </c>
      <c r="AA264" s="48">
        <f t="shared" si="123"/>
        <v>221</v>
      </c>
      <c r="AB264" s="26">
        <f t="shared" si="124"/>
        <v>178</v>
      </c>
      <c r="AC264" s="62">
        <f t="shared" si="125"/>
        <v>0.80542986425339369</v>
      </c>
      <c r="AD264" s="74">
        <f>AVERAGEIFS(Tracker!I:I, Tracker!E:E, 2, Tracker!G:G, "&lt;="&amp;Daily!C264, Tracker!J:J, "Y")</f>
        <v>25.983146067415731</v>
      </c>
      <c r="AE264" s="77">
        <f>COUNTIFS(Tracker!E:E, 2, Tracker!G:G, "&lt;="&amp;Daily!C264, Tracker!L:L, "N") / AA264</f>
        <v>0.61085972850678738</v>
      </c>
      <c r="AF264" s="48">
        <f t="shared" si="126"/>
        <v>42</v>
      </c>
      <c r="AG264" s="26">
        <f t="shared" si="127"/>
        <v>27</v>
      </c>
      <c r="AH264" s="62">
        <f t="shared" si="128"/>
        <v>0.6428571428571429</v>
      </c>
      <c r="AI264" s="74">
        <f>IFERROR(AVERAGEIFS(Tracker!I:I, Tracker!E:E, 3, Tracker!G:G, "&lt;="&amp;Daily!C264, Tracker!J:J, "Y"), 0)</f>
        <v>40.074074074074076</v>
      </c>
      <c r="AJ264" s="77">
        <f>IFERROR(COUNTIFS(Tracker!E:E, 3, Tracker!G:G, "&lt;="&amp;Daily!C264, Tracker!L:L, "N") / AF264,  0)</f>
        <v>0.35714285714285715</v>
      </c>
      <c r="AK264" s="48">
        <f t="shared" si="129"/>
        <v>357</v>
      </c>
      <c r="AL264" s="26">
        <f t="shared" si="130"/>
        <v>295</v>
      </c>
      <c r="AM264" s="62">
        <f t="shared" si="131"/>
        <v>0.8263305322128851</v>
      </c>
      <c r="AN264" s="74">
        <f>IFERROR(AVERAGEIFS(Tracker!I:I,  Tracker!G:G, "&lt;="&amp;Daily!C264, Tracker!J:J, "Y"), 0)</f>
        <v>23.128813559322033</v>
      </c>
      <c r="AO264" s="77">
        <f>IFERROR(COUNTIFS(Tracker!G:G, "&lt;="&amp;Daily!C264, Tracker!L:L, "N") / AK264,  0)</f>
        <v>0.63305322128851538</v>
      </c>
    </row>
    <row r="265" spans="1:41" ht="15.75" thickBot="1" x14ac:dyDescent="0.3">
      <c r="A265" s="120"/>
      <c r="B265" s="34">
        <f t="shared" si="115"/>
        <v>45480</v>
      </c>
      <c r="C265" s="35">
        <f t="shared" si="132"/>
        <v>45480</v>
      </c>
      <c r="D265" s="110" t="b">
        <f t="shared" ca="1" si="133"/>
        <v>1</v>
      </c>
      <c r="E265" s="52">
        <f t="shared" si="116"/>
        <v>0</v>
      </c>
      <c r="F265" s="39">
        <f>COUNTIFS(Tracker!G:G,Daily!C265, Tracker!J:J,"Y")</f>
        <v>0</v>
      </c>
      <c r="G265" s="36">
        <f>COUNTIFS(Tracker!G:G,Daily!C265, Tracker!J:J,"Y (with hints)")</f>
        <v>0</v>
      </c>
      <c r="H265" s="37">
        <f>COUNTIFS(Tracker!G:G,Daily!C265, Tracker!J:J,"N")</f>
        <v>0</v>
      </c>
      <c r="I265" s="55">
        <f t="shared" si="117"/>
        <v>0</v>
      </c>
      <c r="J265" s="36">
        <f>COUNTIFS(Tracker!G:G,Daily!C265, Tracker!J:J,"Y",Tracker!E:E,1)</f>
        <v>0</v>
      </c>
      <c r="K265" s="36">
        <f>COUNTIFS(Tracker!G:G,Daily!C265, Tracker!J:J,"Y (with hints)",Tracker!E:E,1)</f>
        <v>0</v>
      </c>
      <c r="L265" s="37">
        <f>COUNTIFS(Tracker!G:G,Daily!C265, Tracker!J:J,"N",Tracker!E:E,1)</f>
        <v>0</v>
      </c>
      <c r="M265" s="55">
        <f t="shared" si="118"/>
        <v>0</v>
      </c>
      <c r="N265" s="36">
        <f>COUNTIFS(Tracker!G:G,Daily!C265, Tracker!J:J,"Y",Tracker!E:E,2)</f>
        <v>0</v>
      </c>
      <c r="O265" s="36">
        <f>COUNTIFS(Tracker!G:G,Daily!C265, Tracker!J:J,"Y (with hints)",Tracker!E:E,2)</f>
        <v>0</v>
      </c>
      <c r="P265" s="37">
        <f>COUNTIFS(Tracker!G:G,Daily!C265, Tracker!J:J,"N",Tracker!E:E,2)</f>
        <v>0</v>
      </c>
      <c r="Q265" s="58">
        <f t="shared" si="119"/>
        <v>0</v>
      </c>
      <c r="R265" s="36">
        <f>COUNTIFS(Tracker!G:G,Daily!C265, Tracker!J:J,"Y",Tracker!E:E,3)</f>
        <v>0</v>
      </c>
      <c r="S265" s="36">
        <f>COUNTIFS(Tracker!G:G,Daily!C265, Tracker!J:J,"Y (with hints)",Tracker!E:E,3)</f>
        <v>0</v>
      </c>
      <c r="T265" s="37">
        <f>COUNTIFS(Tracker!G:G,Daily!C265, Tracker!J:J,"N",Tracker!E:E,3)</f>
        <v>0</v>
      </c>
      <c r="V265" s="39">
        <f t="shared" si="120"/>
        <v>94</v>
      </c>
      <c r="W265" s="36">
        <f t="shared" si="121"/>
        <v>90</v>
      </c>
      <c r="X265" s="64">
        <f t="shared" si="122"/>
        <v>0.95744680851063835</v>
      </c>
      <c r="Y265" s="78">
        <f>AVERAGEIFS(Tracker!I:I, Tracker!E:E, 1, Tracker!G:G, "&lt;="&amp;Daily!C265, Tracker!J:J, "Y")</f>
        <v>12.4</v>
      </c>
      <c r="Z265" s="79">
        <f>COUNTIFS(Tracker!E:E, 1, Tracker!G:G, "&lt;="&amp;Daily!C265, Tracker!L:L, "N") / V265</f>
        <v>0.80851063829787229</v>
      </c>
      <c r="AA265" s="39">
        <f t="shared" si="123"/>
        <v>221</v>
      </c>
      <c r="AB265" s="36">
        <f t="shared" si="124"/>
        <v>178</v>
      </c>
      <c r="AC265" s="64">
        <f t="shared" si="125"/>
        <v>0.80542986425339369</v>
      </c>
      <c r="AD265" s="78">
        <f>AVERAGEIFS(Tracker!I:I, Tracker!E:E, 2, Tracker!G:G, "&lt;="&amp;Daily!C265, Tracker!J:J, "Y")</f>
        <v>25.983146067415731</v>
      </c>
      <c r="AE265" s="79">
        <f>COUNTIFS(Tracker!E:E, 2, Tracker!G:G, "&lt;="&amp;Daily!C265, Tracker!L:L, "N") / AA265</f>
        <v>0.61085972850678738</v>
      </c>
      <c r="AF265" s="39">
        <f t="shared" si="126"/>
        <v>42</v>
      </c>
      <c r="AG265" s="36">
        <f t="shared" si="127"/>
        <v>27</v>
      </c>
      <c r="AH265" s="64">
        <f t="shared" si="128"/>
        <v>0.6428571428571429</v>
      </c>
      <c r="AI265" s="78">
        <f>IFERROR(AVERAGEIFS(Tracker!I:I, Tracker!E:E, 3, Tracker!G:G, "&lt;="&amp;Daily!C265, Tracker!J:J, "Y"), 0)</f>
        <v>40.074074074074076</v>
      </c>
      <c r="AJ265" s="79">
        <f>IFERROR(COUNTIFS(Tracker!E:E, 3, Tracker!G:G, "&lt;="&amp;Daily!C265, Tracker!L:L, "N") / AF265,  0)</f>
        <v>0.35714285714285715</v>
      </c>
      <c r="AK265" s="39">
        <f t="shared" si="129"/>
        <v>357</v>
      </c>
      <c r="AL265" s="36">
        <f t="shared" si="130"/>
        <v>295</v>
      </c>
      <c r="AM265" s="64">
        <f t="shared" si="131"/>
        <v>0.8263305322128851</v>
      </c>
      <c r="AN265" s="78">
        <f>IFERROR(AVERAGEIFS(Tracker!I:I,  Tracker!G:G, "&lt;="&amp;Daily!C265, Tracker!J:J, "Y"), 0)</f>
        <v>23.128813559322033</v>
      </c>
      <c r="AO265" s="79">
        <f>IFERROR(COUNTIFS(Tracker!G:G, "&lt;="&amp;Daily!C265, Tracker!L:L, "N") / AK265,  0)</f>
        <v>0.63305322128851538</v>
      </c>
    </row>
    <row r="266" spans="1:41" x14ac:dyDescent="0.25">
      <c r="A266" s="118">
        <f>A259+1</f>
        <v>38</v>
      </c>
      <c r="B266" s="28">
        <f t="shared" si="115"/>
        <v>45481</v>
      </c>
      <c r="C266" s="29">
        <f t="shared" si="132"/>
        <v>45481</v>
      </c>
      <c r="D266" s="108" t="b">
        <f t="shared" ca="1" si="133"/>
        <v>1</v>
      </c>
      <c r="E266" s="50">
        <f t="shared" si="116"/>
        <v>3</v>
      </c>
      <c r="F266" s="38">
        <f>COUNTIFS(Tracker!G:G,Daily!C266, Tracker!J:J,"Y")</f>
        <v>3</v>
      </c>
      <c r="G266" s="30">
        <f>COUNTIFS(Tracker!G:G,Daily!C266, Tracker!J:J,"Y (with hints)")</f>
        <v>0</v>
      </c>
      <c r="H266" s="31">
        <f>COUNTIFS(Tracker!G:G,Daily!C266, Tracker!J:J,"N")</f>
        <v>0</v>
      </c>
      <c r="I266" s="53">
        <f t="shared" si="117"/>
        <v>0</v>
      </c>
      <c r="J266" s="30">
        <f>COUNTIFS(Tracker!G:G,Daily!C266, Tracker!J:J,"Y",Tracker!E:E,1)</f>
        <v>0</v>
      </c>
      <c r="K266" s="30">
        <f>COUNTIFS(Tracker!G:G,Daily!C266, Tracker!J:J,"Y (with hints)",Tracker!E:E,1)</f>
        <v>0</v>
      </c>
      <c r="L266" s="31">
        <f>COUNTIFS(Tracker!G:G,Daily!C266, Tracker!J:J,"N",Tracker!E:E,1)</f>
        <v>0</v>
      </c>
      <c r="M266" s="53">
        <f t="shared" si="118"/>
        <v>3</v>
      </c>
      <c r="N266" s="30">
        <f>COUNTIFS(Tracker!G:G,Daily!C266, Tracker!J:J,"Y",Tracker!E:E,2)</f>
        <v>3</v>
      </c>
      <c r="O266" s="30">
        <f>COUNTIFS(Tracker!G:G,Daily!C266, Tracker!J:J,"Y (with hints)",Tracker!E:E,2)</f>
        <v>0</v>
      </c>
      <c r="P266" s="31">
        <f>COUNTIFS(Tracker!G:G,Daily!C266, Tracker!J:J,"N",Tracker!E:E,2)</f>
        <v>0</v>
      </c>
      <c r="Q266" s="56">
        <f t="shared" si="119"/>
        <v>0</v>
      </c>
      <c r="R266" s="30">
        <f>COUNTIFS(Tracker!G:G,Daily!C266, Tracker!J:J,"Y",Tracker!E:E,3)</f>
        <v>0</v>
      </c>
      <c r="S266" s="30">
        <f>COUNTIFS(Tracker!G:G,Daily!C266, Tracker!J:J,"Y (with hints)",Tracker!E:E,3)</f>
        <v>0</v>
      </c>
      <c r="T266" s="31">
        <f>COUNTIFS(Tracker!G:G,Daily!C266, Tracker!J:J,"N",Tracker!E:E,3)</f>
        <v>0</v>
      </c>
      <c r="V266" s="38">
        <f t="shared" si="120"/>
        <v>94</v>
      </c>
      <c r="W266" s="30">
        <f t="shared" si="121"/>
        <v>90</v>
      </c>
      <c r="X266" s="73">
        <f t="shared" si="122"/>
        <v>0.95744680851063835</v>
      </c>
      <c r="Y266" s="75">
        <f>AVERAGEIFS(Tracker!I:I, Tracker!E:E, 1, Tracker!G:G, "&lt;="&amp;Daily!C266, Tracker!J:J, "Y")</f>
        <v>12.4</v>
      </c>
      <c r="Z266" s="76">
        <f>COUNTIFS(Tracker!E:E, 1, Tracker!G:G, "&lt;="&amp;Daily!C266, Tracker!L:L, "N") / V266</f>
        <v>0.80851063829787229</v>
      </c>
      <c r="AA266" s="38">
        <f t="shared" si="123"/>
        <v>224</v>
      </c>
      <c r="AB266" s="30">
        <f t="shared" si="124"/>
        <v>181</v>
      </c>
      <c r="AC266" s="73">
        <f t="shared" si="125"/>
        <v>0.8080357142857143</v>
      </c>
      <c r="AD266" s="75">
        <f>AVERAGEIFS(Tracker!I:I, Tracker!E:E, 2, Tracker!G:G, "&lt;="&amp;Daily!C266, Tracker!J:J, "Y")</f>
        <v>25.767955801104971</v>
      </c>
      <c r="AE266" s="76">
        <f>COUNTIFS(Tracker!E:E, 2, Tracker!G:G, "&lt;="&amp;Daily!C266, Tracker!L:L, "N") / AA266</f>
        <v>0.6160714285714286</v>
      </c>
      <c r="AF266" s="38">
        <f t="shared" si="126"/>
        <v>42</v>
      </c>
      <c r="AG266" s="30">
        <f t="shared" si="127"/>
        <v>27</v>
      </c>
      <c r="AH266" s="73">
        <f t="shared" si="128"/>
        <v>0.6428571428571429</v>
      </c>
      <c r="AI266" s="75">
        <f>IFERROR(AVERAGEIFS(Tracker!I:I, Tracker!E:E, 3, Tracker!G:G, "&lt;="&amp;Daily!C266, Tracker!J:J, "Y"), 0)</f>
        <v>40.074074074074076</v>
      </c>
      <c r="AJ266" s="76">
        <f>IFERROR(COUNTIFS(Tracker!E:E, 3, Tracker!G:G, "&lt;="&amp;Daily!C266, Tracker!L:L, "N") / AF266,  0)</f>
        <v>0.35714285714285715</v>
      </c>
      <c r="AK266" s="38">
        <f t="shared" si="129"/>
        <v>360</v>
      </c>
      <c r="AL266" s="30">
        <f t="shared" si="130"/>
        <v>298</v>
      </c>
      <c r="AM266" s="73">
        <f t="shared" si="131"/>
        <v>0.82777777777777772</v>
      </c>
      <c r="AN266" s="75">
        <f>IFERROR(AVERAGEIFS(Tracker!I:I,  Tracker!G:G, "&lt;="&amp;Daily!C266, Tracker!J:J, "Y"), 0)</f>
        <v>23.026845637583893</v>
      </c>
      <c r="AO266" s="76">
        <f>IFERROR(COUNTIFS(Tracker!G:G, "&lt;="&amp;Daily!C266, Tracker!L:L, "N") / AK266,  0)</f>
        <v>0.63611111111111107</v>
      </c>
    </row>
    <row r="267" spans="1:41" x14ac:dyDescent="0.25">
      <c r="A267" s="119"/>
      <c r="B267" s="32">
        <f t="shared" si="115"/>
        <v>45482</v>
      </c>
      <c r="C267" s="27">
        <f t="shared" si="132"/>
        <v>45482</v>
      </c>
      <c r="D267" s="109" t="b">
        <f t="shared" ca="1" si="133"/>
        <v>1</v>
      </c>
      <c r="E267" s="51">
        <f t="shared" si="116"/>
        <v>2</v>
      </c>
      <c r="F267" s="48">
        <f>COUNTIFS(Tracker!G:G,Daily!C267, Tracker!J:J,"Y")</f>
        <v>2</v>
      </c>
      <c r="G267" s="26">
        <f>COUNTIFS(Tracker!G:G,Daily!C267, Tracker!J:J,"Y (with hints)")</f>
        <v>0</v>
      </c>
      <c r="H267" s="33">
        <f>COUNTIFS(Tracker!G:G,Daily!C267, Tracker!J:J,"N")</f>
        <v>0</v>
      </c>
      <c r="I267" s="54">
        <f t="shared" si="117"/>
        <v>0</v>
      </c>
      <c r="J267" s="26">
        <f>COUNTIFS(Tracker!G:G,Daily!C267, Tracker!J:J,"Y",Tracker!E:E,1)</f>
        <v>0</v>
      </c>
      <c r="K267" s="26">
        <f>COUNTIFS(Tracker!G:G,Daily!C267, Tracker!J:J,"Y (with hints)",Tracker!E:E,1)</f>
        <v>0</v>
      </c>
      <c r="L267" s="33">
        <f>COUNTIFS(Tracker!G:G,Daily!C267, Tracker!J:J,"N",Tracker!E:E,1)</f>
        <v>0</v>
      </c>
      <c r="M267" s="54">
        <f t="shared" si="118"/>
        <v>2</v>
      </c>
      <c r="N267" s="26">
        <f>COUNTIFS(Tracker!G:G,Daily!C267, Tracker!J:J,"Y",Tracker!E:E,2)</f>
        <v>2</v>
      </c>
      <c r="O267" s="26">
        <f>COUNTIFS(Tracker!G:G,Daily!C267, Tracker!J:J,"Y (with hints)",Tracker!E:E,2)</f>
        <v>0</v>
      </c>
      <c r="P267" s="33">
        <f>COUNTIFS(Tracker!G:G,Daily!C267, Tracker!J:J,"N",Tracker!E:E,2)</f>
        <v>0</v>
      </c>
      <c r="Q267" s="57">
        <f t="shared" si="119"/>
        <v>0</v>
      </c>
      <c r="R267" s="26">
        <f>COUNTIFS(Tracker!G:G,Daily!C267, Tracker!J:J,"Y",Tracker!E:E,3)</f>
        <v>0</v>
      </c>
      <c r="S267" s="26">
        <f>COUNTIFS(Tracker!G:G,Daily!C267, Tracker!J:J,"Y (with hints)",Tracker!E:E,3)</f>
        <v>0</v>
      </c>
      <c r="T267" s="33">
        <f>COUNTIFS(Tracker!G:G,Daily!C267, Tracker!J:J,"N",Tracker!E:E,3)</f>
        <v>0</v>
      </c>
      <c r="V267" s="48">
        <f t="shared" si="120"/>
        <v>94</v>
      </c>
      <c r="W267" s="26">
        <f t="shared" si="121"/>
        <v>90</v>
      </c>
      <c r="X267" s="62">
        <f t="shared" si="122"/>
        <v>0.95744680851063835</v>
      </c>
      <c r="Y267" s="74">
        <f>AVERAGEIFS(Tracker!I:I, Tracker!E:E, 1, Tracker!G:G, "&lt;="&amp;Daily!C267, Tracker!J:J, "Y")</f>
        <v>12.4</v>
      </c>
      <c r="Z267" s="77">
        <f>COUNTIFS(Tracker!E:E, 1, Tracker!G:G, "&lt;="&amp;Daily!C267, Tracker!L:L, "N") / V267</f>
        <v>0.80851063829787229</v>
      </c>
      <c r="AA267" s="48">
        <f t="shared" si="123"/>
        <v>226</v>
      </c>
      <c r="AB267" s="26">
        <f t="shared" si="124"/>
        <v>183</v>
      </c>
      <c r="AC267" s="62">
        <f t="shared" si="125"/>
        <v>0.80973451327433632</v>
      </c>
      <c r="AD267" s="74">
        <f>AVERAGEIFS(Tracker!I:I, Tracker!E:E, 2, Tracker!G:G, "&lt;="&amp;Daily!C267, Tracker!J:J, "Y")</f>
        <v>25.928961748633881</v>
      </c>
      <c r="AE267" s="77">
        <f>COUNTIFS(Tracker!E:E, 2, Tracker!G:G, "&lt;="&amp;Daily!C267, Tracker!L:L, "N") / AA267</f>
        <v>0.61504424778761058</v>
      </c>
      <c r="AF267" s="48">
        <f t="shared" si="126"/>
        <v>42</v>
      </c>
      <c r="AG267" s="26">
        <f t="shared" si="127"/>
        <v>27</v>
      </c>
      <c r="AH267" s="62">
        <f t="shared" si="128"/>
        <v>0.6428571428571429</v>
      </c>
      <c r="AI267" s="74">
        <f>IFERROR(AVERAGEIFS(Tracker!I:I, Tracker!E:E, 3, Tracker!G:G, "&lt;="&amp;Daily!C267, Tracker!J:J, "Y"), 0)</f>
        <v>40.074074074074076</v>
      </c>
      <c r="AJ267" s="77">
        <f>IFERROR(COUNTIFS(Tracker!E:E, 3, Tracker!G:G, "&lt;="&amp;Daily!C267, Tracker!L:L, "N") / AF267,  0)</f>
        <v>0.35714285714285715</v>
      </c>
      <c r="AK267" s="48">
        <f t="shared" si="129"/>
        <v>362</v>
      </c>
      <c r="AL267" s="26">
        <f t="shared" si="130"/>
        <v>300</v>
      </c>
      <c r="AM267" s="62">
        <f t="shared" si="131"/>
        <v>0.82872928176795579</v>
      </c>
      <c r="AN267" s="74">
        <f>IFERROR(AVERAGEIFS(Tracker!I:I,  Tracker!G:G, "&lt;="&amp;Daily!C267, Tracker!J:J, "Y"), 0)</f>
        <v>23.143333333333334</v>
      </c>
      <c r="AO267" s="77">
        <f>IFERROR(COUNTIFS(Tracker!G:G, "&lt;="&amp;Daily!C267, Tracker!L:L, "N") / AK267,  0)</f>
        <v>0.63535911602209949</v>
      </c>
    </row>
    <row r="268" spans="1:41" x14ac:dyDescent="0.25">
      <c r="A268" s="119"/>
      <c r="B268" s="32">
        <f t="shared" ref="B268:B331" si="134">C268</f>
        <v>45483</v>
      </c>
      <c r="C268" s="27">
        <f t="shared" si="132"/>
        <v>45483</v>
      </c>
      <c r="D268" s="109" t="b">
        <f t="shared" ca="1" si="133"/>
        <v>1</v>
      </c>
      <c r="E268" s="51">
        <f t="shared" ref="E268:E331" si="135">SUM(F268:H268)</f>
        <v>2</v>
      </c>
      <c r="F268" s="48">
        <f>COUNTIFS(Tracker!G:G,Daily!C268, Tracker!J:J,"Y")</f>
        <v>0</v>
      </c>
      <c r="G268" s="26">
        <f>COUNTIFS(Tracker!G:G,Daily!C268, Tracker!J:J,"Y (with hints)")</f>
        <v>0</v>
      </c>
      <c r="H268" s="33">
        <f>COUNTIFS(Tracker!G:G,Daily!C268, Tracker!J:J,"N")</f>
        <v>2</v>
      </c>
      <c r="I268" s="54">
        <f t="shared" ref="I268:I331" si="136">SUM(J268:L268)</f>
        <v>0</v>
      </c>
      <c r="J268" s="26">
        <f>COUNTIFS(Tracker!G:G,Daily!C268, Tracker!J:J,"Y",Tracker!E:E,1)</f>
        <v>0</v>
      </c>
      <c r="K268" s="26">
        <f>COUNTIFS(Tracker!G:G,Daily!C268, Tracker!J:J,"Y (with hints)",Tracker!E:E,1)</f>
        <v>0</v>
      </c>
      <c r="L268" s="33">
        <f>COUNTIFS(Tracker!G:G,Daily!C268, Tracker!J:J,"N",Tracker!E:E,1)</f>
        <v>0</v>
      </c>
      <c r="M268" s="54">
        <f t="shared" ref="M268:M331" si="137">SUM(N268:P268)</f>
        <v>2</v>
      </c>
      <c r="N268" s="26">
        <f>COUNTIFS(Tracker!G:G,Daily!C268, Tracker!J:J,"Y",Tracker!E:E,2)</f>
        <v>0</v>
      </c>
      <c r="O268" s="26">
        <f>COUNTIFS(Tracker!G:G,Daily!C268, Tracker!J:J,"Y (with hints)",Tracker!E:E,2)</f>
        <v>0</v>
      </c>
      <c r="P268" s="33">
        <f>COUNTIFS(Tracker!G:G,Daily!C268, Tracker!J:J,"N",Tracker!E:E,2)</f>
        <v>2</v>
      </c>
      <c r="Q268" s="57">
        <f t="shared" ref="Q268:Q331" si="138">SUM(R268:T268)</f>
        <v>0</v>
      </c>
      <c r="R268" s="26">
        <f>COUNTIFS(Tracker!G:G,Daily!C268, Tracker!J:J,"Y",Tracker!E:E,3)</f>
        <v>0</v>
      </c>
      <c r="S268" s="26">
        <f>COUNTIFS(Tracker!G:G,Daily!C268, Tracker!J:J,"Y (with hints)",Tracker!E:E,3)</f>
        <v>0</v>
      </c>
      <c r="T268" s="33">
        <f>COUNTIFS(Tracker!G:G,Daily!C268, Tracker!J:J,"N",Tracker!E:E,3)</f>
        <v>0</v>
      </c>
      <c r="V268" s="48">
        <f t="shared" ref="V268:V331" si="139">V267+I268</f>
        <v>94</v>
      </c>
      <c r="W268" s="26">
        <f t="shared" ref="W268:W331" si="140">W267+J268</f>
        <v>90</v>
      </c>
      <c r="X268" s="62">
        <f t="shared" ref="X268:X331" si="141">W268/V268</f>
        <v>0.95744680851063835</v>
      </c>
      <c r="Y268" s="74">
        <f>AVERAGEIFS(Tracker!I:I, Tracker!E:E, 1, Tracker!G:G, "&lt;="&amp;Daily!C268, Tracker!J:J, "Y")</f>
        <v>12.4</v>
      </c>
      <c r="Z268" s="77">
        <f>COUNTIFS(Tracker!E:E, 1, Tracker!G:G, "&lt;="&amp;Daily!C268, Tracker!L:L, "N") / V268</f>
        <v>0.80851063829787229</v>
      </c>
      <c r="AA268" s="48">
        <f t="shared" ref="AA268:AA331" si="142">AA267+M268</f>
        <v>228</v>
      </c>
      <c r="AB268" s="26">
        <f t="shared" ref="AB268:AB331" si="143">AB267+N268</f>
        <v>183</v>
      </c>
      <c r="AC268" s="62">
        <f t="shared" ref="AC268:AC331" si="144">AB268/AA268</f>
        <v>0.80263157894736847</v>
      </c>
      <c r="AD268" s="74">
        <f>AVERAGEIFS(Tracker!I:I, Tracker!E:E, 2, Tracker!G:G, "&lt;="&amp;Daily!C268, Tracker!J:J, "Y")</f>
        <v>25.928961748633881</v>
      </c>
      <c r="AE268" s="77">
        <f>COUNTIFS(Tracker!E:E, 2, Tracker!G:G, "&lt;="&amp;Daily!C268, Tracker!L:L, "N") / AA268</f>
        <v>0.60964912280701755</v>
      </c>
      <c r="AF268" s="48">
        <f t="shared" ref="AF268:AF331" si="145">AF267+Q268</f>
        <v>42</v>
      </c>
      <c r="AG268" s="26">
        <f t="shared" ref="AG268:AG331" si="146">AG267+R268</f>
        <v>27</v>
      </c>
      <c r="AH268" s="62">
        <f t="shared" ref="AH268:AH331" si="147">IFERROR(AG268/AF268, 0)</f>
        <v>0.6428571428571429</v>
      </c>
      <c r="AI268" s="74">
        <f>IFERROR(AVERAGEIFS(Tracker!I:I, Tracker!E:E, 3, Tracker!G:G, "&lt;="&amp;Daily!C268, Tracker!J:J, "Y"), 0)</f>
        <v>40.074074074074076</v>
      </c>
      <c r="AJ268" s="77">
        <f>IFERROR(COUNTIFS(Tracker!E:E, 3, Tracker!G:G, "&lt;="&amp;Daily!C268, Tracker!L:L, "N") / AF268,  0)</f>
        <v>0.35714285714285715</v>
      </c>
      <c r="AK268" s="48">
        <f t="shared" ref="AK268:AK331" si="148">V268+AA268+AF268</f>
        <v>364</v>
      </c>
      <c r="AL268" s="26">
        <f t="shared" ref="AL268:AL331" si="149">W268+AB268+AG268</f>
        <v>300</v>
      </c>
      <c r="AM268" s="62">
        <f t="shared" ref="AM268:AM331" si="150">IFERROR(AL268/AK268, 0)</f>
        <v>0.82417582417582413</v>
      </c>
      <c r="AN268" s="74">
        <f>IFERROR(AVERAGEIFS(Tracker!I:I,  Tracker!G:G, "&lt;="&amp;Daily!C268, Tracker!J:J, "Y"), 0)</f>
        <v>23.143333333333334</v>
      </c>
      <c r="AO268" s="77">
        <f>IFERROR(COUNTIFS(Tracker!G:G, "&lt;="&amp;Daily!C268, Tracker!L:L, "N") / AK268,  0)</f>
        <v>0.63186813186813184</v>
      </c>
    </row>
    <row r="269" spans="1:41" x14ac:dyDescent="0.25">
      <c r="A269" s="119"/>
      <c r="B269" s="32">
        <f t="shared" si="134"/>
        <v>45484</v>
      </c>
      <c r="C269" s="27">
        <f t="shared" si="132"/>
        <v>45484</v>
      </c>
      <c r="D269" s="109" t="b">
        <f t="shared" ca="1" si="133"/>
        <v>1</v>
      </c>
      <c r="E269" s="51">
        <f t="shared" si="135"/>
        <v>1</v>
      </c>
      <c r="F269" s="48">
        <f>COUNTIFS(Tracker!G:G,Daily!C269, Tracker!J:J,"Y")</f>
        <v>1</v>
      </c>
      <c r="G269" s="26">
        <f>COUNTIFS(Tracker!G:G,Daily!C269, Tracker!J:J,"Y (with hints)")</f>
        <v>0</v>
      </c>
      <c r="H269" s="33">
        <f>COUNTIFS(Tracker!G:G,Daily!C269, Tracker!J:J,"N")</f>
        <v>0</v>
      </c>
      <c r="I269" s="54">
        <f t="shared" si="136"/>
        <v>0</v>
      </c>
      <c r="J269" s="26">
        <f>COUNTIFS(Tracker!G:G,Daily!C269, Tracker!J:J,"Y",Tracker!E:E,1)</f>
        <v>0</v>
      </c>
      <c r="K269" s="26">
        <f>COUNTIFS(Tracker!G:G,Daily!C269, Tracker!J:J,"Y (with hints)",Tracker!E:E,1)</f>
        <v>0</v>
      </c>
      <c r="L269" s="33">
        <f>COUNTIFS(Tracker!G:G,Daily!C269, Tracker!J:J,"N",Tracker!E:E,1)</f>
        <v>0</v>
      </c>
      <c r="M269" s="54">
        <f t="shared" si="137"/>
        <v>1</v>
      </c>
      <c r="N269" s="26">
        <f>COUNTIFS(Tracker!G:G,Daily!C269, Tracker!J:J,"Y",Tracker!E:E,2)</f>
        <v>1</v>
      </c>
      <c r="O269" s="26">
        <f>COUNTIFS(Tracker!G:G,Daily!C269, Tracker!J:J,"Y (with hints)",Tracker!E:E,2)</f>
        <v>0</v>
      </c>
      <c r="P269" s="33">
        <f>COUNTIFS(Tracker!G:G,Daily!C269, Tracker!J:J,"N",Tracker!E:E,2)</f>
        <v>0</v>
      </c>
      <c r="Q269" s="57">
        <f t="shared" si="138"/>
        <v>0</v>
      </c>
      <c r="R269" s="26">
        <f>COUNTIFS(Tracker!G:G,Daily!C269, Tracker!J:J,"Y",Tracker!E:E,3)</f>
        <v>0</v>
      </c>
      <c r="S269" s="26">
        <f>COUNTIFS(Tracker!G:G,Daily!C269, Tracker!J:J,"Y (with hints)",Tracker!E:E,3)</f>
        <v>0</v>
      </c>
      <c r="T269" s="33">
        <f>COUNTIFS(Tracker!G:G,Daily!C269, Tracker!J:J,"N",Tracker!E:E,3)</f>
        <v>0</v>
      </c>
      <c r="V269" s="48">
        <f t="shared" si="139"/>
        <v>94</v>
      </c>
      <c r="W269" s="26">
        <f t="shared" si="140"/>
        <v>90</v>
      </c>
      <c r="X269" s="62">
        <f t="shared" si="141"/>
        <v>0.95744680851063835</v>
      </c>
      <c r="Y269" s="74">
        <f>AVERAGEIFS(Tracker!I:I, Tracker!E:E, 1, Tracker!G:G, "&lt;="&amp;Daily!C269, Tracker!J:J, "Y")</f>
        <v>12.4</v>
      </c>
      <c r="Z269" s="77">
        <f>COUNTIFS(Tracker!E:E, 1, Tracker!G:G, "&lt;="&amp;Daily!C269, Tracker!L:L, "N") / V269</f>
        <v>0.80851063829787229</v>
      </c>
      <c r="AA269" s="48">
        <f t="shared" si="142"/>
        <v>229</v>
      </c>
      <c r="AB269" s="26">
        <f t="shared" si="143"/>
        <v>184</v>
      </c>
      <c r="AC269" s="62">
        <f t="shared" si="144"/>
        <v>0.80349344978165937</v>
      </c>
      <c r="AD269" s="74">
        <f>AVERAGEIFS(Tracker!I:I, Tracker!E:E, 2, Tracker!G:G, "&lt;="&amp;Daily!C269, Tracker!J:J, "Y")</f>
        <v>25.875</v>
      </c>
      <c r="AE269" s="77">
        <f>COUNTIFS(Tracker!E:E, 2, Tracker!G:G, "&lt;="&amp;Daily!C269, Tracker!L:L, "N") / AA269</f>
        <v>0.611353711790393</v>
      </c>
      <c r="AF269" s="48">
        <f t="shared" si="145"/>
        <v>42</v>
      </c>
      <c r="AG269" s="26">
        <f t="shared" si="146"/>
        <v>27</v>
      </c>
      <c r="AH269" s="62">
        <f t="shared" si="147"/>
        <v>0.6428571428571429</v>
      </c>
      <c r="AI269" s="74">
        <f>IFERROR(AVERAGEIFS(Tracker!I:I, Tracker!E:E, 3, Tracker!G:G, "&lt;="&amp;Daily!C269, Tracker!J:J, "Y"), 0)</f>
        <v>40.074074074074076</v>
      </c>
      <c r="AJ269" s="77">
        <f>IFERROR(COUNTIFS(Tracker!E:E, 3, Tracker!G:G, "&lt;="&amp;Daily!C269, Tracker!L:L, "N") / AF269,  0)</f>
        <v>0.35714285714285715</v>
      </c>
      <c r="AK269" s="48">
        <f t="shared" si="148"/>
        <v>365</v>
      </c>
      <c r="AL269" s="26">
        <f t="shared" si="149"/>
        <v>301</v>
      </c>
      <c r="AM269" s="62">
        <f t="shared" si="150"/>
        <v>0.8246575342465754</v>
      </c>
      <c r="AN269" s="74">
        <f>IFERROR(AVERAGEIFS(Tracker!I:I,  Tracker!G:G, "&lt;="&amp;Daily!C269, Tracker!J:J, "Y"), 0)</f>
        <v>23.119601328903656</v>
      </c>
      <c r="AO269" s="77">
        <f>IFERROR(COUNTIFS(Tracker!G:G, "&lt;="&amp;Daily!C269, Tracker!L:L, "N") / AK269,  0)</f>
        <v>0.63287671232876708</v>
      </c>
    </row>
    <row r="270" spans="1:41" x14ac:dyDescent="0.25">
      <c r="A270" s="119"/>
      <c r="B270" s="32">
        <f t="shared" si="134"/>
        <v>45485</v>
      </c>
      <c r="C270" s="27">
        <f t="shared" si="132"/>
        <v>45485</v>
      </c>
      <c r="D270" s="109" t="b">
        <f t="shared" ca="1" si="133"/>
        <v>1</v>
      </c>
      <c r="E270" s="51">
        <f t="shared" si="135"/>
        <v>1</v>
      </c>
      <c r="F270" s="48">
        <f>COUNTIFS(Tracker!G:G,Daily!C270, Tracker!J:J,"Y")</f>
        <v>1</v>
      </c>
      <c r="G270" s="26">
        <f>COUNTIFS(Tracker!G:G,Daily!C270, Tracker!J:J,"Y (with hints)")</f>
        <v>0</v>
      </c>
      <c r="H270" s="33">
        <f>COUNTIFS(Tracker!G:G,Daily!C270, Tracker!J:J,"N")</f>
        <v>0</v>
      </c>
      <c r="I270" s="54">
        <f t="shared" si="136"/>
        <v>0</v>
      </c>
      <c r="J270" s="26">
        <f>COUNTIFS(Tracker!G:G,Daily!C270, Tracker!J:J,"Y",Tracker!E:E,1)</f>
        <v>0</v>
      </c>
      <c r="K270" s="26">
        <f>COUNTIFS(Tracker!G:G,Daily!C270, Tracker!J:J,"Y (with hints)",Tracker!E:E,1)</f>
        <v>0</v>
      </c>
      <c r="L270" s="33">
        <f>COUNTIFS(Tracker!G:G,Daily!C270, Tracker!J:J,"N",Tracker!E:E,1)</f>
        <v>0</v>
      </c>
      <c r="M270" s="54">
        <f t="shared" si="137"/>
        <v>1</v>
      </c>
      <c r="N270" s="26">
        <f>COUNTIFS(Tracker!G:G,Daily!C270, Tracker!J:J,"Y",Tracker!E:E,2)</f>
        <v>1</v>
      </c>
      <c r="O270" s="26">
        <f>COUNTIFS(Tracker!G:G,Daily!C270, Tracker!J:J,"Y (with hints)",Tracker!E:E,2)</f>
        <v>0</v>
      </c>
      <c r="P270" s="33">
        <f>COUNTIFS(Tracker!G:G,Daily!C270, Tracker!J:J,"N",Tracker!E:E,2)</f>
        <v>0</v>
      </c>
      <c r="Q270" s="57">
        <f t="shared" si="138"/>
        <v>0</v>
      </c>
      <c r="R270" s="26">
        <f>COUNTIFS(Tracker!G:G,Daily!C270, Tracker!J:J,"Y",Tracker!E:E,3)</f>
        <v>0</v>
      </c>
      <c r="S270" s="26">
        <f>COUNTIFS(Tracker!G:G,Daily!C270, Tracker!J:J,"Y (with hints)",Tracker!E:E,3)</f>
        <v>0</v>
      </c>
      <c r="T270" s="33">
        <f>COUNTIFS(Tracker!G:G,Daily!C270, Tracker!J:J,"N",Tracker!E:E,3)</f>
        <v>0</v>
      </c>
      <c r="V270" s="48">
        <f t="shared" si="139"/>
        <v>94</v>
      </c>
      <c r="W270" s="26">
        <f t="shared" si="140"/>
        <v>90</v>
      </c>
      <c r="X270" s="62">
        <f t="shared" si="141"/>
        <v>0.95744680851063835</v>
      </c>
      <c r="Y270" s="74">
        <f>AVERAGEIFS(Tracker!I:I, Tracker!E:E, 1, Tracker!G:G, "&lt;="&amp;Daily!C270, Tracker!J:J, "Y")</f>
        <v>12.4</v>
      </c>
      <c r="Z270" s="77">
        <f>COUNTIFS(Tracker!E:E, 1, Tracker!G:G, "&lt;="&amp;Daily!C270, Tracker!L:L, "N") / V270</f>
        <v>0.80851063829787229</v>
      </c>
      <c r="AA270" s="48">
        <f t="shared" si="142"/>
        <v>230</v>
      </c>
      <c r="AB270" s="26">
        <f t="shared" si="143"/>
        <v>185</v>
      </c>
      <c r="AC270" s="62">
        <f t="shared" si="144"/>
        <v>0.80434782608695654</v>
      </c>
      <c r="AD270" s="74">
        <f>AVERAGEIFS(Tracker!I:I, Tracker!E:E, 2, Tracker!G:G, "&lt;="&amp;Daily!C270, Tracker!J:J, "Y")</f>
        <v>25.859459459459458</v>
      </c>
      <c r="AE270" s="77">
        <f>COUNTIFS(Tracker!E:E, 2, Tracker!G:G, "&lt;="&amp;Daily!C270, Tracker!L:L, "N") / AA270</f>
        <v>0.61304347826086958</v>
      </c>
      <c r="AF270" s="48">
        <f t="shared" si="145"/>
        <v>42</v>
      </c>
      <c r="AG270" s="26">
        <f t="shared" si="146"/>
        <v>27</v>
      </c>
      <c r="AH270" s="62">
        <f t="shared" si="147"/>
        <v>0.6428571428571429</v>
      </c>
      <c r="AI270" s="74">
        <f>IFERROR(AVERAGEIFS(Tracker!I:I, Tracker!E:E, 3, Tracker!G:G, "&lt;="&amp;Daily!C270, Tracker!J:J, "Y"), 0)</f>
        <v>40.074074074074076</v>
      </c>
      <c r="AJ270" s="77">
        <f>IFERROR(COUNTIFS(Tracker!E:E, 3, Tracker!G:G, "&lt;="&amp;Daily!C270, Tracker!L:L, "N") / AF270,  0)</f>
        <v>0.35714285714285715</v>
      </c>
      <c r="AK270" s="48">
        <f t="shared" si="148"/>
        <v>366</v>
      </c>
      <c r="AL270" s="26">
        <f t="shared" si="149"/>
        <v>302</v>
      </c>
      <c r="AM270" s="62">
        <f t="shared" si="150"/>
        <v>0.82513661202185795</v>
      </c>
      <c r="AN270" s="74">
        <f>IFERROR(AVERAGEIFS(Tracker!I:I,  Tracker!G:G, "&lt;="&amp;Daily!C270, Tracker!J:J, "Y"), 0)</f>
        <v>23.119205298013245</v>
      </c>
      <c r="AO270" s="77">
        <f>IFERROR(COUNTIFS(Tracker!G:G, "&lt;="&amp;Daily!C270, Tracker!L:L, "N") / AK270,  0)</f>
        <v>0.63387978142076506</v>
      </c>
    </row>
    <row r="271" spans="1:41" x14ac:dyDescent="0.25">
      <c r="A271" s="119"/>
      <c r="B271" s="32">
        <f t="shared" si="134"/>
        <v>45486</v>
      </c>
      <c r="C271" s="27">
        <f t="shared" ref="C271:C334" si="151">C264+7</f>
        <v>45486</v>
      </c>
      <c r="D271" s="109" t="b">
        <f t="shared" ca="1" si="133"/>
        <v>1</v>
      </c>
      <c r="E271" s="51">
        <f t="shared" si="135"/>
        <v>0</v>
      </c>
      <c r="F271" s="48">
        <f>COUNTIFS(Tracker!G:G,Daily!C271, Tracker!J:J,"Y")</f>
        <v>0</v>
      </c>
      <c r="G271" s="26">
        <f>COUNTIFS(Tracker!G:G,Daily!C271, Tracker!J:J,"Y (with hints)")</f>
        <v>0</v>
      </c>
      <c r="H271" s="33">
        <f>COUNTIFS(Tracker!G:G,Daily!C271, Tracker!J:J,"N")</f>
        <v>0</v>
      </c>
      <c r="I271" s="54">
        <f t="shared" si="136"/>
        <v>0</v>
      </c>
      <c r="J271" s="26">
        <f>COUNTIFS(Tracker!G:G,Daily!C271, Tracker!J:J,"Y",Tracker!E:E,1)</f>
        <v>0</v>
      </c>
      <c r="K271" s="26">
        <f>COUNTIFS(Tracker!G:G,Daily!C271, Tracker!J:J,"Y (with hints)",Tracker!E:E,1)</f>
        <v>0</v>
      </c>
      <c r="L271" s="33">
        <f>COUNTIFS(Tracker!G:G,Daily!C271, Tracker!J:J,"N",Tracker!E:E,1)</f>
        <v>0</v>
      </c>
      <c r="M271" s="54">
        <f t="shared" si="137"/>
        <v>0</v>
      </c>
      <c r="N271" s="26">
        <f>COUNTIFS(Tracker!G:G,Daily!C271, Tracker!J:J,"Y",Tracker!E:E,2)</f>
        <v>0</v>
      </c>
      <c r="O271" s="26">
        <f>COUNTIFS(Tracker!G:G,Daily!C271, Tracker!J:J,"Y (with hints)",Tracker!E:E,2)</f>
        <v>0</v>
      </c>
      <c r="P271" s="33">
        <f>COUNTIFS(Tracker!G:G,Daily!C271, Tracker!J:J,"N",Tracker!E:E,2)</f>
        <v>0</v>
      </c>
      <c r="Q271" s="57">
        <f t="shared" si="138"/>
        <v>0</v>
      </c>
      <c r="R271" s="26">
        <f>COUNTIFS(Tracker!G:G,Daily!C271, Tracker!J:J,"Y",Tracker!E:E,3)</f>
        <v>0</v>
      </c>
      <c r="S271" s="26">
        <f>COUNTIFS(Tracker!G:G,Daily!C271, Tracker!J:J,"Y (with hints)",Tracker!E:E,3)</f>
        <v>0</v>
      </c>
      <c r="T271" s="33">
        <f>COUNTIFS(Tracker!G:G,Daily!C271, Tracker!J:J,"N",Tracker!E:E,3)</f>
        <v>0</v>
      </c>
      <c r="V271" s="48">
        <f t="shared" si="139"/>
        <v>94</v>
      </c>
      <c r="W271" s="26">
        <f t="shared" si="140"/>
        <v>90</v>
      </c>
      <c r="X271" s="62">
        <f t="shared" si="141"/>
        <v>0.95744680851063835</v>
      </c>
      <c r="Y271" s="74">
        <f>AVERAGEIFS(Tracker!I:I, Tracker!E:E, 1, Tracker!G:G, "&lt;="&amp;Daily!C271, Tracker!J:J, "Y")</f>
        <v>12.4</v>
      </c>
      <c r="Z271" s="77">
        <f>COUNTIFS(Tracker!E:E, 1, Tracker!G:G, "&lt;="&amp;Daily!C271, Tracker!L:L, "N") / V271</f>
        <v>0.80851063829787229</v>
      </c>
      <c r="AA271" s="48">
        <f t="shared" si="142"/>
        <v>230</v>
      </c>
      <c r="AB271" s="26">
        <f t="shared" si="143"/>
        <v>185</v>
      </c>
      <c r="AC271" s="62">
        <f t="shared" si="144"/>
        <v>0.80434782608695654</v>
      </c>
      <c r="AD271" s="74">
        <f>AVERAGEIFS(Tracker!I:I, Tracker!E:E, 2, Tracker!G:G, "&lt;="&amp;Daily!C271, Tracker!J:J, "Y")</f>
        <v>25.859459459459458</v>
      </c>
      <c r="AE271" s="77">
        <f>COUNTIFS(Tracker!E:E, 2, Tracker!G:G, "&lt;="&amp;Daily!C271, Tracker!L:L, "N") / AA271</f>
        <v>0.61304347826086958</v>
      </c>
      <c r="AF271" s="48">
        <f t="shared" si="145"/>
        <v>42</v>
      </c>
      <c r="AG271" s="26">
        <f t="shared" si="146"/>
        <v>27</v>
      </c>
      <c r="AH271" s="62">
        <f t="shared" si="147"/>
        <v>0.6428571428571429</v>
      </c>
      <c r="AI271" s="74">
        <f>IFERROR(AVERAGEIFS(Tracker!I:I, Tracker!E:E, 3, Tracker!G:G, "&lt;="&amp;Daily!C271, Tracker!J:J, "Y"), 0)</f>
        <v>40.074074074074076</v>
      </c>
      <c r="AJ271" s="77">
        <f>IFERROR(COUNTIFS(Tracker!E:E, 3, Tracker!G:G, "&lt;="&amp;Daily!C271, Tracker!L:L, "N") / AF271,  0)</f>
        <v>0.35714285714285715</v>
      </c>
      <c r="AK271" s="48">
        <f t="shared" si="148"/>
        <v>366</v>
      </c>
      <c r="AL271" s="26">
        <f t="shared" si="149"/>
        <v>302</v>
      </c>
      <c r="AM271" s="62">
        <f t="shared" si="150"/>
        <v>0.82513661202185795</v>
      </c>
      <c r="AN271" s="74">
        <f>IFERROR(AVERAGEIFS(Tracker!I:I,  Tracker!G:G, "&lt;="&amp;Daily!C271, Tracker!J:J, "Y"), 0)</f>
        <v>23.119205298013245</v>
      </c>
      <c r="AO271" s="77">
        <f>IFERROR(COUNTIFS(Tracker!G:G, "&lt;="&amp;Daily!C271, Tracker!L:L, "N") / AK271,  0)</f>
        <v>0.63387978142076506</v>
      </c>
    </row>
    <row r="272" spans="1:41" ht="15.75" thickBot="1" x14ac:dyDescent="0.3">
      <c r="A272" s="120"/>
      <c r="B272" s="34">
        <f t="shared" si="134"/>
        <v>45487</v>
      </c>
      <c r="C272" s="35">
        <f t="shared" si="151"/>
        <v>45487</v>
      </c>
      <c r="D272" s="110" t="b">
        <f t="shared" ca="1" si="133"/>
        <v>1</v>
      </c>
      <c r="E272" s="52">
        <f t="shared" si="135"/>
        <v>0</v>
      </c>
      <c r="F272" s="39">
        <f>COUNTIFS(Tracker!G:G,Daily!C272, Tracker!J:J,"Y")</f>
        <v>0</v>
      </c>
      <c r="G272" s="36">
        <f>COUNTIFS(Tracker!G:G,Daily!C272, Tracker!J:J,"Y (with hints)")</f>
        <v>0</v>
      </c>
      <c r="H272" s="37">
        <f>COUNTIFS(Tracker!G:G,Daily!C272, Tracker!J:J,"N")</f>
        <v>0</v>
      </c>
      <c r="I272" s="55">
        <f t="shared" si="136"/>
        <v>0</v>
      </c>
      <c r="J272" s="36">
        <f>COUNTIFS(Tracker!G:G,Daily!C272, Tracker!J:J,"Y",Tracker!E:E,1)</f>
        <v>0</v>
      </c>
      <c r="K272" s="36">
        <f>COUNTIFS(Tracker!G:G,Daily!C272, Tracker!J:J,"Y (with hints)",Tracker!E:E,1)</f>
        <v>0</v>
      </c>
      <c r="L272" s="37">
        <f>COUNTIFS(Tracker!G:G,Daily!C272, Tracker!J:J,"N",Tracker!E:E,1)</f>
        <v>0</v>
      </c>
      <c r="M272" s="55">
        <f t="shared" si="137"/>
        <v>0</v>
      </c>
      <c r="N272" s="36">
        <f>COUNTIFS(Tracker!G:G,Daily!C272, Tracker!J:J,"Y",Tracker!E:E,2)</f>
        <v>0</v>
      </c>
      <c r="O272" s="36">
        <f>COUNTIFS(Tracker!G:G,Daily!C272, Tracker!J:J,"Y (with hints)",Tracker!E:E,2)</f>
        <v>0</v>
      </c>
      <c r="P272" s="37">
        <f>COUNTIFS(Tracker!G:G,Daily!C272, Tracker!J:J,"N",Tracker!E:E,2)</f>
        <v>0</v>
      </c>
      <c r="Q272" s="58">
        <f t="shared" si="138"/>
        <v>0</v>
      </c>
      <c r="R272" s="36">
        <f>COUNTIFS(Tracker!G:G,Daily!C272, Tracker!J:J,"Y",Tracker!E:E,3)</f>
        <v>0</v>
      </c>
      <c r="S272" s="36">
        <f>COUNTIFS(Tracker!G:G,Daily!C272, Tracker!J:J,"Y (with hints)",Tracker!E:E,3)</f>
        <v>0</v>
      </c>
      <c r="T272" s="37">
        <f>COUNTIFS(Tracker!G:G,Daily!C272, Tracker!J:J,"N",Tracker!E:E,3)</f>
        <v>0</v>
      </c>
      <c r="V272" s="39">
        <f t="shared" si="139"/>
        <v>94</v>
      </c>
      <c r="W272" s="36">
        <f t="shared" si="140"/>
        <v>90</v>
      </c>
      <c r="X272" s="64">
        <f t="shared" si="141"/>
        <v>0.95744680851063835</v>
      </c>
      <c r="Y272" s="78">
        <f>AVERAGEIFS(Tracker!I:I, Tracker!E:E, 1, Tracker!G:G, "&lt;="&amp;Daily!C272, Tracker!J:J, "Y")</f>
        <v>12.4</v>
      </c>
      <c r="Z272" s="79">
        <f>COUNTIFS(Tracker!E:E, 1, Tracker!G:G, "&lt;="&amp;Daily!C272, Tracker!L:L, "N") / V272</f>
        <v>0.80851063829787229</v>
      </c>
      <c r="AA272" s="39">
        <f t="shared" si="142"/>
        <v>230</v>
      </c>
      <c r="AB272" s="36">
        <f t="shared" si="143"/>
        <v>185</v>
      </c>
      <c r="AC272" s="64">
        <f t="shared" si="144"/>
        <v>0.80434782608695654</v>
      </c>
      <c r="AD272" s="78">
        <f>AVERAGEIFS(Tracker!I:I, Tracker!E:E, 2, Tracker!G:G, "&lt;="&amp;Daily!C272, Tracker!J:J, "Y")</f>
        <v>25.859459459459458</v>
      </c>
      <c r="AE272" s="79">
        <f>COUNTIFS(Tracker!E:E, 2, Tracker!G:G, "&lt;="&amp;Daily!C272, Tracker!L:L, "N") / AA272</f>
        <v>0.61304347826086958</v>
      </c>
      <c r="AF272" s="39">
        <f t="shared" si="145"/>
        <v>42</v>
      </c>
      <c r="AG272" s="36">
        <f t="shared" si="146"/>
        <v>27</v>
      </c>
      <c r="AH272" s="64">
        <f t="shared" si="147"/>
        <v>0.6428571428571429</v>
      </c>
      <c r="AI272" s="78">
        <f>IFERROR(AVERAGEIFS(Tracker!I:I, Tracker!E:E, 3, Tracker!G:G, "&lt;="&amp;Daily!C272, Tracker!J:J, "Y"), 0)</f>
        <v>40.074074074074076</v>
      </c>
      <c r="AJ272" s="79">
        <f>IFERROR(COUNTIFS(Tracker!E:E, 3, Tracker!G:G, "&lt;="&amp;Daily!C272, Tracker!L:L, "N") / AF272,  0)</f>
        <v>0.35714285714285715</v>
      </c>
      <c r="AK272" s="39">
        <f t="shared" si="148"/>
        <v>366</v>
      </c>
      <c r="AL272" s="36">
        <f t="shared" si="149"/>
        <v>302</v>
      </c>
      <c r="AM272" s="64">
        <f t="shared" si="150"/>
        <v>0.82513661202185795</v>
      </c>
      <c r="AN272" s="78">
        <f>IFERROR(AVERAGEIFS(Tracker!I:I,  Tracker!G:G, "&lt;="&amp;Daily!C272, Tracker!J:J, "Y"), 0)</f>
        <v>23.119205298013245</v>
      </c>
      <c r="AO272" s="79">
        <f>IFERROR(COUNTIFS(Tracker!G:G, "&lt;="&amp;Daily!C272, Tracker!L:L, "N") / AK272,  0)</f>
        <v>0.63387978142076506</v>
      </c>
    </row>
    <row r="273" spans="1:41" x14ac:dyDescent="0.25">
      <c r="A273" s="118">
        <f>A266+1</f>
        <v>39</v>
      </c>
      <c r="B273" s="28">
        <f t="shared" si="134"/>
        <v>45488</v>
      </c>
      <c r="C273" s="29">
        <f t="shared" si="151"/>
        <v>45488</v>
      </c>
      <c r="D273" s="108" t="b">
        <f t="shared" ca="1" si="133"/>
        <v>1</v>
      </c>
      <c r="E273" s="50">
        <f t="shared" si="135"/>
        <v>1</v>
      </c>
      <c r="F273" s="38">
        <f>COUNTIFS(Tracker!G:G,Daily!C273, Tracker!J:J,"Y")</f>
        <v>1</v>
      </c>
      <c r="G273" s="30">
        <f>COUNTIFS(Tracker!G:G,Daily!C273, Tracker!J:J,"Y (with hints)")</f>
        <v>0</v>
      </c>
      <c r="H273" s="31">
        <f>COUNTIFS(Tracker!G:G,Daily!C273, Tracker!J:J,"N")</f>
        <v>0</v>
      </c>
      <c r="I273" s="53">
        <f t="shared" si="136"/>
        <v>0</v>
      </c>
      <c r="J273" s="30">
        <f>COUNTIFS(Tracker!G:G,Daily!C273, Tracker!J:J,"Y",Tracker!E:E,1)</f>
        <v>0</v>
      </c>
      <c r="K273" s="30">
        <f>COUNTIFS(Tracker!G:G,Daily!C273, Tracker!J:J,"Y (with hints)",Tracker!E:E,1)</f>
        <v>0</v>
      </c>
      <c r="L273" s="31">
        <f>COUNTIFS(Tracker!G:G,Daily!C273, Tracker!J:J,"N",Tracker!E:E,1)</f>
        <v>0</v>
      </c>
      <c r="M273" s="53">
        <f t="shared" si="137"/>
        <v>1</v>
      </c>
      <c r="N273" s="30">
        <f>COUNTIFS(Tracker!G:G,Daily!C273, Tracker!J:J,"Y",Tracker!E:E,2)</f>
        <v>1</v>
      </c>
      <c r="O273" s="30">
        <f>COUNTIFS(Tracker!G:G,Daily!C273, Tracker!J:J,"Y (with hints)",Tracker!E:E,2)</f>
        <v>0</v>
      </c>
      <c r="P273" s="31">
        <f>COUNTIFS(Tracker!G:G,Daily!C273, Tracker!J:J,"N",Tracker!E:E,2)</f>
        <v>0</v>
      </c>
      <c r="Q273" s="56">
        <f t="shared" si="138"/>
        <v>0</v>
      </c>
      <c r="R273" s="30">
        <f>COUNTIFS(Tracker!G:G,Daily!C273, Tracker!J:J,"Y",Tracker!E:E,3)</f>
        <v>0</v>
      </c>
      <c r="S273" s="30">
        <f>COUNTIFS(Tracker!G:G,Daily!C273, Tracker!J:J,"Y (with hints)",Tracker!E:E,3)</f>
        <v>0</v>
      </c>
      <c r="T273" s="31">
        <f>COUNTIFS(Tracker!G:G,Daily!C273, Tracker!J:J,"N",Tracker!E:E,3)</f>
        <v>0</v>
      </c>
      <c r="V273" s="38">
        <f t="shared" si="139"/>
        <v>94</v>
      </c>
      <c r="W273" s="30">
        <f t="shared" si="140"/>
        <v>90</v>
      </c>
      <c r="X273" s="73">
        <f t="shared" si="141"/>
        <v>0.95744680851063835</v>
      </c>
      <c r="Y273" s="75">
        <f>AVERAGEIFS(Tracker!I:I, Tracker!E:E, 1, Tracker!G:G, "&lt;="&amp;Daily!C273, Tracker!J:J, "Y")</f>
        <v>12.4</v>
      </c>
      <c r="Z273" s="76">
        <f>COUNTIFS(Tracker!E:E, 1, Tracker!G:G, "&lt;="&amp;Daily!C273, Tracker!L:L, "N") / V273</f>
        <v>0.80851063829787229</v>
      </c>
      <c r="AA273" s="38">
        <f t="shared" si="142"/>
        <v>231</v>
      </c>
      <c r="AB273" s="30">
        <f t="shared" si="143"/>
        <v>186</v>
      </c>
      <c r="AC273" s="73">
        <f t="shared" si="144"/>
        <v>0.80519480519480524</v>
      </c>
      <c r="AD273" s="75">
        <f>AVERAGEIFS(Tracker!I:I, Tracker!E:E, 2, Tracker!G:G, "&lt;="&amp;Daily!C273, Tracker!J:J, "Y")</f>
        <v>25.77956989247312</v>
      </c>
      <c r="AE273" s="76">
        <f>COUNTIFS(Tracker!E:E, 2, Tracker!G:G, "&lt;="&amp;Daily!C273, Tracker!L:L, "N") / AA273</f>
        <v>0.61471861471861466</v>
      </c>
      <c r="AF273" s="38">
        <f t="shared" si="145"/>
        <v>42</v>
      </c>
      <c r="AG273" s="30">
        <f t="shared" si="146"/>
        <v>27</v>
      </c>
      <c r="AH273" s="73">
        <f t="shared" si="147"/>
        <v>0.6428571428571429</v>
      </c>
      <c r="AI273" s="75">
        <f>IFERROR(AVERAGEIFS(Tracker!I:I, Tracker!E:E, 3, Tracker!G:G, "&lt;="&amp;Daily!C273, Tracker!J:J, "Y"), 0)</f>
        <v>40.074074074074076</v>
      </c>
      <c r="AJ273" s="76">
        <f>IFERROR(COUNTIFS(Tracker!E:E, 3, Tracker!G:G, "&lt;="&amp;Daily!C273, Tracker!L:L, "N") / AF273,  0)</f>
        <v>0.35714285714285715</v>
      </c>
      <c r="AK273" s="38">
        <f t="shared" si="148"/>
        <v>367</v>
      </c>
      <c r="AL273" s="30">
        <f t="shared" si="149"/>
        <v>303</v>
      </c>
      <c r="AM273" s="73">
        <f t="shared" si="150"/>
        <v>0.82561307901907355</v>
      </c>
      <c r="AN273" s="75">
        <f>IFERROR(AVERAGEIFS(Tracker!I:I,  Tracker!G:G, "&lt;="&amp;Daily!C273, Tracker!J:J, "Y"), 0)</f>
        <v>23.079207920792079</v>
      </c>
      <c r="AO273" s="76">
        <f>IFERROR(COUNTIFS(Tracker!G:G, "&lt;="&amp;Daily!C273, Tracker!L:L, "N") / AK273,  0)</f>
        <v>0.63487738419618533</v>
      </c>
    </row>
    <row r="274" spans="1:41" x14ac:dyDescent="0.25">
      <c r="A274" s="119"/>
      <c r="B274" s="32">
        <f t="shared" si="134"/>
        <v>45489</v>
      </c>
      <c r="C274" s="27">
        <f t="shared" si="151"/>
        <v>45489</v>
      </c>
      <c r="D274" s="109" t="b">
        <f t="shared" ca="1" si="133"/>
        <v>1</v>
      </c>
      <c r="E274" s="51">
        <f t="shared" si="135"/>
        <v>0</v>
      </c>
      <c r="F274" s="48">
        <f>COUNTIFS(Tracker!G:G,Daily!C274, Tracker!J:J,"Y")</f>
        <v>0</v>
      </c>
      <c r="G274" s="26">
        <f>COUNTIFS(Tracker!G:G,Daily!C274, Tracker!J:J,"Y (with hints)")</f>
        <v>0</v>
      </c>
      <c r="H274" s="33">
        <f>COUNTIFS(Tracker!G:G,Daily!C274, Tracker!J:J,"N")</f>
        <v>0</v>
      </c>
      <c r="I274" s="54">
        <f t="shared" si="136"/>
        <v>0</v>
      </c>
      <c r="J274" s="26">
        <f>COUNTIFS(Tracker!G:G,Daily!C274, Tracker!J:J,"Y",Tracker!E:E,1)</f>
        <v>0</v>
      </c>
      <c r="K274" s="26">
        <f>COUNTIFS(Tracker!G:G,Daily!C274, Tracker!J:J,"Y (with hints)",Tracker!E:E,1)</f>
        <v>0</v>
      </c>
      <c r="L274" s="33">
        <f>COUNTIFS(Tracker!G:G,Daily!C274, Tracker!J:J,"N",Tracker!E:E,1)</f>
        <v>0</v>
      </c>
      <c r="M274" s="54">
        <f t="shared" si="137"/>
        <v>0</v>
      </c>
      <c r="N274" s="26">
        <f>COUNTIFS(Tracker!G:G,Daily!C274, Tracker!J:J,"Y",Tracker!E:E,2)</f>
        <v>0</v>
      </c>
      <c r="O274" s="26">
        <f>COUNTIFS(Tracker!G:G,Daily!C274, Tracker!J:J,"Y (with hints)",Tracker!E:E,2)</f>
        <v>0</v>
      </c>
      <c r="P274" s="33">
        <f>COUNTIFS(Tracker!G:G,Daily!C274, Tracker!J:J,"N",Tracker!E:E,2)</f>
        <v>0</v>
      </c>
      <c r="Q274" s="57">
        <f t="shared" si="138"/>
        <v>0</v>
      </c>
      <c r="R274" s="26">
        <f>COUNTIFS(Tracker!G:G,Daily!C274, Tracker!J:J,"Y",Tracker!E:E,3)</f>
        <v>0</v>
      </c>
      <c r="S274" s="26">
        <f>COUNTIFS(Tracker!G:G,Daily!C274, Tracker!J:J,"Y (with hints)",Tracker!E:E,3)</f>
        <v>0</v>
      </c>
      <c r="T274" s="33">
        <f>COUNTIFS(Tracker!G:G,Daily!C274, Tracker!J:J,"N",Tracker!E:E,3)</f>
        <v>0</v>
      </c>
      <c r="V274" s="48">
        <f t="shared" si="139"/>
        <v>94</v>
      </c>
      <c r="W274" s="26">
        <f t="shared" si="140"/>
        <v>90</v>
      </c>
      <c r="X274" s="62">
        <f t="shared" si="141"/>
        <v>0.95744680851063835</v>
      </c>
      <c r="Y274" s="74">
        <f>AVERAGEIFS(Tracker!I:I, Tracker!E:E, 1, Tracker!G:G, "&lt;="&amp;Daily!C274, Tracker!J:J, "Y")</f>
        <v>12.4</v>
      </c>
      <c r="Z274" s="77">
        <f>COUNTIFS(Tracker!E:E, 1, Tracker!G:G, "&lt;="&amp;Daily!C274, Tracker!L:L, "N") / V274</f>
        <v>0.80851063829787229</v>
      </c>
      <c r="AA274" s="48">
        <f t="shared" si="142"/>
        <v>231</v>
      </c>
      <c r="AB274" s="26">
        <f t="shared" si="143"/>
        <v>186</v>
      </c>
      <c r="AC274" s="62">
        <f t="shared" si="144"/>
        <v>0.80519480519480524</v>
      </c>
      <c r="AD274" s="74">
        <f>AVERAGEIFS(Tracker!I:I, Tracker!E:E, 2, Tracker!G:G, "&lt;="&amp;Daily!C274, Tracker!J:J, "Y")</f>
        <v>25.77956989247312</v>
      </c>
      <c r="AE274" s="77">
        <f>COUNTIFS(Tracker!E:E, 2, Tracker!G:G, "&lt;="&amp;Daily!C274, Tracker!L:L, "N") / AA274</f>
        <v>0.61471861471861466</v>
      </c>
      <c r="AF274" s="48">
        <f t="shared" si="145"/>
        <v>42</v>
      </c>
      <c r="AG274" s="26">
        <f t="shared" si="146"/>
        <v>27</v>
      </c>
      <c r="AH274" s="62">
        <f t="shared" si="147"/>
        <v>0.6428571428571429</v>
      </c>
      <c r="AI274" s="74">
        <f>IFERROR(AVERAGEIFS(Tracker!I:I, Tracker!E:E, 3, Tracker!G:G, "&lt;="&amp;Daily!C274, Tracker!J:J, "Y"), 0)</f>
        <v>40.074074074074076</v>
      </c>
      <c r="AJ274" s="77">
        <f>IFERROR(COUNTIFS(Tracker!E:E, 3, Tracker!G:G, "&lt;="&amp;Daily!C274, Tracker!L:L, "N") / AF274,  0)</f>
        <v>0.35714285714285715</v>
      </c>
      <c r="AK274" s="48">
        <f t="shared" si="148"/>
        <v>367</v>
      </c>
      <c r="AL274" s="26">
        <f t="shared" si="149"/>
        <v>303</v>
      </c>
      <c r="AM274" s="62">
        <f t="shared" si="150"/>
        <v>0.82561307901907355</v>
      </c>
      <c r="AN274" s="74">
        <f>IFERROR(AVERAGEIFS(Tracker!I:I,  Tracker!G:G, "&lt;="&amp;Daily!C274, Tracker!J:J, "Y"), 0)</f>
        <v>23.079207920792079</v>
      </c>
      <c r="AO274" s="77">
        <f>IFERROR(COUNTIFS(Tracker!G:G, "&lt;="&amp;Daily!C274, Tracker!L:L, "N") / AK274,  0)</f>
        <v>0.63487738419618533</v>
      </c>
    </row>
    <row r="275" spans="1:41" x14ac:dyDescent="0.25">
      <c r="A275" s="119"/>
      <c r="B275" s="32">
        <f t="shared" si="134"/>
        <v>45490</v>
      </c>
      <c r="C275" s="27">
        <f t="shared" si="151"/>
        <v>45490</v>
      </c>
      <c r="D275" s="109" t="b">
        <f t="shared" ca="1" si="133"/>
        <v>1</v>
      </c>
      <c r="E275" s="51">
        <f t="shared" si="135"/>
        <v>1</v>
      </c>
      <c r="F275" s="48">
        <f>COUNTIFS(Tracker!G:G,Daily!C275, Tracker!J:J,"Y")</f>
        <v>0</v>
      </c>
      <c r="G275" s="26">
        <f>COUNTIFS(Tracker!G:G,Daily!C275, Tracker!J:J,"Y (with hints)")</f>
        <v>0</v>
      </c>
      <c r="H275" s="33">
        <f>COUNTIFS(Tracker!G:G,Daily!C275, Tracker!J:J,"N")</f>
        <v>1</v>
      </c>
      <c r="I275" s="54">
        <f t="shared" si="136"/>
        <v>0</v>
      </c>
      <c r="J275" s="26">
        <f>COUNTIFS(Tracker!G:G,Daily!C275, Tracker!J:J,"Y",Tracker!E:E,1)</f>
        <v>0</v>
      </c>
      <c r="K275" s="26">
        <f>COUNTIFS(Tracker!G:G,Daily!C275, Tracker!J:J,"Y (with hints)",Tracker!E:E,1)</f>
        <v>0</v>
      </c>
      <c r="L275" s="33">
        <f>COUNTIFS(Tracker!G:G,Daily!C275, Tracker!J:J,"N",Tracker!E:E,1)</f>
        <v>0</v>
      </c>
      <c r="M275" s="54">
        <f t="shared" si="137"/>
        <v>1</v>
      </c>
      <c r="N275" s="26">
        <f>COUNTIFS(Tracker!G:G,Daily!C275, Tracker!J:J,"Y",Tracker!E:E,2)</f>
        <v>0</v>
      </c>
      <c r="O275" s="26">
        <f>COUNTIFS(Tracker!G:G,Daily!C275, Tracker!J:J,"Y (with hints)",Tracker!E:E,2)</f>
        <v>0</v>
      </c>
      <c r="P275" s="33">
        <f>COUNTIFS(Tracker!G:G,Daily!C275, Tracker!J:J,"N",Tracker!E:E,2)</f>
        <v>1</v>
      </c>
      <c r="Q275" s="57">
        <f t="shared" si="138"/>
        <v>0</v>
      </c>
      <c r="R275" s="26">
        <f>COUNTIFS(Tracker!G:G,Daily!C275, Tracker!J:J,"Y",Tracker!E:E,3)</f>
        <v>0</v>
      </c>
      <c r="S275" s="26">
        <f>COUNTIFS(Tracker!G:G,Daily!C275, Tracker!J:J,"Y (with hints)",Tracker!E:E,3)</f>
        <v>0</v>
      </c>
      <c r="T275" s="33">
        <f>COUNTIFS(Tracker!G:G,Daily!C275, Tracker!J:J,"N",Tracker!E:E,3)</f>
        <v>0</v>
      </c>
      <c r="V275" s="48">
        <f t="shared" si="139"/>
        <v>94</v>
      </c>
      <c r="W275" s="26">
        <f t="shared" si="140"/>
        <v>90</v>
      </c>
      <c r="X275" s="62">
        <f t="shared" si="141"/>
        <v>0.95744680851063835</v>
      </c>
      <c r="Y275" s="74">
        <f>AVERAGEIFS(Tracker!I:I, Tracker!E:E, 1, Tracker!G:G, "&lt;="&amp;Daily!C275, Tracker!J:J, "Y")</f>
        <v>12.4</v>
      </c>
      <c r="Z275" s="77">
        <f>COUNTIFS(Tracker!E:E, 1, Tracker!G:G, "&lt;="&amp;Daily!C275, Tracker!L:L, "N") / V275</f>
        <v>0.80851063829787229</v>
      </c>
      <c r="AA275" s="48">
        <f t="shared" si="142"/>
        <v>232</v>
      </c>
      <c r="AB275" s="26">
        <f t="shared" si="143"/>
        <v>186</v>
      </c>
      <c r="AC275" s="62">
        <f t="shared" si="144"/>
        <v>0.80172413793103448</v>
      </c>
      <c r="AD275" s="74">
        <f>AVERAGEIFS(Tracker!I:I, Tracker!E:E, 2, Tracker!G:G, "&lt;="&amp;Daily!C275, Tracker!J:J, "Y")</f>
        <v>25.77956989247312</v>
      </c>
      <c r="AE275" s="77">
        <f>COUNTIFS(Tracker!E:E, 2, Tracker!G:G, "&lt;="&amp;Daily!C275, Tracker!L:L, "N") / AA275</f>
        <v>0.61206896551724133</v>
      </c>
      <c r="AF275" s="48">
        <f t="shared" si="145"/>
        <v>42</v>
      </c>
      <c r="AG275" s="26">
        <f t="shared" si="146"/>
        <v>27</v>
      </c>
      <c r="AH275" s="62">
        <f t="shared" si="147"/>
        <v>0.6428571428571429</v>
      </c>
      <c r="AI275" s="74">
        <f>IFERROR(AVERAGEIFS(Tracker!I:I, Tracker!E:E, 3, Tracker!G:G, "&lt;="&amp;Daily!C275, Tracker!J:J, "Y"), 0)</f>
        <v>40.074074074074076</v>
      </c>
      <c r="AJ275" s="77">
        <f>IFERROR(COUNTIFS(Tracker!E:E, 3, Tracker!G:G, "&lt;="&amp;Daily!C275, Tracker!L:L, "N") / AF275,  0)</f>
        <v>0.35714285714285715</v>
      </c>
      <c r="AK275" s="48">
        <f t="shared" si="148"/>
        <v>368</v>
      </c>
      <c r="AL275" s="26">
        <f t="shared" si="149"/>
        <v>303</v>
      </c>
      <c r="AM275" s="62">
        <f t="shared" si="150"/>
        <v>0.82336956521739135</v>
      </c>
      <c r="AN275" s="74">
        <f>IFERROR(AVERAGEIFS(Tracker!I:I,  Tracker!G:G, "&lt;="&amp;Daily!C275, Tracker!J:J, "Y"), 0)</f>
        <v>23.079207920792079</v>
      </c>
      <c r="AO275" s="77">
        <f>IFERROR(COUNTIFS(Tracker!G:G, "&lt;="&amp;Daily!C275, Tracker!L:L, "N") / AK275,  0)</f>
        <v>0.63315217391304346</v>
      </c>
    </row>
    <row r="276" spans="1:41" x14ac:dyDescent="0.25">
      <c r="A276" s="119"/>
      <c r="B276" s="32">
        <f t="shared" si="134"/>
        <v>45491</v>
      </c>
      <c r="C276" s="27">
        <f t="shared" si="151"/>
        <v>45491</v>
      </c>
      <c r="D276" s="109" t="b">
        <f t="shared" ca="1" si="133"/>
        <v>1</v>
      </c>
      <c r="E276" s="51">
        <f t="shared" si="135"/>
        <v>0</v>
      </c>
      <c r="F276" s="48">
        <f>COUNTIFS(Tracker!G:G,Daily!C276, Tracker!J:J,"Y")</f>
        <v>0</v>
      </c>
      <c r="G276" s="26">
        <f>COUNTIFS(Tracker!G:G,Daily!C276, Tracker!J:J,"Y (with hints)")</f>
        <v>0</v>
      </c>
      <c r="H276" s="33">
        <f>COUNTIFS(Tracker!G:G,Daily!C276, Tracker!J:J,"N")</f>
        <v>0</v>
      </c>
      <c r="I276" s="54">
        <f t="shared" si="136"/>
        <v>0</v>
      </c>
      <c r="J276" s="26">
        <f>COUNTIFS(Tracker!G:G,Daily!C276, Tracker!J:J,"Y",Tracker!E:E,1)</f>
        <v>0</v>
      </c>
      <c r="K276" s="26">
        <f>COUNTIFS(Tracker!G:G,Daily!C276, Tracker!J:J,"Y (with hints)",Tracker!E:E,1)</f>
        <v>0</v>
      </c>
      <c r="L276" s="33">
        <f>COUNTIFS(Tracker!G:G,Daily!C276, Tracker!J:J,"N",Tracker!E:E,1)</f>
        <v>0</v>
      </c>
      <c r="M276" s="54">
        <f t="shared" si="137"/>
        <v>0</v>
      </c>
      <c r="N276" s="26">
        <f>COUNTIFS(Tracker!G:G,Daily!C276, Tracker!J:J,"Y",Tracker!E:E,2)</f>
        <v>0</v>
      </c>
      <c r="O276" s="26">
        <f>COUNTIFS(Tracker!G:G,Daily!C276, Tracker!J:J,"Y (with hints)",Tracker!E:E,2)</f>
        <v>0</v>
      </c>
      <c r="P276" s="33">
        <f>COUNTIFS(Tracker!G:G,Daily!C276, Tracker!J:J,"N",Tracker!E:E,2)</f>
        <v>0</v>
      </c>
      <c r="Q276" s="57">
        <f t="shared" si="138"/>
        <v>0</v>
      </c>
      <c r="R276" s="26">
        <f>COUNTIFS(Tracker!G:G,Daily!C276, Tracker!J:J,"Y",Tracker!E:E,3)</f>
        <v>0</v>
      </c>
      <c r="S276" s="26">
        <f>COUNTIFS(Tracker!G:G,Daily!C276, Tracker!J:J,"Y (with hints)",Tracker!E:E,3)</f>
        <v>0</v>
      </c>
      <c r="T276" s="33">
        <f>COUNTIFS(Tracker!G:G,Daily!C276, Tracker!J:J,"N",Tracker!E:E,3)</f>
        <v>0</v>
      </c>
      <c r="V276" s="48">
        <f t="shared" si="139"/>
        <v>94</v>
      </c>
      <c r="W276" s="26">
        <f t="shared" si="140"/>
        <v>90</v>
      </c>
      <c r="X276" s="62">
        <f t="shared" si="141"/>
        <v>0.95744680851063835</v>
      </c>
      <c r="Y276" s="74">
        <f>AVERAGEIFS(Tracker!I:I, Tracker!E:E, 1, Tracker!G:G, "&lt;="&amp;Daily!C276, Tracker!J:J, "Y")</f>
        <v>12.4</v>
      </c>
      <c r="Z276" s="77">
        <f>COUNTIFS(Tracker!E:E, 1, Tracker!G:G, "&lt;="&amp;Daily!C276, Tracker!L:L, "N") / V276</f>
        <v>0.80851063829787229</v>
      </c>
      <c r="AA276" s="48">
        <f t="shared" si="142"/>
        <v>232</v>
      </c>
      <c r="AB276" s="26">
        <f t="shared" si="143"/>
        <v>186</v>
      </c>
      <c r="AC276" s="62">
        <f t="shared" si="144"/>
        <v>0.80172413793103448</v>
      </c>
      <c r="AD276" s="74">
        <f>AVERAGEIFS(Tracker!I:I, Tracker!E:E, 2, Tracker!G:G, "&lt;="&amp;Daily!C276, Tracker!J:J, "Y")</f>
        <v>25.77956989247312</v>
      </c>
      <c r="AE276" s="77">
        <f>COUNTIFS(Tracker!E:E, 2, Tracker!G:G, "&lt;="&amp;Daily!C276, Tracker!L:L, "N") / AA276</f>
        <v>0.61206896551724133</v>
      </c>
      <c r="AF276" s="48">
        <f t="shared" si="145"/>
        <v>42</v>
      </c>
      <c r="AG276" s="26">
        <f t="shared" si="146"/>
        <v>27</v>
      </c>
      <c r="AH276" s="62">
        <f t="shared" si="147"/>
        <v>0.6428571428571429</v>
      </c>
      <c r="AI276" s="74">
        <f>IFERROR(AVERAGEIFS(Tracker!I:I, Tracker!E:E, 3, Tracker!G:G, "&lt;="&amp;Daily!C276, Tracker!J:J, "Y"), 0)</f>
        <v>40.074074074074076</v>
      </c>
      <c r="AJ276" s="77">
        <f>IFERROR(COUNTIFS(Tracker!E:E, 3, Tracker!G:G, "&lt;="&amp;Daily!C276, Tracker!L:L, "N") / AF276,  0)</f>
        <v>0.35714285714285715</v>
      </c>
      <c r="AK276" s="48">
        <f t="shared" si="148"/>
        <v>368</v>
      </c>
      <c r="AL276" s="26">
        <f t="shared" si="149"/>
        <v>303</v>
      </c>
      <c r="AM276" s="62">
        <f t="shared" si="150"/>
        <v>0.82336956521739135</v>
      </c>
      <c r="AN276" s="74">
        <f>IFERROR(AVERAGEIFS(Tracker!I:I,  Tracker!G:G, "&lt;="&amp;Daily!C276, Tracker!J:J, "Y"), 0)</f>
        <v>23.079207920792079</v>
      </c>
      <c r="AO276" s="77">
        <f>IFERROR(COUNTIFS(Tracker!G:G, "&lt;="&amp;Daily!C276, Tracker!L:L, "N") / AK276,  0)</f>
        <v>0.63315217391304346</v>
      </c>
    </row>
    <row r="277" spans="1:41" x14ac:dyDescent="0.25">
      <c r="A277" s="119"/>
      <c r="B277" s="32">
        <f t="shared" si="134"/>
        <v>45492</v>
      </c>
      <c r="C277" s="27">
        <f t="shared" si="151"/>
        <v>45492</v>
      </c>
      <c r="D277" s="109" t="b">
        <f t="shared" ca="1" si="133"/>
        <v>1</v>
      </c>
      <c r="E277" s="51">
        <f t="shared" si="135"/>
        <v>0</v>
      </c>
      <c r="F277" s="48">
        <f>COUNTIFS(Tracker!G:G,Daily!C277, Tracker!J:J,"Y")</f>
        <v>0</v>
      </c>
      <c r="G277" s="26">
        <f>COUNTIFS(Tracker!G:G,Daily!C277, Tracker!J:J,"Y (with hints)")</f>
        <v>0</v>
      </c>
      <c r="H277" s="33">
        <f>COUNTIFS(Tracker!G:G,Daily!C277, Tracker!J:J,"N")</f>
        <v>0</v>
      </c>
      <c r="I277" s="54">
        <f t="shared" si="136"/>
        <v>0</v>
      </c>
      <c r="J277" s="26">
        <f>COUNTIFS(Tracker!G:G,Daily!C277, Tracker!J:J,"Y",Tracker!E:E,1)</f>
        <v>0</v>
      </c>
      <c r="K277" s="26">
        <f>COUNTIFS(Tracker!G:G,Daily!C277, Tracker!J:J,"Y (with hints)",Tracker!E:E,1)</f>
        <v>0</v>
      </c>
      <c r="L277" s="33">
        <f>COUNTIFS(Tracker!G:G,Daily!C277, Tracker!J:J,"N",Tracker!E:E,1)</f>
        <v>0</v>
      </c>
      <c r="M277" s="54">
        <f t="shared" si="137"/>
        <v>0</v>
      </c>
      <c r="N277" s="26">
        <f>COUNTIFS(Tracker!G:G,Daily!C277, Tracker!J:J,"Y",Tracker!E:E,2)</f>
        <v>0</v>
      </c>
      <c r="O277" s="26">
        <f>COUNTIFS(Tracker!G:G,Daily!C277, Tracker!J:J,"Y (with hints)",Tracker!E:E,2)</f>
        <v>0</v>
      </c>
      <c r="P277" s="33">
        <f>COUNTIFS(Tracker!G:G,Daily!C277, Tracker!J:J,"N",Tracker!E:E,2)</f>
        <v>0</v>
      </c>
      <c r="Q277" s="57">
        <f t="shared" si="138"/>
        <v>0</v>
      </c>
      <c r="R277" s="26">
        <f>COUNTIFS(Tracker!G:G,Daily!C277, Tracker!J:J,"Y",Tracker!E:E,3)</f>
        <v>0</v>
      </c>
      <c r="S277" s="26">
        <f>COUNTIFS(Tracker!G:G,Daily!C277, Tracker!J:J,"Y (with hints)",Tracker!E:E,3)</f>
        <v>0</v>
      </c>
      <c r="T277" s="33">
        <f>COUNTIFS(Tracker!G:G,Daily!C277, Tracker!J:J,"N",Tracker!E:E,3)</f>
        <v>0</v>
      </c>
      <c r="V277" s="48">
        <f t="shared" si="139"/>
        <v>94</v>
      </c>
      <c r="W277" s="26">
        <f t="shared" si="140"/>
        <v>90</v>
      </c>
      <c r="X277" s="62">
        <f t="shared" si="141"/>
        <v>0.95744680851063835</v>
      </c>
      <c r="Y277" s="74">
        <f>AVERAGEIFS(Tracker!I:I, Tracker!E:E, 1, Tracker!G:G, "&lt;="&amp;Daily!C277, Tracker!J:J, "Y")</f>
        <v>12.4</v>
      </c>
      <c r="Z277" s="77">
        <f>COUNTIFS(Tracker!E:E, 1, Tracker!G:G, "&lt;="&amp;Daily!C277, Tracker!L:L, "N") / V277</f>
        <v>0.80851063829787229</v>
      </c>
      <c r="AA277" s="48">
        <f t="shared" si="142"/>
        <v>232</v>
      </c>
      <c r="AB277" s="26">
        <f t="shared" si="143"/>
        <v>186</v>
      </c>
      <c r="AC277" s="62">
        <f t="shared" si="144"/>
        <v>0.80172413793103448</v>
      </c>
      <c r="AD277" s="74">
        <f>AVERAGEIFS(Tracker!I:I, Tracker!E:E, 2, Tracker!G:G, "&lt;="&amp;Daily!C277, Tracker!J:J, "Y")</f>
        <v>25.77956989247312</v>
      </c>
      <c r="AE277" s="77">
        <f>COUNTIFS(Tracker!E:E, 2, Tracker!G:G, "&lt;="&amp;Daily!C277, Tracker!L:L, "N") / AA277</f>
        <v>0.61206896551724133</v>
      </c>
      <c r="AF277" s="48">
        <f t="shared" si="145"/>
        <v>42</v>
      </c>
      <c r="AG277" s="26">
        <f t="shared" si="146"/>
        <v>27</v>
      </c>
      <c r="AH277" s="62">
        <f t="shared" si="147"/>
        <v>0.6428571428571429</v>
      </c>
      <c r="AI277" s="74">
        <f>IFERROR(AVERAGEIFS(Tracker!I:I, Tracker!E:E, 3, Tracker!G:G, "&lt;="&amp;Daily!C277, Tracker!J:J, "Y"), 0)</f>
        <v>40.074074074074076</v>
      </c>
      <c r="AJ277" s="77">
        <f>IFERROR(COUNTIFS(Tracker!E:E, 3, Tracker!G:G, "&lt;="&amp;Daily!C277, Tracker!L:L, "N") / AF277,  0)</f>
        <v>0.35714285714285715</v>
      </c>
      <c r="AK277" s="48">
        <f t="shared" si="148"/>
        <v>368</v>
      </c>
      <c r="AL277" s="26">
        <f t="shared" si="149"/>
        <v>303</v>
      </c>
      <c r="AM277" s="62">
        <f t="shared" si="150"/>
        <v>0.82336956521739135</v>
      </c>
      <c r="AN277" s="74">
        <f>IFERROR(AVERAGEIFS(Tracker!I:I,  Tracker!G:G, "&lt;="&amp;Daily!C277, Tracker!J:J, "Y"), 0)</f>
        <v>23.079207920792079</v>
      </c>
      <c r="AO277" s="77">
        <f>IFERROR(COUNTIFS(Tracker!G:G, "&lt;="&amp;Daily!C277, Tracker!L:L, "N") / AK277,  0)</f>
        <v>0.63315217391304346</v>
      </c>
    </row>
    <row r="278" spans="1:41" x14ac:dyDescent="0.25">
      <c r="A278" s="119"/>
      <c r="B278" s="32">
        <f t="shared" si="134"/>
        <v>45493</v>
      </c>
      <c r="C278" s="27">
        <f t="shared" si="151"/>
        <v>45493</v>
      </c>
      <c r="D278" s="109" t="b">
        <f t="shared" ca="1" si="133"/>
        <v>1</v>
      </c>
      <c r="E278" s="51">
        <f t="shared" si="135"/>
        <v>0</v>
      </c>
      <c r="F278" s="48">
        <f>COUNTIFS(Tracker!G:G,Daily!C278, Tracker!J:J,"Y")</f>
        <v>0</v>
      </c>
      <c r="G278" s="26">
        <f>COUNTIFS(Tracker!G:G,Daily!C278, Tracker!J:J,"Y (with hints)")</f>
        <v>0</v>
      </c>
      <c r="H278" s="33">
        <f>COUNTIFS(Tracker!G:G,Daily!C278, Tracker!J:J,"N")</f>
        <v>0</v>
      </c>
      <c r="I278" s="54">
        <f t="shared" si="136"/>
        <v>0</v>
      </c>
      <c r="J278" s="26">
        <f>COUNTIFS(Tracker!G:G,Daily!C278, Tracker!J:J,"Y",Tracker!E:E,1)</f>
        <v>0</v>
      </c>
      <c r="K278" s="26">
        <f>COUNTIFS(Tracker!G:G,Daily!C278, Tracker!J:J,"Y (with hints)",Tracker!E:E,1)</f>
        <v>0</v>
      </c>
      <c r="L278" s="33">
        <f>COUNTIFS(Tracker!G:G,Daily!C278, Tracker!J:J,"N",Tracker!E:E,1)</f>
        <v>0</v>
      </c>
      <c r="M278" s="54">
        <f t="shared" si="137"/>
        <v>0</v>
      </c>
      <c r="N278" s="26">
        <f>COUNTIFS(Tracker!G:G,Daily!C278, Tracker!J:J,"Y",Tracker!E:E,2)</f>
        <v>0</v>
      </c>
      <c r="O278" s="26">
        <f>COUNTIFS(Tracker!G:G,Daily!C278, Tracker!J:J,"Y (with hints)",Tracker!E:E,2)</f>
        <v>0</v>
      </c>
      <c r="P278" s="33">
        <f>COUNTIFS(Tracker!G:G,Daily!C278, Tracker!J:J,"N",Tracker!E:E,2)</f>
        <v>0</v>
      </c>
      <c r="Q278" s="57">
        <f t="shared" si="138"/>
        <v>0</v>
      </c>
      <c r="R278" s="26">
        <f>COUNTIFS(Tracker!G:G,Daily!C278, Tracker!J:J,"Y",Tracker!E:E,3)</f>
        <v>0</v>
      </c>
      <c r="S278" s="26">
        <f>COUNTIFS(Tracker!G:G,Daily!C278, Tracker!J:J,"Y (with hints)",Tracker!E:E,3)</f>
        <v>0</v>
      </c>
      <c r="T278" s="33">
        <f>COUNTIFS(Tracker!G:G,Daily!C278, Tracker!J:J,"N",Tracker!E:E,3)</f>
        <v>0</v>
      </c>
      <c r="V278" s="48">
        <f t="shared" si="139"/>
        <v>94</v>
      </c>
      <c r="W278" s="26">
        <f t="shared" si="140"/>
        <v>90</v>
      </c>
      <c r="X278" s="62">
        <f t="shared" si="141"/>
        <v>0.95744680851063835</v>
      </c>
      <c r="Y278" s="74">
        <f>AVERAGEIFS(Tracker!I:I, Tracker!E:E, 1, Tracker!G:G, "&lt;="&amp;Daily!C278, Tracker!J:J, "Y")</f>
        <v>12.4</v>
      </c>
      <c r="Z278" s="77">
        <f>COUNTIFS(Tracker!E:E, 1, Tracker!G:G, "&lt;="&amp;Daily!C278, Tracker!L:L, "N") / V278</f>
        <v>0.80851063829787229</v>
      </c>
      <c r="AA278" s="48">
        <f t="shared" si="142"/>
        <v>232</v>
      </c>
      <c r="AB278" s="26">
        <f t="shared" si="143"/>
        <v>186</v>
      </c>
      <c r="AC278" s="62">
        <f t="shared" si="144"/>
        <v>0.80172413793103448</v>
      </c>
      <c r="AD278" s="74">
        <f>AVERAGEIFS(Tracker!I:I, Tracker!E:E, 2, Tracker!G:G, "&lt;="&amp;Daily!C278, Tracker!J:J, "Y")</f>
        <v>25.77956989247312</v>
      </c>
      <c r="AE278" s="77">
        <f>COUNTIFS(Tracker!E:E, 2, Tracker!G:G, "&lt;="&amp;Daily!C278, Tracker!L:L, "N") / AA278</f>
        <v>0.61206896551724133</v>
      </c>
      <c r="AF278" s="48">
        <f t="shared" si="145"/>
        <v>42</v>
      </c>
      <c r="AG278" s="26">
        <f t="shared" si="146"/>
        <v>27</v>
      </c>
      <c r="AH278" s="62">
        <f t="shared" si="147"/>
        <v>0.6428571428571429</v>
      </c>
      <c r="AI278" s="74">
        <f>IFERROR(AVERAGEIFS(Tracker!I:I, Tracker!E:E, 3, Tracker!G:G, "&lt;="&amp;Daily!C278, Tracker!J:J, "Y"), 0)</f>
        <v>40.074074074074076</v>
      </c>
      <c r="AJ278" s="77">
        <f>IFERROR(COUNTIFS(Tracker!E:E, 3, Tracker!G:G, "&lt;="&amp;Daily!C278, Tracker!L:L, "N") / AF278,  0)</f>
        <v>0.35714285714285715</v>
      </c>
      <c r="AK278" s="48">
        <f t="shared" si="148"/>
        <v>368</v>
      </c>
      <c r="AL278" s="26">
        <f t="shared" si="149"/>
        <v>303</v>
      </c>
      <c r="AM278" s="62">
        <f t="shared" si="150"/>
        <v>0.82336956521739135</v>
      </c>
      <c r="AN278" s="74">
        <f>IFERROR(AVERAGEIFS(Tracker!I:I,  Tracker!G:G, "&lt;="&amp;Daily!C278, Tracker!J:J, "Y"), 0)</f>
        <v>23.079207920792079</v>
      </c>
      <c r="AO278" s="77">
        <f>IFERROR(COUNTIFS(Tracker!G:G, "&lt;="&amp;Daily!C278, Tracker!L:L, "N") / AK278,  0)</f>
        <v>0.63315217391304346</v>
      </c>
    </row>
    <row r="279" spans="1:41" ht="15.75" thickBot="1" x14ac:dyDescent="0.3">
      <c r="A279" s="120"/>
      <c r="B279" s="34">
        <f t="shared" si="134"/>
        <v>45494</v>
      </c>
      <c r="C279" s="35">
        <f t="shared" si="151"/>
        <v>45494</v>
      </c>
      <c r="D279" s="110" t="b">
        <f t="shared" ca="1" si="133"/>
        <v>1</v>
      </c>
      <c r="E279" s="52">
        <f t="shared" si="135"/>
        <v>0</v>
      </c>
      <c r="F279" s="39">
        <f>COUNTIFS(Tracker!G:G,Daily!C279, Tracker!J:J,"Y")</f>
        <v>0</v>
      </c>
      <c r="G279" s="36">
        <f>COUNTIFS(Tracker!G:G,Daily!C279, Tracker!J:J,"Y (with hints)")</f>
        <v>0</v>
      </c>
      <c r="H279" s="37">
        <f>COUNTIFS(Tracker!G:G,Daily!C279, Tracker!J:J,"N")</f>
        <v>0</v>
      </c>
      <c r="I279" s="55">
        <f t="shared" si="136"/>
        <v>0</v>
      </c>
      <c r="J279" s="36">
        <f>COUNTIFS(Tracker!G:G,Daily!C279, Tracker!J:J,"Y",Tracker!E:E,1)</f>
        <v>0</v>
      </c>
      <c r="K279" s="36">
        <f>COUNTIFS(Tracker!G:G,Daily!C279, Tracker!J:J,"Y (with hints)",Tracker!E:E,1)</f>
        <v>0</v>
      </c>
      <c r="L279" s="37">
        <f>COUNTIFS(Tracker!G:G,Daily!C279, Tracker!J:J,"N",Tracker!E:E,1)</f>
        <v>0</v>
      </c>
      <c r="M279" s="55">
        <f t="shared" si="137"/>
        <v>0</v>
      </c>
      <c r="N279" s="36">
        <f>COUNTIFS(Tracker!G:G,Daily!C279, Tracker!J:J,"Y",Tracker!E:E,2)</f>
        <v>0</v>
      </c>
      <c r="O279" s="36">
        <f>COUNTIFS(Tracker!G:G,Daily!C279, Tracker!J:J,"Y (with hints)",Tracker!E:E,2)</f>
        <v>0</v>
      </c>
      <c r="P279" s="37">
        <f>COUNTIFS(Tracker!G:G,Daily!C279, Tracker!J:J,"N",Tracker!E:E,2)</f>
        <v>0</v>
      </c>
      <c r="Q279" s="58">
        <f t="shared" si="138"/>
        <v>0</v>
      </c>
      <c r="R279" s="36">
        <f>COUNTIFS(Tracker!G:G,Daily!C279, Tracker!J:J,"Y",Tracker!E:E,3)</f>
        <v>0</v>
      </c>
      <c r="S279" s="36">
        <f>COUNTIFS(Tracker!G:G,Daily!C279, Tracker!J:J,"Y (with hints)",Tracker!E:E,3)</f>
        <v>0</v>
      </c>
      <c r="T279" s="37">
        <f>COUNTIFS(Tracker!G:G,Daily!C279, Tracker!J:J,"N",Tracker!E:E,3)</f>
        <v>0</v>
      </c>
      <c r="V279" s="39">
        <f t="shared" si="139"/>
        <v>94</v>
      </c>
      <c r="W279" s="36">
        <f t="shared" si="140"/>
        <v>90</v>
      </c>
      <c r="X279" s="64">
        <f t="shared" si="141"/>
        <v>0.95744680851063835</v>
      </c>
      <c r="Y279" s="78">
        <f>AVERAGEIFS(Tracker!I:I, Tracker!E:E, 1, Tracker!G:G, "&lt;="&amp;Daily!C279, Tracker!J:J, "Y")</f>
        <v>12.4</v>
      </c>
      <c r="Z279" s="79">
        <f>COUNTIFS(Tracker!E:E, 1, Tracker!G:G, "&lt;="&amp;Daily!C279, Tracker!L:L, "N") / V279</f>
        <v>0.80851063829787229</v>
      </c>
      <c r="AA279" s="39">
        <f t="shared" si="142"/>
        <v>232</v>
      </c>
      <c r="AB279" s="36">
        <f t="shared" si="143"/>
        <v>186</v>
      </c>
      <c r="AC279" s="64">
        <f t="shared" si="144"/>
        <v>0.80172413793103448</v>
      </c>
      <c r="AD279" s="78">
        <f>AVERAGEIFS(Tracker!I:I, Tracker!E:E, 2, Tracker!G:G, "&lt;="&amp;Daily!C279, Tracker!J:J, "Y")</f>
        <v>25.77956989247312</v>
      </c>
      <c r="AE279" s="79">
        <f>COUNTIFS(Tracker!E:E, 2, Tracker!G:G, "&lt;="&amp;Daily!C279, Tracker!L:L, "N") / AA279</f>
        <v>0.61206896551724133</v>
      </c>
      <c r="AF279" s="39">
        <f t="shared" si="145"/>
        <v>42</v>
      </c>
      <c r="AG279" s="36">
        <f t="shared" si="146"/>
        <v>27</v>
      </c>
      <c r="AH279" s="64">
        <f t="shared" si="147"/>
        <v>0.6428571428571429</v>
      </c>
      <c r="AI279" s="78">
        <f>IFERROR(AVERAGEIFS(Tracker!I:I, Tracker!E:E, 3, Tracker!G:G, "&lt;="&amp;Daily!C279, Tracker!J:J, "Y"), 0)</f>
        <v>40.074074074074076</v>
      </c>
      <c r="AJ279" s="79">
        <f>IFERROR(COUNTIFS(Tracker!E:E, 3, Tracker!G:G, "&lt;="&amp;Daily!C279, Tracker!L:L, "N") / AF279,  0)</f>
        <v>0.35714285714285715</v>
      </c>
      <c r="AK279" s="39">
        <f t="shared" si="148"/>
        <v>368</v>
      </c>
      <c r="AL279" s="36">
        <f t="shared" si="149"/>
        <v>303</v>
      </c>
      <c r="AM279" s="64">
        <f t="shared" si="150"/>
        <v>0.82336956521739135</v>
      </c>
      <c r="AN279" s="78">
        <f>IFERROR(AVERAGEIFS(Tracker!I:I,  Tracker!G:G, "&lt;="&amp;Daily!C279, Tracker!J:J, "Y"), 0)</f>
        <v>23.079207920792079</v>
      </c>
      <c r="AO279" s="79">
        <f>IFERROR(COUNTIFS(Tracker!G:G, "&lt;="&amp;Daily!C279, Tracker!L:L, "N") / AK279,  0)</f>
        <v>0.63315217391304346</v>
      </c>
    </row>
    <row r="280" spans="1:41" x14ac:dyDescent="0.25">
      <c r="A280" s="118">
        <f>A273+1</f>
        <v>40</v>
      </c>
      <c r="B280" s="28">
        <f t="shared" si="134"/>
        <v>45495</v>
      </c>
      <c r="C280" s="29">
        <f t="shared" si="151"/>
        <v>45495</v>
      </c>
      <c r="D280" s="108" t="b">
        <f t="shared" ca="1" si="133"/>
        <v>1</v>
      </c>
      <c r="E280" s="50">
        <f t="shared" si="135"/>
        <v>0</v>
      </c>
      <c r="F280" s="38">
        <f>COUNTIFS(Tracker!G:G,Daily!C280, Tracker!J:J,"Y")</f>
        <v>0</v>
      </c>
      <c r="G280" s="30">
        <f>COUNTIFS(Tracker!G:G,Daily!C280, Tracker!J:J,"Y (with hints)")</f>
        <v>0</v>
      </c>
      <c r="H280" s="31">
        <f>COUNTIFS(Tracker!G:G,Daily!C280, Tracker!J:J,"N")</f>
        <v>0</v>
      </c>
      <c r="I280" s="53">
        <f t="shared" si="136"/>
        <v>0</v>
      </c>
      <c r="J280" s="30">
        <f>COUNTIFS(Tracker!G:G,Daily!C280, Tracker!J:J,"Y",Tracker!E:E,1)</f>
        <v>0</v>
      </c>
      <c r="K280" s="30">
        <f>COUNTIFS(Tracker!G:G,Daily!C280, Tracker!J:J,"Y (with hints)",Tracker!E:E,1)</f>
        <v>0</v>
      </c>
      <c r="L280" s="31">
        <f>COUNTIFS(Tracker!G:G,Daily!C280, Tracker!J:J,"N",Tracker!E:E,1)</f>
        <v>0</v>
      </c>
      <c r="M280" s="53">
        <f t="shared" si="137"/>
        <v>0</v>
      </c>
      <c r="N280" s="30">
        <f>COUNTIFS(Tracker!G:G,Daily!C280, Tracker!J:J,"Y",Tracker!E:E,2)</f>
        <v>0</v>
      </c>
      <c r="O280" s="30">
        <f>COUNTIFS(Tracker!G:G,Daily!C280, Tracker!J:J,"Y (with hints)",Tracker!E:E,2)</f>
        <v>0</v>
      </c>
      <c r="P280" s="31">
        <f>COUNTIFS(Tracker!G:G,Daily!C280, Tracker!J:J,"N",Tracker!E:E,2)</f>
        <v>0</v>
      </c>
      <c r="Q280" s="56">
        <f t="shared" si="138"/>
        <v>0</v>
      </c>
      <c r="R280" s="30">
        <f>COUNTIFS(Tracker!G:G,Daily!C280, Tracker!J:J,"Y",Tracker!E:E,3)</f>
        <v>0</v>
      </c>
      <c r="S280" s="30">
        <f>COUNTIFS(Tracker!G:G,Daily!C280, Tracker!J:J,"Y (with hints)",Tracker!E:E,3)</f>
        <v>0</v>
      </c>
      <c r="T280" s="31">
        <f>COUNTIFS(Tracker!G:G,Daily!C280, Tracker!J:J,"N",Tracker!E:E,3)</f>
        <v>0</v>
      </c>
      <c r="V280" s="38">
        <f t="shared" si="139"/>
        <v>94</v>
      </c>
      <c r="W280" s="30">
        <f t="shared" si="140"/>
        <v>90</v>
      </c>
      <c r="X280" s="73">
        <f t="shared" si="141"/>
        <v>0.95744680851063835</v>
      </c>
      <c r="Y280" s="75">
        <f>AVERAGEIFS(Tracker!I:I, Tracker!E:E, 1, Tracker!G:G, "&lt;="&amp;Daily!C280, Tracker!J:J, "Y")</f>
        <v>12.4</v>
      </c>
      <c r="Z280" s="76">
        <f>COUNTIFS(Tracker!E:E, 1, Tracker!G:G, "&lt;="&amp;Daily!C280, Tracker!L:L, "N") / V280</f>
        <v>0.80851063829787229</v>
      </c>
      <c r="AA280" s="38">
        <f t="shared" si="142"/>
        <v>232</v>
      </c>
      <c r="AB280" s="30">
        <f t="shared" si="143"/>
        <v>186</v>
      </c>
      <c r="AC280" s="73">
        <f t="shared" si="144"/>
        <v>0.80172413793103448</v>
      </c>
      <c r="AD280" s="75">
        <f>AVERAGEIFS(Tracker!I:I, Tracker!E:E, 2, Tracker!G:G, "&lt;="&amp;Daily!C280, Tracker!J:J, "Y")</f>
        <v>25.77956989247312</v>
      </c>
      <c r="AE280" s="76">
        <f>COUNTIFS(Tracker!E:E, 2, Tracker!G:G, "&lt;="&amp;Daily!C280, Tracker!L:L, "N") / AA280</f>
        <v>0.61206896551724133</v>
      </c>
      <c r="AF280" s="38">
        <f t="shared" si="145"/>
        <v>42</v>
      </c>
      <c r="AG280" s="30">
        <f t="shared" si="146"/>
        <v>27</v>
      </c>
      <c r="AH280" s="73">
        <f t="shared" si="147"/>
        <v>0.6428571428571429</v>
      </c>
      <c r="AI280" s="75">
        <f>IFERROR(AVERAGEIFS(Tracker!I:I, Tracker!E:E, 3, Tracker!G:G, "&lt;="&amp;Daily!C280, Tracker!J:J, "Y"), 0)</f>
        <v>40.074074074074076</v>
      </c>
      <c r="AJ280" s="76">
        <f>IFERROR(COUNTIFS(Tracker!E:E, 3, Tracker!G:G, "&lt;="&amp;Daily!C280, Tracker!L:L, "N") / AF280,  0)</f>
        <v>0.35714285714285715</v>
      </c>
      <c r="AK280" s="38">
        <f t="shared" si="148"/>
        <v>368</v>
      </c>
      <c r="AL280" s="30">
        <f t="shared" si="149"/>
        <v>303</v>
      </c>
      <c r="AM280" s="73">
        <f t="shared" si="150"/>
        <v>0.82336956521739135</v>
      </c>
      <c r="AN280" s="75">
        <f>IFERROR(AVERAGEIFS(Tracker!I:I,  Tracker!G:G, "&lt;="&amp;Daily!C280, Tracker!J:J, "Y"), 0)</f>
        <v>23.079207920792079</v>
      </c>
      <c r="AO280" s="76">
        <f>IFERROR(COUNTIFS(Tracker!G:G, "&lt;="&amp;Daily!C280, Tracker!L:L, "N") / AK280,  0)</f>
        <v>0.63315217391304346</v>
      </c>
    </row>
    <row r="281" spans="1:41" x14ac:dyDescent="0.25">
      <c r="A281" s="119"/>
      <c r="B281" s="32">
        <f t="shared" si="134"/>
        <v>45496</v>
      </c>
      <c r="C281" s="27">
        <f t="shared" si="151"/>
        <v>45496</v>
      </c>
      <c r="D281" s="109" t="b">
        <f t="shared" ca="1" si="133"/>
        <v>1</v>
      </c>
      <c r="E281" s="51">
        <f t="shared" si="135"/>
        <v>0</v>
      </c>
      <c r="F281" s="48">
        <f>COUNTIFS(Tracker!G:G,Daily!C281, Tracker!J:J,"Y")</f>
        <v>0</v>
      </c>
      <c r="G281" s="26">
        <f>COUNTIFS(Tracker!G:G,Daily!C281, Tracker!J:J,"Y (with hints)")</f>
        <v>0</v>
      </c>
      <c r="H281" s="33">
        <f>COUNTIFS(Tracker!G:G,Daily!C281, Tracker!J:J,"N")</f>
        <v>0</v>
      </c>
      <c r="I281" s="54">
        <f t="shared" si="136"/>
        <v>0</v>
      </c>
      <c r="J281" s="26">
        <f>COUNTIFS(Tracker!G:G,Daily!C281, Tracker!J:J,"Y",Tracker!E:E,1)</f>
        <v>0</v>
      </c>
      <c r="K281" s="26">
        <f>COUNTIFS(Tracker!G:G,Daily!C281, Tracker!J:J,"Y (with hints)",Tracker!E:E,1)</f>
        <v>0</v>
      </c>
      <c r="L281" s="33">
        <f>COUNTIFS(Tracker!G:G,Daily!C281, Tracker!J:J,"N",Tracker!E:E,1)</f>
        <v>0</v>
      </c>
      <c r="M281" s="54">
        <f t="shared" si="137"/>
        <v>0</v>
      </c>
      <c r="N281" s="26">
        <f>COUNTIFS(Tracker!G:G,Daily!C281, Tracker!J:J,"Y",Tracker!E:E,2)</f>
        <v>0</v>
      </c>
      <c r="O281" s="26">
        <f>COUNTIFS(Tracker!G:G,Daily!C281, Tracker!J:J,"Y (with hints)",Tracker!E:E,2)</f>
        <v>0</v>
      </c>
      <c r="P281" s="33">
        <f>COUNTIFS(Tracker!G:G,Daily!C281, Tracker!J:J,"N",Tracker!E:E,2)</f>
        <v>0</v>
      </c>
      <c r="Q281" s="57">
        <f t="shared" si="138"/>
        <v>0</v>
      </c>
      <c r="R281" s="26">
        <f>COUNTIFS(Tracker!G:G,Daily!C281, Tracker!J:J,"Y",Tracker!E:E,3)</f>
        <v>0</v>
      </c>
      <c r="S281" s="26">
        <f>COUNTIFS(Tracker!G:G,Daily!C281, Tracker!J:J,"Y (with hints)",Tracker!E:E,3)</f>
        <v>0</v>
      </c>
      <c r="T281" s="33">
        <f>COUNTIFS(Tracker!G:G,Daily!C281, Tracker!J:J,"N",Tracker!E:E,3)</f>
        <v>0</v>
      </c>
      <c r="V281" s="48">
        <f t="shared" si="139"/>
        <v>94</v>
      </c>
      <c r="W281" s="26">
        <f t="shared" si="140"/>
        <v>90</v>
      </c>
      <c r="X281" s="62">
        <f t="shared" si="141"/>
        <v>0.95744680851063835</v>
      </c>
      <c r="Y281" s="74">
        <f>AVERAGEIFS(Tracker!I:I, Tracker!E:E, 1, Tracker!G:G, "&lt;="&amp;Daily!C281, Tracker!J:J, "Y")</f>
        <v>12.4</v>
      </c>
      <c r="Z281" s="77">
        <f>COUNTIFS(Tracker!E:E, 1, Tracker!G:G, "&lt;="&amp;Daily!C281, Tracker!L:L, "N") / V281</f>
        <v>0.80851063829787229</v>
      </c>
      <c r="AA281" s="48">
        <f t="shared" si="142"/>
        <v>232</v>
      </c>
      <c r="AB281" s="26">
        <f t="shared" si="143"/>
        <v>186</v>
      </c>
      <c r="AC281" s="62">
        <f t="shared" si="144"/>
        <v>0.80172413793103448</v>
      </c>
      <c r="AD281" s="74">
        <f>AVERAGEIFS(Tracker!I:I, Tracker!E:E, 2, Tracker!G:G, "&lt;="&amp;Daily!C281, Tracker!J:J, "Y")</f>
        <v>25.77956989247312</v>
      </c>
      <c r="AE281" s="77">
        <f>COUNTIFS(Tracker!E:E, 2, Tracker!G:G, "&lt;="&amp;Daily!C281, Tracker!L:L, "N") / AA281</f>
        <v>0.61206896551724133</v>
      </c>
      <c r="AF281" s="48">
        <f t="shared" si="145"/>
        <v>42</v>
      </c>
      <c r="AG281" s="26">
        <f t="shared" si="146"/>
        <v>27</v>
      </c>
      <c r="AH281" s="62">
        <f t="shared" si="147"/>
        <v>0.6428571428571429</v>
      </c>
      <c r="AI281" s="74">
        <f>IFERROR(AVERAGEIFS(Tracker!I:I, Tracker!E:E, 3, Tracker!G:G, "&lt;="&amp;Daily!C281, Tracker!J:J, "Y"), 0)</f>
        <v>40.074074074074076</v>
      </c>
      <c r="AJ281" s="77">
        <f>IFERROR(COUNTIFS(Tracker!E:E, 3, Tracker!G:G, "&lt;="&amp;Daily!C281, Tracker!L:L, "N") / AF281,  0)</f>
        <v>0.35714285714285715</v>
      </c>
      <c r="AK281" s="48">
        <f t="shared" si="148"/>
        <v>368</v>
      </c>
      <c r="AL281" s="26">
        <f t="shared" si="149"/>
        <v>303</v>
      </c>
      <c r="AM281" s="62">
        <f t="shared" si="150"/>
        <v>0.82336956521739135</v>
      </c>
      <c r="AN281" s="74">
        <f>IFERROR(AVERAGEIFS(Tracker!I:I,  Tracker!G:G, "&lt;="&amp;Daily!C281, Tracker!J:J, "Y"), 0)</f>
        <v>23.079207920792079</v>
      </c>
      <c r="AO281" s="77">
        <f>IFERROR(COUNTIFS(Tracker!G:G, "&lt;="&amp;Daily!C281, Tracker!L:L, "N") / AK281,  0)</f>
        <v>0.63315217391304346</v>
      </c>
    </row>
    <row r="282" spans="1:41" x14ac:dyDescent="0.25">
      <c r="A282" s="119"/>
      <c r="B282" s="32">
        <f t="shared" si="134"/>
        <v>45497</v>
      </c>
      <c r="C282" s="27">
        <f t="shared" si="151"/>
        <v>45497</v>
      </c>
      <c r="D282" s="109" t="b">
        <f t="shared" ca="1" si="133"/>
        <v>1</v>
      </c>
      <c r="E282" s="51">
        <f t="shared" si="135"/>
        <v>0</v>
      </c>
      <c r="F282" s="48">
        <f>COUNTIFS(Tracker!G:G,Daily!C282, Tracker!J:J,"Y")</f>
        <v>0</v>
      </c>
      <c r="G282" s="26">
        <f>COUNTIFS(Tracker!G:G,Daily!C282, Tracker!J:J,"Y (with hints)")</f>
        <v>0</v>
      </c>
      <c r="H282" s="33">
        <f>COUNTIFS(Tracker!G:G,Daily!C282, Tracker!J:J,"N")</f>
        <v>0</v>
      </c>
      <c r="I282" s="54">
        <f t="shared" si="136"/>
        <v>0</v>
      </c>
      <c r="J282" s="26">
        <f>COUNTIFS(Tracker!G:G,Daily!C282, Tracker!J:J,"Y",Tracker!E:E,1)</f>
        <v>0</v>
      </c>
      <c r="K282" s="26">
        <f>COUNTIFS(Tracker!G:G,Daily!C282, Tracker!J:J,"Y (with hints)",Tracker!E:E,1)</f>
        <v>0</v>
      </c>
      <c r="L282" s="33">
        <f>COUNTIFS(Tracker!G:G,Daily!C282, Tracker!J:J,"N",Tracker!E:E,1)</f>
        <v>0</v>
      </c>
      <c r="M282" s="54">
        <f t="shared" si="137"/>
        <v>0</v>
      </c>
      <c r="N282" s="26">
        <f>COUNTIFS(Tracker!G:G,Daily!C282, Tracker!J:J,"Y",Tracker!E:E,2)</f>
        <v>0</v>
      </c>
      <c r="O282" s="26">
        <f>COUNTIFS(Tracker!G:G,Daily!C282, Tracker!J:J,"Y (with hints)",Tracker!E:E,2)</f>
        <v>0</v>
      </c>
      <c r="P282" s="33">
        <f>COUNTIFS(Tracker!G:G,Daily!C282, Tracker!J:J,"N",Tracker!E:E,2)</f>
        <v>0</v>
      </c>
      <c r="Q282" s="57">
        <f t="shared" si="138"/>
        <v>0</v>
      </c>
      <c r="R282" s="26">
        <f>COUNTIFS(Tracker!G:G,Daily!C282, Tracker!J:J,"Y",Tracker!E:E,3)</f>
        <v>0</v>
      </c>
      <c r="S282" s="26">
        <f>COUNTIFS(Tracker!G:G,Daily!C282, Tracker!J:J,"Y (with hints)",Tracker!E:E,3)</f>
        <v>0</v>
      </c>
      <c r="T282" s="33">
        <f>COUNTIFS(Tracker!G:G,Daily!C282, Tracker!J:J,"N",Tracker!E:E,3)</f>
        <v>0</v>
      </c>
      <c r="V282" s="48">
        <f t="shared" si="139"/>
        <v>94</v>
      </c>
      <c r="W282" s="26">
        <f t="shared" si="140"/>
        <v>90</v>
      </c>
      <c r="X282" s="62">
        <f t="shared" si="141"/>
        <v>0.95744680851063835</v>
      </c>
      <c r="Y282" s="74">
        <f>AVERAGEIFS(Tracker!I:I, Tracker!E:E, 1, Tracker!G:G, "&lt;="&amp;Daily!C282, Tracker!J:J, "Y")</f>
        <v>12.4</v>
      </c>
      <c r="Z282" s="77">
        <f>COUNTIFS(Tracker!E:E, 1, Tracker!G:G, "&lt;="&amp;Daily!C282, Tracker!L:L, "N") / V282</f>
        <v>0.80851063829787229</v>
      </c>
      <c r="AA282" s="48">
        <f t="shared" si="142"/>
        <v>232</v>
      </c>
      <c r="AB282" s="26">
        <f t="shared" si="143"/>
        <v>186</v>
      </c>
      <c r="AC282" s="62">
        <f t="shared" si="144"/>
        <v>0.80172413793103448</v>
      </c>
      <c r="AD282" s="74">
        <f>AVERAGEIFS(Tracker!I:I, Tracker!E:E, 2, Tracker!G:G, "&lt;="&amp;Daily!C282, Tracker!J:J, "Y")</f>
        <v>25.77956989247312</v>
      </c>
      <c r="AE282" s="77">
        <f>COUNTIFS(Tracker!E:E, 2, Tracker!G:G, "&lt;="&amp;Daily!C282, Tracker!L:L, "N") / AA282</f>
        <v>0.61206896551724133</v>
      </c>
      <c r="AF282" s="48">
        <f t="shared" si="145"/>
        <v>42</v>
      </c>
      <c r="AG282" s="26">
        <f t="shared" si="146"/>
        <v>27</v>
      </c>
      <c r="AH282" s="62">
        <f t="shared" si="147"/>
        <v>0.6428571428571429</v>
      </c>
      <c r="AI282" s="74">
        <f>IFERROR(AVERAGEIFS(Tracker!I:I, Tracker!E:E, 3, Tracker!G:G, "&lt;="&amp;Daily!C282, Tracker!J:J, "Y"), 0)</f>
        <v>40.074074074074076</v>
      </c>
      <c r="AJ282" s="77">
        <f>IFERROR(COUNTIFS(Tracker!E:E, 3, Tracker!G:G, "&lt;="&amp;Daily!C282, Tracker!L:L, "N") / AF282,  0)</f>
        <v>0.35714285714285715</v>
      </c>
      <c r="AK282" s="48">
        <f t="shared" si="148"/>
        <v>368</v>
      </c>
      <c r="AL282" s="26">
        <f t="shared" si="149"/>
        <v>303</v>
      </c>
      <c r="AM282" s="62">
        <f t="shared" si="150"/>
        <v>0.82336956521739135</v>
      </c>
      <c r="AN282" s="74">
        <f>IFERROR(AVERAGEIFS(Tracker!I:I,  Tracker!G:G, "&lt;="&amp;Daily!C282, Tracker!J:J, "Y"), 0)</f>
        <v>23.079207920792079</v>
      </c>
      <c r="AO282" s="77">
        <f>IFERROR(COUNTIFS(Tracker!G:G, "&lt;="&amp;Daily!C282, Tracker!L:L, "N") / AK282,  0)</f>
        <v>0.63315217391304346</v>
      </c>
    </row>
    <row r="283" spans="1:41" x14ac:dyDescent="0.25">
      <c r="A283" s="119"/>
      <c r="B283" s="32">
        <f t="shared" si="134"/>
        <v>45498</v>
      </c>
      <c r="C283" s="27">
        <f t="shared" si="151"/>
        <v>45498</v>
      </c>
      <c r="D283" s="109" t="b">
        <f t="shared" ca="1" si="133"/>
        <v>1</v>
      </c>
      <c r="E283" s="51">
        <f t="shared" si="135"/>
        <v>0</v>
      </c>
      <c r="F283" s="48">
        <f>COUNTIFS(Tracker!G:G,Daily!C283, Tracker!J:J,"Y")</f>
        <v>0</v>
      </c>
      <c r="G283" s="26">
        <f>COUNTIFS(Tracker!G:G,Daily!C283, Tracker!J:J,"Y (with hints)")</f>
        <v>0</v>
      </c>
      <c r="H283" s="33">
        <f>COUNTIFS(Tracker!G:G,Daily!C283, Tracker!J:J,"N")</f>
        <v>0</v>
      </c>
      <c r="I283" s="54">
        <f t="shared" si="136"/>
        <v>0</v>
      </c>
      <c r="J283" s="26">
        <f>COUNTIFS(Tracker!G:G,Daily!C283, Tracker!J:J,"Y",Tracker!E:E,1)</f>
        <v>0</v>
      </c>
      <c r="K283" s="26">
        <f>COUNTIFS(Tracker!G:G,Daily!C283, Tracker!J:J,"Y (with hints)",Tracker!E:E,1)</f>
        <v>0</v>
      </c>
      <c r="L283" s="33">
        <f>COUNTIFS(Tracker!G:G,Daily!C283, Tracker!J:J,"N",Tracker!E:E,1)</f>
        <v>0</v>
      </c>
      <c r="M283" s="54">
        <f t="shared" si="137"/>
        <v>0</v>
      </c>
      <c r="N283" s="26">
        <f>COUNTIFS(Tracker!G:G,Daily!C283, Tracker!J:J,"Y",Tracker!E:E,2)</f>
        <v>0</v>
      </c>
      <c r="O283" s="26">
        <f>COUNTIFS(Tracker!G:G,Daily!C283, Tracker!J:J,"Y (with hints)",Tracker!E:E,2)</f>
        <v>0</v>
      </c>
      <c r="P283" s="33">
        <f>COUNTIFS(Tracker!G:G,Daily!C283, Tracker!J:J,"N",Tracker!E:E,2)</f>
        <v>0</v>
      </c>
      <c r="Q283" s="57">
        <f t="shared" si="138"/>
        <v>0</v>
      </c>
      <c r="R283" s="26">
        <f>COUNTIFS(Tracker!G:G,Daily!C283, Tracker!J:J,"Y",Tracker!E:E,3)</f>
        <v>0</v>
      </c>
      <c r="S283" s="26">
        <f>COUNTIFS(Tracker!G:G,Daily!C283, Tracker!J:J,"Y (with hints)",Tracker!E:E,3)</f>
        <v>0</v>
      </c>
      <c r="T283" s="33">
        <f>COUNTIFS(Tracker!G:G,Daily!C283, Tracker!J:J,"N",Tracker!E:E,3)</f>
        <v>0</v>
      </c>
      <c r="V283" s="48">
        <f t="shared" si="139"/>
        <v>94</v>
      </c>
      <c r="W283" s="26">
        <f t="shared" si="140"/>
        <v>90</v>
      </c>
      <c r="X283" s="62">
        <f t="shared" si="141"/>
        <v>0.95744680851063835</v>
      </c>
      <c r="Y283" s="74">
        <f>AVERAGEIFS(Tracker!I:I, Tracker!E:E, 1, Tracker!G:G, "&lt;="&amp;Daily!C283, Tracker!J:J, "Y")</f>
        <v>12.4</v>
      </c>
      <c r="Z283" s="77">
        <f>COUNTIFS(Tracker!E:E, 1, Tracker!G:G, "&lt;="&amp;Daily!C283, Tracker!L:L, "N") / V283</f>
        <v>0.80851063829787229</v>
      </c>
      <c r="AA283" s="48">
        <f t="shared" si="142"/>
        <v>232</v>
      </c>
      <c r="AB283" s="26">
        <f t="shared" si="143"/>
        <v>186</v>
      </c>
      <c r="AC283" s="62">
        <f t="shared" si="144"/>
        <v>0.80172413793103448</v>
      </c>
      <c r="AD283" s="74">
        <f>AVERAGEIFS(Tracker!I:I, Tracker!E:E, 2, Tracker!G:G, "&lt;="&amp;Daily!C283, Tracker!J:J, "Y")</f>
        <v>25.77956989247312</v>
      </c>
      <c r="AE283" s="77">
        <f>COUNTIFS(Tracker!E:E, 2, Tracker!G:G, "&lt;="&amp;Daily!C283, Tracker!L:L, "N") / AA283</f>
        <v>0.61206896551724133</v>
      </c>
      <c r="AF283" s="48">
        <f t="shared" si="145"/>
        <v>42</v>
      </c>
      <c r="AG283" s="26">
        <f t="shared" si="146"/>
        <v>27</v>
      </c>
      <c r="AH283" s="62">
        <f t="shared" si="147"/>
        <v>0.6428571428571429</v>
      </c>
      <c r="AI283" s="74">
        <f>IFERROR(AVERAGEIFS(Tracker!I:I, Tracker!E:E, 3, Tracker!G:G, "&lt;="&amp;Daily!C283, Tracker!J:J, "Y"), 0)</f>
        <v>40.074074074074076</v>
      </c>
      <c r="AJ283" s="77">
        <f>IFERROR(COUNTIFS(Tracker!E:E, 3, Tracker!G:G, "&lt;="&amp;Daily!C283, Tracker!L:L, "N") / AF283,  0)</f>
        <v>0.35714285714285715</v>
      </c>
      <c r="AK283" s="48">
        <f t="shared" si="148"/>
        <v>368</v>
      </c>
      <c r="AL283" s="26">
        <f t="shared" si="149"/>
        <v>303</v>
      </c>
      <c r="AM283" s="62">
        <f t="shared" si="150"/>
        <v>0.82336956521739135</v>
      </c>
      <c r="AN283" s="74">
        <f>IFERROR(AVERAGEIFS(Tracker!I:I,  Tracker!G:G, "&lt;="&amp;Daily!C283, Tracker!J:J, "Y"), 0)</f>
        <v>23.079207920792079</v>
      </c>
      <c r="AO283" s="77">
        <f>IFERROR(COUNTIFS(Tracker!G:G, "&lt;="&amp;Daily!C283, Tracker!L:L, "N") / AK283,  0)</f>
        <v>0.63315217391304346</v>
      </c>
    </row>
    <row r="284" spans="1:41" x14ac:dyDescent="0.25">
      <c r="A284" s="119"/>
      <c r="B284" s="32">
        <f t="shared" si="134"/>
        <v>45499</v>
      </c>
      <c r="C284" s="27">
        <f t="shared" si="151"/>
        <v>45499</v>
      </c>
      <c r="D284" s="109" t="b">
        <f t="shared" ca="1" si="133"/>
        <v>1</v>
      </c>
      <c r="E284" s="51">
        <f t="shared" si="135"/>
        <v>0</v>
      </c>
      <c r="F284" s="48">
        <f>COUNTIFS(Tracker!G:G,Daily!C284, Tracker!J:J,"Y")</f>
        <v>0</v>
      </c>
      <c r="G284" s="26">
        <f>COUNTIFS(Tracker!G:G,Daily!C284, Tracker!J:J,"Y (with hints)")</f>
        <v>0</v>
      </c>
      <c r="H284" s="33">
        <f>COUNTIFS(Tracker!G:G,Daily!C284, Tracker!J:J,"N")</f>
        <v>0</v>
      </c>
      <c r="I284" s="54">
        <f t="shared" si="136"/>
        <v>0</v>
      </c>
      <c r="J284" s="26">
        <f>COUNTIFS(Tracker!G:G,Daily!C284, Tracker!J:J,"Y",Tracker!E:E,1)</f>
        <v>0</v>
      </c>
      <c r="K284" s="26">
        <f>COUNTIFS(Tracker!G:G,Daily!C284, Tracker!J:J,"Y (with hints)",Tracker!E:E,1)</f>
        <v>0</v>
      </c>
      <c r="L284" s="33">
        <f>COUNTIFS(Tracker!G:G,Daily!C284, Tracker!J:J,"N",Tracker!E:E,1)</f>
        <v>0</v>
      </c>
      <c r="M284" s="54">
        <f t="shared" si="137"/>
        <v>0</v>
      </c>
      <c r="N284" s="26">
        <f>COUNTIFS(Tracker!G:G,Daily!C284, Tracker!J:J,"Y",Tracker!E:E,2)</f>
        <v>0</v>
      </c>
      <c r="O284" s="26">
        <f>COUNTIFS(Tracker!G:G,Daily!C284, Tracker!J:J,"Y (with hints)",Tracker!E:E,2)</f>
        <v>0</v>
      </c>
      <c r="P284" s="33">
        <f>COUNTIFS(Tracker!G:G,Daily!C284, Tracker!J:J,"N",Tracker!E:E,2)</f>
        <v>0</v>
      </c>
      <c r="Q284" s="57">
        <f t="shared" si="138"/>
        <v>0</v>
      </c>
      <c r="R284" s="26">
        <f>COUNTIFS(Tracker!G:G,Daily!C284, Tracker!J:J,"Y",Tracker!E:E,3)</f>
        <v>0</v>
      </c>
      <c r="S284" s="26">
        <f>COUNTIFS(Tracker!G:G,Daily!C284, Tracker!J:J,"Y (with hints)",Tracker!E:E,3)</f>
        <v>0</v>
      </c>
      <c r="T284" s="33">
        <f>COUNTIFS(Tracker!G:G,Daily!C284, Tracker!J:J,"N",Tracker!E:E,3)</f>
        <v>0</v>
      </c>
      <c r="V284" s="48">
        <f t="shared" si="139"/>
        <v>94</v>
      </c>
      <c r="W284" s="26">
        <f t="shared" si="140"/>
        <v>90</v>
      </c>
      <c r="X284" s="62">
        <f t="shared" si="141"/>
        <v>0.95744680851063835</v>
      </c>
      <c r="Y284" s="74">
        <f>AVERAGEIFS(Tracker!I:I, Tracker!E:E, 1, Tracker!G:G, "&lt;="&amp;Daily!C284, Tracker!J:J, "Y")</f>
        <v>12.4</v>
      </c>
      <c r="Z284" s="77">
        <f>COUNTIFS(Tracker!E:E, 1, Tracker!G:G, "&lt;="&amp;Daily!C284, Tracker!L:L, "N") / V284</f>
        <v>0.80851063829787229</v>
      </c>
      <c r="AA284" s="48">
        <f t="shared" si="142"/>
        <v>232</v>
      </c>
      <c r="AB284" s="26">
        <f t="shared" si="143"/>
        <v>186</v>
      </c>
      <c r="AC284" s="62">
        <f t="shared" si="144"/>
        <v>0.80172413793103448</v>
      </c>
      <c r="AD284" s="74">
        <f>AVERAGEIFS(Tracker!I:I, Tracker!E:E, 2, Tracker!G:G, "&lt;="&amp;Daily!C284, Tracker!J:J, "Y")</f>
        <v>25.77956989247312</v>
      </c>
      <c r="AE284" s="77">
        <f>COUNTIFS(Tracker!E:E, 2, Tracker!G:G, "&lt;="&amp;Daily!C284, Tracker!L:L, "N") / AA284</f>
        <v>0.61206896551724133</v>
      </c>
      <c r="AF284" s="48">
        <f t="shared" si="145"/>
        <v>42</v>
      </c>
      <c r="AG284" s="26">
        <f t="shared" si="146"/>
        <v>27</v>
      </c>
      <c r="AH284" s="62">
        <f t="shared" si="147"/>
        <v>0.6428571428571429</v>
      </c>
      <c r="AI284" s="74">
        <f>IFERROR(AVERAGEIFS(Tracker!I:I, Tracker!E:E, 3, Tracker!G:G, "&lt;="&amp;Daily!C284, Tracker!J:J, "Y"), 0)</f>
        <v>40.074074074074076</v>
      </c>
      <c r="AJ284" s="77">
        <f>IFERROR(COUNTIFS(Tracker!E:E, 3, Tracker!G:G, "&lt;="&amp;Daily!C284, Tracker!L:L, "N") / AF284,  0)</f>
        <v>0.35714285714285715</v>
      </c>
      <c r="AK284" s="48">
        <f t="shared" si="148"/>
        <v>368</v>
      </c>
      <c r="AL284" s="26">
        <f t="shared" si="149"/>
        <v>303</v>
      </c>
      <c r="AM284" s="62">
        <f t="shared" si="150"/>
        <v>0.82336956521739135</v>
      </c>
      <c r="AN284" s="74">
        <f>IFERROR(AVERAGEIFS(Tracker!I:I,  Tracker!G:G, "&lt;="&amp;Daily!C284, Tracker!J:J, "Y"), 0)</f>
        <v>23.079207920792079</v>
      </c>
      <c r="AO284" s="77">
        <f>IFERROR(COUNTIFS(Tracker!G:G, "&lt;="&amp;Daily!C284, Tracker!L:L, "N") / AK284,  0)</f>
        <v>0.63315217391304346</v>
      </c>
    </row>
    <row r="285" spans="1:41" x14ac:dyDescent="0.25">
      <c r="A285" s="119"/>
      <c r="B285" s="32">
        <f t="shared" si="134"/>
        <v>45500</v>
      </c>
      <c r="C285" s="27">
        <f t="shared" si="151"/>
        <v>45500</v>
      </c>
      <c r="D285" s="109" t="b">
        <f t="shared" ca="1" si="133"/>
        <v>1</v>
      </c>
      <c r="E285" s="51">
        <f t="shared" si="135"/>
        <v>0</v>
      </c>
      <c r="F285" s="48">
        <f>COUNTIFS(Tracker!G:G,Daily!C285, Tracker!J:J,"Y")</f>
        <v>0</v>
      </c>
      <c r="G285" s="26">
        <f>COUNTIFS(Tracker!G:G,Daily!C285, Tracker!J:J,"Y (with hints)")</f>
        <v>0</v>
      </c>
      <c r="H285" s="33">
        <f>COUNTIFS(Tracker!G:G,Daily!C285, Tracker!J:J,"N")</f>
        <v>0</v>
      </c>
      <c r="I285" s="54">
        <f t="shared" si="136"/>
        <v>0</v>
      </c>
      <c r="J285" s="26">
        <f>COUNTIFS(Tracker!G:G,Daily!C285, Tracker!J:J,"Y",Tracker!E:E,1)</f>
        <v>0</v>
      </c>
      <c r="K285" s="26">
        <f>COUNTIFS(Tracker!G:G,Daily!C285, Tracker!J:J,"Y (with hints)",Tracker!E:E,1)</f>
        <v>0</v>
      </c>
      <c r="L285" s="33">
        <f>COUNTIFS(Tracker!G:G,Daily!C285, Tracker!J:J,"N",Tracker!E:E,1)</f>
        <v>0</v>
      </c>
      <c r="M285" s="54">
        <f t="shared" si="137"/>
        <v>0</v>
      </c>
      <c r="N285" s="26">
        <f>COUNTIFS(Tracker!G:G,Daily!C285, Tracker!J:J,"Y",Tracker!E:E,2)</f>
        <v>0</v>
      </c>
      <c r="O285" s="26">
        <f>COUNTIFS(Tracker!G:G,Daily!C285, Tracker!J:J,"Y (with hints)",Tracker!E:E,2)</f>
        <v>0</v>
      </c>
      <c r="P285" s="33">
        <f>COUNTIFS(Tracker!G:G,Daily!C285, Tracker!J:J,"N",Tracker!E:E,2)</f>
        <v>0</v>
      </c>
      <c r="Q285" s="57">
        <f t="shared" si="138"/>
        <v>0</v>
      </c>
      <c r="R285" s="26">
        <f>COUNTIFS(Tracker!G:G,Daily!C285, Tracker!J:J,"Y",Tracker!E:E,3)</f>
        <v>0</v>
      </c>
      <c r="S285" s="26">
        <f>COUNTIFS(Tracker!G:G,Daily!C285, Tracker!J:J,"Y (with hints)",Tracker!E:E,3)</f>
        <v>0</v>
      </c>
      <c r="T285" s="33">
        <f>COUNTIFS(Tracker!G:G,Daily!C285, Tracker!J:J,"N",Tracker!E:E,3)</f>
        <v>0</v>
      </c>
      <c r="V285" s="48">
        <f t="shared" si="139"/>
        <v>94</v>
      </c>
      <c r="W285" s="26">
        <f t="shared" si="140"/>
        <v>90</v>
      </c>
      <c r="X285" s="62">
        <f t="shared" si="141"/>
        <v>0.95744680851063835</v>
      </c>
      <c r="Y285" s="74">
        <f>AVERAGEIFS(Tracker!I:I, Tracker!E:E, 1, Tracker!G:G, "&lt;="&amp;Daily!C285, Tracker!J:J, "Y")</f>
        <v>12.4</v>
      </c>
      <c r="Z285" s="77">
        <f>COUNTIFS(Tracker!E:E, 1, Tracker!G:G, "&lt;="&amp;Daily!C285, Tracker!L:L, "N") / V285</f>
        <v>0.80851063829787229</v>
      </c>
      <c r="AA285" s="48">
        <f t="shared" si="142"/>
        <v>232</v>
      </c>
      <c r="AB285" s="26">
        <f t="shared" si="143"/>
        <v>186</v>
      </c>
      <c r="AC285" s="62">
        <f t="shared" si="144"/>
        <v>0.80172413793103448</v>
      </c>
      <c r="AD285" s="74">
        <f>AVERAGEIFS(Tracker!I:I, Tracker!E:E, 2, Tracker!G:G, "&lt;="&amp;Daily!C285, Tracker!J:J, "Y")</f>
        <v>25.77956989247312</v>
      </c>
      <c r="AE285" s="77">
        <f>COUNTIFS(Tracker!E:E, 2, Tracker!G:G, "&lt;="&amp;Daily!C285, Tracker!L:L, "N") / AA285</f>
        <v>0.61206896551724133</v>
      </c>
      <c r="AF285" s="48">
        <f t="shared" si="145"/>
        <v>42</v>
      </c>
      <c r="AG285" s="26">
        <f t="shared" si="146"/>
        <v>27</v>
      </c>
      <c r="AH285" s="62">
        <f t="shared" si="147"/>
        <v>0.6428571428571429</v>
      </c>
      <c r="AI285" s="74">
        <f>IFERROR(AVERAGEIFS(Tracker!I:I, Tracker!E:E, 3, Tracker!G:G, "&lt;="&amp;Daily!C285, Tracker!J:J, "Y"), 0)</f>
        <v>40.074074074074076</v>
      </c>
      <c r="AJ285" s="77">
        <f>IFERROR(COUNTIFS(Tracker!E:E, 3, Tracker!G:G, "&lt;="&amp;Daily!C285, Tracker!L:L, "N") / AF285,  0)</f>
        <v>0.35714285714285715</v>
      </c>
      <c r="AK285" s="48">
        <f t="shared" si="148"/>
        <v>368</v>
      </c>
      <c r="AL285" s="26">
        <f t="shared" si="149"/>
        <v>303</v>
      </c>
      <c r="AM285" s="62">
        <f t="shared" si="150"/>
        <v>0.82336956521739135</v>
      </c>
      <c r="AN285" s="74">
        <f>IFERROR(AVERAGEIFS(Tracker!I:I,  Tracker!G:G, "&lt;="&amp;Daily!C285, Tracker!J:J, "Y"), 0)</f>
        <v>23.079207920792079</v>
      </c>
      <c r="AO285" s="77">
        <f>IFERROR(COUNTIFS(Tracker!G:G, "&lt;="&amp;Daily!C285, Tracker!L:L, "N") / AK285,  0)</f>
        <v>0.63315217391304346</v>
      </c>
    </row>
    <row r="286" spans="1:41" ht="15.75" thickBot="1" x14ac:dyDescent="0.3">
      <c r="A286" s="120"/>
      <c r="B286" s="34">
        <f t="shared" si="134"/>
        <v>45501</v>
      </c>
      <c r="C286" s="35">
        <f t="shared" si="151"/>
        <v>45501</v>
      </c>
      <c r="D286" s="110" t="b">
        <f t="shared" ca="1" si="133"/>
        <v>1</v>
      </c>
      <c r="E286" s="52">
        <f t="shared" si="135"/>
        <v>0</v>
      </c>
      <c r="F286" s="39">
        <f>COUNTIFS(Tracker!G:G,Daily!C286, Tracker!J:J,"Y")</f>
        <v>0</v>
      </c>
      <c r="G286" s="36">
        <f>COUNTIFS(Tracker!G:G,Daily!C286, Tracker!J:J,"Y (with hints)")</f>
        <v>0</v>
      </c>
      <c r="H286" s="37">
        <f>COUNTIFS(Tracker!G:G,Daily!C286, Tracker!J:J,"N")</f>
        <v>0</v>
      </c>
      <c r="I286" s="55">
        <f t="shared" si="136"/>
        <v>0</v>
      </c>
      <c r="J286" s="36">
        <f>COUNTIFS(Tracker!G:G,Daily!C286, Tracker!J:J,"Y",Tracker!E:E,1)</f>
        <v>0</v>
      </c>
      <c r="K286" s="36">
        <f>COUNTIFS(Tracker!G:G,Daily!C286, Tracker!J:J,"Y (with hints)",Tracker!E:E,1)</f>
        <v>0</v>
      </c>
      <c r="L286" s="37">
        <f>COUNTIFS(Tracker!G:G,Daily!C286, Tracker!J:J,"N",Tracker!E:E,1)</f>
        <v>0</v>
      </c>
      <c r="M286" s="55">
        <f t="shared" si="137"/>
        <v>0</v>
      </c>
      <c r="N286" s="36">
        <f>COUNTIFS(Tracker!G:G,Daily!C286, Tracker!J:J,"Y",Tracker!E:E,2)</f>
        <v>0</v>
      </c>
      <c r="O286" s="36">
        <f>COUNTIFS(Tracker!G:G,Daily!C286, Tracker!J:J,"Y (with hints)",Tracker!E:E,2)</f>
        <v>0</v>
      </c>
      <c r="P286" s="37">
        <f>COUNTIFS(Tracker!G:G,Daily!C286, Tracker!J:J,"N",Tracker!E:E,2)</f>
        <v>0</v>
      </c>
      <c r="Q286" s="58">
        <f t="shared" si="138"/>
        <v>0</v>
      </c>
      <c r="R286" s="36">
        <f>COUNTIFS(Tracker!G:G,Daily!C286, Tracker!J:J,"Y",Tracker!E:E,3)</f>
        <v>0</v>
      </c>
      <c r="S286" s="36">
        <f>COUNTIFS(Tracker!G:G,Daily!C286, Tracker!J:J,"Y (with hints)",Tracker!E:E,3)</f>
        <v>0</v>
      </c>
      <c r="T286" s="37">
        <f>COUNTIFS(Tracker!G:G,Daily!C286, Tracker!J:J,"N",Tracker!E:E,3)</f>
        <v>0</v>
      </c>
      <c r="V286" s="39">
        <f t="shared" si="139"/>
        <v>94</v>
      </c>
      <c r="W286" s="36">
        <f t="shared" si="140"/>
        <v>90</v>
      </c>
      <c r="X286" s="64">
        <f t="shared" si="141"/>
        <v>0.95744680851063835</v>
      </c>
      <c r="Y286" s="78">
        <f>AVERAGEIFS(Tracker!I:I, Tracker!E:E, 1, Tracker!G:G, "&lt;="&amp;Daily!C286, Tracker!J:J, "Y")</f>
        <v>12.4</v>
      </c>
      <c r="Z286" s="79">
        <f>COUNTIFS(Tracker!E:E, 1, Tracker!G:G, "&lt;="&amp;Daily!C286, Tracker!L:L, "N") / V286</f>
        <v>0.80851063829787229</v>
      </c>
      <c r="AA286" s="39">
        <f t="shared" si="142"/>
        <v>232</v>
      </c>
      <c r="AB286" s="36">
        <f t="shared" si="143"/>
        <v>186</v>
      </c>
      <c r="AC286" s="64">
        <f t="shared" si="144"/>
        <v>0.80172413793103448</v>
      </c>
      <c r="AD286" s="78">
        <f>AVERAGEIFS(Tracker!I:I, Tracker!E:E, 2, Tracker!G:G, "&lt;="&amp;Daily!C286, Tracker!J:J, "Y")</f>
        <v>25.77956989247312</v>
      </c>
      <c r="AE286" s="79">
        <f>COUNTIFS(Tracker!E:E, 2, Tracker!G:G, "&lt;="&amp;Daily!C286, Tracker!L:L, "N") / AA286</f>
        <v>0.61206896551724133</v>
      </c>
      <c r="AF286" s="39">
        <f t="shared" si="145"/>
        <v>42</v>
      </c>
      <c r="AG286" s="36">
        <f t="shared" si="146"/>
        <v>27</v>
      </c>
      <c r="AH286" s="64">
        <f t="shared" si="147"/>
        <v>0.6428571428571429</v>
      </c>
      <c r="AI286" s="78">
        <f>IFERROR(AVERAGEIFS(Tracker!I:I, Tracker!E:E, 3, Tracker!G:G, "&lt;="&amp;Daily!C286, Tracker!J:J, "Y"), 0)</f>
        <v>40.074074074074076</v>
      </c>
      <c r="AJ286" s="79">
        <f>IFERROR(COUNTIFS(Tracker!E:E, 3, Tracker!G:G, "&lt;="&amp;Daily!C286, Tracker!L:L, "N") / AF286,  0)</f>
        <v>0.35714285714285715</v>
      </c>
      <c r="AK286" s="39">
        <f t="shared" si="148"/>
        <v>368</v>
      </c>
      <c r="AL286" s="36">
        <f t="shared" si="149"/>
        <v>303</v>
      </c>
      <c r="AM286" s="64">
        <f t="shared" si="150"/>
        <v>0.82336956521739135</v>
      </c>
      <c r="AN286" s="78">
        <f>IFERROR(AVERAGEIFS(Tracker!I:I,  Tracker!G:G, "&lt;="&amp;Daily!C286, Tracker!J:J, "Y"), 0)</f>
        <v>23.079207920792079</v>
      </c>
      <c r="AO286" s="79">
        <f>IFERROR(COUNTIFS(Tracker!G:G, "&lt;="&amp;Daily!C286, Tracker!L:L, "N") / AK286,  0)</f>
        <v>0.63315217391304346</v>
      </c>
    </row>
    <row r="287" spans="1:41" x14ac:dyDescent="0.25">
      <c r="A287" s="118">
        <f>A280+1</f>
        <v>41</v>
      </c>
      <c r="B287" s="28">
        <f t="shared" si="134"/>
        <v>45502</v>
      </c>
      <c r="C287" s="29">
        <f t="shared" si="151"/>
        <v>45502</v>
      </c>
      <c r="D287" s="108" t="b">
        <f t="shared" ca="1" si="133"/>
        <v>1</v>
      </c>
      <c r="E287" s="50">
        <f t="shared" si="135"/>
        <v>0</v>
      </c>
      <c r="F287" s="38">
        <f>COUNTIFS(Tracker!G:G,Daily!C287, Tracker!J:J,"Y")</f>
        <v>0</v>
      </c>
      <c r="G287" s="30">
        <f>COUNTIFS(Tracker!G:G,Daily!C287, Tracker!J:J,"Y (with hints)")</f>
        <v>0</v>
      </c>
      <c r="H287" s="31">
        <f>COUNTIFS(Tracker!G:G,Daily!C287, Tracker!J:J,"N")</f>
        <v>0</v>
      </c>
      <c r="I287" s="53">
        <f t="shared" si="136"/>
        <v>0</v>
      </c>
      <c r="J287" s="30">
        <f>COUNTIFS(Tracker!G:G,Daily!C287, Tracker!J:J,"Y",Tracker!E:E,1)</f>
        <v>0</v>
      </c>
      <c r="K287" s="30">
        <f>COUNTIFS(Tracker!G:G,Daily!C287, Tracker!J:J,"Y (with hints)",Tracker!E:E,1)</f>
        <v>0</v>
      </c>
      <c r="L287" s="31">
        <f>COUNTIFS(Tracker!G:G,Daily!C287, Tracker!J:J,"N",Tracker!E:E,1)</f>
        <v>0</v>
      </c>
      <c r="M287" s="53">
        <f t="shared" si="137"/>
        <v>0</v>
      </c>
      <c r="N287" s="30">
        <f>COUNTIFS(Tracker!G:G,Daily!C287, Tracker!J:J,"Y",Tracker!E:E,2)</f>
        <v>0</v>
      </c>
      <c r="O287" s="30">
        <f>COUNTIFS(Tracker!G:G,Daily!C287, Tracker!J:J,"Y (with hints)",Tracker!E:E,2)</f>
        <v>0</v>
      </c>
      <c r="P287" s="31">
        <f>COUNTIFS(Tracker!G:G,Daily!C287, Tracker!J:J,"N",Tracker!E:E,2)</f>
        <v>0</v>
      </c>
      <c r="Q287" s="56">
        <f t="shared" si="138"/>
        <v>0</v>
      </c>
      <c r="R287" s="30">
        <f>COUNTIFS(Tracker!G:G,Daily!C287, Tracker!J:J,"Y",Tracker!E:E,3)</f>
        <v>0</v>
      </c>
      <c r="S287" s="30">
        <f>COUNTIFS(Tracker!G:G,Daily!C287, Tracker!J:J,"Y (with hints)",Tracker!E:E,3)</f>
        <v>0</v>
      </c>
      <c r="T287" s="31">
        <f>COUNTIFS(Tracker!G:G,Daily!C287, Tracker!J:J,"N",Tracker!E:E,3)</f>
        <v>0</v>
      </c>
      <c r="V287" s="38">
        <f t="shared" si="139"/>
        <v>94</v>
      </c>
      <c r="W287" s="30">
        <f t="shared" si="140"/>
        <v>90</v>
      </c>
      <c r="X287" s="73">
        <f t="shared" si="141"/>
        <v>0.95744680851063835</v>
      </c>
      <c r="Y287" s="75">
        <f>AVERAGEIFS(Tracker!I:I, Tracker!E:E, 1, Tracker!G:G, "&lt;="&amp;Daily!C287, Tracker!J:J, "Y")</f>
        <v>12.4</v>
      </c>
      <c r="Z287" s="76">
        <f>COUNTIFS(Tracker!E:E, 1, Tracker!G:G, "&lt;="&amp;Daily!C287, Tracker!L:L, "N") / V287</f>
        <v>0.80851063829787229</v>
      </c>
      <c r="AA287" s="38">
        <f t="shared" si="142"/>
        <v>232</v>
      </c>
      <c r="AB287" s="30">
        <f t="shared" si="143"/>
        <v>186</v>
      </c>
      <c r="AC287" s="73">
        <f t="shared" si="144"/>
        <v>0.80172413793103448</v>
      </c>
      <c r="AD287" s="75">
        <f>AVERAGEIFS(Tracker!I:I, Tracker!E:E, 2, Tracker!G:G, "&lt;="&amp;Daily!C287, Tracker!J:J, "Y")</f>
        <v>25.77956989247312</v>
      </c>
      <c r="AE287" s="76">
        <f>COUNTIFS(Tracker!E:E, 2, Tracker!G:G, "&lt;="&amp;Daily!C287, Tracker!L:L, "N") / AA287</f>
        <v>0.61206896551724133</v>
      </c>
      <c r="AF287" s="38">
        <f t="shared" si="145"/>
        <v>42</v>
      </c>
      <c r="AG287" s="30">
        <f t="shared" si="146"/>
        <v>27</v>
      </c>
      <c r="AH287" s="73">
        <f t="shared" si="147"/>
        <v>0.6428571428571429</v>
      </c>
      <c r="AI287" s="75">
        <f>IFERROR(AVERAGEIFS(Tracker!I:I, Tracker!E:E, 3, Tracker!G:G, "&lt;="&amp;Daily!C287, Tracker!J:J, "Y"), 0)</f>
        <v>40.074074074074076</v>
      </c>
      <c r="AJ287" s="76">
        <f>IFERROR(COUNTIFS(Tracker!E:E, 3, Tracker!G:G, "&lt;="&amp;Daily!C287, Tracker!L:L, "N") / AF287,  0)</f>
        <v>0.35714285714285715</v>
      </c>
      <c r="AK287" s="38">
        <f t="shared" si="148"/>
        <v>368</v>
      </c>
      <c r="AL287" s="30">
        <f t="shared" si="149"/>
        <v>303</v>
      </c>
      <c r="AM287" s="73">
        <f t="shared" si="150"/>
        <v>0.82336956521739135</v>
      </c>
      <c r="AN287" s="75">
        <f>IFERROR(AVERAGEIFS(Tracker!I:I,  Tracker!G:G, "&lt;="&amp;Daily!C287, Tracker!J:J, "Y"), 0)</f>
        <v>23.079207920792079</v>
      </c>
      <c r="AO287" s="76">
        <f>IFERROR(COUNTIFS(Tracker!G:G, "&lt;="&amp;Daily!C287, Tracker!L:L, "N") / AK287,  0)</f>
        <v>0.63315217391304346</v>
      </c>
    </row>
    <row r="288" spans="1:41" x14ac:dyDescent="0.25">
      <c r="A288" s="119"/>
      <c r="B288" s="32">
        <f t="shared" si="134"/>
        <v>45503</v>
      </c>
      <c r="C288" s="27">
        <f t="shared" si="151"/>
        <v>45503</v>
      </c>
      <c r="D288" s="109" t="b">
        <f t="shared" ca="1" si="133"/>
        <v>1</v>
      </c>
      <c r="E288" s="51">
        <f t="shared" si="135"/>
        <v>0</v>
      </c>
      <c r="F288" s="48">
        <f>COUNTIFS(Tracker!G:G,Daily!C288, Tracker!J:J,"Y")</f>
        <v>0</v>
      </c>
      <c r="G288" s="26">
        <f>COUNTIFS(Tracker!G:G,Daily!C288, Tracker!J:J,"Y (with hints)")</f>
        <v>0</v>
      </c>
      <c r="H288" s="33">
        <f>COUNTIFS(Tracker!G:G,Daily!C288, Tracker!J:J,"N")</f>
        <v>0</v>
      </c>
      <c r="I288" s="54">
        <f t="shared" si="136"/>
        <v>0</v>
      </c>
      <c r="J288" s="26">
        <f>COUNTIFS(Tracker!G:G,Daily!C288, Tracker!J:J,"Y",Tracker!E:E,1)</f>
        <v>0</v>
      </c>
      <c r="K288" s="26">
        <f>COUNTIFS(Tracker!G:G,Daily!C288, Tracker!J:J,"Y (with hints)",Tracker!E:E,1)</f>
        <v>0</v>
      </c>
      <c r="L288" s="33">
        <f>COUNTIFS(Tracker!G:G,Daily!C288, Tracker!J:J,"N",Tracker!E:E,1)</f>
        <v>0</v>
      </c>
      <c r="M288" s="54">
        <f t="shared" si="137"/>
        <v>0</v>
      </c>
      <c r="N288" s="26">
        <f>COUNTIFS(Tracker!G:G,Daily!C288, Tracker!J:J,"Y",Tracker!E:E,2)</f>
        <v>0</v>
      </c>
      <c r="O288" s="26">
        <f>COUNTIFS(Tracker!G:G,Daily!C288, Tracker!J:J,"Y (with hints)",Tracker!E:E,2)</f>
        <v>0</v>
      </c>
      <c r="P288" s="33">
        <f>COUNTIFS(Tracker!G:G,Daily!C288, Tracker!J:J,"N",Tracker!E:E,2)</f>
        <v>0</v>
      </c>
      <c r="Q288" s="57">
        <f t="shared" si="138"/>
        <v>0</v>
      </c>
      <c r="R288" s="26">
        <f>COUNTIFS(Tracker!G:G,Daily!C288, Tracker!J:J,"Y",Tracker!E:E,3)</f>
        <v>0</v>
      </c>
      <c r="S288" s="26">
        <f>COUNTIFS(Tracker!G:G,Daily!C288, Tracker!J:J,"Y (with hints)",Tracker!E:E,3)</f>
        <v>0</v>
      </c>
      <c r="T288" s="33">
        <f>COUNTIFS(Tracker!G:G,Daily!C288, Tracker!J:J,"N",Tracker!E:E,3)</f>
        <v>0</v>
      </c>
      <c r="V288" s="48">
        <f t="shared" si="139"/>
        <v>94</v>
      </c>
      <c r="W288" s="26">
        <f t="shared" si="140"/>
        <v>90</v>
      </c>
      <c r="X288" s="62">
        <f t="shared" si="141"/>
        <v>0.95744680851063835</v>
      </c>
      <c r="Y288" s="74">
        <f>AVERAGEIFS(Tracker!I:I, Tracker!E:E, 1, Tracker!G:G, "&lt;="&amp;Daily!C288, Tracker!J:J, "Y")</f>
        <v>12.4</v>
      </c>
      <c r="Z288" s="77">
        <f>COUNTIFS(Tracker!E:E, 1, Tracker!G:G, "&lt;="&amp;Daily!C288, Tracker!L:L, "N") / V288</f>
        <v>0.80851063829787229</v>
      </c>
      <c r="AA288" s="48">
        <f t="shared" si="142"/>
        <v>232</v>
      </c>
      <c r="AB288" s="26">
        <f t="shared" si="143"/>
        <v>186</v>
      </c>
      <c r="AC288" s="62">
        <f t="shared" si="144"/>
        <v>0.80172413793103448</v>
      </c>
      <c r="AD288" s="74">
        <f>AVERAGEIFS(Tracker!I:I, Tracker!E:E, 2, Tracker!G:G, "&lt;="&amp;Daily!C288, Tracker!J:J, "Y")</f>
        <v>25.77956989247312</v>
      </c>
      <c r="AE288" s="77">
        <f>COUNTIFS(Tracker!E:E, 2, Tracker!G:G, "&lt;="&amp;Daily!C288, Tracker!L:L, "N") / AA288</f>
        <v>0.61206896551724133</v>
      </c>
      <c r="AF288" s="48">
        <f t="shared" si="145"/>
        <v>42</v>
      </c>
      <c r="AG288" s="26">
        <f t="shared" si="146"/>
        <v>27</v>
      </c>
      <c r="AH288" s="62">
        <f t="shared" si="147"/>
        <v>0.6428571428571429</v>
      </c>
      <c r="AI288" s="74">
        <f>IFERROR(AVERAGEIFS(Tracker!I:I, Tracker!E:E, 3, Tracker!G:G, "&lt;="&amp;Daily!C288, Tracker!J:J, "Y"), 0)</f>
        <v>40.074074074074076</v>
      </c>
      <c r="AJ288" s="77">
        <f>IFERROR(COUNTIFS(Tracker!E:E, 3, Tracker!G:G, "&lt;="&amp;Daily!C288, Tracker!L:L, "N") / AF288,  0)</f>
        <v>0.35714285714285715</v>
      </c>
      <c r="AK288" s="48">
        <f t="shared" si="148"/>
        <v>368</v>
      </c>
      <c r="AL288" s="26">
        <f t="shared" si="149"/>
        <v>303</v>
      </c>
      <c r="AM288" s="62">
        <f t="shared" si="150"/>
        <v>0.82336956521739135</v>
      </c>
      <c r="AN288" s="74">
        <f>IFERROR(AVERAGEIFS(Tracker!I:I,  Tracker!G:G, "&lt;="&amp;Daily!C288, Tracker!J:J, "Y"), 0)</f>
        <v>23.079207920792079</v>
      </c>
      <c r="AO288" s="77">
        <f>IFERROR(COUNTIFS(Tracker!G:G, "&lt;="&amp;Daily!C288, Tracker!L:L, "N") / AK288,  0)</f>
        <v>0.63315217391304346</v>
      </c>
    </row>
    <row r="289" spans="1:41" x14ac:dyDescent="0.25">
      <c r="A289" s="119"/>
      <c r="B289" s="32">
        <f t="shared" si="134"/>
        <v>45504</v>
      </c>
      <c r="C289" s="27">
        <f t="shared" si="151"/>
        <v>45504</v>
      </c>
      <c r="D289" s="109" t="b">
        <f t="shared" ca="1" si="133"/>
        <v>1</v>
      </c>
      <c r="E289" s="51">
        <f t="shared" si="135"/>
        <v>0</v>
      </c>
      <c r="F289" s="48">
        <f>COUNTIFS(Tracker!G:G,Daily!C289, Tracker!J:J,"Y")</f>
        <v>0</v>
      </c>
      <c r="G289" s="26">
        <f>COUNTIFS(Tracker!G:G,Daily!C289, Tracker!J:J,"Y (with hints)")</f>
        <v>0</v>
      </c>
      <c r="H289" s="33">
        <f>COUNTIFS(Tracker!G:G,Daily!C289, Tracker!J:J,"N")</f>
        <v>0</v>
      </c>
      <c r="I289" s="54">
        <f t="shared" si="136"/>
        <v>0</v>
      </c>
      <c r="J289" s="26">
        <f>COUNTIFS(Tracker!G:G,Daily!C289, Tracker!J:J,"Y",Tracker!E:E,1)</f>
        <v>0</v>
      </c>
      <c r="K289" s="26">
        <f>COUNTIFS(Tracker!G:G,Daily!C289, Tracker!J:J,"Y (with hints)",Tracker!E:E,1)</f>
        <v>0</v>
      </c>
      <c r="L289" s="33">
        <f>COUNTIFS(Tracker!G:G,Daily!C289, Tracker!J:J,"N",Tracker!E:E,1)</f>
        <v>0</v>
      </c>
      <c r="M289" s="54">
        <f t="shared" si="137"/>
        <v>0</v>
      </c>
      <c r="N289" s="26">
        <f>COUNTIFS(Tracker!G:G,Daily!C289, Tracker!J:J,"Y",Tracker!E:E,2)</f>
        <v>0</v>
      </c>
      <c r="O289" s="26">
        <f>COUNTIFS(Tracker!G:G,Daily!C289, Tracker!J:J,"Y (with hints)",Tracker!E:E,2)</f>
        <v>0</v>
      </c>
      <c r="P289" s="33">
        <f>COUNTIFS(Tracker!G:G,Daily!C289, Tracker!J:J,"N",Tracker!E:E,2)</f>
        <v>0</v>
      </c>
      <c r="Q289" s="57">
        <f t="shared" si="138"/>
        <v>0</v>
      </c>
      <c r="R289" s="26">
        <f>COUNTIFS(Tracker!G:G,Daily!C289, Tracker!J:J,"Y",Tracker!E:E,3)</f>
        <v>0</v>
      </c>
      <c r="S289" s="26">
        <f>COUNTIFS(Tracker!G:G,Daily!C289, Tracker!J:J,"Y (with hints)",Tracker!E:E,3)</f>
        <v>0</v>
      </c>
      <c r="T289" s="33">
        <f>COUNTIFS(Tracker!G:G,Daily!C289, Tracker!J:J,"N",Tracker!E:E,3)</f>
        <v>0</v>
      </c>
      <c r="V289" s="48">
        <f t="shared" si="139"/>
        <v>94</v>
      </c>
      <c r="W289" s="26">
        <f t="shared" si="140"/>
        <v>90</v>
      </c>
      <c r="X289" s="62">
        <f t="shared" si="141"/>
        <v>0.95744680851063835</v>
      </c>
      <c r="Y289" s="74">
        <f>AVERAGEIFS(Tracker!I:I, Tracker!E:E, 1, Tracker!G:G, "&lt;="&amp;Daily!C289, Tracker!J:J, "Y")</f>
        <v>12.4</v>
      </c>
      <c r="Z289" s="77">
        <f>COUNTIFS(Tracker!E:E, 1, Tracker!G:G, "&lt;="&amp;Daily!C289, Tracker!L:L, "N") / V289</f>
        <v>0.80851063829787229</v>
      </c>
      <c r="AA289" s="48">
        <f t="shared" si="142"/>
        <v>232</v>
      </c>
      <c r="AB289" s="26">
        <f t="shared" si="143"/>
        <v>186</v>
      </c>
      <c r="AC289" s="62">
        <f t="shared" si="144"/>
        <v>0.80172413793103448</v>
      </c>
      <c r="AD289" s="74">
        <f>AVERAGEIFS(Tracker!I:I, Tracker!E:E, 2, Tracker!G:G, "&lt;="&amp;Daily!C289, Tracker!J:J, "Y")</f>
        <v>25.77956989247312</v>
      </c>
      <c r="AE289" s="77">
        <f>COUNTIFS(Tracker!E:E, 2, Tracker!G:G, "&lt;="&amp;Daily!C289, Tracker!L:L, "N") / AA289</f>
        <v>0.61206896551724133</v>
      </c>
      <c r="AF289" s="48">
        <f t="shared" si="145"/>
        <v>42</v>
      </c>
      <c r="AG289" s="26">
        <f t="shared" si="146"/>
        <v>27</v>
      </c>
      <c r="AH289" s="62">
        <f t="shared" si="147"/>
        <v>0.6428571428571429</v>
      </c>
      <c r="AI289" s="74">
        <f>IFERROR(AVERAGEIFS(Tracker!I:I, Tracker!E:E, 3, Tracker!G:G, "&lt;="&amp;Daily!C289, Tracker!J:J, "Y"), 0)</f>
        <v>40.074074074074076</v>
      </c>
      <c r="AJ289" s="77">
        <f>IFERROR(COUNTIFS(Tracker!E:E, 3, Tracker!G:G, "&lt;="&amp;Daily!C289, Tracker!L:L, "N") / AF289,  0)</f>
        <v>0.35714285714285715</v>
      </c>
      <c r="AK289" s="48">
        <f t="shared" si="148"/>
        <v>368</v>
      </c>
      <c r="AL289" s="26">
        <f t="shared" si="149"/>
        <v>303</v>
      </c>
      <c r="AM289" s="62">
        <f t="shared" si="150"/>
        <v>0.82336956521739135</v>
      </c>
      <c r="AN289" s="74">
        <f>IFERROR(AVERAGEIFS(Tracker!I:I,  Tracker!G:G, "&lt;="&amp;Daily!C289, Tracker!J:J, "Y"), 0)</f>
        <v>23.079207920792079</v>
      </c>
      <c r="AO289" s="77">
        <f>IFERROR(COUNTIFS(Tracker!G:G, "&lt;="&amp;Daily!C289, Tracker!L:L, "N") / AK289,  0)</f>
        <v>0.63315217391304346</v>
      </c>
    </row>
    <row r="290" spans="1:41" x14ac:dyDescent="0.25">
      <c r="A290" s="119"/>
      <c r="B290" s="32">
        <f t="shared" si="134"/>
        <v>45505</v>
      </c>
      <c r="C290" s="27">
        <f t="shared" si="151"/>
        <v>45505</v>
      </c>
      <c r="D290" s="109" t="b">
        <f t="shared" ca="1" si="133"/>
        <v>1</v>
      </c>
      <c r="E290" s="51">
        <f t="shared" si="135"/>
        <v>0</v>
      </c>
      <c r="F290" s="48">
        <f>COUNTIFS(Tracker!G:G,Daily!C290, Tracker!J:J,"Y")</f>
        <v>0</v>
      </c>
      <c r="G290" s="26">
        <f>COUNTIFS(Tracker!G:G,Daily!C290, Tracker!J:J,"Y (with hints)")</f>
        <v>0</v>
      </c>
      <c r="H290" s="33">
        <f>COUNTIFS(Tracker!G:G,Daily!C290, Tracker!J:J,"N")</f>
        <v>0</v>
      </c>
      <c r="I290" s="54">
        <f t="shared" si="136"/>
        <v>0</v>
      </c>
      <c r="J290" s="26">
        <f>COUNTIFS(Tracker!G:G,Daily!C290, Tracker!J:J,"Y",Tracker!E:E,1)</f>
        <v>0</v>
      </c>
      <c r="K290" s="26">
        <f>COUNTIFS(Tracker!G:G,Daily!C290, Tracker!J:J,"Y (with hints)",Tracker!E:E,1)</f>
        <v>0</v>
      </c>
      <c r="L290" s="33">
        <f>COUNTIFS(Tracker!G:G,Daily!C290, Tracker!J:J,"N",Tracker!E:E,1)</f>
        <v>0</v>
      </c>
      <c r="M290" s="54">
        <f t="shared" si="137"/>
        <v>0</v>
      </c>
      <c r="N290" s="26">
        <f>COUNTIFS(Tracker!G:G,Daily!C290, Tracker!J:J,"Y",Tracker!E:E,2)</f>
        <v>0</v>
      </c>
      <c r="O290" s="26">
        <f>COUNTIFS(Tracker!G:G,Daily!C290, Tracker!J:J,"Y (with hints)",Tracker!E:E,2)</f>
        <v>0</v>
      </c>
      <c r="P290" s="33">
        <f>COUNTIFS(Tracker!G:G,Daily!C290, Tracker!J:J,"N",Tracker!E:E,2)</f>
        <v>0</v>
      </c>
      <c r="Q290" s="57">
        <f t="shared" si="138"/>
        <v>0</v>
      </c>
      <c r="R290" s="26">
        <f>COUNTIFS(Tracker!G:G,Daily!C290, Tracker!J:J,"Y",Tracker!E:E,3)</f>
        <v>0</v>
      </c>
      <c r="S290" s="26">
        <f>COUNTIFS(Tracker!G:G,Daily!C290, Tracker!J:J,"Y (with hints)",Tracker!E:E,3)</f>
        <v>0</v>
      </c>
      <c r="T290" s="33">
        <f>COUNTIFS(Tracker!G:G,Daily!C290, Tracker!J:J,"N",Tracker!E:E,3)</f>
        <v>0</v>
      </c>
      <c r="V290" s="48">
        <f t="shared" si="139"/>
        <v>94</v>
      </c>
      <c r="W290" s="26">
        <f t="shared" si="140"/>
        <v>90</v>
      </c>
      <c r="X290" s="62">
        <f t="shared" si="141"/>
        <v>0.95744680851063835</v>
      </c>
      <c r="Y290" s="74">
        <f>AVERAGEIFS(Tracker!I:I, Tracker!E:E, 1, Tracker!G:G, "&lt;="&amp;Daily!C290, Tracker!J:J, "Y")</f>
        <v>12.4</v>
      </c>
      <c r="Z290" s="77">
        <f>COUNTIFS(Tracker!E:E, 1, Tracker!G:G, "&lt;="&amp;Daily!C290, Tracker!L:L, "N") / V290</f>
        <v>0.80851063829787229</v>
      </c>
      <c r="AA290" s="48">
        <f t="shared" si="142"/>
        <v>232</v>
      </c>
      <c r="AB290" s="26">
        <f t="shared" si="143"/>
        <v>186</v>
      </c>
      <c r="AC290" s="62">
        <f t="shared" si="144"/>
        <v>0.80172413793103448</v>
      </c>
      <c r="AD290" s="74">
        <f>AVERAGEIFS(Tracker!I:I, Tracker!E:E, 2, Tracker!G:G, "&lt;="&amp;Daily!C290, Tracker!J:J, "Y")</f>
        <v>25.77956989247312</v>
      </c>
      <c r="AE290" s="77">
        <f>COUNTIFS(Tracker!E:E, 2, Tracker!G:G, "&lt;="&amp;Daily!C290, Tracker!L:L, "N") / AA290</f>
        <v>0.61206896551724133</v>
      </c>
      <c r="AF290" s="48">
        <f t="shared" si="145"/>
        <v>42</v>
      </c>
      <c r="AG290" s="26">
        <f t="shared" si="146"/>
        <v>27</v>
      </c>
      <c r="AH290" s="62">
        <f t="shared" si="147"/>
        <v>0.6428571428571429</v>
      </c>
      <c r="AI290" s="74">
        <f>IFERROR(AVERAGEIFS(Tracker!I:I, Tracker!E:E, 3, Tracker!G:G, "&lt;="&amp;Daily!C290, Tracker!J:J, "Y"), 0)</f>
        <v>40.074074074074076</v>
      </c>
      <c r="AJ290" s="77">
        <f>IFERROR(COUNTIFS(Tracker!E:E, 3, Tracker!G:G, "&lt;="&amp;Daily!C290, Tracker!L:L, "N") / AF290,  0)</f>
        <v>0.35714285714285715</v>
      </c>
      <c r="AK290" s="48">
        <f t="shared" si="148"/>
        <v>368</v>
      </c>
      <c r="AL290" s="26">
        <f t="shared" si="149"/>
        <v>303</v>
      </c>
      <c r="AM290" s="62">
        <f t="shared" si="150"/>
        <v>0.82336956521739135</v>
      </c>
      <c r="AN290" s="74">
        <f>IFERROR(AVERAGEIFS(Tracker!I:I,  Tracker!G:G, "&lt;="&amp;Daily!C290, Tracker!J:J, "Y"), 0)</f>
        <v>23.079207920792079</v>
      </c>
      <c r="AO290" s="77">
        <f>IFERROR(COUNTIFS(Tracker!G:G, "&lt;="&amp;Daily!C290, Tracker!L:L, "N") / AK290,  0)</f>
        <v>0.63315217391304346</v>
      </c>
    </row>
    <row r="291" spans="1:41" x14ac:dyDescent="0.25">
      <c r="A291" s="119"/>
      <c r="B291" s="32">
        <f t="shared" si="134"/>
        <v>45506</v>
      </c>
      <c r="C291" s="27">
        <f t="shared" si="151"/>
        <v>45506</v>
      </c>
      <c r="D291" s="109" t="b">
        <f t="shared" ca="1" si="133"/>
        <v>1</v>
      </c>
      <c r="E291" s="51">
        <f t="shared" si="135"/>
        <v>0</v>
      </c>
      <c r="F291" s="48">
        <f>COUNTIFS(Tracker!G:G,Daily!C291, Tracker!J:J,"Y")</f>
        <v>0</v>
      </c>
      <c r="G291" s="26">
        <f>COUNTIFS(Tracker!G:G,Daily!C291, Tracker!J:J,"Y (with hints)")</f>
        <v>0</v>
      </c>
      <c r="H291" s="33">
        <f>COUNTIFS(Tracker!G:G,Daily!C291, Tracker!J:J,"N")</f>
        <v>0</v>
      </c>
      <c r="I291" s="54">
        <f t="shared" si="136"/>
        <v>0</v>
      </c>
      <c r="J291" s="26">
        <f>COUNTIFS(Tracker!G:G,Daily!C291, Tracker!J:J,"Y",Tracker!E:E,1)</f>
        <v>0</v>
      </c>
      <c r="K291" s="26">
        <f>COUNTIFS(Tracker!G:G,Daily!C291, Tracker!J:J,"Y (with hints)",Tracker!E:E,1)</f>
        <v>0</v>
      </c>
      <c r="L291" s="33">
        <f>COUNTIFS(Tracker!G:G,Daily!C291, Tracker!J:J,"N",Tracker!E:E,1)</f>
        <v>0</v>
      </c>
      <c r="M291" s="54">
        <f t="shared" si="137"/>
        <v>0</v>
      </c>
      <c r="N291" s="26">
        <f>COUNTIFS(Tracker!G:G,Daily!C291, Tracker!J:J,"Y",Tracker!E:E,2)</f>
        <v>0</v>
      </c>
      <c r="O291" s="26">
        <f>COUNTIFS(Tracker!G:G,Daily!C291, Tracker!J:J,"Y (with hints)",Tracker!E:E,2)</f>
        <v>0</v>
      </c>
      <c r="P291" s="33">
        <f>COUNTIFS(Tracker!G:G,Daily!C291, Tracker!J:J,"N",Tracker!E:E,2)</f>
        <v>0</v>
      </c>
      <c r="Q291" s="57">
        <f t="shared" si="138"/>
        <v>0</v>
      </c>
      <c r="R291" s="26">
        <f>COUNTIFS(Tracker!G:G,Daily!C291, Tracker!J:J,"Y",Tracker!E:E,3)</f>
        <v>0</v>
      </c>
      <c r="S291" s="26">
        <f>COUNTIFS(Tracker!G:G,Daily!C291, Tracker!J:J,"Y (with hints)",Tracker!E:E,3)</f>
        <v>0</v>
      </c>
      <c r="T291" s="33">
        <f>COUNTIFS(Tracker!G:G,Daily!C291, Tracker!J:J,"N",Tracker!E:E,3)</f>
        <v>0</v>
      </c>
      <c r="V291" s="48">
        <f t="shared" si="139"/>
        <v>94</v>
      </c>
      <c r="W291" s="26">
        <f t="shared" si="140"/>
        <v>90</v>
      </c>
      <c r="X291" s="62">
        <f t="shared" si="141"/>
        <v>0.95744680851063835</v>
      </c>
      <c r="Y291" s="74">
        <f>AVERAGEIFS(Tracker!I:I, Tracker!E:E, 1, Tracker!G:G, "&lt;="&amp;Daily!C291, Tracker!J:J, "Y")</f>
        <v>12.4</v>
      </c>
      <c r="Z291" s="77">
        <f>COUNTIFS(Tracker!E:E, 1, Tracker!G:G, "&lt;="&amp;Daily!C291, Tracker!L:L, "N") / V291</f>
        <v>0.80851063829787229</v>
      </c>
      <c r="AA291" s="48">
        <f t="shared" si="142"/>
        <v>232</v>
      </c>
      <c r="AB291" s="26">
        <f t="shared" si="143"/>
        <v>186</v>
      </c>
      <c r="AC291" s="62">
        <f t="shared" si="144"/>
        <v>0.80172413793103448</v>
      </c>
      <c r="AD291" s="74">
        <f>AVERAGEIFS(Tracker!I:I, Tracker!E:E, 2, Tracker!G:G, "&lt;="&amp;Daily!C291, Tracker!J:J, "Y")</f>
        <v>25.77956989247312</v>
      </c>
      <c r="AE291" s="77">
        <f>COUNTIFS(Tracker!E:E, 2, Tracker!G:G, "&lt;="&amp;Daily!C291, Tracker!L:L, "N") / AA291</f>
        <v>0.61206896551724133</v>
      </c>
      <c r="AF291" s="48">
        <f t="shared" si="145"/>
        <v>42</v>
      </c>
      <c r="AG291" s="26">
        <f t="shared" si="146"/>
        <v>27</v>
      </c>
      <c r="AH291" s="62">
        <f t="shared" si="147"/>
        <v>0.6428571428571429</v>
      </c>
      <c r="AI291" s="74">
        <f>IFERROR(AVERAGEIFS(Tracker!I:I, Tracker!E:E, 3, Tracker!G:G, "&lt;="&amp;Daily!C291, Tracker!J:J, "Y"), 0)</f>
        <v>40.074074074074076</v>
      </c>
      <c r="AJ291" s="77">
        <f>IFERROR(COUNTIFS(Tracker!E:E, 3, Tracker!G:G, "&lt;="&amp;Daily!C291, Tracker!L:L, "N") / AF291,  0)</f>
        <v>0.35714285714285715</v>
      </c>
      <c r="AK291" s="48">
        <f t="shared" si="148"/>
        <v>368</v>
      </c>
      <c r="AL291" s="26">
        <f t="shared" si="149"/>
        <v>303</v>
      </c>
      <c r="AM291" s="62">
        <f t="shared" si="150"/>
        <v>0.82336956521739135</v>
      </c>
      <c r="AN291" s="74">
        <f>IFERROR(AVERAGEIFS(Tracker!I:I,  Tracker!G:G, "&lt;="&amp;Daily!C291, Tracker!J:J, "Y"), 0)</f>
        <v>23.079207920792079</v>
      </c>
      <c r="AO291" s="77">
        <f>IFERROR(COUNTIFS(Tracker!G:G, "&lt;="&amp;Daily!C291, Tracker!L:L, "N") / AK291,  0)</f>
        <v>0.63315217391304346</v>
      </c>
    </row>
    <row r="292" spans="1:41" x14ac:dyDescent="0.25">
      <c r="A292" s="119"/>
      <c r="B292" s="32">
        <f t="shared" si="134"/>
        <v>45507</v>
      </c>
      <c r="C292" s="27">
        <f t="shared" si="151"/>
        <v>45507</v>
      </c>
      <c r="D292" s="109" t="b">
        <f t="shared" ca="1" si="133"/>
        <v>1</v>
      </c>
      <c r="E292" s="51">
        <f t="shared" si="135"/>
        <v>0</v>
      </c>
      <c r="F292" s="48">
        <f>COUNTIFS(Tracker!G:G,Daily!C292, Tracker!J:J,"Y")</f>
        <v>0</v>
      </c>
      <c r="G292" s="26">
        <f>COUNTIFS(Tracker!G:G,Daily!C292, Tracker!J:J,"Y (with hints)")</f>
        <v>0</v>
      </c>
      <c r="H292" s="33">
        <f>COUNTIFS(Tracker!G:G,Daily!C292, Tracker!J:J,"N")</f>
        <v>0</v>
      </c>
      <c r="I292" s="54">
        <f t="shared" si="136"/>
        <v>0</v>
      </c>
      <c r="J292" s="26">
        <f>COUNTIFS(Tracker!G:G,Daily!C292, Tracker!J:J,"Y",Tracker!E:E,1)</f>
        <v>0</v>
      </c>
      <c r="K292" s="26">
        <f>COUNTIFS(Tracker!G:G,Daily!C292, Tracker!J:J,"Y (with hints)",Tracker!E:E,1)</f>
        <v>0</v>
      </c>
      <c r="L292" s="33">
        <f>COUNTIFS(Tracker!G:G,Daily!C292, Tracker!J:J,"N",Tracker!E:E,1)</f>
        <v>0</v>
      </c>
      <c r="M292" s="54">
        <f t="shared" si="137"/>
        <v>0</v>
      </c>
      <c r="N292" s="26">
        <f>COUNTIFS(Tracker!G:G,Daily!C292, Tracker!J:J,"Y",Tracker!E:E,2)</f>
        <v>0</v>
      </c>
      <c r="O292" s="26">
        <f>COUNTIFS(Tracker!G:G,Daily!C292, Tracker!J:J,"Y (with hints)",Tracker!E:E,2)</f>
        <v>0</v>
      </c>
      <c r="P292" s="33">
        <f>COUNTIFS(Tracker!G:G,Daily!C292, Tracker!J:J,"N",Tracker!E:E,2)</f>
        <v>0</v>
      </c>
      <c r="Q292" s="57">
        <f t="shared" si="138"/>
        <v>0</v>
      </c>
      <c r="R292" s="26">
        <f>COUNTIFS(Tracker!G:G,Daily!C292, Tracker!J:J,"Y",Tracker!E:E,3)</f>
        <v>0</v>
      </c>
      <c r="S292" s="26">
        <f>COUNTIFS(Tracker!G:G,Daily!C292, Tracker!J:J,"Y (with hints)",Tracker!E:E,3)</f>
        <v>0</v>
      </c>
      <c r="T292" s="33">
        <f>COUNTIFS(Tracker!G:G,Daily!C292, Tracker!J:J,"N",Tracker!E:E,3)</f>
        <v>0</v>
      </c>
      <c r="V292" s="48">
        <f t="shared" si="139"/>
        <v>94</v>
      </c>
      <c r="W292" s="26">
        <f t="shared" si="140"/>
        <v>90</v>
      </c>
      <c r="X292" s="62">
        <f t="shared" si="141"/>
        <v>0.95744680851063835</v>
      </c>
      <c r="Y292" s="74">
        <f>AVERAGEIFS(Tracker!I:I, Tracker!E:E, 1, Tracker!G:G, "&lt;="&amp;Daily!C292, Tracker!J:J, "Y")</f>
        <v>12.4</v>
      </c>
      <c r="Z292" s="77">
        <f>COUNTIFS(Tracker!E:E, 1, Tracker!G:G, "&lt;="&amp;Daily!C292, Tracker!L:L, "N") / V292</f>
        <v>0.80851063829787229</v>
      </c>
      <c r="AA292" s="48">
        <f t="shared" si="142"/>
        <v>232</v>
      </c>
      <c r="AB292" s="26">
        <f t="shared" si="143"/>
        <v>186</v>
      </c>
      <c r="AC292" s="62">
        <f t="shared" si="144"/>
        <v>0.80172413793103448</v>
      </c>
      <c r="AD292" s="74">
        <f>AVERAGEIFS(Tracker!I:I, Tracker!E:E, 2, Tracker!G:G, "&lt;="&amp;Daily!C292, Tracker!J:J, "Y")</f>
        <v>25.77956989247312</v>
      </c>
      <c r="AE292" s="77">
        <f>COUNTIFS(Tracker!E:E, 2, Tracker!G:G, "&lt;="&amp;Daily!C292, Tracker!L:L, "N") / AA292</f>
        <v>0.61206896551724133</v>
      </c>
      <c r="AF292" s="48">
        <f t="shared" si="145"/>
        <v>42</v>
      </c>
      <c r="AG292" s="26">
        <f t="shared" si="146"/>
        <v>27</v>
      </c>
      <c r="AH292" s="62">
        <f t="shared" si="147"/>
        <v>0.6428571428571429</v>
      </c>
      <c r="AI292" s="74">
        <f>IFERROR(AVERAGEIFS(Tracker!I:I, Tracker!E:E, 3, Tracker!G:G, "&lt;="&amp;Daily!C292, Tracker!J:J, "Y"), 0)</f>
        <v>40.074074074074076</v>
      </c>
      <c r="AJ292" s="77">
        <f>IFERROR(COUNTIFS(Tracker!E:E, 3, Tracker!G:G, "&lt;="&amp;Daily!C292, Tracker!L:L, "N") / AF292,  0)</f>
        <v>0.35714285714285715</v>
      </c>
      <c r="AK292" s="48">
        <f t="shared" si="148"/>
        <v>368</v>
      </c>
      <c r="AL292" s="26">
        <f t="shared" si="149"/>
        <v>303</v>
      </c>
      <c r="AM292" s="62">
        <f t="shared" si="150"/>
        <v>0.82336956521739135</v>
      </c>
      <c r="AN292" s="74">
        <f>IFERROR(AVERAGEIFS(Tracker!I:I,  Tracker!G:G, "&lt;="&amp;Daily!C292, Tracker!J:J, "Y"), 0)</f>
        <v>23.079207920792079</v>
      </c>
      <c r="AO292" s="77">
        <f>IFERROR(COUNTIFS(Tracker!G:G, "&lt;="&amp;Daily!C292, Tracker!L:L, "N") / AK292,  0)</f>
        <v>0.63315217391304346</v>
      </c>
    </row>
    <row r="293" spans="1:41" ht="15.75" thickBot="1" x14ac:dyDescent="0.3">
      <c r="A293" s="120"/>
      <c r="B293" s="34">
        <f t="shared" si="134"/>
        <v>45508</v>
      </c>
      <c r="C293" s="35">
        <f t="shared" si="151"/>
        <v>45508</v>
      </c>
      <c r="D293" s="110" t="b">
        <f t="shared" ca="1" si="133"/>
        <v>1</v>
      </c>
      <c r="E293" s="52">
        <f t="shared" si="135"/>
        <v>0</v>
      </c>
      <c r="F293" s="39">
        <f>COUNTIFS(Tracker!G:G,Daily!C293, Tracker!J:J,"Y")</f>
        <v>0</v>
      </c>
      <c r="G293" s="36">
        <f>COUNTIFS(Tracker!G:G,Daily!C293, Tracker!J:J,"Y (with hints)")</f>
        <v>0</v>
      </c>
      <c r="H293" s="37">
        <f>COUNTIFS(Tracker!G:G,Daily!C293, Tracker!J:J,"N")</f>
        <v>0</v>
      </c>
      <c r="I293" s="55">
        <f t="shared" si="136"/>
        <v>0</v>
      </c>
      <c r="J293" s="36">
        <f>COUNTIFS(Tracker!G:G,Daily!C293, Tracker!J:J,"Y",Tracker!E:E,1)</f>
        <v>0</v>
      </c>
      <c r="K293" s="36">
        <f>COUNTIFS(Tracker!G:G,Daily!C293, Tracker!J:J,"Y (with hints)",Tracker!E:E,1)</f>
        <v>0</v>
      </c>
      <c r="L293" s="37">
        <f>COUNTIFS(Tracker!G:G,Daily!C293, Tracker!J:J,"N",Tracker!E:E,1)</f>
        <v>0</v>
      </c>
      <c r="M293" s="55">
        <f t="shared" si="137"/>
        <v>0</v>
      </c>
      <c r="N293" s="36">
        <f>COUNTIFS(Tracker!G:G,Daily!C293, Tracker!J:J,"Y",Tracker!E:E,2)</f>
        <v>0</v>
      </c>
      <c r="O293" s="36">
        <f>COUNTIFS(Tracker!G:G,Daily!C293, Tracker!J:J,"Y (with hints)",Tracker!E:E,2)</f>
        <v>0</v>
      </c>
      <c r="P293" s="37">
        <f>COUNTIFS(Tracker!G:G,Daily!C293, Tracker!J:J,"N",Tracker!E:E,2)</f>
        <v>0</v>
      </c>
      <c r="Q293" s="58">
        <f t="shared" si="138"/>
        <v>0</v>
      </c>
      <c r="R293" s="36">
        <f>COUNTIFS(Tracker!G:G,Daily!C293, Tracker!J:J,"Y",Tracker!E:E,3)</f>
        <v>0</v>
      </c>
      <c r="S293" s="36">
        <f>COUNTIFS(Tracker!G:G,Daily!C293, Tracker!J:J,"Y (with hints)",Tracker!E:E,3)</f>
        <v>0</v>
      </c>
      <c r="T293" s="37">
        <f>COUNTIFS(Tracker!G:G,Daily!C293, Tracker!J:J,"N",Tracker!E:E,3)</f>
        <v>0</v>
      </c>
      <c r="V293" s="39">
        <f t="shared" si="139"/>
        <v>94</v>
      </c>
      <c r="W293" s="36">
        <f t="shared" si="140"/>
        <v>90</v>
      </c>
      <c r="X293" s="64">
        <f t="shared" si="141"/>
        <v>0.95744680851063835</v>
      </c>
      <c r="Y293" s="78">
        <f>AVERAGEIFS(Tracker!I:I, Tracker!E:E, 1, Tracker!G:G, "&lt;="&amp;Daily!C293, Tracker!J:J, "Y")</f>
        <v>12.4</v>
      </c>
      <c r="Z293" s="79">
        <f>COUNTIFS(Tracker!E:E, 1, Tracker!G:G, "&lt;="&amp;Daily!C293, Tracker!L:L, "N") / V293</f>
        <v>0.80851063829787229</v>
      </c>
      <c r="AA293" s="39">
        <f t="shared" si="142"/>
        <v>232</v>
      </c>
      <c r="AB293" s="36">
        <f t="shared" si="143"/>
        <v>186</v>
      </c>
      <c r="AC293" s="64">
        <f t="shared" si="144"/>
        <v>0.80172413793103448</v>
      </c>
      <c r="AD293" s="78">
        <f>AVERAGEIFS(Tracker!I:I, Tracker!E:E, 2, Tracker!G:G, "&lt;="&amp;Daily!C293, Tracker!J:J, "Y")</f>
        <v>25.77956989247312</v>
      </c>
      <c r="AE293" s="79">
        <f>COUNTIFS(Tracker!E:E, 2, Tracker!G:G, "&lt;="&amp;Daily!C293, Tracker!L:L, "N") / AA293</f>
        <v>0.61206896551724133</v>
      </c>
      <c r="AF293" s="39">
        <f t="shared" si="145"/>
        <v>42</v>
      </c>
      <c r="AG293" s="36">
        <f t="shared" si="146"/>
        <v>27</v>
      </c>
      <c r="AH293" s="64">
        <f t="shared" si="147"/>
        <v>0.6428571428571429</v>
      </c>
      <c r="AI293" s="78">
        <f>IFERROR(AVERAGEIFS(Tracker!I:I, Tracker!E:E, 3, Tracker!G:G, "&lt;="&amp;Daily!C293, Tracker!J:J, "Y"), 0)</f>
        <v>40.074074074074076</v>
      </c>
      <c r="AJ293" s="79">
        <f>IFERROR(COUNTIFS(Tracker!E:E, 3, Tracker!G:G, "&lt;="&amp;Daily!C293, Tracker!L:L, "N") / AF293,  0)</f>
        <v>0.35714285714285715</v>
      </c>
      <c r="AK293" s="39">
        <f t="shared" si="148"/>
        <v>368</v>
      </c>
      <c r="AL293" s="36">
        <f t="shared" si="149"/>
        <v>303</v>
      </c>
      <c r="AM293" s="64">
        <f t="shared" si="150"/>
        <v>0.82336956521739135</v>
      </c>
      <c r="AN293" s="78">
        <f>IFERROR(AVERAGEIFS(Tracker!I:I,  Tracker!G:G, "&lt;="&amp;Daily!C293, Tracker!J:J, "Y"), 0)</f>
        <v>23.079207920792079</v>
      </c>
      <c r="AO293" s="79">
        <f>IFERROR(COUNTIFS(Tracker!G:G, "&lt;="&amp;Daily!C293, Tracker!L:L, "N") / AK293,  0)</f>
        <v>0.63315217391304346</v>
      </c>
    </row>
    <row r="294" spans="1:41" x14ac:dyDescent="0.25">
      <c r="A294" s="118">
        <f>A287+1</f>
        <v>42</v>
      </c>
      <c r="B294" s="28">
        <f t="shared" si="134"/>
        <v>45509</v>
      </c>
      <c r="C294" s="29">
        <f t="shared" si="151"/>
        <v>45509</v>
      </c>
      <c r="D294" s="108" t="b">
        <f t="shared" ca="1" si="133"/>
        <v>1</v>
      </c>
      <c r="E294" s="50">
        <f t="shared" si="135"/>
        <v>0</v>
      </c>
      <c r="F294" s="38">
        <f>COUNTIFS(Tracker!G:G,Daily!C294, Tracker!J:J,"Y")</f>
        <v>0</v>
      </c>
      <c r="G294" s="30">
        <f>COUNTIFS(Tracker!G:G,Daily!C294, Tracker!J:J,"Y (with hints)")</f>
        <v>0</v>
      </c>
      <c r="H294" s="31">
        <f>COUNTIFS(Tracker!G:G,Daily!C294, Tracker!J:J,"N")</f>
        <v>0</v>
      </c>
      <c r="I294" s="53">
        <f t="shared" si="136"/>
        <v>0</v>
      </c>
      <c r="J294" s="30">
        <f>COUNTIFS(Tracker!G:G,Daily!C294, Tracker!J:J,"Y",Tracker!E:E,1)</f>
        <v>0</v>
      </c>
      <c r="K294" s="30">
        <f>COUNTIFS(Tracker!G:G,Daily!C294, Tracker!J:J,"Y (with hints)",Tracker!E:E,1)</f>
        <v>0</v>
      </c>
      <c r="L294" s="31">
        <f>COUNTIFS(Tracker!G:G,Daily!C294, Tracker!J:J,"N",Tracker!E:E,1)</f>
        <v>0</v>
      </c>
      <c r="M294" s="53">
        <f t="shared" si="137"/>
        <v>0</v>
      </c>
      <c r="N294" s="30">
        <f>COUNTIFS(Tracker!G:G,Daily!C294, Tracker!J:J,"Y",Tracker!E:E,2)</f>
        <v>0</v>
      </c>
      <c r="O294" s="30">
        <f>COUNTIFS(Tracker!G:G,Daily!C294, Tracker!J:J,"Y (with hints)",Tracker!E:E,2)</f>
        <v>0</v>
      </c>
      <c r="P294" s="31">
        <f>COUNTIFS(Tracker!G:G,Daily!C294, Tracker!J:J,"N",Tracker!E:E,2)</f>
        <v>0</v>
      </c>
      <c r="Q294" s="56">
        <f t="shared" si="138"/>
        <v>0</v>
      </c>
      <c r="R294" s="30">
        <f>COUNTIFS(Tracker!G:G,Daily!C294, Tracker!J:J,"Y",Tracker!E:E,3)</f>
        <v>0</v>
      </c>
      <c r="S294" s="30">
        <f>COUNTIFS(Tracker!G:G,Daily!C294, Tracker!J:J,"Y (with hints)",Tracker!E:E,3)</f>
        <v>0</v>
      </c>
      <c r="T294" s="31">
        <f>COUNTIFS(Tracker!G:G,Daily!C294, Tracker!J:J,"N",Tracker!E:E,3)</f>
        <v>0</v>
      </c>
      <c r="V294" s="38">
        <f t="shared" si="139"/>
        <v>94</v>
      </c>
      <c r="W294" s="30">
        <f t="shared" si="140"/>
        <v>90</v>
      </c>
      <c r="X294" s="73">
        <f t="shared" si="141"/>
        <v>0.95744680851063835</v>
      </c>
      <c r="Y294" s="75">
        <f>AVERAGEIFS(Tracker!I:I, Tracker!E:E, 1, Tracker!G:G, "&lt;="&amp;Daily!C294, Tracker!J:J, "Y")</f>
        <v>12.4</v>
      </c>
      <c r="Z294" s="76">
        <f>COUNTIFS(Tracker!E:E, 1, Tracker!G:G, "&lt;="&amp;Daily!C294, Tracker!L:L, "N") / V294</f>
        <v>0.80851063829787229</v>
      </c>
      <c r="AA294" s="38">
        <f t="shared" si="142"/>
        <v>232</v>
      </c>
      <c r="AB294" s="30">
        <f t="shared" si="143"/>
        <v>186</v>
      </c>
      <c r="AC294" s="73">
        <f t="shared" si="144"/>
        <v>0.80172413793103448</v>
      </c>
      <c r="AD294" s="75">
        <f>AVERAGEIFS(Tracker!I:I, Tracker!E:E, 2, Tracker!G:G, "&lt;="&amp;Daily!C294, Tracker!J:J, "Y")</f>
        <v>25.77956989247312</v>
      </c>
      <c r="AE294" s="76">
        <f>COUNTIFS(Tracker!E:E, 2, Tracker!G:G, "&lt;="&amp;Daily!C294, Tracker!L:L, "N") / AA294</f>
        <v>0.61206896551724133</v>
      </c>
      <c r="AF294" s="38">
        <f t="shared" si="145"/>
        <v>42</v>
      </c>
      <c r="AG294" s="30">
        <f t="shared" si="146"/>
        <v>27</v>
      </c>
      <c r="AH294" s="73">
        <f t="shared" si="147"/>
        <v>0.6428571428571429</v>
      </c>
      <c r="AI294" s="75">
        <f>IFERROR(AVERAGEIFS(Tracker!I:I, Tracker!E:E, 3, Tracker!G:G, "&lt;="&amp;Daily!C294, Tracker!J:J, "Y"), 0)</f>
        <v>40.074074074074076</v>
      </c>
      <c r="AJ294" s="76">
        <f>IFERROR(COUNTIFS(Tracker!E:E, 3, Tracker!G:G, "&lt;="&amp;Daily!C294, Tracker!L:L, "N") / AF294,  0)</f>
        <v>0.35714285714285715</v>
      </c>
      <c r="AK294" s="38">
        <f t="shared" si="148"/>
        <v>368</v>
      </c>
      <c r="AL294" s="30">
        <f t="shared" si="149"/>
        <v>303</v>
      </c>
      <c r="AM294" s="73">
        <f t="shared" si="150"/>
        <v>0.82336956521739135</v>
      </c>
      <c r="AN294" s="75">
        <f>IFERROR(AVERAGEIFS(Tracker!I:I,  Tracker!G:G, "&lt;="&amp;Daily!C294, Tracker!J:J, "Y"), 0)</f>
        <v>23.079207920792079</v>
      </c>
      <c r="AO294" s="76">
        <f>IFERROR(COUNTIFS(Tracker!G:G, "&lt;="&amp;Daily!C294, Tracker!L:L, "N") / AK294,  0)</f>
        <v>0.63315217391304346</v>
      </c>
    </row>
    <row r="295" spans="1:41" x14ac:dyDescent="0.25">
      <c r="A295" s="119"/>
      <c r="B295" s="32">
        <f t="shared" si="134"/>
        <v>45510</v>
      </c>
      <c r="C295" s="27">
        <f t="shared" si="151"/>
        <v>45510</v>
      </c>
      <c r="D295" s="109" t="b">
        <f t="shared" ca="1" si="133"/>
        <v>1</v>
      </c>
      <c r="E295" s="51">
        <f t="shared" si="135"/>
        <v>0</v>
      </c>
      <c r="F295" s="48">
        <f>COUNTIFS(Tracker!G:G,Daily!C295, Tracker!J:J,"Y")</f>
        <v>0</v>
      </c>
      <c r="G295" s="26">
        <f>COUNTIFS(Tracker!G:G,Daily!C295, Tracker!J:J,"Y (with hints)")</f>
        <v>0</v>
      </c>
      <c r="H295" s="33">
        <f>COUNTIFS(Tracker!G:G,Daily!C295, Tracker!J:J,"N")</f>
        <v>0</v>
      </c>
      <c r="I295" s="54">
        <f t="shared" si="136"/>
        <v>0</v>
      </c>
      <c r="J295" s="26">
        <f>COUNTIFS(Tracker!G:G,Daily!C295, Tracker!J:J,"Y",Tracker!E:E,1)</f>
        <v>0</v>
      </c>
      <c r="K295" s="26">
        <f>COUNTIFS(Tracker!G:G,Daily!C295, Tracker!J:J,"Y (with hints)",Tracker!E:E,1)</f>
        <v>0</v>
      </c>
      <c r="L295" s="33">
        <f>COUNTIFS(Tracker!G:G,Daily!C295, Tracker!J:J,"N",Tracker!E:E,1)</f>
        <v>0</v>
      </c>
      <c r="M295" s="54">
        <f t="shared" si="137"/>
        <v>0</v>
      </c>
      <c r="N295" s="26">
        <f>COUNTIFS(Tracker!G:G,Daily!C295, Tracker!J:J,"Y",Tracker!E:E,2)</f>
        <v>0</v>
      </c>
      <c r="O295" s="26">
        <f>COUNTIFS(Tracker!G:G,Daily!C295, Tracker!J:J,"Y (with hints)",Tracker!E:E,2)</f>
        <v>0</v>
      </c>
      <c r="P295" s="33">
        <f>COUNTIFS(Tracker!G:G,Daily!C295, Tracker!J:J,"N",Tracker!E:E,2)</f>
        <v>0</v>
      </c>
      <c r="Q295" s="57">
        <f t="shared" si="138"/>
        <v>0</v>
      </c>
      <c r="R295" s="26">
        <f>COUNTIFS(Tracker!G:G,Daily!C295, Tracker!J:J,"Y",Tracker!E:E,3)</f>
        <v>0</v>
      </c>
      <c r="S295" s="26">
        <f>COUNTIFS(Tracker!G:G,Daily!C295, Tracker!J:J,"Y (with hints)",Tracker!E:E,3)</f>
        <v>0</v>
      </c>
      <c r="T295" s="33">
        <f>COUNTIFS(Tracker!G:G,Daily!C295, Tracker!J:J,"N",Tracker!E:E,3)</f>
        <v>0</v>
      </c>
      <c r="V295" s="48">
        <f t="shared" si="139"/>
        <v>94</v>
      </c>
      <c r="W295" s="26">
        <f t="shared" si="140"/>
        <v>90</v>
      </c>
      <c r="X295" s="62">
        <f t="shared" si="141"/>
        <v>0.95744680851063835</v>
      </c>
      <c r="Y295" s="74">
        <f>AVERAGEIFS(Tracker!I:I, Tracker!E:E, 1, Tracker!G:G, "&lt;="&amp;Daily!C295, Tracker!J:J, "Y")</f>
        <v>12.4</v>
      </c>
      <c r="Z295" s="77">
        <f>COUNTIFS(Tracker!E:E, 1, Tracker!G:G, "&lt;="&amp;Daily!C295, Tracker!L:L, "N") / V295</f>
        <v>0.80851063829787229</v>
      </c>
      <c r="AA295" s="48">
        <f t="shared" si="142"/>
        <v>232</v>
      </c>
      <c r="AB295" s="26">
        <f t="shared" si="143"/>
        <v>186</v>
      </c>
      <c r="AC295" s="62">
        <f t="shared" si="144"/>
        <v>0.80172413793103448</v>
      </c>
      <c r="AD295" s="74">
        <f>AVERAGEIFS(Tracker!I:I, Tracker!E:E, 2, Tracker!G:G, "&lt;="&amp;Daily!C295, Tracker!J:J, "Y")</f>
        <v>25.77956989247312</v>
      </c>
      <c r="AE295" s="77">
        <f>COUNTIFS(Tracker!E:E, 2, Tracker!G:G, "&lt;="&amp;Daily!C295, Tracker!L:L, "N") / AA295</f>
        <v>0.61206896551724133</v>
      </c>
      <c r="AF295" s="48">
        <f t="shared" si="145"/>
        <v>42</v>
      </c>
      <c r="AG295" s="26">
        <f t="shared" si="146"/>
        <v>27</v>
      </c>
      <c r="AH295" s="62">
        <f t="shared" si="147"/>
        <v>0.6428571428571429</v>
      </c>
      <c r="AI295" s="74">
        <f>IFERROR(AVERAGEIFS(Tracker!I:I, Tracker!E:E, 3, Tracker!G:G, "&lt;="&amp;Daily!C295, Tracker!J:J, "Y"), 0)</f>
        <v>40.074074074074076</v>
      </c>
      <c r="AJ295" s="77">
        <f>IFERROR(COUNTIFS(Tracker!E:E, 3, Tracker!G:G, "&lt;="&amp;Daily!C295, Tracker!L:L, "N") / AF295,  0)</f>
        <v>0.35714285714285715</v>
      </c>
      <c r="AK295" s="48">
        <f t="shared" si="148"/>
        <v>368</v>
      </c>
      <c r="AL295" s="26">
        <f t="shared" si="149"/>
        <v>303</v>
      </c>
      <c r="AM295" s="62">
        <f t="shared" si="150"/>
        <v>0.82336956521739135</v>
      </c>
      <c r="AN295" s="74">
        <f>IFERROR(AVERAGEIFS(Tracker!I:I,  Tracker!G:G, "&lt;="&amp;Daily!C295, Tracker!J:J, "Y"), 0)</f>
        <v>23.079207920792079</v>
      </c>
      <c r="AO295" s="77">
        <f>IFERROR(COUNTIFS(Tracker!G:G, "&lt;="&amp;Daily!C295, Tracker!L:L, "N") / AK295,  0)</f>
        <v>0.63315217391304346</v>
      </c>
    </row>
    <row r="296" spans="1:41" x14ac:dyDescent="0.25">
      <c r="A296" s="119"/>
      <c r="B296" s="32">
        <f t="shared" si="134"/>
        <v>45511</v>
      </c>
      <c r="C296" s="27">
        <f t="shared" si="151"/>
        <v>45511</v>
      </c>
      <c r="D296" s="109" t="b">
        <f t="shared" ca="1" si="133"/>
        <v>1</v>
      </c>
      <c r="E296" s="51">
        <f t="shared" si="135"/>
        <v>0</v>
      </c>
      <c r="F296" s="48">
        <f>COUNTIFS(Tracker!G:G,Daily!C296, Tracker!J:J,"Y")</f>
        <v>0</v>
      </c>
      <c r="G296" s="26">
        <f>COUNTIFS(Tracker!G:G,Daily!C296, Tracker!J:J,"Y (with hints)")</f>
        <v>0</v>
      </c>
      <c r="H296" s="33">
        <f>COUNTIFS(Tracker!G:G,Daily!C296, Tracker!J:J,"N")</f>
        <v>0</v>
      </c>
      <c r="I296" s="54">
        <f t="shared" si="136"/>
        <v>0</v>
      </c>
      <c r="J296" s="26">
        <f>COUNTIFS(Tracker!G:G,Daily!C296, Tracker!J:J,"Y",Tracker!E:E,1)</f>
        <v>0</v>
      </c>
      <c r="K296" s="26">
        <f>COUNTIFS(Tracker!G:G,Daily!C296, Tracker!J:J,"Y (with hints)",Tracker!E:E,1)</f>
        <v>0</v>
      </c>
      <c r="L296" s="33">
        <f>COUNTIFS(Tracker!G:G,Daily!C296, Tracker!J:J,"N",Tracker!E:E,1)</f>
        <v>0</v>
      </c>
      <c r="M296" s="54">
        <f t="shared" si="137"/>
        <v>0</v>
      </c>
      <c r="N296" s="26">
        <f>COUNTIFS(Tracker!G:G,Daily!C296, Tracker!J:J,"Y",Tracker!E:E,2)</f>
        <v>0</v>
      </c>
      <c r="O296" s="26">
        <f>COUNTIFS(Tracker!G:G,Daily!C296, Tracker!J:J,"Y (with hints)",Tracker!E:E,2)</f>
        <v>0</v>
      </c>
      <c r="P296" s="33">
        <f>COUNTIFS(Tracker!G:G,Daily!C296, Tracker!J:J,"N",Tracker!E:E,2)</f>
        <v>0</v>
      </c>
      <c r="Q296" s="57">
        <f t="shared" si="138"/>
        <v>0</v>
      </c>
      <c r="R296" s="26">
        <f>COUNTIFS(Tracker!G:G,Daily!C296, Tracker!J:J,"Y",Tracker!E:E,3)</f>
        <v>0</v>
      </c>
      <c r="S296" s="26">
        <f>COUNTIFS(Tracker!G:G,Daily!C296, Tracker!J:J,"Y (with hints)",Tracker!E:E,3)</f>
        <v>0</v>
      </c>
      <c r="T296" s="33">
        <f>COUNTIFS(Tracker!G:G,Daily!C296, Tracker!J:J,"N",Tracker!E:E,3)</f>
        <v>0</v>
      </c>
      <c r="V296" s="48">
        <f t="shared" si="139"/>
        <v>94</v>
      </c>
      <c r="W296" s="26">
        <f t="shared" si="140"/>
        <v>90</v>
      </c>
      <c r="X296" s="62">
        <f t="shared" si="141"/>
        <v>0.95744680851063835</v>
      </c>
      <c r="Y296" s="74">
        <f>AVERAGEIFS(Tracker!I:I, Tracker!E:E, 1, Tracker!G:G, "&lt;="&amp;Daily!C296, Tracker!J:J, "Y")</f>
        <v>12.4</v>
      </c>
      <c r="Z296" s="77">
        <f>COUNTIFS(Tracker!E:E, 1, Tracker!G:G, "&lt;="&amp;Daily!C296, Tracker!L:L, "N") / V296</f>
        <v>0.80851063829787229</v>
      </c>
      <c r="AA296" s="48">
        <f t="shared" si="142"/>
        <v>232</v>
      </c>
      <c r="AB296" s="26">
        <f t="shared" si="143"/>
        <v>186</v>
      </c>
      <c r="AC296" s="62">
        <f t="shared" si="144"/>
        <v>0.80172413793103448</v>
      </c>
      <c r="AD296" s="74">
        <f>AVERAGEIFS(Tracker!I:I, Tracker!E:E, 2, Tracker!G:G, "&lt;="&amp;Daily!C296, Tracker!J:J, "Y")</f>
        <v>25.77956989247312</v>
      </c>
      <c r="AE296" s="77">
        <f>COUNTIFS(Tracker!E:E, 2, Tracker!G:G, "&lt;="&amp;Daily!C296, Tracker!L:L, "N") / AA296</f>
        <v>0.61206896551724133</v>
      </c>
      <c r="AF296" s="48">
        <f t="shared" si="145"/>
        <v>42</v>
      </c>
      <c r="AG296" s="26">
        <f t="shared" si="146"/>
        <v>27</v>
      </c>
      <c r="AH296" s="62">
        <f t="shared" si="147"/>
        <v>0.6428571428571429</v>
      </c>
      <c r="AI296" s="74">
        <f>IFERROR(AVERAGEIFS(Tracker!I:I, Tracker!E:E, 3, Tracker!G:G, "&lt;="&amp;Daily!C296, Tracker!J:J, "Y"), 0)</f>
        <v>40.074074074074076</v>
      </c>
      <c r="AJ296" s="77">
        <f>IFERROR(COUNTIFS(Tracker!E:E, 3, Tracker!G:G, "&lt;="&amp;Daily!C296, Tracker!L:L, "N") / AF296,  0)</f>
        <v>0.35714285714285715</v>
      </c>
      <c r="AK296" s="48">
        <f t="shared" si="148"/>
        <v>368</v>
      </c>
      <c r="AL296" s="26">
        <f t="shared" si="149"/>
        <v>303</v>
      </c>
      <c r="AM296" s="62">
        <f t="shared" si="150"/>
        <v>0.82336956521739135</v>
      </c>
      <c r="AN296" s="74">
        <f>IFERROR(AVERAGEIFS(Tracker!I:I,  Tracker!G:G, "&lt;="&amp;Daily!C296, Tracker!J:J, "Y"), 0)</f>
        <v>23.079207920792079</v>
      </c>
      <c r="AO296" s="77">
        <f>IFERROR(COUNTIFS(Tracker!G:G, "&lt;="&amp;Daily!C296, Tracker!L:L, "N") / AK296,  0)</f>
        <v>0.63315217391304346</v>
      </c>
    </row>
    <row r="297" spans="1:41" x14ac:dyDescent="0.25">
      <c r="A297" s="119"/>
      <c r="B297" s="32">
        <f t="shared" si="134"/>
        <v>45512</v>
      </c>
      <c r="C297" s="27">
        <f t="shared" si="151"/>
        <v>45512</v>
      </c>
      <c r="D297" s="109" t="b">
        <f t="shared" ca="1" si="133"/>
        <v>1</v>
      </c>
      <c r="E297" s="51">
        <f t="shared" si="135"/>
        <v>0</v>
      </c>
      <c r="F297" s="48">
        <f>COUNTIFS(Tracker!G:G,Daily!C297, Tracker!J:J,"Y")</f>
        <v>0</v>
      </c>
      <c r="G297" s="26">
        <f>COUNTIFS(Tracker!G:G,Daily!C297, Tracker!J:J,"Y (with hints)")</f>
        <v>0</v>
      </c>
      <c r="H297" s="33">
        <f>COUNTIFS(Tracker!G:G,Daily!C297, Tracker!J:J,"N")</f>
        <v>0</v>
      </c>
      <c r="I297" s="54">
        <f t="shared" si="136"/>
        <v>0</v>
      </c>
      <c r="J297" s="26">
        <f>COUNTIFS(Tracker!G:G,Daily!C297, Tracker!J:J,"Y",Tracker!E:E,1)</f>
        <v>0</v>
      </c>
      <c r="K297" s="26">
        <f>COUNTIFS(Tracker!G:G,Daily!C297, Tracker!J:J,"Y (with hints)",Tracker!E:E,1)</f>
        <v>0</v>
      </c>
      <c r="L297" s="33">
        <f>COUNTIFS(Tracker!G:G,Daily!C297, Tracker!J:J,"N",Tracker!E:E,1)</f>
        <v>0</v>
      </c>
      <c r="M297" s="54">
        <f t="shared" si="137"/>
        <v>0</v>
      </c>
      <c r="N297" s="26">
        <f>COUNTIFS(Tracker!G:G,Daily!C297, Tracker!J:J,"Y",Tracker!E:E,2)</f>
        <v>0</v>
      </c>
      <c r="O297" s="26">
        <f>COUNTIFS(Tracker!G:G,Daily!C297, Tracker!J:J,"Y (with hints)",Tracker!E:E,2)</f>
        <v>0</v>
      </c>
      <c r="P297" s="33">
        <f>COUNTIFS(Tracker!G:G,Daily!C297, Tracker!J:J,"N",Tracker!E:E,2)</f>
        <v>0</v>
      </c>
      <c r="Q297" s="57">
        <f t="shared" si="138"/>
        <v>0</v>
      </c>
      <c r="R297" s="26">
        <f>COUNTIFS(Tracker!G:G,Daily!C297, Tracker!J:J,"Y",Tracker!E:E,3)</f>
        <v>0</v>
      </c>
      <c r="S297" s="26">
        <f>COUNTIFS(Tracker!G:G,Daily!C297, Tracker!J:J,"Y (with hints)",Tracker!E:E,3)</f>
        <v>0</v>
      </c>
      <c r="T297" s="33">
        <f>COUNTIFS(Tracker!G:G,Daily!C297, Tracker!J:J,"N",Tracker!E:E,3)</f>
        <v>0</v>
      </c>
      <c r="V297" s="48">
        <f t="shared" si="139"/>
        <v>94</v>
      </c>
      <c r="W297" s="26">
        <f t="shared" si="140"/>
        <v>90</v>
      </c>
      <c r="X297" s="62">
        <f t="shared" si="141"/>
        <v>0.95744680851063835</v>
      </c>
      <c r="Y297" s="74">
        <f>AVERAGEIFS(Tracker!I:I, Tracker!E:E, 1, Tracker!G:G, "&lt;="&amp;Daily!C297, Tracker!J:J, "Y")</f>
        <v>12.4</v>
      </c>
      <c r="Z297" s="77">
        <f>COUNTIFS(Tracker!E:E, 1, Tracker!G:G, "&lt;="&amp;Daily!C297, Tracker!L:L, "N") / V297</f>
        <v>0.80851063829787229</v>
      </c>
      <c r="AA297" s="48">
        <f t="shared" si="142"/>
        <v>232</v>
      </c>
      <c r="AB297" s="26">
        <f t="shared" si="143"/>
        <v>186</v>
      </c>
      <c r="AC297" s="62">
        <f t="shared" si="144"/>
        <v>0.80172413793103448</v>
      </c>
      <c r="AD297" s="74">
        <f>AVERAGEIFS(Tracker!I:I, Tracker!E:E, 2, Tracker!G:G, "&lt;="&amp;Daily!C297, Tracker!J:J, "Y")</f>
        <v>25.77956989247312</v>
      </c>
      <c r="AE297" s="77">
        <f>COUNTIFS(Tracker!E:E, 2, Tracker!G:G, "&lt;="&amp;Daily!C297, Tracker!L:L, "N") / AA297</f>
        <v>0.61206896551724133</v>
      </c>
      <c r="AF297" s="48">
        <f t="shared" si="145"/>
        <v>42</v>
      </c>
      <c r="AG297" s="26">
        <f t="shared" si="146"/>
        <v>27</v>
      </c>
      <c r="AH297" s="62">
        <f t="shared" si="147"/>
        <v>0.6428571428571429</v>
      </c>
      <c r="AI297" s="74">
        <f>IFERROR(AVERAGEIFS(Tracker!I:I, Tracker!E:E, 3, Tracker!G:G, "&lt;="&amp;Daily!C297, Tracker!J:J, "Y"), 0)</f>
        <v>40.074074074074076</v>
      </c>
      <c r="AJ297" s="77">
        <f>IFERROR(COUNTIFS(Tracker!E:E, 3, Tracker!G:G, "&lt;="&amp;Daily!C297, Tracker!L:L, "N") / AF297,  0)</f>
        <v>0.35714285714285715</v>
      </c>
      <c r="AK297" s="48">
        <f t="shared" si="148"/>
        <v>368</v>
      </c>
      <c r="AL297" s="26">
        <f t="shared" si="149"/>
        <v>303</v>
      </c>
      <c r="AM297" s="62">
        <f t="shared" si="150"/>
        <v>0.82336956521739135</v>
      </c>
      <c r="AN297" s="74">
        <f>IFERROR(AVERAGEIFS(Tracker!I:I,  Tracker!G:G, "&lt;="&amp;Daily!C297, Tracker!J:J, "Y"), 0)</f>
        <v>23.079207920792079</v>
      </c>
      <c r="AO297" s="77">
        <f>IFERROR(COUNTIFS(Tracker!G:G, "&lt;="&amp;Daily!C297, Tracker!L:L, "N") / AK297,  0)</f>
        <v>0.63315217391304346</v>
      </c>
    </row>
    <row r="298" spans="1:41" x14ac:dyDescent="0.25">
      <c r="A298" s="119"/>
      <c r="B298" s="32">
        <f t="shared" si="134"/>
        <v>45513</v>
      </c>
      <c r="C298" s="27">
        <f t="shared" si="151"/>
        <v>45513</v>
      </c>
      <c r="D298" s="109" t="b">
        <f t="shared" ca="1" si="133"/>
        <v>1</v>
      </c>
      <c r="E298" s="51">
        <f t="shared" si="135"/>
        <v>0</v>
      </c>
      <c r="F298" s="48">
        <f>COUNTIFS(Tracker!G:G,Daily!C298, Tracker!J:J,"Y")</f>
        <v>0</v>
      </c>
      <c r="G298" s="26">
        <f>COUNTIFS(Tracker!G:G,Daily!C298, Tracker!J:J,"Y (with hints)")</f>
        <v>0</v>
      </c>
      <c r="H298" s="33">
        <f>COUNTIFS(Tracker!G:G,Daily!C298, Tracker!J:J,"N")</f>
        <v>0</v>
      </c>
      <c r="I298" s="54">
        <f t="shared" si="136"/>
        <v>0</v>
      </c>
      <c r="J298" s="26">
        <f>COUNTIFS(Tracker!G:G,Daily!C298, Tracker!J:J,"Y",Tracker!E:E,1)</f>
        <v>0</v>
      </c>
      <c r="K298" s="26">
        <f>COUNTIFS(Tracker!G:G,Daily!C298, Tracker!J:J,"Y (with hints)",Tracker!E:E,1)</f>
        <v>0</v>
      </c>
      <c r="L298" s="33">
        <f>COUNTIFS(Tracker!G:G,Daily!C298, Tracker!J:J,"N",Tracker!E:E,1)</f>
        <v>0</v>
      </c>
      <c r="M298" s="54">
        <f t="shared" si="137"/>
        <v>0</v>
      </c>
      <c r="N298" s="26">
        <f>COUNTIFS(Tracker!G:G,Daily!C298, Tracker!J:J,"Y",Tracker!E:E,2)</f>
        <v>0</v>
      </c>
      <c r="O298" s="26">
        <f>COUNTIFS(Tracker!G:G,Daily!C298, Tracker!J:J,"Y (with hints)",Tracker!E:E,2)</f>
        <v>0</v>
      </c>
      <c r="P298" s="33">
        <f>COUNTIFS(Tracker!G:G,Daily!C298, Tracker!J:J,"N",Tracker!E:E,2)</f>
        <v>0</v>
      </c>
      <c r="Q298" s="57">
        <f t="shared" si="138"/>
        <v>0</v>
      </c>
      <c r="R298" s="26">
        <f>COUNTIFS(Tracker!G:G,Daily!C298, Tracker!J:J,"Y",Tracker!E:E,3)</f>
        <v>0</v>
      </c>
      <c r="S298" s="26">
        <f>COUNTIFS(Tracker!G:G,Daily!C298, Tracker!J:J,"Y (with hints)",Tracker!E:E,3)</f>
        <v>0</v>
      </c>
      <c r="T298" s="33">
        <f>COUNTIFS(Tracker!G:G,Daily!C298, Tracker!J:J,"N",Tracker!E:E,3)</f>
        <v>0</v>
      </c>
      <c r="V298" s="48">
        <f t="shared" si="139"/>
        <v>94</v>
      </c>
      <c r="W298" s="26">
        <f t="shared" si="140"/>
        <v>90</v>
      </c>
      <c r="X298" s="62">
        <f t="shared" si="141"/>
        <v>0.95744680851063835</v>
      </c>
      <c r="Y298" s="74">
        <f>AVERAGEIFS(Tracker!I:I, Tracker!E:E, 1, Tracker!G:G, "&lt;="&amp;Daily!C298, Tracker!J:J, "Y")</f>
        <v>12.4</v>
      </c>
      <c r="Z298" s="77">
        <f>COUNTIFS(Tracker!E:E, 1, Tracker!G:G, "&lt;="&amp;Daily!C298, Tracker!L:L, "N") / V298</f>
        <v>0.80851063829787229</v>
      </c>
      <c r="AA298" s="48">
        <f t="shared" si="142"/>
        <v>232</v>
      </c>
      <c r="AB298" s="26">
        <f t="shared" si="143"/>
        <v>186</v>
      </c>
      <c r="AC298" s="62">
        <f t="shared" si="144"/>
        <v>0.80172413793103448</v>
      </c>
      <c r="AD298" s="74">
        <f>AVERAGEIFS(Tracker!I:I, Tracker!E:E, 2, Tracker!G:G, "&lt;="&amp;Daily!C298, Tracker!J:J, "Y")</f>
        <v>25.77956989247312</v>
      </c>
      <c r="AE298" s="77">
        <f>COUNTIFS(Tracker!E:E, 2, Tracker!G:G, "&lt;="&amp;Daily!C298, Tracker!L:L, "N") / AA298</f>
        <v>0.61206896551724133</v>
      </c>
      <c r="AF298" s="48">
        <f t="shared" si="145"/>
        <v>42</v>
      </c>
      <c r="AG298" s="26">
        <f t="shared" si="146"/>
        <v>27</v>
      </c>
      <c r="AH298" s="62">
        <f t="shared" si="147"/>
        <v>0.6428571428571429</v>
      </c>
      <c r="AI298" s="74">
        <f>IFERROR(AVERAGEIFS(Tracker!I:I, Tracker!E:E, 3, Tracker!G:G, "&lt;="&amp;Daily!C298, Tracker!J:J, "Y"), 0)</f>
        <v>40.074074074074076</v>
      </c>
      <c r="AJ298" s="77">
        <f>IFERROR(COUNTIFS(Tracker!E:E, 3, Tracker!G:G, "&lt;="&amp;Daily!C298, Tracker!L:L, "N") / AF298,  0)</f>
        <v>0.35714285714285715</v>
      </c>
      <c r="AK298" s="48">
        <f t="shared" si="148"/>
        <v>368</v>
      </c>
      <c r="AL298" s="26">
        <f t="shared" si="149"/>
        <v>303</v>
      </c>
      <c r="AM298" s="62">
        <f t="shared" si="150"/>
        <v>0.82336956521739135</v>
      </c>
      <c r="AN298" s="74">
        <f>IFERROR(AVERAGEIFS(Tracker!I:I,  Tracker!G:G, "&lt;="&amp;Daily!C298, Tracker!J:J, "Y"), 0)</f>
        <v>23.079207920792079</v>
      </c>
      <c r="AO298" s="77">
        <f>IFERROR(COUNTIFS(Tracker!G:G, "&lt;="&amp;Daily!C298, Tracker!L:L, "N") / AK298,  0)</f>
        <v>0.63315217391304346</v>
      </c>
    </row>
    <row r="299" spans="1:41" x14ac:dyDescent="0.25">
      <c r="A299" s="119"/>
      <c r="B299" s="32">
        <f t="shared" si="134"/>
        <v>45514</v>
      </c>
      <c r="C299" s="27">
        <f t="shared" si="151"/>
        <v>45514</v>
      </c>
      <c r="D299" s="109" t="b">
        <f t="shared" ca="1" si="133"/>
        <v>1</v>
      </c>
      <c r="E299" s="51">
        <f t="shared" si="135"/>
        <v>0</v>
      </c>
      <c r="F299" s="48">
        <f>COUNTIFS(Tracker!G:G,Daily!C299, Tracker!J:J,"Y")</f>
        <v>0</v>
      </c>
      <c r="G299" s="26">
        <f>COUNTIFS(Tracker!G:G,Daily!C299, Tracker!J:J,"Y (with hints)")</f>
        <v>0</v>
      </c>
      <c r="H299" s="33">
        <f>COUNTIFS(Tracker!G:G,Daily!C299, Tracker!J:J,"N")</f>
        <v>0</v>
      </c>
      <c r="I299" s="54">
        <f t="shared" si="136"/>
        <v>0</v>
      </c>
      <c r="J299" s="26">
        <f>COUNTIFS(Tracker!G:G,Daily!C299, Tracker!J:J,"Y",Tracker!E:E,1)</f>
        <v>0</v>
      </c>
      <c r="K299" s="26">
        <f>COUNTIFS(Tracker!G:G,Daily!C299, Tracker!J:J,"Y (with hints)",Tracker!E:E,1)</f>
        <v>0</v>
      </c>
      <c r="L299" s="33">
        <f>COUNTIFS(Tracker!G:G,Daily!C299, Tracker!J:J,"N",Tracker!E:E,1)</f>
        <v>0</v>
      </c>
      <c r="M299" s="54">
        <f t="shared" si="137"/>
        <v>0</v>
      </c>
      <c r="N299" s="26">
        <f>COUNTIFS(Tracker!G:G,Daily!C299, Tracker!J:J,"Y",Tracker!E:E,2)</f>
        <v>0</v>
      </c>
      <c r="O299" s="26">
        <f>COUNTIFS(Tracker!G:G,Daily!C299, Tracker!J:J,"Y (with hints)",Tracker!E:E,2)</f>
        <v>0</v>
      </c>
      <c r="P299" s="33">
        <f>COUNTIFS(Tracker!G:G,Daily!C299, Tracker!J:J,"N",Tracker!E:E,2)</f>
        <v>0</v>
      </c>
      <c r="Q299" s="57">
        <f t="shared" si="138"/>
        <v>0</v>
      </c>
      <c r="R299" s="26">
        <f>COUNTIFS(Tracker!G:G,Daily!C299, Tracker!J:J,"Y",Tracker!E:E,3)</f>
        <v>0</v>
      </c>
      <c r="S299" s="26">
        <f>COUNTIFS(Tracker!G:G,Daily!C299, Tracker!J:J,"Y (with hints)",Tracker!E:E,3)</f>
        <v>0</v>
      </c>
      <c r="T299" s="33">
        <f>COUNTIFS(Tracker!G:G,Daily!C299, Tracker!J:J,"N",Tracker!E:E,3)</f>
        <v>0</v>
      </c>
      <c r="V299" s="48">
        <f t="shared" si="139"/>
        <v>94</v>
      </c>
      <c r="W299" s="26">
        <f t="shared" si="140"/>
        <v>90</v>
      </c>
      <c r="X299" s="62">
        <f t="shared" si="141"/>
        <v>0.95744680851063835</v>
      </c>
      <c r="Y299" s="74">
        <f>AVERAGEIFS(Tracker!I:I, Tracker!E:E, 1, Tracker!G:G, "&lt;="&amp;Daily!C299, Tracker!J:J, "Y")</f>
        <v>12.4</v>
      </c>
      <c r="Z299" s="77">
        <f>COUNTIFS(Tracker!E:E, 1, Tracker!G:G, "&lt;="&amp;Daily!C299, Tracker!L:L, "N") / V299</f>
        <v>0.80851063829787229</v>
      </c>
      <c r="AA299" s="48">
        <f t="shared" si="142"/>
        <v>232</v>
      </c>
      <c r="AB299" s="26">
        <f t="shared" si="143"/>
        <v>186</v>
      </c>
      <c r="AC299" s="62">
        <f t="shared" si="144"/>
        <v>0.80172413793103448</v>
      </c>
      <c r="AD299" s="74">
        <f>AVERAGEIFS(Tracker!I:I, Tracker!E:E, 2, Tracker!G:G, "&lt;="&amp;Daily!C299, Tracker!J:J, "Y")</f>
        <v>25.77956989247312</v>
      </c>
      <c r="AE299" s="77">
        <f>COUNTIFS(Tracker!E:E, 2, Tracker!G:G, "&lt;="&amp;Daily!C299, Tracker!L:L, "N") / AA299</f>
        <v>0.61206896551724133</v>
      </c>
      <c r="AF299" s="48">
        <f t="shared" si="145"/>
        <v>42</v>
      </c>
      <c r="AG299" s="26">
        <f t="shared" si="146"/>
        <v>27</v>
      </c>
      <c r="AH299" s="62">
        <f t="shared" si="147"/>
        <v>0.6428571428571429</v>
      </c>
      <c r="AI299" s="74">
        <f>IFERROR(AVERAGEIFS(Tracker!I:I, Tracker!E:E, 3, Tracker!G:G, "&lt;="&amp;Daily!C299, Tracker!J:J, "Y"), 0)</f>
        <v>40.074074074074076</v>
      </c>
      <c r="AJ299" s="77">
        <f>IFERROR(COUNTIFS(Tracker!E:E, 3, Tracker!G:G, "&lt;="&amp;Daily!C299, Tracker!L:L, "N") / AF299,  0)</f>
        <v>0.35714285714285715</v>
      </c>
      <c r="AK299" s="48">
        <f t="shared" si="148"/>
        <v>368</v>
      </c>
      <c r="AL299" s="26">
        <f t="shared" si="149"/>
        <v>303</v>
      </c>
      <c r="AM299" s="62">
        <f t="shared" si="150"/>
        <v>0.82336956521739135</v>
      </c>
      <c r="AN299" s="74">
        <f>IFERROR(AVERAGEIFS(Tracker!I:I,  Tracker!G:G, "&lt;="&amp;Daily!C299, Tracker!J:J, "Y"), 0)</f>
        <v>23.079207920792079</v>
      </c>
      <c r="AO299" s="77">
        <f>IFERROR(COUNTIFS(Tracker!G:G, "&lt;="&amp;Daily!C299, Tracker!L:L, "N") / AK299,  0)</f>
        <v>0.63315217391304346</v>
      </c>
    </row>
    <row r="300" spans="1:41" ht="15.75" thickBot="1" x14ac:dyDescent="0.3">
      <c r="A300" s="120"/>
      <c r="B300" s="34">
        <f t="shared" si="134"/>
        <v>45515</v>
      </c>
      <c r="C300" s="35">
        <f t="shared" si="151"/>
        <v>45515</v>
      </c>
      <c r="D300" s="110" t="b">
        <f t="shared" ca="1" si="133"/>
        <v>1</v>
      </c>
      <c r="E300" s="52">
        <f t="shared" si="135"/>
        <v>0</v>
      </c>
      <c r="F300" s="39">
        <f>COUNTIFS(Tracker!G:G,Daily!C300, Tracker!J:J,"Y")</f>
        <v>0</v>
      </c>
      <c r="G300" s="36">
        <f>COUNTIFS(Tracker!G:G,Daily!C300, Tracker!J:J,"Y (with hints)")</f>
        <v>0</v>
      </c>
      <c r="H300" s="37">
        <f>COUNTIFS(Tracker!G:G,Daily!C300, Tracker!J:J,"N")</f>
        <v>0</v>
      </c>
      <c r="I300" s="55">
        <f t="shared" si="136"/>
        <v>0</v>
      </c>
      <c r="J300" s="36">
        <f>COUNTIFS(Tracker!G:G,Daily!C300, Tracker!J:J,"Y",Tracker!E:E,1)</f>
        <v>0</v>
      </c>
      <c r="K300" s="36">
        <f>COUNTIFS(Tracker!G:G,Daily!C300, Tracker!J:J,"Y (with hints)",Tracker!E:E,1)</f>
        <v>0</v>
      </c>
      <c r="L300" s="37">
        <f>COUNTIFS(Tracker!G:G,Daily!C300, Tracker!J:J,"N",Tracker!E:E,1)</f>
        <v>0</v>
      </c>
      <c r="M300" s="55">
        <f t="shared" si="137"/>
        <v>0</v>
      </c>
      <c r="N300" s="36">
        <f>COUNTIFS(Tracker!G:G,Daily!C300, Tracker!J:J,"Y",Tracker!E:E,2)</f>
        <v>0</v>
      </c>
      <c r="O300" s="36">
        <f>COUNTIFS(Tracker!G:G,Daily!C300, Tracker!J:J,"Y (with hints)",Tracker!E:E,2)</f>
        <v>0</v>
      </c>
      <c r="P300" s="37">
        <f>COUNTIFS(Tracker!G:G,Daily!C300, Tracker!J:J,"N",Tracker!E:E,2)</f>
        <v>0</v>
      </c>
      <c r="Q300" s="58">
        <f t="shared" si="138"/>
        <v>0</v>
      </c>
      <c r="R300" s="36">
        <f>COUNTIFS(Tracker!G:G,Daily!C300, Tracker!J:J,"Y",Tracker!E:E,3)</f>
        <v>0</v>
      </c>
      <c r="S300" s="36">
        <f>COUNTIFS(Tracker!G:G,Daily!C300, Tracker!J:J,"Y (with hints)",Tracker!E:E,3)</f>
        <v>0</v>
      </c>
      <c r="T300" s="37">
        <f>COUNTIFS(Tracker!G:G,Daily!C300, Tracker!J:J,"N",Tracker!E:E,3)</f>
        <v>0</v>
      </c>
      <c r="V300" s="39">
        <f t="shared" si="139"/>
        <v>94</v>
      </c>
      <c r="W300" s="36">
        <f t="shared" si="140"/>
        <v>90</v>
      </c>
      <c r="X300" s="64">
        <f t="shared" si="141"/>
        <v>0.95744680851063835</v>
      </c>
      <c r="Y300" s="78">
        <f>AVERAGEIFS(Tracker!I:I, Tracker!E:E, 1, Tracker!G:G, "&lt;="&amp;Daily!C300, Tracker!J:J, "Y")</f>
        <v>12.4</v>
      </c>
      <c r="Z300" s="79">
        <f>COUNTIFS(Tracker!E:E, 1, Tracker!G:G, "&lt;="&amp;Daily!C300, Tracker!L:L, "N") / V300</f>
        <v>0.80851063829787229</v>
      </c>
      <c r="AA300" s="39">
        <f t="shared" si="142"/>
        <v>232</v>
      </c>
      <c r="AB300" s="36">
        <f t="shared" si="143"/>
        <v>186</v>
      </c>
      <c r="AC300" s="64">
        <f t="shared" si="144"/>
        <v>0.80172413793103448</v>
      </c>
      <c r="AD300" s="78">
        <f>AVERAGEIFS(Tracker!I:I, Tracker!E:E, 2, Tracker!G:G, "&lt;="&amp;Daily!C300, Tracker!J:J, "Y")</f>
        <v>25.77956989247312</v>
      </c>
      <c r="AE300" s="79">
        <f>COUNTIFS(Tracker!E:E, 2, Tracker!G:G, "&lt;="&amp;Daily!C300, Tracker!L:L, "N") / AA300</f>
        <v>0.61206896551724133</v>
      </c>
      <c r="AF300" s="39">
        <f t="shared" si="145"/>
        <v>42</v>
      </c>
      <c r="AG300" s="36">
        <f t="shared" si="146"/>
        <v>27</v>
      </c>
      <c r="AH300" s="64">
        <f t="shared" si="147"/>
        <v>0.6428571428571429</v>
      </c>
      <c r="AI300" s="78">
        <f>IFERROR(AVERAGEIFS(Tracker!I:I, Tracker!E:E, 3, Tracker!G:G, "&lt;="&amp;Daily!C300, Tracker!J:J, "Y"), 0)</f>
        <v>40.074074074074076</v>
      </c>
      <c r="AJ300" s="79">
        <f>IFERROR(COUNTIFS(Tracker!E:E, 3, Tracker!G:G, "&lt;="&amp;Daily!C300, Tracker!L:L, "N") / AF300,  0)</f>
        <v>0.35714285714285715</v>
      </c>
      <c r="AK300" s="39">
        <f t="shared" si="148"/>
        <v>368</v>
      </c>
      <c r="AL300" s="36">
        <f t="shared" si="149"/>
        <v>303</v>
      </c>
      <c r="AM300" s="64">
        <f t="shared" si="150"/>
        <v>0.82336956521739135</v>
      </c>
      <c r="AN300" s="78">
        <f>IFERROR(AVERAGEIFS(Tracker!I:I,  Tracker!G:G, "&lt;="&amp;Daily!C300, Tracker!J:J, "Y"), 0)</f>
        <v>23.079207920792079</v>
      </c>
      <c r="AO300" s="79">
        <f>IFERROR(COUNTIFS(Tracker!G:G, "&lt;="&amp;Daily!C300, Tracker!L:L, "N") / AK300,  0)</f>
        <v>0.63315217391304346</v>
      </c>
    </row>
    <row r="301" spans="1:41" x14ac:dyDescent="0.25">
      <c r="A301" s="118">
        <f>A294+1</f>
        <v>43</v>
      </c>
      <c r="B301" s="28">
        <f t="shared" si="134"/>
        <v>45516</v>
      </c>
      <c r="C301" s="29">
        <f t="shared" si="151"/>
        <v>45516</v>
      </c>
      <c r="D301" s="108" t="b">
        <f t="shared" ca="1" si="133"/>
        <v>1</v>
      </c>
      <c r="E301" s="50">
        <f t="shared" si="135"/>
        <v>0</v>
      </c>
      <c r="F301" s="38">
        <f>COUNTIFS(Tracker!G:G,Daily!C301, Tracker!J:J,"Y")</f>
        <v>0</v>
      </c>
      <c r="G301" s="30">
        <f>COUNTIFS(Tracker!G:G,Daily!C301, Tracker!J:J,"Y (with hints)")</f>
        <v>0</v>
      </c>
      <c r="H301" s="31">
        <f>COUNTIFS(Tracker!G:G,Daily!C301, Tracker!J:J,"N")</f>
        <v>0</v>
      </c>
      <c r="I301" s="53">
        <f t="shared" si="136"/>
        <v>0</v>
      </c>
      <c r="J301" s="30">
        <f>COUNTIFS(Tracker!G:G,Daily!C301, Tracker!J:J,"Y",Tracker!E:E,1)</f>
        <v>0</v>
      </c>
      <c r="K301" s="30">
        <f>COUNTIFS(Tracker!G:G,Daily!C301, Tracker!J:J,"Y (with hints)",Tracker!E:E,1)</f>
        <v>0</v>
      </c>
      <c r="L301" s="31">
        <f>COUNTIFS(Tracker!G:G,Daily!C301, Tracker!J:J,"N",Tracker!E:E,1)</f>
        <v>0</v>
      </c>
      <c r="M301" s="53">
        <f t="shared" si="137"/>
        <v>0</v>
      </c>
      <c r="N301" s="30">
        <f>COUNTIFS(Tracker!G:G,Daily!C301, Tracker!J:J,"Y",Tracker!E:E,2)</f>
        <v>0</v>
      </c>
      <c r="O301" s="30">
        <f>COUNTIFS(Tracker!G:G,Daily!C301, Tracker!J:J,"Y (with hints)",Tracker!E:E,2)</f>
        <v>0</v>
      </c>
      <c r="P301" s="31">
        <f>COUNTIFS(Tracker!G:G,Daily!C301, Tracker!J:J,"N",Tracker!E:E,2)</f>
        <v>0</v>
      </c>
      <c r="Q301" s="56">
        <f t="shared" si="138"/>
        <v>0</v>
      </c>
      <c r="R301" s="30">
        <f>COUNTIFS(Tracker!G:G,Daily!C301, Tracker!J:J,"Y",Tracker!E:E,3)</f>
        <v>0</v>
      </c>
      <c r="S301" s="30">
        <f>COUNTIFS(Tracker!G:G,Daily!C301, Tracker!J:J,"Y (with hints)",Tracker!E:E,3)</f>
        <v>0</v>
      </c>
      <c r="T301" s="31">
        <f>COUNTIFS(Tracker!G:G,Daily!C301, Tracker!J:J,"N",Tracker!E:E,3)</f>
        <v>0</v>
      </c>
      <c r="V301" s="38">
        <f t="shared" si="139"/>
        <v>94</v>
      </c>
      <c r="W301" s="30">
        <f t="shared" si="140"/>
        <v>90</v>
      </c>
      <c r="X301" s="73">
        <f t="shared" si="141"/>
        <v>0.95744680851063835</v>
      </c>
      <c r="Y301" s="75">
        <f>AVERAGEIFS(Tracker!I:I, Tracker!E:E, 1, Tracker!G:G, "&lt;="&amp;Daily!C301, Tracker!J:J, "Y")</f>
        <v>12.4</v>
      </c>
      <c r="Z301" s="76">
        <f>COUNTIFS(Tracker!E:E, 1, Tracker!G:G, "&lt;="&amp;Daily!C301, Tracker!L:L, "N") / V301</f>
        <v>0.80851063829787229</v>
      </c>
      <c r="AA301" s="38">
        <f t="shared" si="142"/>
        <v>232</v>
      </c>
      <c r="AB301" s="30">
        <f t="shared" si="143"/>
        <v>186</v>
      </c>
      <c r="AC301" s="73">
        <f t="shared" si="144"/>
        <v>0.80172413793103448</v>
      </c>
      <c r="AD301" s="75">
        <f>AVERAGEIFS(Tracker!I:I, Tracker!E:E, 2, Tracker!G:G, "&lt;="&amp;Daily!C301, Tracker!J:J, "Y")</f>
        <v>25.77956989247312</v>
      </c>
      <c r="AE301" s="76">
        <f>COUNTIFS(Tracker!E:E, 2, Tracker!G:G, "&lt;="&amp;Daily!C301, Tracker!L:L, "N") / AA301</f>
        <v>0.61206896551724133</v>
      </c>
      <c r="AF301" s="38">
        <f t="shared" si="145"/>
        <v>42</v>
      </c>
      <c r="AG301" s="30">
        <f t="shared" si="146"/>
        <v>27</v>
      </c>
      <c r="AH301" s="73">
        <f t="shared" si="147"/>
        <v>0.6428571428571429</v>
      </c>
      <c r="AI301" s="75">
        <f>IFERROR(AVERAGEIFS(Tracker!I:I, Tracker!E:E, 3, Tracker!G:G, "&lt;="&amp;Daily!C301, Tracker!J:J, "Y"), 0)</f>
        <v>40.074074074074076</v>
      </c>
      <c r="AJ301" s="76">
        <f>IFERROR(COUNTIFS(Tracker!E:E, 3, Tracker!G:G, "&lt;="&amp;Daily!C301, Tracker!L:L, "N") / AF301,  0)</f>
        <v>0.35714285714285715</v>
      </c>
      <c r="AK301" s="38">
        <f t="shared" si="148"/>
        <v>368</v>
      </c>
      <c r="AL301" s="30">
        <f t="shared" si="149"/>
        <v>303</v>
      </c>
      <c r="AM301" s="73">
        <f t="shared" si="150"/>
        <v>0.82336956521739135</v>
      </c>
      <c r="AN301" s="75">
        <f>IFERROR(AVERAGEIFS(Tracker!I:I,  Tracker!G:G, "&lt;="&amp;Daily!C301, Tracker!J:J, "Y"), 0)</f>
        <v>23.079207920792079</v>
      </c>
      <c r="AO301" s="76">
        <f>IFERROR(COUNTIFS(Tracker!G:G, "&lt;="&amp;Daily!C301, Tracker!L:L, "N") / AK301,  0)</f>
        <v>0.63315217391304346</v>
      </c>
    </row>
    <row r="302" spans="1:41" x14ac:dyDescent="0.25">
      <c r="A302" s="119"/>
      <c r="B302" s="32">
        <f t="shared" si="134"/>
        <v>45517</v>
      </c>
      <c r="C302" s="27">
        <f t="shared" si="151"/>
        <v>45517</v>
      </c>
      <c r="D302" s="109" t="b">
        <f t="shared" ca="1" si="133"/>
        <v>1</v>
      </c>
      <c r="E302" s="51">
        <f t="shared" si="135"/>
        <v>0</v>
      </c>
      <c r="F302" s="48">
        <f>COUNTIFS(Tracker!G:G,Daily!C302, Tracker!J:J,"Y")</f>
        <v>0</v>
      </c>
      <c r="G302" s="26">
        <f>COUNTIFS(Tracker!G:G,Daily!C302, Tracker!J:J,"Y (with hints)")</f>
        <v>0</v>
      </c>
      <c r="H302" s="33">
        <f>COUNTIFS(Tracker!G:G,Daily!C302, Tracker!J:J,"N")</f>
        <v>0</v>
      </c>
      <c r="I302" s="54">
        <f t="shared" si="136"/>
        <v>0</v>
      </c>
      <c r="J302" s="26">
        <f>COUNTIFS(Tracker!G:G,Daily!C302, Tracker!J:J,"Y",Tracker!E:E,1)</f>
        <v>0</v>
      </c>
      <c r="K302" s="26">
        <f>COUNTIFS(Tracker!G:G,Daily!C302, Tracker!J:J,"Y (with hints)",Tracker!E:E,1)</f>
        <v>0</v>
      </c>
      <c r="L302" s="33">
        <f>COUNTIFS(Tracker!G:G,Daily!C302, Tracker!J:J,"N",Tracker!E:E,1)</f>
        <v>0</v>
      </c>
      <c r="M302" s="54">
        <f t="shared" si="137"/>
        <v>0</v>
      </c>
      <c r="N302" s="26">
        <f>COUNTIFS(Tracker!G:G,Daily!C302, Tracker!J:J,"Y",Tracker!E:E,2)</f>
        <v>0</v>
      </c>
      <c r="O302" s="26">
        <f>COUNTIFS(Tracker!G:G,Daily!C302, Tracker!J:J,"Y (with hints)",Tracker!E:E,2)</f>
        <v>0</v>
      </c>
      <c r="P302" s="33">
        <f>COUNTIFS(Tracker!G:G,Daily!C302, Tracker!J:J,"N",Tracker!E:E,2)</f>
        <v>0</v>
      </c>
      <c r="Q302" s="57">
        <f t="shared" si="138"/>
        <v>0</v>
      </c>
      <c r="R302" s="26">
        <f>COUNTIFS(Tracker!G:G,Daily!C302, Tracker!J:J,"Y",Tracker!E:E,3)</f>
        <v>0</v>
      </c>
      <c r="S302" s="26">
        <f>COUNTIFS(Tracker!G:G,Daily!C302, Tracker!J:J,"Y (with hints)",Tracker!E:E,3)</f>
        <v>0</v>
      </c>
      <c r="T302" s="33">
        <f>COUNTIFS(Tracker!G:G,Daily!C302, Tracker!J:J,"N",Tracker!E:E,3)</f>
        <v>0</v>
      </c>
      <c r="V302" s="48">
        <f t="shared" si="139"/>
        <v>94</v>
      </c>
      <c r="W302" s="26">
        <f t="shared" si="140"/>
        <v>90</v>
      </c>
      <c r="X302" s="62">
        <f t="shared" si="141"/>
        <v>0.95744680851063835</v>
      </c>
      <c r="Y302" s="74">
        <f>AVERAGEIFS(Tracker!I:I, Tracker!E:E, 1, Tracker!G:G, "&lt;="&amp;Daily!C302, Tracker!J:J, "Y")</f>
        <v>12.4</v>
      </c>
      <c r="Z302" s="77">
        <f>COUNTIFS(Tracker!E:E, 1, Tracker!G:G, "&lt;="&amp;Daily!C302, Tracker!L:L, "N") / V302</f>
        <v>0.80851063829787229</v>
      </c>
      <c r="AA302" s="48">
        <f t="shared" si="142"/>
        <v>232</v>
      </c>
      <c r="AB302" s="26">
        <f t="shared" si="143"/>
        <v>186</v>
      </c>
      <c r="AC302" s="62">
        <f t="shared" si="144"/>
        <v>0.80172413793103448</v>
      </c>
      <c r="AD302" s="74">
        <f>AVERAGEIFS(Tracker!I:I, Tracker!E:E, 2, Tracker!G:G, "&lt;="&amp;Daily!C302, Tracker!J:J, "Y")</f>
        <v>25.77956989247312</v>
      </c>
      <c r="AE302" s="77">
        <f>COUNTIFS(Tracker!E:E, 2, Tracker!G:G, "&lt;="&amp;Daily!C302, Tracker!L:L, "N") / AA302</f>
        <v>0.61206896551724133</v>
      </c>
      <c r="AF302" s="48">
        <f t="shared" si="145"/>
        <v>42</v>
      </c>
      <c r="AG302" s="26">
        <f t="shared" si="146"/>
        <v>27</v>
      </c>
      <c r="AH302" s="62">
        <f t="shared" si="147"/>
        <v>0.6428571428571429</v>
      </c>
      <c r="AI302" s="74">
        <f>IFERROR(AVERAGEIFS(Tracker!I:I, Tracker!E:E, 3, Tracker!G:G, "&lt;="&amp;Daily!C302, Tracker!J:J, "Y"), 0)</f>
        <v>40.074074074074076</v>
      </c>
      <c r="AJ302" s="77">
        <f>IFERROR(COUNTIFS(Tracker!E:E, 3, Tracker!G:G, "&lt;="&amp;Daily!C302, Tracker!L:L, "N") / AF302,  0)</f>
        <v>0.35714285714285715</v>
      </c>
      <c r="AK302" s="48">
        <f t="shared" si="148"/>
        <v>368</v>
      </c>
      <c r="AL302" s="26">
        <f t="shared" si="149"/>
        <v>303</v>
      </c>
      <c r="AM302" s="62">
        <f t="shared" si="150"/>
        <v>0.82336956521739135</v>
      </c>
      <c r="AN302" s="74">
        <f>IFERROR(AVERAGEIFS(Tracker!I:I,  Tracker!G:G, "&lt;="&amp;Daily!C302, Tracker!J:J, "Y"), 0)</f>
        <v>23.079207920792079</v>
      </c>
      <c r="AO302" s="77">
        <f>IFERROR(COUNTIFS(Tracker!G:G, "&lt;="&amp;Daily!C302, Tracker!L:L, "N") / AK302,  0)</f>
        <v>0.63315217391304346</v>
      </c>
    </row>
    <row r="303" spans="1:41" x14ac:dyDescent="0.25">
      <c r="A303" s="119"/>
      <c r="B303" s="32">
        <f t="shared" si="134"/>
        <v>45518</v>
      </c>
      <c r="C303" s="27">
        <f t="shared" si="151"/>
        <v>45518</v>
      </c>
      <c r="D303" s="109" t="b">
        <f t="shared" ca="1" si="133"/>
        <v>1</v>
      </c>
      <c r="E303" s="51">
        <f t="shared" si="135"/>
        <v>0</v>
      </c>
      <c r="F303" s="48">
        <f>COUNTIFS(Tracker!G:G,Daily!C303, Tracker!J:J,"Y")</f>
        <v>0</v>
      </c>
      <c r="G303" s="26">
        <f>COUNTIFS(Tracker!G:G,Daily!C303, Tracker!J:J,"Y (with hints)")</f>
        <v>0</v>
      </c>
      <c r="H303" s="33">
        <f>COUNTIFS(Tracker!G:G,Daily!C303, Tracker!J:J,"N")</f>
        <v>0</v>
      </c>
      <c r="I303" s="54">
        <f t="shared" si="136"/>
        <v>0</v>
      </c>
      <c r="J303" s="26">
        <f>COUNTIFS(Tracker!G:G,Daily!C303, Tracker!J:J,"Y",Tracker!E:E,1)</f>
        <v>0</v>
      </c>
      <c r="K303" s="26">
        <f>COUNTIFS(Tracker!G:G,Daily!C303, Tracker!J:J,"Y (with hints)",Tracker!E:E,1)</f>
        <v>0</v>
      </c>
      <c r="L303" s="33">
        <f>COUNTIFS(Tracker!G:G,Daily!C303, Tracker!J:J,"N",Tracker!E:E,1)</f>
        <v>0</v>
      </c>
      <c r="M303" s="54">
        <f t="shared" si="137"/>
        <v>0</v>
      </c>
      <c r="N303" s="26">
        <f>COUNTIFS(Tracker!G:G,Daily!C303, Tracker!J:J,"Y",Tracker!E:E,2)</f>
        <v>0</v>
      </c>
      <c r="O303" s="26">
        <f>COUNTIFS(Tracker!G:G,Daily!C303, Tracker!J:J,"Y (with hints)",Tracker!E:E,2)</f>
        <v>0</v>
      </c>
      <c r="P303" s="33">
        <f>COUNTIFS(Tracker!G:G,Daily!C303, Tracker!J:J,"N",Tracker!E:E,2)</f>
        <v>0</v>
      </c>
      <c r="Q303" s="57">
        <f t="shared" si="138"/>
        <v>0</v>
      </c>
      <c r="R303" s="26">
        <f>COUNTIFS(Tracker!G:G,Daily!C303, Tracker!J:J,"Y",Tracker!E:E,3)</f>
        <v>0</v>
      </c>
      <c r="S303" s="26">
        <f>COUNTIFS(Tracker!G:G,Daily!C303, Tracker!J:J,"Y (with hints)",Tracker!E:E,3)</f>
        <v>0</v>
      </c>
      <c r="T303" s="33">
        <f>COUNTIFS(Tracker!G:G,Daily!C303, Tracker!J:J,"N",Tracker!E:E,3)</f>
        <v>0</v>
      </c>
      <c r="V303" s="48">
        <f t="shared" si="139"/>
        <v>94</v>
      </c>
      <c r="W303" s="26">
        <f t="shared" si="140"/>
        <v>90</v>
      </c>
      <c r="X303" s="62">
        <f t="shared" si="141"/>
        <v>0.95744680851063835</v>
      </c>
      <c r="Y303" s="74">
        <f>AVERAGEIFS(Tracker!I:I, Tracker!E:E, 1, Tracker!G:G, "&lt;="&amp;Daily!C303, Tracker!J:J, "Y")</f>
        <v>12.4</v>
      </c>
      <c r="Z303" s="77">
        <f>COUNTIFS(Tracker!E:E, 1, Tracker!G:G, "&lt;="&amp;Daily!C303, Tracker!L:L, "N") / V303</f>
        <v>0.80851063829787229</v>
      </c>
      <c r="AA303" s="48">
        <f t="shared" si="142"/>
        <v>232</v>
      </c>
      <c r="AB303" s="26">
        <f t="shared" si="143"/>
        <v>186</v>
      </c>
      <c r="AC303" s="62">
        <f t="shared" si="144"/>
        <v>0.80172413793103448</v>
      </c>
      <c r="AD303" s="74">
        <f>AVERAGEIFS(Tracker!I:I, Tracker!E:E, 2, Tracker!G:G, "&lt;="&amp;Daily!C303, Tracker!J:J, "Y")</f>
        <v>25.77956989247312</v>
      </c>
      <c r="AE303" s="77">
        <f>COUNTIFS(Tracker!E:E, 2, Tracker!G:G, "&lt;="&amp;Daily!C303, Tracker!L:L, "N") / AA303</f>
        <v>0.61206896551724133</v>
      </c>
      <c r="AF303" s="48">
        <f t="shared" si="145"/>
        <v>42</v>
      </c>
      <c r="AG303" s="26">
        <f t="shared" si="146"/>
        <v>27</v>
      </c>
      <c r="AH303" s="62">
        <f t="shared" si="147"/>
        <v>0.6428571428571429</v>
      </c>
      <c r="AI303" s="74">
        <f>IFERROR(AVERAGEIFS(Tracker!I:I, Tracker!E:E, 3, Tracker!G:G, "&lt;="&amp;Daily!C303, Tracker!J:J, "Y"), 0)</f>
        <v>40.074074074074076</v>
      </c>
      <c r="AJ303" s="77">
        <f>IFERROR(COUNTIFS(Tracker!E:E, 3, Tracker!G:G, "&lt;="&amp;Daily!C303, Tracker!L:L, "N") / AF303,  0)</f>
        <v>0.35714285714285715</v>
      </c>
      <c r="AK303" s="48">
        <f t="shared" si="148"/>
        <v>368</v>
      </c>
      <c r="AL303" s="26">
        <f t="shared" si="149"/>
        <v>303</v>
      </c>
      <c r="AM303" s="62">
        <f t="shared" si="150"/>
        <v>0.82336956521739135</v>
      </c>
      <c r="AN303" s="74">
        <f>IFERROR(AVERAGEIFS(Tracker!I:I,  Tracker!G:G, "&lt;="&amp;Daily!C303, Tracker!J:J, "Y"), 0)</f>
        <v>23.079207920792079</v>
      </c>
      <c r="AO303" s="77">
        <f>IFERROR(COUNTIFS(Tracker!G:G, "&lt;="&amp;Daily!C303, Tracker!L:L, "N") / AK303,  0)</f>
        <v>0.63315217391304346</v>
      </c>
    </row>
    <row r="304" spans="1:41" x14ac:dyDescent="0.25">
      <c r="A304" s="119"/>
      <c r="B304" s="32">
        <f t="shared" si="134"/>
        <v>45519</v>
      </c>
      <c r="C304" s="27">
        <f t="shared" si="151"/>
        <v>45519</v>
      </c>
      <c r="D304" s="109" t="b">
        <f t="shared" ca="1" si="133"/>
        <v>1</v>
      </c>
      <c r="E304" s="51">
        <f t="shared" si="135"/>
        <v>0</v>
      </c>
      <c r="F304" s="48">
        <f>COUNTIFS(Tracker!G:G,Daily!C304, Tracker!J:J,"Y")</f>
        <v>0</v>
      </c>
      <c r="G304" s="26">
        <f>COUNTIFS(Tracker!G:G,Daily!C304, Tracker!J:J,"Y (with hints)")</f>
        <v>0</v>
      </c>
      <c r="H304" s="33">
        <f>COUNTIFS(Tracker!G:G,Daily!C304, Tracker!J:J,"N")</f>
        <v>0</v>
      </c>
      <c r="I304" s="54">
        <f t="shared" si="136"/>
        <v>0</v>
      </c>
      <c r="J304" s="26">
        <f>COUNTIFS(Tracker!G:G,Daily!C304, Tracker!J:J,"Y",Tracker!E:E,1)</f>
        <v>0</v>
      </c>
      <c r="K304" s="26">
        <f>COUNTIFS(Tracker!G:G,Daily!C304, Tracker!J:J,"Y (with hints)",Tracker!E:E,1)</f>
        <v>0</v>
      </c>
      <c r="L304" s="33">
        <f>COUNTIFS(Tracker!G:G,Daily!C304, Tracker!J:J,"N",Tracker!E:E,1)</f>
        <v>0</v>
      </c>
      <c r="M304" s="54">
        <f t="shared" si="137"/>
        <v>0</v>
      </c>
      <c r="N304" s="26">
        <f>COUNTIFS(Tracker!G:G,Daily!C304, Tracker!J:J,"Y",Tracker!E:E,2)</f>
        <v>0</v>
      </c>
      <c r="O304" s="26">
        <f>COUNTIFS(Tracker!G:G,Daily!C304, Tracker!J:J,"Y (with hints)",Tracker!E:E,2)</f>
        <v>0</v>
      </c>
      <c r="P304" s="33">
        <f>COUNTIFS(Tracker!G:G,Daily!C304, Tracker!J:J,"N",Tracker!E:E,2)</f>
        <v>0</v>
      </c>
      <c r="Q304" s="57">
        <f t="shared" si="138"/>
        <v>0</v>
      </c>
      <c r="R304" s="26">
        <f>COUNTIFS(Tracker!G:G,Daily!C304, Tracker!J:J,"Y",Tracker!E:E,3)</f>
        <v>0</v>
      </c>
      <c r="S304" s="26">
        <f>COUNTIFS(Tracker!G:G,Daily!C304, Tracker!J:J,"Y (with hints)",Tracker!E:E,3)</f>
        <v>0</v>
      </c>
      <c r="T304" s="33">
        <f>COUNTIFS(Tracker!G:G,Daily!C304, Tracker!J:J,"N",Tracker!E:E,3)</f>
        <v>0</v>
      </c>
      <c r="V304" s="48">
        <f t="shared" si="139"/>
        <v>94</v>
      </c>
      <c r="W304" s="26">
        <f t="shared" si="140"/>
        <v>90</v>
      </c>
      <c r="X304" s="62">
        <f t="shared" si="141"/>
        <v>0.95744680851063835</v>
      </c>
      <c r="Y304" s="74">
        <f>AVERAGEIFS(Tracker!I:I, Tracker!E:E, 1, Tracker!G:G, "&lt;="&amp;Daily!C304, Tracker!J:J, "Y")</f>
        <v>12.4</v>
      </c>
      <c r="Z304" s="77">
        <f>COUNTIFS(Tracker!E:E, 1, Tracker!G:G, "&lt;="&amp;Daily!C304, Tracker!L:L, "N") / V304</f>
        <v>0.80851063829787229</v>
      </c>
      <c r="AA304" s="48">
        <f t="shared" si="142"/>
        <v>232</v>
      </c>
      <c r="AB304" s="26">
        <f t="shared" si="143"/>
        <v>186</v>
      </c>
      <c r="AC304" s="62">
        <f t="shared" si="144"/>
        <v>0.80172413793103448</v>
      </c>
      <c r="AD304" s="74">
        <f>AVERAGEIFS(Tracker!I:I, Tracker!E:E, 2, Tracker!G:G, "&lt;="&amp;Daily!C304, Tracker!J:J, "Y")</f>
        <v>25.77956989247312</v>
      </c>
      <c r="AE304" s="77">
        <f>COUNTIFS(Tracker!E:E, 2, Tracker!G:G, "&lt;="&amp;Daily!C304, Tracker!L:L, "N") / AA304</f>
        <v>0.61206896551724133</v>
      </c>
      <c r="AF304" s="48">
        <f t="shared" si="145"/>
        <v>42</v>
      </c>
      <c r="AG304" s="26">
        <f t="shared" si="146"/>
        <v>27</v>
      </c>
      <c r="AH304" s="62">
        <f t="shared" si="147"/>
        <v>0.6428571428571429</v>
      </c>
      <c r="AI304" s="74">
        <f>IFERROR(AVERAGEIFS(Tracker!I:I, Tracker!E:E, 3, Tracker!G:G, "&lt;="&amp;Daily!C304, Tracker!J:J, "Y"), 0)</f>
        <v>40.074074074074076</v>
      </c>
      <c r="AJ304" s="77">
        <f>IFERROR(COUNTIFS(Tracker!E:E, 3, Tracker!G:G, "&lt;="&amp;Daily!C304, Tracker!L:L, "N") / AF304,  0)</f>
        <v>0.35714285714285715</v>
      </c>
      <c r="AK304" s="48">
        <f t="shared" si="148"/>
        <v>368</v>
      </c>
      <c r="AL304" s="26">
        <f t="shared" si="149"/>
        <v>303</v>
      </c>
      <c r="AM304" s="62">
        <f t="shared" si="150"/>
        <v>0.82336956521739135</v>
      </c>
      <c r="AN304" s="74">
        <f>IFERROR(AVERAGEIFS(Tracker!I:I,  Tracker!G:G, "&lt;="&amp;Daily!C304, Tracker!J:J, "Y"), 0)</f>
        <v>23.079207920792079</v>
      </c>
      <c r="AO304" s="77">
        <f>IFERROR(COUNTIFS(Tracker!G:G, "&lt;="&amp;Daily!C304, Tracker!L:L, "N") / AK304,  0)</f>
        <v>0.63315217391304346</v>
      </c>
    </row>
    <row r="305" spans="1:41" x14ac:dyDescent="0.25">
      <c r="A305" s="119"/>
      <c r="B305" s="32">
        <f t="shared" si="134"/>
        <v>45520</v>
      </c>
      <c r="C305" s="27">
        <f t="shared" si="151"/>
        <v>45520</v>
      </c>
      <c r="D305" s="109" t="b">
        <f t="shared" ca="1" si="133"/>
        <v>1</v>
      </c>
      <c r="E305" s="51">
        <f t="shared" si="135"/>
        <v>0</v>
      </c>
      <c r="F305" s="48">
        <f>COUNTIFS(Tracker!G:G,Daily!C305, Tracker!J:J,"Y")</f>
        <v>0</v>
      </c>
      <c r="G305" s="26">
        <f>COUNTIFS(Tracker!G:G,Daily!C305, Tracker!J:J,"Y (with hints)")</f>
        <v>0</v>
      </c>
      <c r="H305" s="33">
        <f>COUNTIFS(Tracker!G:G,Daily!C305, Tracker!J:J,"N")</f>
        <v>0</v>
      </c>
      <c r="I305" s="54">
        <f t="shared" si="136"/>
        <v>0</v>
      </c>
      <c r="J305" s="26">
        <f>COUNTIFS(Tracker!G:G,Daily!C305, Tracker!J:J,"Y",Tracker!E:E,1)</f>
        <v>0</v>
      </c>
      <c r="K305" s="26">
        <f>COUNTIFS(Tracker!G:G,Daily!C305, Tracker!J:J,"Y (with hints)",Tracker!E:E,1)</f>
        <v>0</v>
      </c>
      <c r="L305" s="33">
        <f>COUNTIFS(Tracker!G:G,Daily!C305, Tracker!J:J,"N",Tracker!E:E,1)</f>
        <v>0</v>
      </c>
      <c r="M305" s="54">
        <f t="shared" si="137"/>
        <v>0</v>
      </c>
      <c r="N305" s="26">
        <f>COUNTIFS(Tracker!G:G,Daily!C305, Tracker!J:J,"Y",Tracker!E:E,2)</f>
        <v>0</v>
      </c>
      <c r="O305" s="26">
        <f>COUNTIFS(Tracker!G:G,Daily!C305, Tracker!J:J,"Y (with hints)",Tracker!E:E,2)</f>
        <v>0</v>
      </c>
      <c r="P305" s="33">
        <f>COUNTIFS(Tracker!G:G,Daily!C305, Tracker!J:J,"N",Tracker!E:E,2)</f>
        <v>0</v>
      </c>
      <c r="Q305" s="57">
        <f t="shared" si="138"/>
        <v>0</v>
      </c>
      <c r="R305" s="26">
        <f>COUNTIFS(Tracker!G:G,Daily!C305, Tracker!J:J,"Y",Tracker!E:E,3)</f>
        <v>0</v>
      </c>
      <c r="S305" s="26">
        <f>COUNTIFS(Tracker!G:G,Daily!C305, Tracker!J:J,"Y (with hints)",Tracker!E:E,3)</f>
        <v>0</v>
      </c>
      <c r="T305" s="33">
        <f>COUNTIFS(Tracker!G:G,Daily!C305, Tracker!J:J,"N",Tracker!E:E,3)</f>
        <v>0</v>
      </c>
      <c r="V305" s="48">
        <f t="shared" si="139"/>
        <v>94</v>
      </c>
      <c r="W305" s="26">
        <f t="shared" si="140"/>
        <v>90</v>
      </c>
      <c r="X305" s="62">
        <f t="shared" si="141"/>
        <v>0.95744680851063835</v>
      </c>
      <c r="Y305" s="74">
        <f>AVERAGEIFS(Tracker!I:I, Tracker!E:E, 1, Tracker!G:G, "&lt;="&amp;Daily!C305, Tracker!J:J, "Y")</f>
        <v>12.4</v>
      </c>
      <c r="Z305" s="77">
        <f>COUNTIFS(Tracker!E:E, 1, Tracker!G:G, "&lt;="&amp;Daily!C305, Tracker!L:L, "N") / V305</f>
        <v>0.80851063829787229</v>
      </c>
      <c r="AA305" s="48">
        <f t="shared" si="142"/>
        <v>232</v>
      </c>
      <c r="AB305" s="26">
        <f t="shared" si="143"/>
        <v>186</v>
      </c>
      <c r="AC305" s="62">
        <f t="shared" si="144"/>
        <v>0.80172413793103448</v>
      </c>
      <c r="AD305" s="74">
        <f>AVERAGEIFS(Tracker!I:I, Tracker!E:E, 2, Tracker!G:G, "&lt;="&amp;Daily!C305, Tracker!J:J, "Y")</f>
        <v>25.77956989247312</v>
      </c>
      <c r="AE305" s="77">
        <f>COUNTIFS(Tracker!E:E, 2, Tracker!G:G, "&lt;="&amp;Daily!C305, Tracker!L:L, "N") / AA305</f>
        <v>0.61206896551724133</v>
      </c>
      <c r="AF305" s="48">
        <f t="shared" si="145"/>
        <v>42</v>
      </c>
      <c r="AG305" s="26">
        <f t="shared" si="146"/>
        <v>27</v>
      </c>
      <c r="AH305" s="62">
        <f t="shared" si="147"/>
        <v>0.6428571428571429</v>
      </c>
      <c r="AI305" s="74">
        <f>IFERROR(AVERAGEIFS(Tracker!I:I, Tracker!E:E, 3, Tracker!G:G, "&lt;="&amp;Daily!C305, Tracker!J:J, "Y"), 0)</f>
        <v>40.074074074074076</v>
      </c>
      <c r="AJ305" s="77">
        <f>IFERROR(COUNTIFS(Tracker!E:E, 3, Tracker!G:G, "&lt;="&amp;Daily!C305, Tracker!L:L, "N") / AF305,  0)</f>
        <v>0.35714285714285715</v>
      </c>
      <c r="AK305" s="48">
        <f t="shared" si="148"/>
        <v>368</v>
      </c>
      <c r="AL305" s="26">
        <f t="shared" si="149"/>
        <v>303</v>
      </c>
      <c r="AM305" s="62">
        <f t="shared" si="150"/>
        <v>0.82336956521739135</v>
      </c>
      <c r="AN305" s="74">
        <f>IFERROR(AVERAGEIFS(Tracker!I:I,  Tracker!G:G, "&lt;="&amp;Daily!C305, Tracker!J:J, "Y"), 0)</f>
        <v>23.079207920792079</v>
      </c>
      <c r="AO305" s="77">
        <f>IFERROR(COUNTIFS(Tracker!G:G, "&lt;="&amp;Daily!C305, Tracker!L:L, "N") / AK305,  0)</f>
        <v>0.63315217391304346</v>
      </c>
    </row>
    <row r="306" spans="1:41" x14ac:dyDescent="0.25">
      <c r="A306" s="119"/>
      <c r="B306" s="32">
        <f t="shared" si="134"/>
        <v>45521</v>
      </c>
      <c r="C306" s="27">
        <f t="shared" si="151"/>
        <v>45521</v>
      </c>
      <c r="D306" s="109" t="b">
        <f t="shared" ca="1" si="133"/>
        <v>1</v>
      </c>
      <c r="E306" s="51">
        <f t="shared" si="135"/>
        <v>0</v>
      </c>
      <c r="F306" s="48">
        <f>COUNTIFS(Tracker!G:G,Daily!C306, Tracker!J:J,"Y")</f>
        <v>0</v>
      </c>
      <c r="G306" s="26">
        <f>COUNTIFS(Tracker!G:G,Daily!C306, Tracker!J:J,"Y (with hints)")</f>
        <v>0</v>
      </c>
      <c r="H306" s="33">
        <f>COUNTIFS(Tracker!G:G,Daily!C306, Tracker!J:J,"N")</f>
        <v>0</v>
      </c>
      <c r="I306" s="54">
        <f t="shared" si="136"/>
        <v>0</v>
      </c>
      <c r="J306" s="26">
        <f>COUNTIFS(Tracker!G:G,Daily!C306, Tracker!J:J,"Y",Tracker!E:E,1)</f>
        <v>0</v>
      </c>
      <c r="K306" s="26">
        <f>COUNTIFS(Tracker!G:G,Daily!C306, Tracker!J:J,"Y (with hints)",Tracker!E:E,1)</f>
        <v>0</v>
      </c>
      <c r="L306" s="33">
        <f>COUNTIFS(Tracker!G:G,Daily!C306, Tracker!J:J,"N",Tracker!E:E,1)</f>
        <v>0</v>
      </c>
      <c r="M306" s="54">
        <f t="shared" si="137"/>
        <v>0</v>
      </c>
      <c r="N306" s="26">
        <f>COUNTIFS(Tracker!G:G,Daily!C306, Tracker!J:J,"Y",Tracker!E:E,2)</f>
        <v>0</v>
      </c>
      <c r="O306" s="26">
        <f>COUNTIFS(Tracker!G:G,Daily!C306, Tracker!J:J,"Y (with hints)",Tracker!E:E,2)</f>
        <v>0</v>
      </c>
      <c r="P306" s="33">
        <f>COUNTIFS(Tracker!G:G,Daily!C306, Tracker!J:J,"N",Tracker!E:E,2)</f>
        <v>0</v>
      </c>
      <c r="Q306" s="57">
        <f t="shared" si="138"/>
        <v>0</v>
      </c>
      <c r="R306" s="26">
        <f>COUNTIFS(Tracker!G:G,Daily!C306, Tracker!J:J,"Y",Tracker!E:E,3)</f>
        <v>0</v>
      </c>
      <c r="S306" s="26">
        <f>COUNTIFS(Tracker!G:G,Daily!C306, Tracker!J:J,"Y (with hints)",Tracker!E:E,3)</f>
        <v>0</v>
      </c>
      <c r="T306" s="33">
        <f>COUNTIFS(Tracker!G:G,Daily!C306, Tracker!J:J,"N",Tracker!E:E,3)</f>
        <v>0</v>
      </c>
      <c r="V306" s="48">
        <f t="shared" si="139"/>
        <v>94</v>
      </c>
      <c r="W306" s="26">
        <f t="shared" si="140"/>
        <v>90</v>
      </c>
      <c r="X306" s="62">
        <f t="shared" si="141"/>
        <v>0.95744680851063835</v>
      </c>
      <c r="Y306" s="74">
        <f>AVERAGEIFS(Tracker!I:I, Tracker!E:E, 1, Tracker!G:G, "&lt;="&amp;Daily!C306, Tracker!J:J, "Y")</f>
        <v>12.4</v>
      </c>
      <c r="Z306" s="77">
        <f>COUNTIFS(Tracker!E:E, 1, Tracker!G:G, "&lt;="&amp;Daily!C306, Tracker!L:L, "N") / V306</f>
        <v>0.80851063829787229</v>
      </c>
      <c r="AA306" s="48">
        <f t="shared" si="142"/>
        <v>232</v>
      </c>
      <c r="AB306" s="26">
        <f t="shared" si="143"/>
        <v>186</v>
      </c>
      <c r="AC306" s="62">
        <f t="shared" si="144"/>
        <v>0.80172413793103448</v>
      </c>
      <c r="AD306" s="74">
        <f>AVERAGEIFS(Tracker!I:I, Tracker!E:E, 2, Tracker!G:G, "&lt;="&amp;Daily!C306, Tracker!J:J, "Y")</f>
        <v>25.77956989247312</v>
      </c>
      <c r="AE306" s="77">
        <f>COUNTIFS(Tracker!E:E, 2, Tracker!G:G, "&lt;="&amp;Daily!C306, Tracker!L:L, "N") / AA306</f>
        <v>0.61206896551724133</v>
      </c>
      <c r="AF306" s="48">
        <f t="shared" si="145"/>
        <v>42</v>
      </c>
      <c r="AG306" s="26">
        <f t="shared" si="146"/>
        <v>27</v>
      </c>
      <c r="AH306" s="62">
        <f t="shared" si="147"/>
        <v>0.6428571428571429</v>
      </c>
      <c r="AI306" s="74">
        <f>IFERROR(AVERAGEIFS(Tracker!I:I, Tracker!E:E, 3, Tracker!G:G, "&lt;="&amp;Daily!C306, Tracker!J:J, "Y"), 0)</f>
        <v>40.074074074074076</v>
      </c>
      <c r="AJ306" s="77">
        <f>IFERROR(COUNTIFS(Tracker!E:E, 3, Tracker!G:G, "&lt;="&amp;Daily!C306, Tracker!L:L, "N") / AF306,  0)</f>
        <v>0.35714285714285715</v>
      </c>
      <c r="AK306" s="48">
        <f t="shared" si="148"/>
        <v>368</v>
      </c>
      <c r="AL306" s="26">
        <f t="shared" si="149"/>
        <v>303</v>
      </c>
      <c r="AM306" s="62">
        <f t="shared" si="150"/>
        <v>0.82336956521739135</v>
      </c>
      <c r="AN306" s="74">
        <f>IFERROR(AVERAGEIFS(Tracker!I:I,  Tracker!G:G, "&lt;="&amp;Daily!C306, Tracker!J:J, "Y"), 0)</f>
        <v>23.079207920792079</v>
      </c>
      <c r="AO306" s="77">
        <f>IFERROR(COUNTIFS(Tracker!G:G, "&lt;="&amp;Daily!C306, Tracker!L:L, "N") / AK306,  0)</f>
        <v>0.63315217391304346</v>
      </c>
    </row>
    <row r="307" spans="1:41" ht="15.75" thickBot="1" x14ac:dyDescent="0.3">
      <c r="A307" s="120"/>
      <c r="B307" s="34">
        <f t="shared" si="134"/>
        <v>45522</v>
      </c>
      <c r="C307" s="35">
        <f t="shared" si="151"/>
        <v>45522</v>
      </c>
      <c r="D307" s="110" t="b">
        <f t="shared" ca="1" si="133"/>
        <v>1</v>
      </c>
      <c r="E307" s="52">
        <f t="shared" si="135"/>
        <v>0</v>
      </c>
      <c r="F307" s="39">
        <f>COUNTIFS(Tracker!G:G,Daily!C307, Tracker!J:J,"Y")</f>
        <v>0</v>
      </c>
      <c r="G307" s="36">
        <f>COUNTIFS(Tracker!G:G,Daily!C307, Tracker!J:J,"Y (with hints)")</f>
        <v>0</v>
      </c>
      <c r="H307" s="37">
        <f>COUNTIFS(Tracker!G:G,Daily!C307, Tracker!J:J,"N")</f>
        <v>0</v>
      </c>
      <c r="I307" s="55">
        <f t="shared" si="136"/>
        <v>0</v>
      </c>
      <c r="J307" s="36">
        <f>COUNTIFS(Tracker!G:G,Daily!C307, Tracker!J:J,"Y",Tracker!E:E,1)</f>
        <v>0</v>
      </c>
      <c r="K307" s="36">
        <f>COUNTIFS(Tracker!G:G,Daily!C307, Tracker!J:J,"Y (with hints)",Tracker!E:E,1)</f>
        <v>0</v>
      </c>
      <c r="L307" s="37">
        <f>COUNTIFS(Tracker!G:G,Daily!C307, Tracker!J:J,"N",Tracker!E:E,1)</f>
        <v>0</v>
      </c>
      <c r="M307" s="55">
        <f t="shared" si="137"/>
        <v>0</v>
      </c>
      <c r="N307" s="36">
        <f>COUNTIFS(Tracker!G:G,Daily!C307, Tracker!J:J,"Y",Tracker!E:E,2)</f>
        <v>0</v>
      </c>
      <c r="O307" s="36">
        <f>COUNTIFS(Tracker!G:G,Daily!C307, Tracker!J:J,"Y (with hints)",Tracker!E:E,2)</f>
        <v>0</v>
      </c>
      <c r="P307" s="37">
        <f>COUNTIFS(Tracker!G:G,Daily!C307, Tracker!J:J,"N",Tracker!E:E,2)</f>
        <v>0</v>
      </c>
      <c r="Q307" s="58">
        <f t="shared" si="138"/>
        <v>0</v>
      </c>
      <c r="R307" s="36">
        <f>COUNTIFS(Tracker!G:G,Daily!C307, Tracker!J:J,"Y",Tracker!E:E,3)</f>
        <v>0</v>
      </c>
      <c r="S307" s="36">
        <f>COUNTIFS(Tracker!G:G,Daily!C307, Tracker!J:J,"Y (with hints)",Tracker!E:E,3)</f>
        <v>0</v>
      </c>
      <c r="T307" s="37">
        <f>COUNTIFS(Tracker!G:G,Daily!C307, Tracker!J:J,"N",Tracker!E:E,3)</f>
        <v>0</v>
      </c>
      <c r="V307" s="39">
        <f t="shared" si="139"/>
        <v>94</v>
      </c>
      <c r="W307" s="36">
        <f t="shared" si="140"/>
        <v>90</v>
      </c>
      <c r="X307" s="64">
        <f t="shared" si="141"/>
        <v>0.95744680851063835</v>
      </c>
      <c r="Y307" s="78">
        <f>AVERAGEIFS(Tracker!I:I, Tracker!E:E, 1, Tracker!G:G, "&lt;="&amp;Daily!C307, Tracker!J:J, "Y")</f>
        <v>12.4</v>
      </c>
      <c r="Z307" s="79">
        <f>COUNTIFS(Tracker!E:E, 1, Tracker!G:G, "&lt;="&amp;Daily!C307, Tracker!L:L, "N") / V307</f>
        <v>0.80851063829787229</v>
      </c>
      <c r="AA307" s="39">
        <f t="shared" si="142"/>
        <v>232</v>
      </c>
      <c r="AB307" s="36">
        <f t="shared" si="143"/>
        <v>186</v>
      </c>
      <c r="AC307" s="64">
        <f t="shared" si="144"/>
        <v>0.80172413793103448</v>
      </c>
      <c r="AD307" s="78">
        <f>AVERAGEIFS(Tracker!I:I, Tracker!E:E, 2, Tracker!G:G, "&lt;="&amp;Daily!C307, Tracker!J:J, "Y")</f>
        <v>25.77956989247312</v>
      </c>
      <c r="AE307" s="79">
        <f>COUNTIFS(Tracker!E:E, 2, Tracker!G:G, "&lt;="&amp;Daily!C307, Tracker!L:L, "N") / AA307</f>
        <v>0.61206896551724133</v>
      </c>
      <c r="AF307" s="39">
        <f t="shared" si="145"/>
        <v>42</v>
      </c>
      <c r="AG307" s="36">
        <f t="shared" si="146"/>
        <v>27</v>
      </c>
      <c r="AH307" s="64">
        <f t="shared" si="147"/>
        <v>0.6428571428571429</v>
      </c>
      <c r="AI307" s="78">
        <f>IFERROR(AVERAGEIFS(Tracker!I:I, Tracker!E:E, 3, Tracker!G:G, "&lt;="&amp;Daily!C307, Tracker!J:J, "Y"), 0)</f>
        <v>40.074074074074076</v>
      </c>
      <c r="AJ307" s="79">
        <f>IFERROR(COUNTIFS(Tracker!E:E, 3, Tracker!G:G, "&lt;="&amp;Daily!C307, Tracker!L:L, "N") / AF307,  0)</f>
        <v>0.35714285714285715</v>
      </c>
      <c r="AK307" s="39">
        <f t="shared" si="148"/>
        <v>368</v>
      </c>
      <c r="AL307" s="36">
        <f t="shared" si="149"/>
        <v>303</v>
      </c>
      <c r="AM307" s="64">
        <f t="shared" si="150"/>
        <v>0.82336956521739135</v>
      </c>
      <c r="AN307" s="78">
        <f>IFERROR(AVERAGEIFS(Tracker!I:I,  Tracker!G:G, "&lt;="&amp;Daily!C307, Tracker!J:J, "Y"), 0)</f>
        <v>23.079207920792079</v>
      </c>
      <c r="AO307" s="79">
        <f>IFERROR(COUNTIFS(Tracker!G:G, "&lt;="&amp;Daily!C307, Tracker!L:L, "N") / AK307,  0)</f>
        <v>0.63315217391304346</v>
      </c>
    </row>
    <row r="308" spans="1:41" x14ac:dyDescent="0.25">
      <c r="A308" s="118">
        <f>A301+1</f>
        <v>44</v>
      </c>
      <c r="B308" s="28">
        <f t="shared" si="134"/>
        <v>45523</v>
      </c>
      <c r="C308" s="29">
        <f t="shared" si="151"/>
        <v>45523</v>
      </c>
      <c r="D308" s="108" t="b">
        <f t="shared" ca="1" si="133"/>
        <v>1</v>
      </c>
      <c r="E308" s="50">
        <f t="shared" si="135"/>
        <v>0</v>
      </c>
      <c r="F308" s="38">
        <f>COUNTIFS(Tracker!G:G,Daily!C308, Tracker!J:J,"Y")</f>
        <v>0</v>
      </c>
      <c r="G308" s="30">
        <f>COUNTIFS(Tracker!G:G,Daily!C308, Tracker!J:J,"Y (with hints)")</f>
        <v>0</v>
      </c>
      <c r="H308" s="31">
        <f>COUNTIFS(Tracker!G:G,Daily!C308, Tracker!J:J,"N")</f>
        <v>0</v>
      </c>
      <c r="I308" s="53">
        <f t="shared" si="136"/>
        <v>0</v>
      </c>
      <c r="J308" s="30">
        <f>COUNTIFS(Tracker!G:G,Daily!C308, Tracker!J:J,"Y",Tracker!E:E,1)</f>
        <v>0</v>
      </c>
      <c r="K308" s="30">
        <f>COUNTIFS(Tracker!G:G,Daily!C308, Tracker!J:J,"Y (with hints)",Tracker!E:E,1)</f>
        <v>0</v>
      </c>
      <c r="L308" s="31">
        <f>COUNTIFS(Tracker!G:G,Daily!C308, Tracker!J:J,"N",Tracker!E:E,1)</f>
        <v>0</v>
      </c>
      <c r="M308" s="53">
        <f t="shared" si="137"/>
        <v>0</v>
      </c>
      <c r="N308" s="30">
        <f>COUNTIFS(Tracker!G:G,Daily!C308, Tracker!J:J,"Y",Tracker!E:E,2)</f>
        <v>0</v>
      </c>
      <c r="O308" s="30">
        <f>COUNTIFS(Tracker!G:G,Daily!C308, Tracker!J:J,"Y (with hints)",Tracker!E:E,2)</f>
        <v>0</v>
      </c>
      <c r="P308" s="31">
        <f>COUNTIFS(Tracker!G:G,Daily!C308, Tracker!J:J,"N",Tracker!E:E,2)</f>
        <v>0</v>
      </c>
      <c r="Q308" s="56">
        <f t="shared" si="138"/>
        <v>0</v>
      </c>
      <c r="R308" s="30">
        <f>COUNTIFS(Tracker!G:G,Daily!C308, Tracker!J:J,"Y",Tracker!E:E,3)</f>
        <v>0</v>
      </c>
      <c r="S308" s="30">
        <f>COUNTIFS(Tracker!G:G,Daily!C308, Tracker!J:J,"Y (with hints)",Tracker!E:E,3)</f>
        <v>0</v>
      </c>
      <c r="T308" s="31">
        <f>COUNTIFS(Tracker!G:G,Daily!C308, Tracker!J:J,"N",Tracker!E:E,3)</f>
        <v>0</v>
      </c>
      <c r="V308" s="38">
        <f t="shared" si="139"/>
        <v>94</v>
      </c>
      <c r="W308" s="30">
        <f t="shared" si="140"/>
        <v>90</v>
      </c>
      <c r="X308" s="73">
        <f t="shared" si="141"/>
        <v>0.95744680851063835</v>
      </c>
      <c r="Y308" s="75">
        <f>AVERAGEIFS(Tracker!I:I, Tracker!E:E, 1, Tracker!G:G, "&lt;="&amp;Daily!C308, Tracker!J:J, "Y")</f>
        <v>12.4</v>
      </c>
      <c r="Z308" s="76">
        <f>COUNTIFS(Tracker!E:E, 1, Tracker!G:G, "&lt;="&amp;Daily!C308, Tracker!L:L, "N") / V308</f>
        <v>0.80851063829787229</v>
      </c>
      <c r="AA308" s="38">
        <f t="shared" si="142"/>
        <v>232</v>
      </c>
      <c r="AB308" s="30">
        <f t="shared" si="143"/>
        <v>186</v>
      </c>
      <c r="AC308" s="73">
        <f t="shared" si="144"/>
        <v>0.80172413793103448</v>
      </c>
      <c r="AD308" s="75">
        <f>AVERAGEIFS(Tracker!I:I, Tracker!E:E, 2, Tracker!G:G, "&lt;="&amp;Daily!C308, Tracker!J:J, "Y")</f>
        <v>25.77956989247312</v>
      </c>
      <c r="AE308" s="76">
        <f>COUNTIFS(Tracker!E:E, 2, Tracker!G:G, "&lt;="&amp;Daily!C308, Tracker!L:L, "N") / AA308</f>
        <v>0.61206896551724133</v>
      </c>
      <c r="AF308" s="38">
        <f t="shared" si="145"/>
        <v>42</v>
      </c>
      <c r="AG308" s="30">
        <f t="shared" si="146"/>
        <v>27</v>
      </c>
      <c r="AH308" s="73">
        <f t="shared" si="147"/>
        <v>0.6428571428571429</v>
      </c>
      <c r="AI308" s="75">
        <f>IFERROR(AVERAGEIFS(Tracker!I:I, Tracker!E:E, 3, Tracker!G:G, "&lt;="&amp;Daily!C308, Tracker!J:J, "Y"), 0)</f>
        <v>40.074074074074076</v>
      </c>
      <c r="AJ308" s="76">
        <f>IFERROR(COUNTIFS(Tracker!E:E, 3, Tracker!G:G, "&lt;="&amp;Daily!C308, Tracker!L:L, "N") / AF308,  0)</f>
        <v>0.35714285714285715</v>
      </c>
      <c r="AK308" s="38">
        <f t="shared" si="148"/>
        <v>368</v>
      </c>
      <c r="AL308" s="30">
        <f t="shared" si="149"/>
        <v>303</v>
      </c>
      <c r="AM308" s="73">
        <f t="shared" si="150"/>
        <v>0.82336956521739135</v>
      </c>
      <c r="AN308" s="75">
        <f>IFERROR(AVERAGEIFS(Tracker!I:I,  Tracker!G:G, "&lt;="&amp;Daily!C308, Tracker!J:J, "Y"), 0)</f>
        <v>23.079207920792079</v>
      </c>
      <c r="AO308" s="76">
        <f>IFERROR(COUNTIFS(Tracker!G:G, "&lt;="&amp;Daily!C308, Tracker!L:L, "N") / AK308,  0)</f>
        <v>0.63315217391304346</v>
      </c>
    </row>
    <row r="309" spans="1:41" x14ac:dyDescent="0.25">
      <c r="A309" s="119"/>
      <c r="B309" s="32">
        <f t="shared" si="134"/>
        <v>45524</v>
      </c>
      <c r="C309" s="27">
        <f t="shared" si="151"/>
        <v>45524</v>
      </c>
      <c r="D309" s="109" t="b">
        <f t="shared" ca="1" si="133"/>
        <v>1</v>
      </c>
      <c r="E309" s="51">
        <f t="shared" si="135"/>
        <v>0</v>
      </c>
      <c r="F309" s="48">
        <f>COUNTIFS(Tracker!G:G,Daily!C309, Tracker!J:J,"Y")</f>
        <v>0</v>
      </c>
      <c r="G309" s="26">
        <f>COUNTIFS(Tracker!G:G,Daily!C309, Tracker!J:J,"Y (with hints)")</f>
        <v>0</v>
      </c>
      <c r="H309" s="33">
        <f>COUNTIFS(Tracker!G:G,Daily!C309, Tracker!J:J,"N")</f>
        <v>0</v>
      </c>
      <c r="I309" s="54">
        <f t="shared" si="136"/>
        <v>0</v>
      </c>
      <c r="J309" s="26">
        <f>COUNTIFS(Tracker!G:G,Daily!C309, Tracker!J:J,"Y",Tracker!E:E,1)</f>
        <v>0</v>
      </c>
      <c r="K309" s="26">
        <f>COUNTIFS(Tracker!G:G,Daily!C309, Tracker!J:J,"Y (with hints)",Tracker!E:E,1)</f>
        <v>0</v>
      </c>
      <c r="L309" s="33">
        <f>COUNTIFS(Tracker!G:G,Daily!C309, Tracker!J:J,"N",Tracker!E:E,1)</f>
        <v>0</v>
      </c>
      <c r="M309" s="54">
        <f t="shared" si="137"/>
        <v>0</v>
      </c>
      <c r="N309" s="26">
        <f>COUNTIFS(Tracker!G:G,Daily!C309, Tracker!J:J,"Y",Tracker!E:E,2)</f>
        <v>0</v>
      </c>
      <c r="O309" s="26">
        <f>COUNTIFS(Tracker!G:G,Daily!C309, Tracker!J:J,"Y (with hints)",Tracker!E:E,2)</f>
        <v>0</v>
      </c>
      <c r="P309" s="33">
        <f>COUNTIFS(Tracker!G:G,Daily!C309, Tracker!J:J,"N",Tracker!E:E,2)</f>
        <v>0</v>
      </c>
      <c r="Q309" s="57">
        <f t="shared" si="138"/>
        <v>0</v>
      </c>
      <c r="R309" s="26">
        <f>COUNTIFS(Tracker!G:G,Daily!C309, Tracker!J:J,"Y",Tracker!E:E,3)</f>
        <v>0</v>
      </c>
      <c r="S309" s="26">
        <f>COUNTIFS(Tracker!G:G,Daily!C309, Tracker!J:J,"Y (with hints)",Tracker!E:E,3)</f>
        <v>0</v>
      </c>
      <c r="T309" s="33">
        <f>COUNTIFS(Tracker!G:G,Daily!C309, Tracker!J:J,"N",Tracker!E:E,3)</f>
        <v>0</v>
      </c>
      <c r="V309" s="48">
        <f t="shared" si="139"/>
        <v>94</v>
      </c>
      <c r="W309" s="26">
        <f t="shared" si="140"/>
        <v>90</v>
      </c>
      <c r="X309" s="62">
        <f t="shared" si="141"/>
        <v>0.95744680851063835</v>
      </c>
      <c r="Y309" s="74">
        <f>AVERAGEIFS(Tracker!I:I, Tracker!E:E, 1, Tracker!G:G, "&lt;="&amp;Daily!C309, Tracker!J:J, "Y")</f>
        <v>12.4</v>
      </c>
      <c r="Z309" s="77">
        <f>COUNTIFS(Tracker!E:E, 1, Tracker!G:G, "&lt;="&amp;Daily!C309, Tracker!L:L, "N") / V309</f>
        <v>0.80851063829787229</v>
      </c>
      <c r="AA309" s="48">
        <f t="shared" si="142"/>
        <v>232</v>
      </c>
      <c r="AB309" s="26">
        <f t="shared" si="143"/>
        <v>186</v>
      </c>
      <c r="AC309" s="62">
        <f t="shared" si="144"/>
        <v>0.80172413793103448</v>
      </c>
      <c r="AD309" s="74">
        <f>AVERAGEIFS(Tracker!I:I, Tracker!E:E, 2, Tracker!G:G, "&lt;="&amp;Daily!C309, Tracker!J:J, "Y")</f>
        <v>25.77956989247312</v>
      </c>
      <c r="AE309" s="77">
        <f>COUNTIFS(Tracker!E:E, 2, Tracker!G:G, "&lt;="&amp;Daily!C309, Tracker!L:L, "N") / AA309</f>
        <v>0.61206896551724133</v>
      </c>
      <c r="AF309" s="48">
        <f t="shared" si="145"/>
        <v>42</v>
      </c>
      <c r="AG309" s="26">
        <f t="shared" si="146"/>
        <v>27</v>
      </c>
      <c r="AH309" s="62">
        <f t="shared" si="147"/>
        <v>0.6428571428571429</v>
      </c>
      <c r="AI309" s="74">
        <f>IFERROR(AVERAGEIFS(Tracker!I:I, Tracker!E:E, 3, Tracker!G:G, "&lt;="&amp;Daily!C309, Tracker!J:J, "Y"), 0)</f>
        <v>40.074074074074076</v>
      </c>
      <c r="AJ309" s="77">
        <f>IFERROR(COUNTIFS(Tracker!E:E, 3, Tracker!G:G, "&lt;="&amp;Daily!C309, Tracker!L:L, "N") / AF309,  0)</f>
        <v>0.35714285714285715</v>
      </c>
      <c r="AK309" s="48">
        <f t="shared" si="148"/>
        <v>368</v>
      </c>
      <c r="AL309" s="26">
        <f t="shared" si="149"/>
        <v>303</v>
      </c>
      <c r="AM309" s="62">
        <f t="shared" si="150"/>
        <v>0.82336956521739135</v>
      </c>
      <c r="AN309" s="74">
        <f>IFERROR(AVERAGEIFS(Tracker!I:I,  Tracker!G:G, "&lt;="&amp;Daily!C309, Tracker!J:J, "Y"), 0)</f>
        <v>23.079207920792079</v>
      </c>
      <c r="AO309" s="77">
        <f>IFERROR(COUNTIFS(Tracker!G:G, "&lt;="&amp;Daily!C309, Tracker!L:L, "N") / AK309,  0)</f>
        <v>0.63315217391304346</v>
      </c>
    </row>
    <row r="310" spans="1:41" x14ac:dyDescent="0.25">
      <c r="A310" s="119"/>
      <c r="B310" s="32">
        <f t="shared" si="134"/>
        <v>45525</v>
      </c>
      <c r="C310" s="27">
        <f t="shared" si="151"/>
        <v>45525</v>
      </c>
      <c r="D310" s="109" t="b">
        <f t="shared" ca="1" si="133"/>
        <v>1</v>
      </c>
      <c r="E310" s="51">
        <f t="shared" si="135"/>
        <v>0</v>
      </c>
      <c r="F310" s="48">
        <f>COUNTIFS(Tracker!G:G,Daily!C310, Tracker!J:J,"Y")</f>
        <v>0</v>
      </c>
      <c r="G310" s="26">
        <f>COUNTIFS(Tracker!G:G,Daily!C310, Tracker!J:J,"Y (with hints)")</f>
        <v>0</v>
      </c>
      <c r="H310" s="33">
        <f>COUNTIFS(Tracker!G:G,Daily!C310, Tracker!J:J,"N")</f>
        <v>0</v>
      </c>
      <c r="I310" s="54">
        <f t="shared" si="136"/>
        <v>0</v>
      </c>
      <c r="J310" s="26">
        <f>COUNTIFS(Tracker!G:G,Daily!C310, Tracker!J:J,"Y",Tracker!E:E,1)</f>
        <v>0</v>
      </c>
      <c r="K310" s="26">
        <f>COUNTIFS(Tracker!G:G,Daily!C310, Tracker!J:J,"Y (with hints)",Tracker!E:E,1)</f>
        <v>0</v>
      </c>
      <c r="L310" s="33">
        <f>COUNTIFS(Tracker!G:G,Daily!C310, Tracker!J:J,"N",Tracker!E:E,1)</f>
        <v>0</v>
      </c>
      <c r="M310" s="54">
        <f t="shared" si="137"/>
        <v>0</v>
      </c>
      <c r="N310" s="26">
        <f>COUNTIFS(Tracker!G:G,Daily!C310, Tracker!J:J,"Y",Tracker!E:E,2)</f>
        <v>0</v>
      </c>
      <c r="O310" s="26">
        <f>COUNTIFS(Tracker!G:G,Daily!C310, Tracker!J:J,"Y (with hints)",Tracker!E:E,2)</f>
        <v>0</v>
      </c>
      <c r="P310" s="33">
        <f>COUNTIFS(Tracker!G:G,Daily!C310, Tracker!J:J,"N",Tracker!E:E,2)</f>
        <v>0</v>
      </c>
      <c r="Q310" s="57">
        <f t="shared" si="138"/>
        <v>0</v>
      </c>
      <c r="R310" s="26">
        <f>COUNTIFS(Tracker!G:G,Daily!C310, Tracker!J:J,"Y",Tracker!E:E,3)</f>
        <v>0</v>
      </c>
      <c r="S310" s="26">
        <f>COUNTIFS(Tracker!G:G,Daily!C310, Tracker!J:J,"Y (with hints)",Tracker!E:E,3)</f>
        <v>0</v>
      </c>
      <c r="T310" s="33">
        <f>COUNTIFS(Tracker!G:G,Daily!C310, Tracker!J:J,"N",Tracker!E:E,3)</f>
        <v>0</v>
      </c>
      <c r="V310" s="48">
        <f t="shared" si="139"/>
        <v>94</v>
      </c>
      <c r="W310" s="26">
        <f t="shared" si="140"/>
        <v>90</v>
      </c>
      <c r="X310" s="62">
        <f t="shared" si="141"/>
        <v>0.95744680851063835</v>
      </c>
      <c r="Y310" s="74">
        <f>AVERAGEIFS(Tracker!I:I, Tracker!E:E, 1, Tracker!G:G, "&lt;="&amp;Daily!C310, Tracker!J:J, "Y")</f>
        <v>12.4</v>
      </c>
      <c r="Z310" s="77">
        <f>COUNTIFS(Tracker!E:E, 1, Tracker!G:G, "&lt;="&amp;Daily!C310, Tracker!L:L, "N") / V310</f>
        <v>0.80851063829787229</v>
      </c>
      <c r="AA310" s="48">
        <f t="shared" si="142"/>
        <v>232</v>
      </c>
      <c r="AB310" s="26">
        <f t="shared" si="143"/>
        <v>186</v>
      </c>
      <c r="AC310" s="62">
        <f t="shared" si="144"/>
        <v>0.80172413793103448</v>
      </c>
      <c r="AD310" s="74">
        <f>AVERAGEIFS(Tracker!I:I, Tracker!E:E, 2, Tracker!G:G, "&lt;="&amp;Daily!C310, Tracker!J:J, "Y")</f>
        <v>25.77956989247312</v>
      </c>
      <c r="AE310" s="77">
        <f>COUNTIFS(Tracker!E:E, 2, Tracker!G:G, "&lt;="&amp;Daily!C310, Tracker!L:L, "N") / AA310</f>
        <v>0.61206896551724133</v>
      </c>
      <c r="AF310" s="48">
        <f t="shared" si="145"/>
        <v>42</v>
      </c>
      <c r="AG310" s="26">
        <f t="shared" si="146"/>
        <v>27</v>
      </c>
      <c r="AH310" s="62">
        <f t="shared" si="147"/>
        <v>0.6428571428571429</v>
      </c>
      <c r="AI310" s="74">
        <f>IFERROR(AVERAGEIFS(Tracker!I:I, Tracker!E:E, 3, Tracker!G:G, "&lt;="&amp;Daily!C310, Tracker!J:J, "Y"), 0)</f>
        <v>40.074074074074076</v>
      </c>
      <c r="AJ310" s="77">
        <f>IFERROR(COUNTIFS(Tracker!E:E, 3, Tracker!G:G, "&lt;="&amp;Daily!C310, Tracker!L:L, "N") / AF310,  0)</f>
        <v>0.35714285714285715</v>
      </c>
      <c r="AK310" s="48">
        <f t="shared" si="148"/>
        <v>368</v>
      </c>
      <c r="AL310" s="26">
        <f t="shared" si="149"/>
        <v>303</v>
      </c>
      <c r="AM310" s="62">
        <f t="shared" si="150"/>
        <v>0.82336956521739135</v>
      </c>
      <c r="AN310" s="74">
        <f>IFERROR(AVERAGEIFS(Tracker!I:I,  Tracker!G:G, "&lt;="&amp;Daily!C310, Tracker!J:J, "Y"), 0)</f>
        <v>23.079207920792079</v>
      </c>
      <c r="AO310" s="77">
        <f>IFERROR(COUNTIFS(Tracker!G:G, "&lt;="&amp;Daily!C310, Tracker!L:L, "N") / AK310,  0)</f>
        <v>0.63315217391304346</v>
      </c>
    </row>
    <row r="311" spans="1:41" x14ac:dyDescent="0.25">
      <c r="A311" s="119"/>
      <c r="B311" s="32">
        <f t="shared" si="134"/>
        <v>45526</v>
      </c>
      <c r="C311" s="27">
        <f t="shared" si="151"/>
        <v>45526</v>
      </c>
      <c r="D311" s="109" t="b">
        <f t="shared" ca="1" si="133"/>
        <v>1</v>
      </c>
      <c r="E311" s="51">
        <f t="shared" si="135"/>
        <v>0</v>
      </c>
      <c r="F311" s="48">
        <f>COUNTIFS(Tracker!G:G,Daily!C311, Tracker!J:J,"Y")</f>
        <v>0</v>
      </c>
      <c r="G311" s="26">
        <f>COUNTIFS(Tracker!G:G,Daily!C311, Tracker!J:J,"Y (with hints)")</f>
        <v>0</v>
      </c>
      <c r="H311" s="33">
        <f>COUNTIFS(Tracker!G:G,Daily!C311, Tracker!J:J,"N")</f>
        <v>0</v>
      </c>
      <c r="I311" s="54">
        <f t="shared" si="136"/>
        <v>0</v>
      </c>
      <c r="J311" s="26">
        <f>COUNTIFS(Tracker!G:G,Daily!C311, Tracker!J:J,"Y",Tracker!E:E,1)</f>
        <v>0</v>
      </c>
      <c r="K311" s="26">
        <f>COUNTIFS(Tracker!G:G,Daily!C311, Tracker!J:J,"Y (with hints)",Tracker!E:E,1)</f>
        <v>0</v>
      </c>
      <c r="L311" s="33">
        <f>COUNTIFS(Tracker!G:G,Daily!C311, Tracker!J:J,"N",Tracker!E:E,1)</f>
        <v>0</v>
      </c>
      <c r="M311" s="54">
        <f t="shared" si="137"/>
        <v>0</v>
      </c>
      <c r="N311" s="26">
        <f>COUNTIFS(Tracker!G:G,Daily!C311, Tracker!J:J,"Y",Tracker!E:E,2)</f>
        <v>0</v>
      </c>
      <c r="O311" s="26">
        <f>COUNTIFS(Tracker!G:G,Daily!C311, Tracker!J:J,"Y (with hints)",Tracker!E:E,2)</f>
        <v>0</v>
      </c>
      <c r="P311" s="33">
        <f>COUNTIFS(Tracker!G:G,Daily!C311, Tracker!J:J,"N",Tracker!E:E,2)</f>
        <v>0</v>
      </c>
      <c r="Q311" s="57">
        <f t="shared" si="138"/>
        <v>0</v>
      </c>
      <c r="R311" s="26">
        <f>COUNTIFS(Tracker!G:G,Daily!C311, Tracker!J:J,"Y",Tracker!E:E,3)</f>
        <v>0</v>
      </c>
      <c r="S311" s="26">
        <f>COUNTIFS(Tracker!G:G,Daily!C311, Tracker!J:J,"Y (with hints)",Tracker!E:E,3)</f>
        <v>0</v>
      </c>
      <c r="T311" s="33">
        <f>COUNTIFS(Tracker!G:G,Daily!C311, Tracker!J:J,"N",Tracker!E:E,3)</f>
        <v>0</v>
      </c>
      <c r="V311" s="48">
        <f t="shared" si="139"/>
        <v>94</v>
      </c>
      <c r="W311" s="26">
        <f t="shared" si="140"/>
        <v>90</v>
      </c>
      <c r="X311" s="62">
        <f t="shared" si="141"/>
        <v>0.95744680851063835</v>
      </c>
      <c r="Y311" s="74">
        <f>AVERAGEIFS(Tracker!I:I, Tracker!E:E, 1, Tracker!G:G, "&lt;="&amp;Daily!C311, Tracker!J:J, "Y")</f>
        <v>12.4</v>
      </c>
      <c r="Z311" s="77">
        <f>COUNTIFS(Tracker!E:E, 1, Tracker!G:G, "&lt;="&amp;Daily!C311, Tracker!L:L, "N") / V311</f>
        <v>0.80851063829787229</v>
      </c>
      <c r="AA311" s="48">
        <f t="shared" si="142"/>
        <v>232</v>
      </c>
      <c r="AB311" s="26">
        <f t="shared" si="143"/>
        <v>186</v>
      </c>
      <c r="AC311" s="62">
        <f t="shared" si="144"/>
        <v>0.80172413793103448</v>
      </c>
      <c r="AD311" s="74">
        <f>AVERAGEIFS(Tracker!I:I, Tracker!E:E, 2, Tracker!G:G, "&lt;="&amp;Daily!C311, Tracker!J:J, "Y")</f>
        <v>25.77956989247312</v>
      </c>
      <c r="AE311" s="77">
        <f>COUNTIFS(Tracker!E:E, 2, Tracker!G:G, "&lt;="&amp;Daily!C311, Tracker!L:L, "N") / AA311</f>
        <v>0.61206896551724133</v>
      </c>
      <c r="AF311" s="48">
        <f t="shared" si="145"/>
        <v>42</v>
      </c>
      <c r="AG311" s="26">
        <f t="shared" si="146"/>
        <v>27</v>
      </c>
      <c r="AH311" s="62">
        <f t="shared" si="147"/>
        <v>0.6428571428571429</v>
      </c>
      <c r="AI311" s="74">
        <f>IFERROR(AVERAGEIFS(Tracker!I:I, Tracker!E:E, 3, Tracker!G:G, "&lt;="&amp;Daily!C311, Tracker!J:J, "Y"), 0)</f>
        <v>40.074074074074076</v>
      </c>
      <c r="AJ311" s="77">
        <f>IFERROR(COUNTIFS(Tracker!E:E, 3, Tracker!G:G, "&lt;="&amp;Daily!C311, Tracker!L:L, "N") / AF311,  0)</f>
        <v>0.35714285714285715</v>
      </c>
      <c r="AK311" s="48">
        <f t="shared" si="148"/>
        <v>368</v>
      </c>
      <c r="AL311" s="26">
        <f t="shared" si="149"/>
        <v>303</v>
      </c>
      <c r="AM311" s="62">
        <f t="shared" si="150"/>
        <v>0.82336956521739135</v>
      </c>
      <c r="AN311" s="74">
        <f>IFERROR(AVERAGEIFS(Tracker!I:I,  Tracker!G:G, "&lt;="&amp;Daily!C311, Tracker!J:J, "Y"), 0)</f>
        <v>23.079207920792079</v>
      </c>
      <c r="AO311" s="77">
        <f>IFERROR(COUNTIFS(Tracker!G:G, "&lt;="&amp;Daily!C311, Tracker!L:L, "N") / AK311,  0)</f>
        <v>0.63315217391304346</v>
      </c>
    </row>
    <row r="312" spans="1:41" x14ac:dyDescent="0.25">
      <c r="A312" s="119"/>
      <c r="B312" s="32">
        <f t="shared" si="134"/>
        <v>45527</v>
      </c>
      <c r="C312" s="27">
        <f t="shared" si="151"/>
        <v>45527</v>
      </c>
      <c r="D312" s="109" t="b">
        <f t="shared" ca="1" si="133"/>
        <v>1</v>
      </c>
      <c r="E312" s="51">
        <f t="shared" si="135"/>
        <v>0</v>
      </c>
      <c r="F312" s="48">
        <f>COUNTIFS(Tracker!G:G,Daily!C312, Tracker!J:J,"Y")</f>
        <v>0</v>
      </c>
      <c r="G312" s="26">
        <f>COUNTIFS(Tracker!G:G,Daily!C312, Tracker!J:J,"Y (with hints)")</f>
        <v>0</v>
      </c>
      <c r="H312" s="33">
        <f>COUNTIFS(Tracker!G:G,Daily!C312, Tracker!J:J,"N")</f>
        <v>0</v>
      </c>
      <c r="I312" s="54">
        <f t="shared" si="136"/>
        <v>0</v>
      </c>
      <c r="J312" s="26">
        <f>COUNTIFS(Tracker!G:G,Daily!C312, Tracker!J:J,"Y",Tracker!E:E,1)</f>
        <v>0</v>
      </c>
      <c r="K312" s="26">
        <f>COUNTIFS(Tracker!G:G,Daily!C312, Tracker!J:J,"Y (with hints)",Tracker!E:E,1)</f>
        <v>0</v>
      </c>
      <c r="L312" s="33">
        <f>COUNTIFS(Tracker!G:G,Daily!C312, Tracker!J:J,"N",Tracker!E:E,1)</f>
        <v>0</v>
      </c>
      <c r="M312" s="54">
        <f t="shared" si="137"/>
        <v>0</v>
      </c>
      <c r="N312" s="26">
        <f>COUNTIFS(Tracker!G:G,Daily!C312, Tracker!J:J,"Y",Tracker!E:E,2)</f>
        <v>0</v>
      </c>
      <c r="O312" s="26">
        <f>COUNTIFS(Tracker!G:G,Daily!C312, Tracker!J:J,"Y (with hints)",Tracker!E:E,2)</f>
        <v>0</v>
      </c>
      <c r="P312" s="33">
        <f>COUNTIFS(Tracker!G:G,Daily!C312, Tracker!J:J,"N",Tracker!E:E,2)</f>
        <v>0</v>
      </c>
      <c r="Q312" s="57">
        <f t="shared" si="138"/>
        <v>0</v>
      </c>
      <c r="R312" s="26">
        <f>COUNTIFS(Tracker!G:G,Daily!C312, Tracker!J:J,"Y",Tracker!E:E,3)</f>
        <v>0</v>
      </c>
      <c r="S312" s="26">
        <f>COUNTIFS(Tracker!G:G,Daily!C312, Tracker!J:J,"Y (with hints)",Tracker!E:E,3)</f>
        <v>0</v>
      </c>
      <c r="T312" s="33">
        <f>COUNTIFS(Tracker!G:G,Daily!C312, Tracker!J:J,"N",Tracker!E:E,3)</f>
        <v>0</v>
      </c>
      <c r="V312" s="48">
        <f t="shared" si="139"/>
        <v>94</v>
      </c>
      <c r="W312" s="26">
        <f t="shared" si="140"/>
        <v>90</v>
      </c>
      <c r="X312" s="62">
        <f t="shared" si="141"/>
        <v>0.95744680851063835</v>
      </c>
      <c r="Y312" s="74">
        <f>AVERAGEIFS(Tracker!I:I, Tracker!E:E, 1, Tracker!G:G, "&lt;="&amp;Daily!C312, Tracker!J:J, "Y")</f>
        <v>12.4</v>
      </c>
      <c r="Z312" s="77">
        <f>COUNTIFS(Tracker!E:E, 1, Tracker!G:G, "&lt;="&amp;Daily!C312, Tracker!L:L, "N") / V312</f>
        <v>0.80851063829787229</v>
      </c>
      <c r="AA312" s="48">
        <f t="shared" si="142"/>
        <v>232</v>
      </c>
      <c r="AB312" s="26">
        <f t="shared" si="143"/>
        <v>186</v>
      </c>
      <c r="AC312" s="62">
        <f t="shared" si="144"/>
        <v>0.80172413793103448</v>
      </c>
      <c r="AD312" s="74">
        <f>AVERAGEIFS(Tracker!I:I, Tracker!E:E, 2, Tracker!G:G, "&lt;="&amp;Daily!C312, Tracker!J:J, "Y")</f>
        <v>25.77956989247312</v>
      </c>
      <c r="AE312" s="77">
        <f>COUNTIFS(Tracker!E:E, 2, Tracker!G:G, "&lt;="&amp;Daily!C312, Tracker!L:L, "N") / AA312</f>
        <v>0.61206896551724133</v>
      </c>
      <c r="AF312" s="48">
        <f t="shared" si="145"/>
        <v>42</v>
      </c>
      <c r="AG312" s="26">
        <f t="shared" si="146"/>
        <v>27</v>
      </c>
      <c r="AH312" s="62">
        <f t="shared" si="147"/>
        <v>0.6428571428571429</v>
      </c>
      <c r="AI312" s="74">
        <f>IFERROR(AVERAGEIFS(Tracker!I:I, Tracker!E:E, 3, Tracker!G:G, "&lt;="&amp;Daily!C312, Tracker!J:J, "Y"), 0)</f>
        <v>40.074074074074076</v>
      </c>
      <c r="AJ312" s="77">
        <f>IFERROR(COUNTIFS(Tracker!E:E, 3, Tracker!G:G, "&lt;="&amp;Daily!C312, Tracker!L:L, "N") / AF312,  0)</f>
        <v>0.35714285714285715</v>
      </c>
      <c r="AK312" s="48">
        <f t="shared" si="148"/>
        <v>368</v>
      </c>
      <c r="AL312" s="26">
        <f t="shared" si="149"/>
        <v>303</v>
      </c>
      <c r="AM312" s="62">
        <f t="shared" si="150"/>
        <v>0.82336956521739135</v>
      </c>
      <c r="AN312" s="74">
        <f>IFERROR(AVERAGEIFS(Tracker!I:I,  Tracker!G:G, "&lt;="&amp;Daily!C312, Tracker!J:J, "Y"), 0)</f>
        <v>23.079207920792079</v>
      </c>
      <c r="AO312" s="77">
        <f>IFERROR(COUNTIFS(Tracker!G:G, "&lt;="&amp;Daily!C312, Tracker!L:L, "N") / AK312,  0)</f>
        <v>0.63315217391304346</v>
      </c>
    </row>
    <row r="313" spans="1:41" x14ac:dyDescent="0.25">
      <c r="A313" s="119"/>
      <c r="B313" s="32">
        <f t="shared" si="134"/>
        <v>45528</v>
      </c>
      <c r="C313" s="27">
        <f t="shared" si="151"/>
        <v>45528</v>
      </c>
      <c r="D313" s="109" t="b">
        <f t="shared" ca="1" si="133"/>
        <v>1</v>
      </c>
      <c r="E313" s="51">
        <f t="shared" si="135"/>
        <v>0</v>
      </c>
      <c r="F313" s="48">
        <f>COUNTIFS(Tracker!G:G,Daily!C313, Tracker!J:J,"Y")</f>
        <v>0</v>
      </c>
      <c r="G313" s="26">
        <f>COUNTIFS(Tracker!G:G,Daily!C313, Tracker!J:J,"Y (with hints)")</f>
        <v>0</v>
      </c>
      <c r="H313" s="33">
        <f>COUNTIFS(Tracker!G:G,Daily!C313, Tracker!J:J,"N")</f>
        <v>0</v>
      </c>
      <c r="I313" s="54">
        <f t="shared" si="136"/>
        <v>0</v>
      </c>
      <c r="J313" s="26">
        <f>COUNTIFS(Tracker!G:G,Daily!C313, Tracker!J:J,"Y",Tracker!E:E,1)</f>
        <v>0</v>
      </c>
      <c r="K313" s="26">
        <f>COUNTIFS(Tracker!G:G,Daily!C313, Tracker!J:J,"Y (with hints)",Tracker!E:E,1)</f>
        <v>0</v>
      </c>
      <c r="L313" s="33">
        <f>COUNTIFS(Tracker!G:G,Daily!C313, Tracker!J:J,"N",Tracker!E:E,1)</f>
        <v>0</v>
      </c>
      <c r="M313" s="54">
        <f t="shared" si="137"/>
        <v>0</v>
      </c>
      <c r="N313" s="26">
        <f>COUNTIFS(Tracker!G:G,Daily!C313, Tracker!J:J,"Y",Tracker!E:E,2)</f>
        <v>0</v>
      </c>
      <c r="O313" s="26">
        <f>COUNTIFS(Tracker!G:G,Daily!C313, Tracker!J:J,"Y (with hints)",Tracker!E:E,2)</f>
        <v>0</v>
      </c>
      <c r="P313" s="33">
        <f>COUNTIFS(Tracker!G:G,Daily!C313, Tracker!J:J,"N",Tracker!E:E,2)</f>
        <v>0</v>
      </c>
      <c r="Q313" s="57">
        <f t="shared" si="138"/>
        <v>0</v>
      </c>
      <c r="R313" s="26">
        <f>COUNTIFS(Tracker!G:G,Daily!C313, Tracker!J:J,"Y",Tracker!E:E,3)</f>
        <v>0</v>
      </c>
      <c r="S313" s="26">
        <f>COUNTIFS(Tracker!G:G,Daily!C313, Tracker!J:J,"Y (with hints)",Tracker!E:E,3)</f>
        <v>0</v>
      </c>
      <c r="T313" s="33">
        <f>COUNTIFS(Tracker!G:G,Daily!C313, Tracker!J:J,"N",Tracker!E:E,3)</f>
        <v>0</v>
      </c>
      <c r="V313" s="48">
        <f t="shared" si="139"/>
        <v>94</v>
      </c>
      <c r="W313" s="26">
        <f t="shared" si="140"/>
        <v>90</v>
      </c>
      <c r="X313" s="62">
        <f t="shared" si="141"/>
        <v>0.95744680851063835</v>
      </c>
      <c r="Y313" s="74">
        <f>AVERAGEIFS(Tracker!I:I, Tracker!E:E, 1, Tracker!G:G, "&lt;="&amp;Daily!C313, Tracker!J:J, "Y")</f>
        <v>12.4</v>
      </c>
      <c r="Z313" s="77">
        <f>COUNTIFS(Tracker!E:E, 1, Tracker!G:G, "&lt;="&amp;Daily!C313, Tracker!L:L, "N") / V313</f>
        <v>0.80851063829787229</v>
      </c>
      <c r="AA313" s="48">
        <f t="shared" si="142"/>
        <v>232</v>
      </c>
      <c r="AB313" s="26">
        <f t="shared" si="143"/>
        <v>186</v>
      </c>
      <c r="AC313" s="62">
        <f t="shared" si="144"/>
        <v>0.80172413793103448</v>
      </c>
      <c r="AD313" s="74">
        <f>AVERAGEIFS(Tracker!I:I, Tracker!E:E, 2, Tracker!G:G, "&lt;="&amp;Daily!C313, Tracker!J:J, "Y")</f>
        <v>25.77956989247312</v>
      </c>
      <c r="AE313" s="77">
        <f>COUNTIFS(Tracker!E:E, 2, Tracker!G:G, "&lt;="&amp;Daily!C313, Tracker!L:L, "N") / AA313</f>
        <v>0.61206896551724133</v>
      </c>
      <c r="AF313" s="48">
        <f t="shared" si="145"/>
        <v>42</v>
      </c>
      <c r="AG313" s="26">
        <f t="shared" si="146"/>
        <v>27</v>
      </c>
      <c r="AH313" s="62">
        <f t="shared" si="147"/>
        <v>0.6428571428571429</v>
      </c>
      <c r="AI313" s="74">
        <f>IFERROR(AVERAGEIFS(Tracker!I:I, Tracker!E:E, 3, Tracker!G:G, "&lt;="&amp;Daily!C313, Tracker!J:J, "Y"), 0)</f>
        <v>40.074074074074076</v>
      </c>
      <c r="AJ313" s="77">
        <f>IFERROR(COUNTIFS(Tracker!E:E, 3, Tracker!G:G, "&lt;="&amp;Daily!C313, Tracker!L:L, "N") / AF313,  0)</f>
        <v>0.35714285714285715</v>
      </c>
      <c r="AK313" s="48">
        <f t="shared" si="148"/>
        <v>368</v>
      </c>
      <c r="AL313" s="26">
        <f t="shared" si="149"/>
        <v>303</v>
      </c>
      <c r="AM313" s="62">
        <f t="shared" si="150"/>
        <v>0.82336956521739135</v>
      </c>
      <c r="AN313" s="74">
        <f>IFERROR(AVERAGEIFS(Tracker!I:I,  Tracker!G:G, "&lt;="&amp;Daily!C313, Tracker!J:J, "Y"), 0)</f>
        <v>23.079207920792079</v>
      </c>
      <c r="AO313" s="77">
        <f>IFERROR(COUNTIFS(Tracker!G:G, "&lt;="&amp;Daily!C313, Tracker!L:L, "N") / AK313,  0)</f>
        <v>0.63315217391304346</v>
      </c>
    </row>
    <row r="314" spans="1:41" ht="15.75" thickBot="1" x14ac:dyDescent="0.3">
      <c r="A314" s="120"/>
      <c r="B314" s="34">
        <f t="shared" si="134"/>
        <v>45529</v>
      </c>
      <c r="C314" s="35">
        <f t="shared" si="151"/>
        <v>45529</v>
      </c>
      <c r="D314" s="110" t="b">
        <f t="shared" ca="1" si="133"/>
        <v>1</v>
      </c>
      <c r="E314" s="52">
        <f t="shared" si="135"/>
        <v>0</v>
      </c>
      <c r="F314" s="39">
        <f>COUNTIFS(Tracker!G:G,Daily!C314, Tracker!J:J,"Y")</f>
        <v>0</v>
      </c>
      <c r="G314" s="36">
        <f>COUNTIFS(Tracker!G:G,Daily!C314, Tracker!J:J,"Y (with hints)")</f>
        <v>0</v>
      </c>
      <c r="H314" s="37">
        <f>COUNTIFS(Tracker!G:G,Daily!C314, Tracker!J:J,"N")</f>
        <v>0</v>
      </c>
      <c r="I314" s="55">
        <f t="shared" si="136"/>
        <v>0</v>
      </c>
      <c r="J314" s="36">
        <f>COUNTIFS(Tracker!G:G,Daily!C314, Tracker!J:J,"Y",Tracker!E:E,1)</f>
        <v>0</v>
      </c>
      <c r="K314" s="36">
        <f>COUNTIFS(Tracker!G:G,Daily!C314, Tracker!J:J,"Y (with hints)",Tracker!E:E,1)</f>
        <v>0</v>
      </c>
      <c r="L314" s="37">
        <f>COUNTIFS(Tracker!G:G,Daily!C314, Tracker!J:J,"N",Tracker!E:E,1)</f>
        <v>0</v>
      </c>
      <c r="M314" s="55">
        <f t="shared" si="137"/>
        <v>0</v>
      </c>
      <c r="N314" s="36">
        <f>COUNTIFS(Tracker!G:G,Daily!C314, Tracker!J:J,"Y",Tracker!E:E,2)</f>
        <v>0</v>
      </c>
      <c r="O314" s="36">
        <f>COUNTIFS(Tracker!G:G,Daily!C314, Tracker!J:J,"Y (with hints)",Tracker!E:E,2)</f>
        <v>0</v>
      </c>
      <c r="P314" s="37">
        <f>COUNTIFS(Tracker!G:G,Daily!C314, Tracker!J:J,"N",Tracker!E:E,2)</f>
        <v>0</v>
      </c>
      <c r="Q314" s="58">
        <f t="shared" si="138"/>
        <v>0</v>
      </c>
      <c r="R314" s="36">
        <f>COUNTIFS(Tracker!G:G,Daily!C314, Tracker!J:J,"Y",Tracker!E:E,3)</f>
        <v>0</v>
      </c>
      <c r="S314" s="36">
        <f>COUNTIFS(Tracker!G:G,Daily!C314, Tracker!J:J,"Y (with hints)",Tracker!E:E,3)</f>
        <v>0</v>
      </c>
      <c r="T314" s="37">
        <f>COUNTIFS(Tracker!G:G,Daily!C314, Tracker!J:J,"N",Tracker!E:E,3)</f>
        <v>0</v>
      </c>
      <c r="V314" s="39">
        <f t="shared" si="139"/>
        <v>94</v>
      </c>
      <c r="W314" s="36">
        <f t="shared" si="140"/>
        <v>90</v>
      </c>
      <c r="X314" s="64">
        <f t="shared" si="141"/>
        <v>0.95744680851063835</v>
      </c>
      <c r="Y314" s="78">
        <f>AVERAGEIFS(Tracker!I:I, Tracker!E:E, 1, Tracker!G:G, "&lt;="&amp;Daily!C314, Tracker!J:J, "Y")</f>
        <v>12.4</v>
      </c>
      <c r="Z314" s="79">
        <f>COUNTIFS(Tracker!E:E, 1, Tracker!G:G, "&lt;="&amp;Daily!C314, Tracker!L:L, "N") / V314</f>
        <v>0.80851063829787229</v>
      </c>
      <c r="AA314" s="39">
        <f t="shared" si="142"/>
        <v>232</v>
      </c>
      <c r="AB314" s="36">
        <f t="shared" si="143"/>
        <v>186</v>
      </c>
      <c r="AC314" s="64">
        <f t="shared" si="144"/>
        <v>0.80172413793103448</v>
      </c>
      <c r="AD314" s="78">
        <f>AVERAGEIFS(Tracker!I:I, Tracker!E:E, 2, Tracker!G:G, "&lt;="&amp;Daily!C314, Tracker!J:J, "Y")</f>
        <v>25.77956989247312</v>
      </c>
      <c r="AE314" s="79">
        <f>COUNTIFS(Tracker!E:E, 2, Tracker!G:G, "&lt;="&amp;Daily!C314, Tracker!L:L, "N") / AA314</f>
        <v>0.61206896551724133</v>
      </c>
      <c r="AF314" s="39">
        <f t="shared" si="145"/>
        <v>42</v>
      </c>
      <c r="AG314" s="36">
        <f t="shared" si="146"/>
        <v>27</v>
      </c>
      <c r="AH314" s="64">
        <f t="shared" si="147"/>
        <v>0.6428571428571429</v>
      </c>
      <c r="AI314" s="78">
        <f>IFERROR(AVERAGEIFS(Tracker!I:I, Tracker!E:E, 3, Tracker!G:G, "&lt;="&amp;Daily!C314, Tracker!J:J, "Y"), 0)</f>
        <v>40.074074074074076</v>
      </c>
      <c r="AJ314" s="79">
        <f>IFERROR(COUNTIFS(Tracker!E:E, 3, Tracker!G:G, "&lt;="&amp;Daily!C314, Tracker!L:L, "N") / AF314,  0)</f>
        <v>0.35714285714285715</v>
      </c>
      <c r="AK314" s="39">
        <f t="shared" si="148"/>
        <v>368</v>
      </c>
      <c r="AL314" s="36">
        <f t="shared" si="149"/>
        <v>303</v>
      </c>
      <c r="AM314" s="64">
        <f t="shared" si="150"/>
        <v>0.82336956521739135</v>
      </c>
      <c r="AN314" s="78">
        <f>IFERROR(AVERAGEIFS(Tracker!I:I,  Tracker!G:G, "&lt;="&amp;Daily!C314, Tracker!J:J, "Y"), 0)</f>
        <v>23.079207920792079</v>
      </c>
      <c r="AO314" s="79">
        <f>IFERROR(COUNTIFS(Tracker!G:G, "&lt;="&amp;Daily!C314, Tracker!L:L, "N") / AK314,  0)</f>
        <v>0.63315217391304346</v>
      </c>
    </row>
    <row r="315" spans="1:41" x14ac:dyDescent="0.25">
      <c r="A315" s="118">
        <f>A308+1</f>
        <v>45</v>
      </c>
      <c r="B315" s="28">
        <f t="shared" si="134"/>
        <v>45530</v>
      </c>
      <c r="C315" s="29">
        <f t="shared" si="151"/>
        <v>45530</v>
      </c>
      <c r="D315" s="108" t="b">
        <f t="shared" ca="1" si="133"/>
        <v>1</v>
      </c>
      <c r="E315" s="50">
        <f t="shared" si="135"/>
        <v>0</v>
      </c>
      <c r="F315" s="38">
        <f>COUNTIFS(Tracker!G:G,Daily!C315, Tracker!J:J,"Y")</f>
        <v>0</v>
      </c>
      <c r="G315" s="30">
        <f>COUNTIFS(Tracker!G:G,Daily!C315, Tracker!J:J,"Y (with hints)")</f>
        <v>0</v>
      </c>
      <c r="H315" s="31">
        <f>COUNTIFS(Tracker!G:G,Daily!C315, Tracker!J:J,"N")</f>
        <v>0</v>
      </c>
      <c r="I315" s="53">
        <f t="shared" si="136"/>
        <v>0</v>
      </c>
      <c r="J315" s="30">
        <f>COUNTIFS(Tracker!G:G,Daily!C315, Tracker!J:J,"Y",Tracker!E:E,1)</f>
        <v>0</v>
      </c>
      <c r="K315" s="30">
        <f>COUNTIFS(Tracker!G:G,Daily!C315, Tracker!J:J,"Y (with hints)",Tracker!E:E,1)</f>
        <v>0</v>
      </c>
      <c r="L315" s="31">
        <f>COUNTIFS(Tracker!G:G,Daily!C315, Tracker!J:J,"N",Tracker!E:E,1)</f>
        <v>0</v>
      </c>
      <c r="M315" s="53">
        <f t="shared" si="137"/>
        <v>0</v>
      </c>
      <c r="N315" s="30">
        <f>COUNTIFS(Tracker!G:G,Daily!C315, Tracker!J:J,"Y",Tracker!E:E,2)</f>
        <v>0</v>
      </c>
      <c r="O315" s="30">
        <f>COUNTIFS(Tracker!G:G,Daily!C315, Tracker!J:J,"Y (with hints)",Tracker!E:E,2)</f>
        <v>0</v>
      </c>
      <c r="P315" s="31">
        <f>COUNTIFS(Tracker!G:G,Daily!C315, Tracker!J:J,"N",Tracker!E:E,2)</f>
        <v>0</v>
      </c>
      <c r="Q315" s="56">
        <f t="shared" si="138"/>
        <v>0</v>
      </c>
      <c r="R315" s="30">
        <f>COUNTIFS(Tracker!G:G,Daily!C315, Tracker!J:J,"Y",Tracker!E:E,3)</f>
        <v>0</v>
      </c>
      <c r="S315" s="30">
        <f>COUNTIFS(Tracker!G:G,Daily!C315, Tracker!J:J,"Y (with hints)",Tracker!E:E,3)</f>
        <v>0</v>
      </c>
      <c r="T315" s="31">
        <f>COUNTIFS(Tracker!G:G,Daily!C315, Tracker!J:J,"N",Tracker!E:E,3)</f>
        <v>0</v>
      </c>
      <c r="V315" s="38">
        <f t="shared" si="139"/>
        <v>94</v>
      </c>
      <c r="W315" s="30">
        <f t="shared" si="140"/>
        <v>90</v>
      </c>
      <c r="X315" s="73">
        <f t="shared" si="141"/>
        <v>0.95744680851063835</v>
      </c>
      <c r="Y315" s="75">
        <f>AVERAGEIFS(Tracker!I:I, Tracker!E:E, 1, Tracker!G:G, "&lt;="&amp;Daily!C315, Tracker!J:J, "Y")</f>
        <v>12.4</v>
      </c>
      <c r="Z315" s="76">
        <f>COUNTIFS(Tracker!E:E, 1, Tracker!G:G, "&lt;="&amp;Daily!C315, Tracker!L:L, "N") / V315</f>
        <v>0.80851063829787229</v>
      </c>
      <c r="AA315" s="38">
        <f t="shared" si="142"/>
        <v>232</v>
      </c>
      <c r="AB315" s="30">
        <f t="shared" si="143"/>
        <v>186</v>
      </c>
      <c r="AC315" s="73">
        <f t="shared" si="144"/>
        <v>0.80172413793103448</v>
      </c>
      <c r="AD315" s="75">
        <f>AVERAGEIFS(Tracker!I:I, Tracker!E:E, 2, Tracker!G:G, "&lt;="&amp;Daily!C315, Tracker!J:J, "Y")</f>
        <v>25.77956989247312</v>
      </c>
      <c r="AE315" s="76">
        <f>COUNTIFS(Tracker!E:E, 2, Tracker!G:G, "&lt;="&amp;Daily!C315, Tracker!L:L, "N") / AA315</f>
        <v>0.61206896551724133</v>
      </c>
      <c r="AF315" s="38">
        <f t="shared" si="145"/>
        <v>42</v>
      </c>
      <c r="AG315" s="30">
        <f t="shared" si="146"/>
        <v>27</v>
      </c>
      <c r="AH315" s="73">
        <f t="shared" si="147"/>
        <v>0.6428571428571429</v>
      </c>
      <c r="AI315" s="75">
        <f>IFERROR(AVERAGEIFS(Tracker!I:I, Tracker!E:E, 3, Tracker!G:G, "&lt;="&amp;Daily!C315, Tracker!J:J, "Y"), 0)</f>
        <v>40.074074074074076</v>
      </c>
      <c r="AJ315" s="76">
        <f>IFERROR(COUNTIFS(Tracker!E:E, 3, Tracker!G:G, "&lt;="&amp;Daily!C315, Tracker!L:L, "N") / AF315,  0)</f>
        <v>0.35714285714285715</v>
      </c>
      <c r="AK315" s="38">
        <f t="shared" si="148"/>
        <v>368</v>
      </c>
      <c r="AL315" s="30">
        <f t="shared" si="149"/>
        <v>303</v>
      </c>
      <c r="AM315" s="73">
        <f t="shared" si="150"/>
        <v>0.82336956521739135</v>
      </c>
      <c r="AN315" s="75">
        <f>IFERROR(AVERAGEIFS(Tracker!I:I,  Tracker!G:G, "&lt;="&amp;Daily!C315, Tracker!J:J, "Y"), 0)</f>
        <v>23.079207920792079</v>
      </c>
      <c r="AO315" s="76">
        <f>IFERROR(COUNTIFS(Tracker!G:G, "&lt;="&amp;Daily!C315, Tracker!L:L, "N") / AK315,  0)</f>
        <v>0.63315217391304346</v>
      </c>
    </row>
    <row r="316" spans="1:41" x14ac:dyDescent="0.25">
      <c r="A316" s="119"/>
      <c r="B316" s="32">
        <f t="shared" si="134"/>
        <v>45531</v>
      </c>
      <c r="C316" s="27">
        <f t="shared" si="151"/>
        <v>45531</v>
      </c>
      <c r="D316" s="109" t="b">
        <f t="shared" ca="1" si="133"/>
        <v>1</v>
      </c>
      <c r="E316" s="51">
        <f t="shared" si="135"/>
        <v>0</v>
      </c>
      <c r="F316" s="48">
        <f>COUNTIFS(Tracker!G:G,Daily!C316, Tracker!J:J,"Y")</f>
        <v>0</v>
      </c>
      <c r="G316" s="26">
        <f>COUNTIFS(Tracker!G:G,Daily!C316, Tracker!J:J,"Y (with hints)")</f>
        <v>0</v>
      </c>
      <c r="H316" s="33">
        <f>COUNTIFS(Tracker!G:G,Daily!C316, Tracker!J:J,"N")</f>
        <v>0</v>
      </c>
      <c r="I316" s="54">
        <f t="shared" si="136"/>
        <v>0</v>
      </c>
      <c r="J316" s="26">
        <f>COUNTIFS(Tracker!G:G,Daily!C316, Tracker!J:J,"Y",Tracker!E:E,1)</f>
        <v>0</v>
      </c>
      <c r="K316" s="26">
        <f>COUNTIFS(Tracker!G:G,Daily!C316, Tracker!J:J,"Y (with hints)",Tracker!E:E,1)</f>
        <v>0</v>
      </c>
      <c r="L316" s="33">
        <f>COUNTIFS(Tracker!G:G,Daily!C316, Tracker!J:J,"N",Tracker!E:E,1)</f>
        <v>0</v>
      </c>
      <c r="M316" s="54">
        <f t="shared" si="137"/>
        <v>0</v>
      </c>
      <c r="N316" s="26">
        <f>COUNTIFS(Tracker!G:G,Daily!C316, Tracker!J:J,"Y",Tracker!E:E,2)</f>
        <v>0</v>
      </c>
      <c r="O316" s="26">
        <f>COUNTIFS(Tracker!G:G,Daily!C316, Tracker!J:J,"Y (with hints)",Tracker!E:E,2)</f>
        <v>0</v>
      </c>
      <c r="P316" s="33">
        <f>COUNTIFS(Tracker!G:G,Daily!C316, Tracker!J:J,"N",Tracker!E:E,2)</f>
        <v>0</v>
      </c>
      <c r="Q316" s="57">
        <f t="shared" si="138"/>
        <v>0</v>
      </c>
      <c r="R316" s="26">
        <f>COUNTIFS(Tracker!G:G,Daily!C316, Tracker!J:J,"Y",Tracker!E:E,3)</f>
        <v>0</v>
      </c>
      <c r="S316" s="26">
        <f>COUNTIFS(Tracker!G:G,Daily!C316, Tracker!J:J,"Y (with hints)",Tracker!E:E,3)</f>
        <v>0</v>
      </c>
      <c r="T316" s="33">
        <f>COUNTIFS(Tracker!G:G,Daily!C316, Tracker!J:J,"N",Tracker!E:E,3)</f>
        <v>0</v>
      </c>
      <c r="V316" s="48">
        <f t="shared" si="139"/>
        <v>94</v>
      </c>
      <c r="W316" s="26">
        <f t="shared" si="140"/>
        <v>90</v>
      </c>
      <c r="X316" s="62">
        <f t="shared" si="141"/>
        <v>0.95744680851063835</v>
      </c>
      <c r="Y316" s="74">
        <f>AVERAGEIFS(Tracker!I:I, Tracker!E:E, 1, Tracker!G:G, "&lt;="&amp;Daily!C316, Tracker!J:J, "Y")</f>
        <v>12.4</v>
      </c>
      <c r="Z316" s="77">
        <f>COUNTIFS(Tracker!E:E, 1, Tracker!G:G, "&lt;="&amp;Daily!C316, Tracker!L:L, "N") / V316</f>
        <v>0.80851063829787229</v>
      </c>
      <c r="AA316" s="48">
        <f t="shared" si="142"/>
        <v>232</v>
      </c>
      <c r="AB316" s="26">
        <f t="shared" si="143"/>
        <v>186</v>
      </c>
      <c r="AC316" s="62">
        <f t="shared" si="144"/>
        <v>0.80172413793103448</v>
      </c>
      <c r="AD316" s="74">
        <f>AVERAGEIFS(Tracker!I:I, Tracker!E:E, 2, Tracker!G:G, "&lt;="&amp;Daily!C316, Tracker!J:J, "Y")</f>
        <v>25.77956989247312</v>
      </c>
      <c r="AE316" s="77">
        <f>COUNTIFS(Tracker!E:E, 2, Tracker!G:G, "&lt;="&amp;Daily!C316, Tracker!L:L, "N") / AA316</f>
        <v>0.61206896551724133</v>
      </c>
      <c r="AF316" s="48">
        <f t="shared" si="145"/>
        <v>42</v>
      </c>
      <c r="AG316" s="26">
        <f t="shared" si="146"/>
        <v>27</v>
      </c>
      <c r="AH316" s="62">
        <f t="shared" si="147"/>
        <v>0.6428571428571429</v>
      </c>
      <c r="AI316" s="74">
        <f>IFERROR(AVERAGEIFS(Tracker!I:I, Tracker!E:E, 3, Tracker!G:G, "&lt;="&amp;Daily!C316, Tracker!J:J, "Y"), 0)</f>
        <v>40.074074074074076</v>
      </c>
      <c r="AJ316" s="77">
        <f>IFERROR(COUNTIFS(Tracker!E:E, 3, Tracker!G:G, "&lt;="&amp;Daily!C316, Tracker!L:L, "N") / AF316,  0)</f>
        <v>0.35714285714285715</v>
      </c>
      <c r="AK316" s="48">
        <f t="shared" si="148"/>
        <v>368</v>
      </c>
      <c r="AL316" s="26">
        <f t="shared" si="149"/>
        <v>303</v>
      </c>
      <c r="AM316" s="62">
        <f t="shared" si="150"/>
        <v>0.82336956521739135</v>
      </c>
      <c r="AN316" s="74">
        <f>IFERROR(AVERAGEIFS(Tracker!I:I,  Tracker!G:G, "&lt;="&amp;Daily!C316, Tracker!J:J, "Y"), 0)</f>
        <v>23.079207920792079</v>
      </c>
      <c r="AO316" s="77">
        <f>IFERROR(COUNTIFS(Tracker!G:G, "&lt;="&amp;Daily!C316, Tracker!L:L, "N") / AK316,  0)</f>
        <v>0.63315217391304346</v>
      </c>
    </row>
    <row r="317" spans="1:41" x14ac:dyDescent="0.25">
      <c r="A317" s="119"/>
      <c r="B317" s="32">
        <f t="shared" si="134"/>
        <v>45532</v>
      </c>
      <c r="C317" s="27">
        <f t="shared" si="151"/>
        <v>45532</v>
      </c>
      <c r="D317" s="109" t="b">
        <f t="shared" ca="1" si="133"/>
        <v>1</v>
      </c>
      <c r="E317" s="51">
        <f t="shared" si="135"/>
        <v>0</v>
      </c>
      <c r="F317" s="48">
        <f>COUNTIFS(Tracker!G:G,Daily!C317, Tracker!J:J,"Y")</f>
        <v>0</v>
      </c>
      <c r="G317" s="26">
        <f>COUNTIFS(Tracker!G:G,Daily!C317, Tracker!J:J,"Y (with hints)")</f>
        <v>0</v>
      </c>
      <c r="H317" s="33">
        <f>COUNTIFS(Tracker!G:G,Daily!C317, Tracker!J:J,"N")</f>
        <v>0</v>
      </c>
      <c r="I317" s="54">
        <f t="shared" si="136"/>
        <v>0</v>
      </c>
      <c r="J317" s="26">
        <f>COUNTIFS(Tracker!G:G,Daily!C317, Tracker!J:J,"Y",Tracker!E:E,1)</f>
        <v>0</v>
      </c>
      <c r="K317" s="26">
        <f>COUNTIFS(Tracker!G:G,Daily!C317, Tracker!J:J,"Y (with hints)",Tracker!E:E,1)</f>
        <v>0</v>
      </c>
      <c r="L317" s="33">
        <f>COUNTIFS(Tracker!G:G,Daily!C317, Tracker!J:J,"N",Tracker!E:E,1)</f>
        <v>0</v>
      </c>
      <c r="M317" s="54">
        <f t="shared" si="137"/>
        <v>0</v>
      </c>
      <c r="N317" s="26">
        <f>COUNTIFS(Tracker!G:G,Daily!C317, Tracker!J:J,"Y",Tracker!E:E,2)</f>
        <v>0</v>
      </c>
      <c r="O317" s="26">
        <f>COUNTIFS(Tracker!G:G,Daily!C317, Tracker!J:J,"Y (with hints)",Tracker!E:E,2)</f>
        <v>0</v>
      </c>
      <c r="P317" s="33">
        <f>COUNTIFS(Tracker!G:G,Daily!C317, Tracker!J:J,"N",Tracker!E:E,2)</f>
        <v>0</v>
      </c>
      <c r="Q317" s="57">
        <f t="shared" si="138"/>
        <v>0</v>
      </c>
      <c r="R317" s="26">
        <f>COUNTIFS(Tracker!G:G,Daily!C317, Tracker!J:J,"Y",Tracker!E:E,3)</f>
        <v>0</v>
      </c>
      <c r="S317" s="26">
        <f>COUNTIFS(Tracker!G:G,Daily!C317, Tracker!J:J,"Y (with hints)",Tracker!E:E,3)</f>
        <v>0</v>
      </c>
      <c r="T317" s="33">
        <f>COUNTIFS(Tracker!G:G,Daily!C317, Tracker!J:J,"N",Tracker!E:E,3)</f>
        <v>0</v>
      </c>
      <c r="V317" s="48">
        <f t="shared" si="139"/>
        <v>94</v>
      </c>
      <c r="W317" s="26">
        <f t="shared" si="140"/>
        <v>90</v>
      </c>
      <c r="X317" s="62">
        <f t="shared" si="141"/>
        <v>0.95744680851063835</v>
      </c>
      <c r="Y317" s="74">
        <f>AVERAGEIFS(Tracker!I:I, Tracker!E:E, 1, Tracker!G:G, "&lt;="&amp;Daily!C317, Tracker!J:J, "Y")</f>
        <v>12.4</v>
      </c>
      <c r="Z317" s="77">
        <f>COUNTIFS(Tracker!E:E, 1, Tracker!G:G, "&lt;="&amp;Daily!C317, Tracker!L:L, "N") / V317</f>
        <v>0.80851063829787229</v>
      </c>
      <c r="AA317" s="48">
        <f t="shared" si="142"/>
        <v>232</v>
      </c>
      <c r="AB317" s="26">
        <f t="shared" si="143"/>
        <v>186</v>
      </c>
      <c r="AC317" s="62">
        <f t="shared" si="144"/>
        <v>0.80172413793103448</v>
      </c>
      <c r="AD317" s="74">
        <f>AVERAGEIFS(Tracker!I:I, Tracker!E:E, 2, Tracker!G:G, "&lt;="&amp;Daily!C317, Tracker!J:J, "Y")</f>
        <v>25.77956989247312</v>
      </c>
      <c r="AE317" s="77">
        <f>COUNTIFS(Tracker!E:E, 2, Tracker!G:G, "&lt;="&amp;Daily!C317, Tracker!L:L, "N") / AA317</f>
        <v>0.61206896551724133</v>
      </c>
      <c r="AF317" s="48">
        <f t="shared" si="145"/>
        <v>42</v>
      </c>
      <c r="AG317" s="26">
        <f t="shared" si="146"/>
        <v>27</v>
      </c>
      <c r="AH317" s="62">
        <f t="shared" si="147"/>
        <v>0.6428571428571429</v>
      </c>
      <c r="AI317" s="74">
        <f>IFERROR(AVERAGEIFS(Tracker!I:I, Tracker!E:E, 3, Tracker!G:G, "&lt;="&amp;Daily!C317, Tracker!J:J, "Y"), 0)</f>
        <v>40.074074074074076</v>
      </c>
      <c r="AJ317" s="77">
        <f>IFERROR(COUNTIFS(Tracker!E:E, 3, Tracker!G:G, "&lt;="&amp;Daily!C317, Tracker!L:L, "N") / AF317,  0)</f>
        <v>0.35714285714285715</v>
      </c>
      <c r="AK317" s="48">
        <f t="shared" si="148"/>
        <v>368</v>
      </c>
      <c r="AL317" s="26">
        <f t="shared" si="149"/>
        <v>303</v>
      </c>
      <c r="AM317" s="62">
        <f t="shared" si="150"/>
        <v>0.82336956521739135</v>
      </c>
      <c r="AN317" s="74">
        <f>IFERROR(AVERAGEIFS(Tracker!I:I,  Tracker!G:G, "&lt;="&amp;Daily!C317, Tracker!J:J, "Y"), 0)</f>
        <v>23.079207920792079</v>
      </c>
      <c r="AO317" s="77">
        <f>IFERROR(COUNTIFS(Tracker!G:G, "&lt;="&amp;Daily!C317, Tracker!L:L, "N") / AK317,  0)</f>
        <v>0.63315217391304346</v>
      </c>
    </row>
    <row r="318" spans="1:41" x14ac:dyDescent="0.25">
      <c r="A318" s="119"/>
      <c r="B318" s="32">
        <f t="shared" si="134"/>
        <v>45533</v>
      </c>
      <c r="C318" s="27">
        <f t="shared" si="151"/>
        <v>45533</v>
      </c>
      <c r="D318" s="109" t="b">
        <f t="shared" ca="1" si="133"/>
        <v>1</v>
      </c>
      <c r="E318" s="51">
        <f t="shared" si="135"/>
        <v>0</v>
      </c>
      <c r="F318" s="48">
        <f>COUNTIFS(Tracker!G:G,Daily!C318, Tracker!J:J,"Y")</f>
        <v>0</v>
      </c>
      <c r="G318" s="26">
        <f>COUNTIFS(Tracker!G:G,Daily!C318, Tracker!J:J,"Y (with hints)")</f>
        <v>0</v>
      </c>
      <c r="H318" s="33">
        <f>COUNTIFS(Tracker!G:G,Daily!C318, Tracker!J:J,"N")</f>
        <v>0</v>
      </c>
      <c r="I318" s="54">
        <f t="shared" si="136"/>
        <v>0</v>
      </c>
      <c r="J318" s="26">
        <f>COUNTIFS(Tracker!G:G,Daily!C318, Tracker!J:J,"Y",Tracker!E:E,1)</f>
        <v>0</v>
      </c>
      <c r="K318" s="26">
        <f>COUNTIFS(Tracker!G:G,Daily!C318, Tracker!J:J,"Y (with hints)",Tracker!E:E,1)</f>
        <v>0</v>
      </c>
      <c r="L318" s="33">
        <f>COUNTIFS(Tracker!G:G,Daily!C318, Tracker!J:J,"N",Tracker!E:E,1)</f>
        <v>0</v>
      </c>
      <c r="M318" s="54">
        <f t="shared" si="137"/>
        <v>0</v>
      </c>
      <c r="N318" s="26">
        <f>COUNTIFS(Tracker!G:G,Daily!C318, Tracker!J:J,"Y",Tracker!E:E,2)</f>
        <v>0</v>
      </c>
      <c r="O318" s="26">
        <f>COUNTIFS(Tracker!G:G,Daily!C318, Tracker!J:J,"Y (with hints)",Tracker!E:E,2)</f>
        <v>0</v>
      </c>
      <c r="P318" s="33">
        <f>COUNTIFS(Tracker!G:G,Daily!C318, Tracker!J:J,"N",Tracker!E:E,2)</f>
        <v>0</v>
      </c>
      <c r="Q318" s="57">
        <f t="shared" si="138"/>
        <v>0</v>
      </c>
      <c r="R318" s="26">
        <f>COUNTIFS(Tracker!G:G,Daily!C318, Tracker!J:J,"Y",Tracker!E:E,3)</f>
        <v>0</v>
      </c>
      <c r="S318" s="26">
        <f>COUNTIFS(Tracker!G:G,Daily!C318, Tracker!J:J,"Y (with hints)",Tracker!E:E,3)</f>
        <v>0</v>
      </c>
      <c r="T318" s="33">
        <f>COUNTIFS(Tracker!G:G,Daily!C318, Tracker!J:J,"N",Tracker!E:E,3)</f>
        <v>0</v>
      </c>
      <c r="V318" s="48">
        <f t="shared" si="139"/>
        <v>94</v>
      </c>
      <c r="W318" s="26">
        <f t="shared" si="140"/>
        <v>90</v>
      </c>
      <c r="X318" s="62">
        <f t="shared" si="141"/>
        <v>0.95744680851063835</v>
      </c>
      <c r="Y318" s="74">
        <f>AVERAGEIFS(Tracker!I:I, Tracker!E:E, 1, Tracker!G:G, "&lt;="&amp;Daily!C318, Tracker!J:J, "Y")</f>
        <v>12.4</v>
      </c>
      <c r="Z318" s="77">
        <f>COUNTIFS(Tracker!E:E, 1, Tracker!G:G, "&lt;="&amp;Daily!C318, Tracker!L:L, "N") / V318</f>
        <v>0.80851063829787229</v>
      </c>
      <c r="AA318" s="48">
        <f t="shared" si="142"/>
        <v>232</v>
      </c>
      <c r="AB318" s="26">
        <f t="shared" si="143"/>
        <v>186</v>
      </c>
      <c r="AC318" s="62">
        <f t="shared" si="144"/>
        <v>0.80172413793103448</v>
      </c>
      <c r="AD318" s="74">
        <f>AVERAGEIFS(Tracker!I:I, Tracker!E:E, 2, Tracker!G:G, "&lt;="&amp;Daily!C318, Tracker!J:J, "Y")</f>
        <v>25.77956989247312</v>
      </c>
      <c r="AE318" s="77">
        <f>COUNTIFS(Tracker!E:E, 2, Tracker!G:G, "&lt;="&amp;Daily!C318, Tracker!L:L, "N") / AA318</f>
        <v>0.61206896551724133</v>
      </c>
      <c r="AF318" s="48">
        <f t="shared" si="145"/>
        <v>42</v>
      </c>
      <c r="AG318" s="26">
        <f t="shared" si="146"/>
        <v>27</v>
      </c>
      <c r="AH318" s="62">
        <f t="shared" si="147"/>
        <v>0.6428571428571429</v>
      </c>
      <c r="AI318" s="74">
        <f>IFERROR(AVERAGEIFS(Tracker!I:I, Tracker!E:E, 3, Tracker!G:G, "&lt;="&amp;Daily!C318, Tracker!J:J, "Y"), 0)</f>
        <v>40.074074074074076</v>
      </c>
      <c r="AJ318" s="77">
        <f>IFERROR(COUNTIFS(Tracker!E:E, 3, Tracker!G:G, "&lt;="&amp;Daily!C318, Tracker!L:L, "N") / AF318,  0)</f>
        <v>0.35714285714285715</v>
      </c>
      <c r="AK318" s="48">
        <f t="shared" si="148"/>
        <v>368</v>
      </c>
      <c r="AL318" s="26">
        <f t="shared" si="149"/>
        <v>303</v>
      </c>
      <c r="AM318" s="62">
        <f t="shared" si="150"/>
        <v>0.82336956521739135</v>
      </c>
      <c r="AN318" s="74">
        <f>IFERROR(AVERAGEIFS(Tracker!I:I,  Tracker!G:G, "&lt;="&amp;Daily!C318, Tracker!J:J, "Y"), 0)</f>
        <v>23.079207920792079</v>
      </c>
      <c r="AO318" s="77">
        <f>IFERROR(COUNTIFS(Tracker!G:G, "&lt;="&amp;Daily!C318, Tracker!L:L, "N") / AK318,  0)</f>
        <v>0.63315217391304346</v>
      </c>
    </row>
    <row r="319" spans="1:41" x14ac:dyDescent="0.25">
      <c r="A319" s="119"/>
      <c r="B319" s="32">
        <f t="shared" si="134"/>
        <v>45534</v>
      </c>
      <c r="C319" s="27">
        <f t="shared" si="151"/>
        <v>45534</v>
      </c>
      <c r="D319" s="109" t="b">
        <f t="shared" ca="1" si="133"/>
        <v>1</v>
      </c>
      <c r="E319" s="51">
        <f t="shared" si="135"/>
        <v>0</v>
      </c>
      <c r="F319" s="48">
        <f>COUNTIFS(Tracker!G:G,Daily!C319, Tracker!J:J,"Y")</f>
        <v>0</v>
      </c>
      <c r="G319" s="26">
        <f>COUNTIFS(Tracker!G:G,Daily!C319, Tracker!J:J,"Y (with hints)")</f>
        <v>0</v>
      </c>
      <c r="H319" s="33">
        <f>COUNTIFS(Tracker!G:G,Daily!C319, Tracker!J:J,"N")</f>
        <v>0</v>
      </c>
      <c r="I319" s="54">
        <f t="shared" si="136"/>
        <v>0</v>
      </c>
      <c r="J319" s="26">
        <f>COUNTIFS(Tracker!G:G,Daily!C319, Tracker!J:J,"Y",Tracker!E:E,1)</f>
        <v>0</v>
      </c>
      <c r="K319" s="26">
        <f>COUNTIFS(Tracker!G:G,Daily!C319, Tracker!J:J,"Y (with hints)",Tracker!E:E,1)</f>
        <v>0</v>
      </c>
      <c r="L319" s="33">
        <f>COUNTIFS(Tracker!G:G,Daily!C319, Tracker!J:J,"N",Tracker!E:E,1)</f>
        <v>0</v>
      </c>
      <c r="M319" s="54">
        <f t="shared" si="137"/>
        <v>0</v>
      </c>
      <c r="N319" s="26">
        <f>COUNTIFS(Tracker!G:G,Daily!C319, Tracker!J:J,"Y",Tracker!E:E,2)</f>
        <v>0</v>
      </c>
      <c r="O319" s="26">
        <f>COUNTIFS(Tracker!G:G,Daily!C319, Tracker!J:J,"Y (with hints)",Tracker!E:E,2)</f>
        <v>0</v>
      </c>
      <c r="P319" s="33">
        <f>COUNTIFS(Tracker!G:G,Daily!C319, Tracker!J:J,"N",Tracker!E:E,2)</f>
        <v>0</v>
      </c>
      <c r="Q319" s="57">
        <f t="shared" si="138"/>
        <v>0</v>
      </c>
      <c r="R319" s="26">
        <f>COUNTIFS(Tracker!G:G,Daily!C319, Tracker!J:J,"Y",Tracker!E:E,3)</f>
        <v>0</v>
      </c>
      <c r="S319" s="26">
        <f>COUNTIFS(Tracker!G:G,Daily!C319, Tracker!J:J,"Y (with hints)",Tracker!E:E,3)</f>
        <v>0</v>
      </c>
      <c r="T319" s="33">
        <f>COUNTIFS(Tracker!G:G,Daily!C319, Tracker!J:J,"N",Tracker!E:E,3)</f>
        <v>0</v>
      </c>
      <c r="V319" s="48">
        <f t="shared" si="139"/>
        <v>94</v>
      </c>
      <c r="W319" s="26">
        <f t="shared" si="140"/>
        <v>90</v>
      </c>
      <c r="X319" s="62">
        <f t="shared" si="141"/>
        <v>0.95744680851063835</v>
      </c>
      <c r="Y319" s="74">
        <f>AVERAGEIFS(Tracker!I:I, Tracker!E:E, 1, Tracker!G:G, "&lt;="&amp;Daily!C319, Tracker!J:J, "Y")</f>
        <v>12.4</v>
      </c>
      <c r="Z319" s="77">
        <f>COUNTIFS(Tracker!E:E, 1, Tracker!G:G, "&lt;="&amp;Daily!C319, Tracker!L:L, "N") / V319</f>
        <v>0.80851063829787229</v>
      </c>
      <c r="AA319" s="48">
        <f t="shared" si="142"/>
        <v>232</v>
      </c>
      <c r="AB319" s="26">
        <f t="shared" si="143"/>
        <v>186</v>
      </c>
      <c r="AC319" s="62">
        <f t="shared" si="144"/>
        <v>0.80172413793103448</v>
      </c>
      <c r="AD319" s="74">
        <f>AVERAGEIFS(Tracker!I:I, Tracker!E:E, 2, Tracker!G:G, "&lt;="&amp;Daily!C319, Tracker!J:J, "Y")</f>
        <v>25.77956989247312</v>
      </c>
      <c r="AE319" s="77">
        <f>COUNTIFS(Tracker!E:E, 2, Tracker!G:G, "&lt;="&amp;Daily!C319, Tracker!L:L, "N") / AA319</f>
        <v>0.61206896551724133</v>
      </c>
      <c r="AF319" s="48">
        <f t="shared" si="145"/>
        <v>42</v>
      </c>
      <c r="AG319" s="26">
        <f t="shared" si="146"/>
        <v>27</v>
      </c>
      <c r="AH319" s="62">
        <f t="shared" si="147"/>
        <v>0.6428571428571429</v>
      </c>
      <c r="AI319" s="74">
        <f>IFERROR(AVERAGEIFS(Tracker!I:I, Tracker!E:E, 3, Tracker!G:G, "&lt;="&amp;Daily!C319, Tracker!J:J, "Y"), 0)</f>
        <v>40.074074074074076</v>
      </c>
      <c r="AJ319" s="77">
        <f>IFERROR(COUNTIFS(Tracker!E:E, 3, Tracker!G:G, "&lt;="&amp;Daily!C319, Tracker!L:L, "N") / AF319,  0)</f>
        <v>0.35714285714285715</v>
      </c>
      <c r="AK319" s="48">
        <f t="shared" si="148"/>
        <v>368</v>
      </c>
      <c r="AL319" s="26">
        <f t="shared" si="149"/>
        <v>303</v>
      </c>
      <c r="AM319" s="62">
        <f t="shared" si="150"/>
        <v>0.82336956521739135</v>
      </c>
      <c r="AN319" s="74">
        <f>IFERROR(AVERAGEIFS(Tracker!I:I,  Tracker!G:G, "&lt;="&amp;Daily!C319, Tracker!J:J, "Y"), 0)</f>
        <v>23.079207920792079</v>
      </c>
      <c r="AO319" s="77">
        <f>IFERROR(COUNTIFS(Tracker!G:G, "&lt;="&amp;Daily!C319, Tracker!L:L, "N") / AK319,  0)</f>
        <v>0.63315217391304346</v>
      </c>
    </row>
    <row r="320" spans="1:41" x14ac:dyDescent="0.25">
      <c r="A320" s="119"/>
      <c r="B320" s="32">
        <f t="shared" si="134"/>
        <v>45535</v>
      </c>
      <c r="C320" s="27">
        <f t="shared" si="151"/>
        <v>45535</v>
      </c>
      <c r="D320" s="109" t="b">
        <f t="shared" ca="1" si="133"/>
        <v>1</v>
      </c>
      <c r="E320" s="51">
        <f t="shared" si="135"/>
        <v>2</v>
      </c>
      <c r="F320" s="48">
        <f>COUNTIFS(Tracker!G:G,Daily!C320, Tracker!J:J,"Y")</f>
        <v>1</v>
      </c>
      <c r="G320" s="26">
        <f>COUNTIFS(Tracker!G:G,Daily!C320, Tracker!J:J,"Y (with hints)")</f>
        <v>0</v>
      </c>
      <c r="H320" s="33">
        <f>COUNTIFS(Tracker!G:G,Daily!C320, Tracker!J:J,"N")</f>
        <v>1</v>
      </c>
      <c r="I320" s="54">
        <f t="shared" si="136"/>
        <v>0</v>
      </c>
      <c r="J320" s="26">
        <f>COUNTIFS(Tracker!G:G,Daily!C320, Tracker!J:J,"Y",Tracker!E:E,1)</f>
        <v>0</v>
      </c>
      <c r="K320" s="26">
        <f>COUNTIFS(Tracker!G:G,Daily!C320, Tracker!J:J,"Y (with hints)",Tracker!E:E,1)</f>
        <v>0</v>
      </c>
      <c r="L320" s="33">
        <f>COUNTIFS(Tracker!G:G,Daily!C320, Tracker!J:J,"N",Tracker!E:E,1)</f>
        <v>0</v>
      </c>
      <c r="M320" s="54">
        <f t="shared" si="137"/>
        <v>2</v>
      </c>
      <c r="N320" s="26">
        <f>COUNTIFS(Tracker!G:G,Daily!C320, Tracker!J:J,"Y",Tracker!E:E,2)</f>
        <v>1</v>
      </c>
      <c r="O320" s="26">
        <f>COUNTIFS(Tracker!G:G,Daily!C320, Tracker!J:J,"Y (with hints)",Tracker!E:E,2)</f>
        <v>0</v>
      </c>
      <c r="P320" s="33">
        <f>COUNTIFS(Tracker!G:G,Daily!C320, Tracker!J:J,"N",Tracker!E:E,2)</f>
        <v>1</v>
      </c>
      <c r="Q320" s="57">
        <f t="shared" si="138"/>
        <v>0</v>
      </c>
      <c r="R320" s="26">
        <f>COUNTIFS(Tracker!G:G,Daily!C320, Tracker!J:J,"Y",Tracker!E:E,3)</f>
        <v>0</v>
      </c>
      <c r="S320" s="26">
        <f>COUNTIFS(Tracker!G:G,Daily!C320, Tracker!J:J,"Y (with hints)",Tracker!E:E,3)</f>
        <v>0</v>
      </c>
      <c r="T320" s="33">
        <f>COUNTIFS(Tracker!G:G,Daily!C320, Tracker!J:J,"N",Tracker!E:E,3)</f>
        <v>0</v>
      </c>
      <c r="V320" s="48">
        <f t="shared" si="139"/>
        <v>94</v>
      </c>
      <c r="W320" s="26">
        <f t="shared" si="140"/>
        <v>90</v>
      </c>
      <c r="X320" s="62">
        <f t="shared" si="141"/>
        <v>0.95744680851063835</v>
      </c>
      <c r="Y320" s="74">
        <f>AVERAGEIFS(Tracker!I:I, Tracker!E:E, 1, Tracker!G:G, "&lt;="&amp;Daily!C320, Tracker!J:J, "Y")</f>
        <v>12.4</v>
      </c>
      <c r="Z320" s="77">
        <f>COUNTIFS(Tracker!E:E, 1, Tracker!G:G, "&lt;="&amp;Daily!C320, Tracker!L:L, "N") / V320</f>
        <v>0.80851063829787229</v>
      </c>
      <c r="AA320" s="48">
        <f t="shared" si="142"/>
        <v>234</v>
      </c>
      <c r="AB320" s="26">
        <f t="shared" si="143"/>
        <v>187</v>
      </c>
      <c r="AC320" s="62">
        <f t="shared" si="144"/>
        <v>0.79914529914529919</v>
      </c>
      <c r="AD320" s="74">
        <f>AVERAGEIFS(Tracker!I:I, Tracker!E:E, 2, Tracker!G:G, "&lt;="&amp;Daily!C320, Tracker!J:J, "Y")</f>
        <v>25.770053475935828</v>
      </c>
      <c r="AE320" s="77">
        <f>COUNTIFS(Tracker!E:E, 2, Tracker!G:G, "&lt;="&amp;Daily!C320, Tracker!L:L, "N") / AA320</f>
        <v>0.61538461538461542</v>
      </c>
      <c r="AF320" s="48">
        <f t="shared" si="145"/>
        <v>42</v>
      </c>
      <c r="AG320" s="26">
        <f t="shared" si="146"/>
        <v>27</v>
      </c>
      <c r="AH320" s="62">
        <f t="shared" si="147"/>
        <v>0.6428571428571429</v>
      </c>
      <c r="AI320" s="74">
        <f>IFERROR(AVERAGEIFS(Tracker!I:I, Tracker!E:E, 3, Tracker!G:G, "&lt;="&amp;Daily!C320, Tracker!J:J, "Y"), 0)</f>
        <v>40.074074074074076</v>
      </c>
      <c r="AJ320" s="77">
        <f>IFERROR(COUNTIFS(Tracker!E:E, 3, Tracker!G:G, "&lt;="&amp;Daily!C320, Tracker!L:L, "N") / AF320,  0)</f>
        <v>0.35714285714285715</v>
      </c>
      <c r="AK320" s="48">
        <f t="shared" si="148"/>
        <v>370</v>
      </c>
      <c r="AL320" s="26">
        <f t="shared" si="149"/>
        <v>304</v>
      </c>
      <c r="AM320" s="62">
        <f t="shared" si="150"/>
        <v>0.82162162162162167</v>
      </c>
      <c r="AN320" s="74">
        <f>IFERROR(AVERAGEIFS(Tracker!I:I,  Tracker!G:G, "&lt;="&amp;Daily!C320, Tracker!J:J, "Y"), 0)</f>
        <v>23.082236842105264</v>
      </c>
      <c r="AO320" s="77">
        <f>IFERROR(COUNTIFS(Tracker!G:G, "&lt;="&amp;Daily!C320, Tracker!L:L, "N") / AK320,  0)</f>
        <v>0.63513513513513509</v>
      </c>
    </row>
    <row r="321" spans="1:41" ht="15.75" thickBot="1" x14ac:dyDescent="0.3">
      <c r="A321" s="120"/>
      <c r="B321" s="34">
        <f t="shared" si="134"/>
        <v>45536</v>
      </c>
      <c r="C321" s="35">
        <f t="shared" si="151"/>
        <v>45536</v>
      </c>
      <c r="D321" s="110" t="b">
        <f t="shared" ca="1" si="133"/>
        <v>1</v>
      </c>
      <c r="E321" s="52">
        <f t="shared" si="135"/>
        <v>1</v>
      </c>
      <c r="F321" s="39">
        <f>COUNTIFS(Tracker!G:G,Daily!C321, Tracker!J:J,"Y")</f>
        <v>0</v>
      </c>
      <c r="G321" s="36">
        <f>COUNTIFS(Tracker!G:G,Daily!C321, Tracker!J:J,"Y (with hints)")</f>
        <v>0</v>
      </c>
      <c r="H321" s="37">
        <f>COUNTIFS(Tracker!G:G,Daily!C321, Tracker!J:J,"N")</f>
        <v>1</v>
      </c>
      <c r="I321" s="55">
        <f t="shared" si="136"/>
        <v>0</v>
      </c>
      <c r="J321" s="36">
        <f>COUNTIFS(Tracker!G:G,Daily!C321, Tracker!J:J,"Y",Tracker!E:E,1)</f>
        <v>0</v>
      </c>
      <c r="K321" s="36">
        <f>COUNTIFS(Tracker!G:G,Daily!C321, Tracker!J:J,"Y (with hints)",Tracker!E:E,1)</f>
        <v>0</v>
      </c>
      <c r="L321" s="37">
        <f>COUNTIFS(Tracker!G:G,Daily!C321, Tracker!J:J,"N",Tracker!E:E,1)</f>
        <v>0</v>
      </c>
      <c r="M321" s="55">
        <f t="shared" si="137"/>
        <v>1</v>
      </c>
      <c r="N321" s="36">
        <f>COUNTIFS(Tracker!G:G,Daily!C321, Tracker!J:J,"Y",Tracker!E:E,2)</f>
        <v>0</v>
      </c>
      <c r="O321" s="36">
        <f>COUNTIFS(Tracker!G:G,Daily!C321, Tracker!J:J,"Y (with hints)",Tracker!E:E,2)</f>
        <v>0</v>
      </c>
      <c r="P321" s="37">
        <f>COUNTIFS(Tracker!G:G,Daily!C321, Tracker!J:J,"N",Tracker!E:E,2)</f>
        <v>1</v>
      </c>
      <c r="Q321" s="58">
        <f t="shared" si="138"/>
        <v>0</v>
      </c>
      <c r="R321" s="36">
        <f>COUNTIFS(Tracker!G:G,Daily!C321, Tracker!J:J,"Y",Tracker!E:E,3)</f>
        <v>0</v>
      </c>
      <c r="S321" s="36">
        <f>COUNTIFS(Tracker!G:G,Daily!C321, Tracker!J:J,"Y (with hints)",Tracker!E:E,3)</f>
        <v>0</v>
      </c>
      <c r="T321" s="37">
        <f>COUNTIFS(Tracker!G:G,Daily!C321, Tracker!J:J,"N",Tracker!E:E,3)</f>
        <v>0</v>
      </c>
      <c r="V321" s="39">
        <f t="shared" si="139"/>
        <v>94</v>
      </c>
      <c r="W321" s="36">
        <f t="shared" si="140"/>
        <v>90</v>
      </c>
      <c r="X321" s="64">
        <f t="shared" si="141"/>
        <v>0.95744680851063835</v>
      </c>
      <c r="Y321" s="78">
        <f>AVERAGEIFS(Tracker!I:I, Tracker!E:E, 1, Tracker!G:G, "&lt;="&amp;Daily!C321, Tracker!J:J, "Y")</f>
        <v>12.4</v>
      </c>
      <c r="Z321" s="79">
        <f>COUNTIFS(Tracker!E:E, 1, Tracker!G:G, "&lt;="&amp;Daily!C321, Tracker!L:L, "N") / V321</f>
        <v>0.80851063829787229</v>
      </c>
      <c r="AA321" s="39">
        <f t="shared" si="142"/>
        <v>235</v>
      </c>
      <c r="AB321" s="36">
        <f t="shared" si="143"/>
        <v>187</v>
      </c>
      <c r="AC321" s="64">
        <f t="shared" si="144"/>
        <v>0.79574468085106387</v>
      </c>
      <c r="AD321" s="78">
        <f>AVERAGEIFS(Tracker!I:I, Tracker!E:E, 2, Tracker!G:G, "&lt;="&amp;Daily!C321, Tracker!J:J, "Y")</f>
        <v>25.770053475935828</v>
      </c>
      <c r="AE321" s="79">
        <f>COUNTIFS(Tracker!E:E, 2, Tracker!G:G, "&lt;="&amp;Daily!C321, Tracker!L:L, "N") / AA321</f>
        <v>0.61276595744680851</v>
      </c>
      <c r="AF321" s="39">
        <f t="shared" si="145"/>
        <v>42</v>
      </c>
      <c r="AG321" s="36">
        <f t="shared" si="146"/>
        <v>27</v>
      </c>
      <c r="AH321" s="64">
        <f t="shared" si="147"/>
        <v>0.6428571428571429</v>
      </c>
      <c r="AI321" s="78">
        <f>IFERROR(AVERAGEIFS(Tracker!I:I, Tracker!E:E, 3, Tracker!G:G, "&lt;="&amp;Daily!C321, Tracker!J:J, "Y"), 0)</f>
        <v>40.074074074074076</v>
      </c>
      <c r="AJ321" s="79">
        <f>IFERROR(COUNTIFS(Tracker!E:E, 3, Tracker!G:G, "&lt;="&amp;Daily!C321, Tracker!L:L, "N") / AF321,  0)</f>
        <v>0.35714285714285715</v>
      </c>
      <c r="AK321" s="39">
        <f t="shared" si="148"/>
        <v>371</v>
      </c>
      <c r="AL321" s="36">
        <f t="shared" si="149"/>
        <v>304</v>
      </c>
      <c r="AM321" s="64">
        <f t="shared" si="150"/>
        <v>0.81940700808625333</v>
      </c>
      <c r="AN321" s="78">
        <f>IFERROR(AVERAGEIFS(Tracker!I:I,  Tracker!G:G, "&lt;="&amp;Daily!C321, Tracker!J:J, "Y"), 0)</f>
        <v>23.082236842105264</v>
      </c>
      <c r="AO321" s="79">
        <f>IFERROR(COUNTIFS(Tracker!G:G, "&lt;="&amp;Daily!C321, Tracker!L:L, "N") / AK321,  0)</f>
        <v>0.63342318059299196</v>
      </c>
    </row>
    <row r="322" spans="1:41" x14ac:dyDescent="0.25">
      <c r="A322" s="118">
        <f>A315+1</f>
        <v>46</v>
      </c>
      <c r="B322" s="28">
        <f t="shared" si="134"/>
        <v>45537</v>
      </c>
      <c r="C322" s="29">
        <f t="shared" si="151"/>
        <v>45537</v>
      </c>
      <c r="D322" s="108" t="b">
        <f t="shared" ca="1" si="133"/>
        <v>1</v>
      </c>
      <c r="E322" s="50">
        <f t="shared" si="135"/>
        <v>0</v>
      </c>
      <c r="F322" s="38">
        <f>COUNTIFS(Tracker!G:G,Daily!C322, Tracker!J:J,"Y")</f>
        <v>0</v>
      </c>
      <c r="G322" s="30">
        <f>COUNTIFS(Tracker!G:G,Daily!C322, Tracker!J:J,"Y (with hints)")</f>
        <v>0</v>
      </c>
      <c r="H322" s="31">
        <f>COUNTIFS(Tracker!G:G,Daily!C322, Tracker!J:J,"N")</f>
        <v>0</v>
      </c>
      <c r="I322" s="53">
        <f t="shared" si="136"/>
        <v>0</v>
      </c>
      <c r="J322" s="30">
        <f>COUNTIFS(Tracker!G:G,Daily!C322, Tracker!J:J,"Y",Tracker!E:E,1)</f>
        <v>0</v>
      </c>
      <c r="K322" s="30">
        <f>COUNTIFS(Tracker!G:G,Daily!C322, Tracker!J:J,"Y (with hints)",Tracker!E:E,1)</f>
        <v>0</v>
      </c>
      <c r="L322" s="31">
        <f>COUNTIFS(Tracker!G:G,Daily!C322, Tracker!J:J,"N",Tracker!E:E,1)</f>
        <v>0</v>
      </c>
      <c r="M322" s="53">
        <f t="shared" si="137"/>
        <v>0</v>
      </c>
      <c r="N322" s="30">
        <f>COUNTIFS(Tracker!G:G,Daily!C322, Tracker!J:J,"Y",Tracker!E:E,2)</f>
        <v>0</v>
      </c>
      <c r="O322" s="30">
        <f>COUNTIFS(Tracker!G:G,Daily!C322, Tracker!J:J,"Y (with hints)",Tracker!E:E,2)</f>
        <v>0</v>
      </c>
      <c r="P322" s="31">
        <f>COUNTIFS(Tracker!G:G,Daily!C322, Tracker!J:J,"N",Tracker!E:E,2)</f>
        <v>0</v>
      </c>
      <c r="Q322" s="56">
        <f t="shared" si="138"/>
        <v>0</v>
      </c>
      <c r="R322" s="30">
        <f>COUNTIFS(Tracker!G:G,Daily!C322, Tracker!J:J,"Y",Tracker!E:E,3)</f>
        <v>0</v>
      </c>
      <c r="S322" s="30">
        <f>COUNTIFS(Tracker!G:G,Daily!C322, Tracker!J:J,"Y (with hints)",Tracker!E:E,3)</f>
        <v>0</v>
      </c>
      <c r="T322" s="31">
        <f>COUNTIFS(Tracker!G:G,Daily!C322, Tracker!J:J,"N",Tracker!E:E,3)</f>
        <v>0</v>
      </c>
      <c r="V322" s="38">
        <f t="shared" si="139"/>
        <v>94</v>
      </c>
      <c r="W322" s="30">
        <f t="shared" si="140"/>
        <v>90</v>
      </c>
      <c r="X322" s="73">
        <f t="shared" si="141"/>
        <v>0.95744680851063835</v>
      </c>
      <c r="Y322" s="75">
        <f>AVERAGEIFS(Tracker!I:I, Tracker!E:E, 1, Tracker!G:G, "&lt;="&amp;Daily!C322, Tracker!J:J, "Y")</f>
        <v>12.4</v>
      </c>
      <c r="Z322" s="76">
        <f>COUNTIFS(Tracker!E:E, 1, Tracker!G:G, "&lt;="&amp;Daily!C322, Tracker!L:L, "N") / V322</f>
        <v>0.80851063829787229</v>
      </c>
      <c r="AA322" s="38">
        <f t="shared" si="142"/>
        <v>235</v>
      </c>
      <c r="AB322" s="30">
        <f t="shared" si="143"/>
        <v>187</v>
      </c>
      <c r="AC322" s="73">
        <f t="shared" si="144"/>
        <v>0.79574468085106387</v>
      </c>
      <c r="AD322" s="75">
        <f>AVERAGEIFS(Tracker!I:I, Tracker!E:E, 2, Tracker!G:G, "&lt;="&amp;Daily!C322, Tracker!J:J, "Y")</f>
        <v>25.770053475935828</v>
      </c>
      <c r="AE322" s="76">
        <f>COUNTIFS(Tracker!E:E, 2, Tracker!G:G, "&lt;="&amp;Daily!C322, Tracker!L:L, "N") / AA322</f>
        <v>0.61276595744680851</v>
      </c>
      <c r="AF322" s="38">
        <f t="shared" si="145"/>
        <v>42</v>
      </c>
      <c r="AG322" s="30">
        <f t="shared" si="146"/>
        <v>27</v>
      </c>
      <c r="AH322" s="73">
        <f t="shared" si="147"/>
        <v>0.6428571428571429</v>
      </c>
      <c r="AI322" s="75">
        <f>IFERROR(AVERAGEIFS(Tracker!I:I, Tracker!E:E, 3, Tracker!G:G, "&lt;="&amp;Daily!C322, Tracker!J:J, "Y"), 0)</f>
        <v>40.074074074074076</v>
      </c>
      <c r="AJ322" s="76">
        <f>IFERROR(COUNTIFS(Tracker!E:E, 3, Tracker!G:G, "&lt;="&amp;Daily!C322, Tracker!L:L, "N") / AF322,  0)</f>
        <v>0.35714285714285715</v>
      </c>
      <c r="AK322" s="38">
        <f t="shared" si="148"/>
        <v>371</v>
      </c>
      <c r="AL322" s="30">
        <f t="shared" si="149"/>
        <v>304</v>
      </c>
      <c r="AM322" s="73">
        <f t="shared" si="150"/>
        <v>0.81940700808625333</v>
      </c>
      <c r="AN322" s="75">
        <f>IFERROR(AVERAGEIFS(Tracker!I:I,  Tracker!G:G, "&lt;="&amp;Daily!C322, Tracker!J:J, "Y"), 0)</f>
        <v>23.082236842105264</v>
      </c>
      <c r="AO322" s="76">
        <f>IFERROR(COUNTIFS(Tracker!G:G, "&lt;="&amp;Daily!C322, Tracker!L:L, "N") / AK322,  0)</f>
        <v>0.63342318059299196</v>
      </c>
    </row>
    <row r="323" spans="1:41" x14ac:dyDescent="0.25">
      <c r="A323" s="119"/>
      <c r="B323" s="32">
        <f t="shared" si="134"/>
        <v>45538</v>
      </c>
      <c r="C323" s="27">
        <f t="shared" si="151"/>
        <v>45538</v>
      </c>
      <c r="D323" s="109" t="b">
        <f t="shared" ca="1" si="133"/>
        <v>1</v>
      </c>
      <c r="E323" s="51">
        <f t="shared" si="135"/>
        <v>3</v>
      </c>
      <c r="F323" s="48">
        <f>COUNTIFS(Tracker!G:G,Daily!C323, Tracker!J:J,"Y")</f>
        <v>2</v>
      </c>
      <c r="G323" s="26">
        <f>COUNTIFS(Tracker!G:G,Daily!C323, Tracker!J:J,"Y (with hints)")</f>
        <v>0</v>
      </c>
      <c r="H323" s="33">
        <f>COUNTIFS(Tracker!G:G,Daily!C323, Tracker!J:J,"N")</f>
        <v>1</v>
      </c>
      <c r="I323" s="54">
        <f t="shared" si="136"/>
        <v>1</v>
      </c>
      <c r="J323" s="26">
        <f>COUNTIFS(Tracker!G:G,Daily!C323, Tracker!J:J,"Y",Tracker!E:E,1)</f>
        <v>1</v>
      </c>
      <c r="K323" s="26">
        <f>COUNTIFS(Tracker!G:G,Daily!C323, Tracker!J:J,"Y (with hints)",Tracker!E:E,1)</f>
        <v>0</v>
      </c>
      <c r="L323" s="33">
        <f>COUNTIFS(Tracker!G:G,Daily!C323, Tracker!J:J,"N",Tracker!E:E,1)</f>
        <v>0</v>
      </c>
      <c r="M323" s="54">
        <f t="shared" si="137"/>
        <v>2</v>
      </c>
      <c r="N323" s="26">
        <f>COUNTIFS(Tracker!G:G,Daily!C323, Tracker!J:J,"Y",Tracker!E:E,2)</f>
        <v>1</v>
      </c>
      <c r="O323" s="26">
        <f>COUNTIFS(Tracker!G:G,Daily!C323, Tracker!J:J,"Y (with hints)",Tracker!E:E,2)</f>
        <v>0</v>
      </c>
      <c r="P323" s="33">
        <f>COUNTIFS(Tracker!G:G,Daily!C323, Tracker!J:J,"N",Tracker!E:E,2)</f>
        <v>1</v>
      </c>
      <c r="Q323" s="57">
        <f t="shared" si="138"/>
        <v>0</v>
      </c>
      <c r="R323" s="26">
        <f>COUNTIFS(Tracker!G:G,Daily!C323, Tracker!J:J,"Y",Tracker!E:E,3)</f>
        <v>0</v>
      </c>
      <c r="S323" s="26">
        <f>COUNTIFS(Tracker!G:G,Daily!C323, Tracker!J:J,"Y (with hints)",Tracker!E:E,3)</f>
        <v>0</v>
      </c>
      <c r="T323" s="33">
        <f>COUNTIFS(Tracker!G:G,Daily!C323, Tracker!J:J,"N",Tracker!E:E,3)</f>
        <v>0</v>
      </c>
      <c r="V323" s="48">
        <f t="shared" si="139"/>
        <v>95</v>
      </c>
      <c r="W323" s="26">
        <f t="shared" si="140"/>
        <v>91</v>
      </c>
      <c r="X323" s="62">
        <f t="shared" si="141"/>
        <v>0.95789473684210524</v>
      </c>
      <c r="Y323" s="74">
        <f>AVERAGEIFS(Tracker!I:I, Tracker!E:E, 1, Tracker!G:G, "&lt;="&amp;Daily!C323, Tracker!J:J, "Y")</f>
        <v>12.494505494505495</v>
      </c>
      <c r="Z323" s="77">
        <f>COUNTIFS(Tracker!E:E, 1, Tracker!G:G, "&lt;="&amp;Daily!C323, Tracker!L:L, "N") / V323</f>
        <v>0.81052631578947365</v>
      </c>
      <c r="AA323" s="48">
        <f t="shared" si="142"/>
        <v>237</v>
      </c>
      <c r="AB323" s="26">
        <f t="shared" si="143"/>
        <v>188</v>
      </c>
      <c r="AC323" s="62">
        <f t="shared" si="144"/>
        <v>0.7932489451476793</v>
      </c>
      <c r="AD323" s="74">
        <f>AVERAGEIFS(Tracker!I:I, Tracker!E:E, 2, Tracker!G:G, "&lt;="&amp;Daily!C323, Tracker!J:J, "Y")</f>
        <v>25.856382978723403</v>
      </c>
      <c r="AE323" s="77">
        <f>COUNTIFS(Tracker!E:E, 2, Tracker!G:G, "&lt;="&amp;Daily!C323, Tracker!L:L, "N") / AA323</f>
        <v>0.60759493670886078</v>
      </c>
      <c r="AF323" s="48">
        <f t="shared" si="145"/>
        <v>42</v>
      </c>
      <c r="AG323" s="26">
        <f t="shared" si="146"/>
        <v>27</v>
      </c>
      <c r="AH323" s="62">
        <f t="shared" si="147"/>
        <v>0.6428571428571429</v>
      </c>
      <c r="AI323" s="74">
        <f>IFERROR(AVERAGEIFS(Tracker!I:I, Tracker!E:E, 3, Tracker!G:G, "&lt;="&amp;Daily!C323, Tracker!J:J, "Y"), 0)</f>
        <v>40.074074074074076</v>
      </c>
      <c r="AJ323" s="77">
        <f>IFERROR(COUNTIFS(Tracker!E:E, 3, Tracker!G:G, "&lt;="&amp;Daily!C323, Tracker!L:L, "N") / AF323,  0)</f>
        <v>0.35714285714285715</v>
      </c>
      <c r="AK323" s="48">
        <f t="shared" si="148"/>
        <v>374</v>
      </c>
      <c r="AL323" s="26">
        <f t="shared" si="149"/>
        <v>306</v>
      </c>
      <c r="AM323" s="62">
        <f t="shared" si="150"/>
        <v>0.81818181818181823</v>
      </c>
      <c r="AN323" s="74">
        <f>IFERROR(AVERAGEIFS(Tracker!I:I,  Tracker!G:G, "&lt;="&amp;Daily!C323, Tracker!J:J, "Y"), 0)</f>
        <v>23.137254901960784</v>
      </c>
      <c r="AO323" s="77">
        <f>IFERROR(COUNTIFS(Tracker!G:G, "&lt;="&amp;Daily!C323, Tracker!L:L, "N") / AK323,  0)</f>
        <v>0.63101604278074863</v>
      </c>
    </row>
    <row r="324" spans="1:41" x14ac:dyDescent="0.25">
      <c r="A324" s="119"/>
      <c r="B324" s="32">
        <f t="shared" si="134"/>
        <v>45539</v>
      </c>
      <c r="C324" s="27">
        <f t="shared" si="151"/>
        <v>45539</v>
      </c>
      <c r="D324" s="109" t="b">
        <f t="shared" ca="1" si="133"/>
        <v>1</v>
      </c>
      <c r="E324" s="51">
        <f t="shared" si="135"/>
        <v>3</v>
      </c>
      <c r="F324" s="48">
        <f>COUNTIFS(Tracker!G:G,Daily!C324, Tracker!J:J,"Y")</f>
        <v>3</v>
      </c>
      <c r="G324" s="26">
        <f>COUNTIFS(Tracker!G:G,Daily!C324, Tracker!J:J,"Y (with hints)")</f>
        <v>0</v>
      </c>
      <c r="H324" s="33">
        <f>COUNTIFS(Tracker!G:G,Daily!C324, Tracker!J:J,"N")</f>
        <v>0</v>
      </c>
      <c r="I324" s="54">
        <f t="shared" si="136"/>
        <v>1</v>
      </c>
      <c r="J324" s="26">
        <f>COUNTIFS(Tracker!G:G,Daily!C324, Tracker!J:J,"Y",Tracker!E:E,1)</f>
        <v>1</v>
      </c>
      <c r="K324" s="26">
        <f>COUNTIFS(Tracker!G:G,Daily!C324, Tracker!J:J,"Y (with hints)",Tracker!E:E,1)</f>
        <v>0</v>
      </c>
      <c r="L324" s="33">
        <f>COUNTIFS(Tracker!G:G,Daily!C324, Tracker!J:J,"N",Tracker!E:E,1)</f>
        <v>0</v>
      </c>
      <c r="M324" s="54">
        <f t="shared" si="137"/>
        <v>2</v>
      </c>
      <c r="N324" s="26">
        <f>COUNTIFS(Tracker!G:G,Daily!C324, Tracker!J:J,"Y",Tracker!E:E,2)</f>
        <v>2</v>
      </c>
      <c r="O324" s="26">
        <f>COUNTIFS(Tracker!G:G,Daily!C324, Tracker!J:J,"Y (with hints)",Tracker!E:E,2)</f>
        <v>0</v>
      </c>
      <c r="P324" s="33">
        <f>COUNTIFS(Tracker!G:G,Daily!C324, Tracker!J:J,"N",Tracker!E:E,2)</f>
        <v>0</v>
      </c>
      <c r="Q324" s="57">
        <f t="shared" si="138"/>
        <v>0</v>
      </c>
      <c r="R324" s="26">
        <f>COUNTIFS(Tracker!G:G,Daily!C324, Tracker!J:J,"Y",Tracker!E:E,3)</f>
        <v>0</v>
      </c>
      <c r="S324" s="26">
        <f>COUNTIFS(Tracker!G:G,Daily!C324, Tracker!J:J,"Y (with hints)",Tracker!E:E,3)</f>
        <v>0</v>
      </c>
      <c r="T324" s="33">
        <f>COUNTIFS(Tracker!G:G,Daily!C324, Tracker!J:J,"N",Tracker!E:E,3)</f>
        <v>0</v>
      </c>
      <c r="V324" s="48">
        <f t="shared" si="139"/>
        <v>96</v>
      </c>
      <c r="W324" s="26">
        <f t="shared" si="140"/>
        <v>92</v>
      </c>
      <c r="X324" s="62">
        <f t="shared" si="141"/>
        <v>0.95833333333333337</v>
      </c>
      <c r="Y324" s="74">
        <f>AVERAGEIFS(Tracker!I:I, Tracker!E:E, 1, Tracker!G:G, "&lt;="&amp;Daily!C324, Tracker!J:J, "Y")</f>
        <v>12.423913043478262</v>
      </c>
      <c r="Z324" s="77">
        <f>COUNTIFS(Tracker!E:E, 1, Tracker!G:G, "&lt;="&amp;Daily!C324, Tracker!L:L, "N") / V324</f>
        <v>0.8125</v>
      </c>
      <c r="AA324" s="48">
        <f t="shared" si="142"/>
        <v>239</v>
      </c>
      <c r="AB324" s="26">
        <f t="shared" si="143"/>
        <v>190</v>
      </c>
      <c r="AC324" s="62">
        <f t="shared" si="144"/>
        <v>0.79497907949790791</v>
      </c>
      <c r="AD324" s="74">
        <f>AVERAGEIFS(Tracker!I:I, Tracker!E:E, 2, Tracker!G:G, "&lt;="&amp;Daily!C324, Tracker!J:J, "Y")</f>
        <v>25.894736842105264</v>
      </c>
      <c r="AE324" s="77">
        <f>COUNTIFS(Tracker!E:E, 2, Tracker!G:G, "&lt;="&amp;Daily!C324, Tracker!L:L, "N") / AA324</f>
        <v>0.61087866108786615</v>
      </c>
      <c r="AF324" s="48">
        <f t="shared" si="145"/>
        <v>42</v>
      </c>
      <c r="AG324" s="26">
        <f t="shared" si="146"/>
        <v>27</v>
      </c>
      <c r="AH324" s="62">
        <f t="shared" si="147"/>
        <v>0.6428571428571429</v>
      </c>
      <c r="AI324" s="74">
        <f>IFERROR(AVERAGEIFS(Tracker!I:I, Tracker!E:E, 3, Tracker!G:G, "&lt;="&amp;Daily!C324, Tracker!J:J, "Y"), 0)</f>
        <v>40.074074074074076</v>
      </c>
      <c r="AJ324" s="77">
        <f>IFERROR(COUNTIFS(Tracker!E:E, 3, Tracker!G:G, "&lt;="&amp;Daily!C324, Tracker!L:L, "N") / AF324,  0)</f>
        <v>0.35714285714285715</v>
      </c>
      <c r="AK324" s="48">
        <f t="shared" si="148"/>
        <v>377</v>
      </c>
      <c r="AL324" s="26">
        <f t="shared" si="149"/>
        <v>309</v>
      </c>
      <c r="AM324" s="62">
        <f t="shared" si="150"/>
        <v>0.81962864721485407</v>
      </c>
      <c r="AN324" s="74">
        <f>IFERROR(AVERAGEIFS(Tracker!I:I,  Tracker!G:G, "&lt;="&amp;Daily!C324, Tracker!J:J, "Y"), 0)</f>
        <v>23.122977346278319</v>
      </c>
      <c r="AO324" s="77">
        <f>IFERROR(COUNTIFS(Tracker!G:G, "&lt;="&amp;Daily!C324, Tracker!L:L, "N") / AK324,  0)</f>
        <v>0.63395225464190985</v>
      </c>
    </row>
    <row r="325" spans="1:41" x14ac:dyDescent="0.25">
      <c r="A325" s="119"/>
      <c r="B325" s="32">
        <f t="shared" si="134"/>
        <v>45540</v>
      </c>
      <c r="C325" s="27">
        <f t="shared" si="151"/>
        <v>45540</v>
      </c>
      <c r="D325" s="109" t="b">
        <f t="shared" ref="D325:D388" ca="1" si="152">C325&lt;=TODAY()</f>
        <v>1</v>
      </c>
      <c r="E325" s="51">
        <f t="shared" si="135"/>
        <v>0</v>
      </c>
      <c r="F325" s="48">
        <f>COUNTIFS(Tracker!G:G,Daily!C325, Tracker!J:J,"Y")</f>
        <v>0</v>
      </c>
      <c r="G325" s="26">
        <f>COUNTIFS(Tracker!G:G,Daily!C325, Tracker!J:J,"Y (with hints)")</f>
        <v>0</v>
      </c>
      <c r="H325" s="33">
        <f>COUNTIFS(Tracker!G:G,Daily!C325, Tracker!J:J,"N")</f>
        <v>0</v>
      </c>
      <c r="I325" s="54">
        <f t="shared" si="136"/>
        <v>0</v>
      </c>
      <c r="J325" s="26">
        <f>COUNTIFS(Tracker!G:G,Daily!C325, Tracker!J:J,"Y",Tracker!E:E,1)</f>
        <v>0</v>
      </c>
      <c r="K325" s="26">
        <f>COUNTIFS(Tracker!G:G,Daily!C325, Tracker!J:J,"Y (with hints)",Tracker!E:E,1)</f>
        <v>0</v>
      </c>
      <c r="L325" s="33">
        <f>COUNTIFS(Tracker!G:G,Daily!C325, Tracker!J:J,"N",Tracker!E:E,1)</f>
        <v>0</v>
      </c>
      <c r="M325" s="54">
        <f t="shared" si="137"/>
        <v>0</v>
      </c>
      <c r="N325" s="26">
        <f>COUNTIFS(Tracker!G:G,Daily!C325, Tracker!J:J,"Y",Tracker!E:E,2)</f>
        <v>0</v>
      </c>
      <c r="O325" s="26">
        <f>COUNTIFS(Tracker!G:G,Daily!C325, Tracker!J:J,"Y (with hints)",Tracker!E:E,2)</f>
        <v>0</v>
      </c>
      <c r="P325" s="33">
        <f>COUNTIFS(Tracker!G:G,Daily!C325, Tracker!J:J,"N",Tracker!E:E,2)</f>
        <v>0</v>
      </c>
      <c r="Q325" s="57">
        <f t="shared" si="138"/>
        <v>0</v>
      </c>
      <c r="R325" s="26">
        <f>COUNTIFS(Tracker!G:G,Daily!C325, Tracker!J:J,"Y",Tracker!E:E,3)</f>
        <v>0</v>
      </c>
      <c r="S325" s="26">
        <f>COUNTIFS(Tracker!G:G,Daily!C325, Tracker!J:J,"Y (with hints)",Tracker!E:E,3)</f>
        <v>0</v>
      </c>
      <c r="T325" s="33">
        <f>COUNTIFS(Tracker!G:G,Daily!C325, Tracker!J:J,"N",Tracker!E:E,3)</f>
        <v>0</v>
      </c>
      <c r="V325" s="48">
        <f t="shared" si="139"/>
        <v>96</v>
      </c>
      <c r="W325" s="26">
        <f t="shared" si="140"/>
        <v>92</v>
      </c>
      <c r="X325" s="62">
        <f t="shared" si="141"/>
        <v>0.95833333333333337</v>
      </c>
      <c r="Y325" s="74">
        <f>AVERAGEIFS(Tracker!I:I, Tracker!E:E, 1, Tracker!G:G, "&lt;="&amp;Daily!C325, Tracker!J:J, "Y")</f>
        <v>12.423913043478262</v>
      </c>
      <c r="Z325" s="77">
        <f>COUNTIFS(Tracker!E:E, 1, Tracker!G:G, "&lt;="&amp;Daily!C325, Tracker!L:L, "N") / V325</f>
        <v>0.8125</v>
      </c>
      <c r="AA325" s="48">
        <f t="shared" si="142"/>
        <v>239</v>
      </c>
      <c r="AB325" s="26">
        <f t="shared" si="143"/>
        <v>190</v>
      </c>
      <c r="AC325" s="62">
        <f t="shared" si="144"/>
        <v>0.79497907949790791</v>
      </c>
      <c r="AD325" s="74">
        <f>AVERAGEIFS(Tracker!I:I, Tracker!E:E, 2, Tracker!G:G, "&lt;="&amp;Daily!C325, Tracker!J:J, "Y")</f>
        <v>25.894736842105264</v>
      </c>
      <c r="AE325" s="77">
        <f>COUNTIFS(Tracker!E:E, 2, Tracker!G:G, "&lt;="&amp;Daily!C325, Tracker!L:L, "N") / AA325</f>
        <v>0.61087866108786615</v>
      </c>
      <c r="AF325" s="48">
        <f t="shared" si="145"/>
        <v>42</v>
      </c>
      <c r="AG325" s="26">
        <f t="shared" si="146"/>
        <v>27</v>
      </c>
      <c r="AH325" s="62">
        <f t="shared" si="147"/>
        <v>0.6428571428571429</v>
      </c>
      <c r="AI325" s="74">
        <f>IFERROR(AVERAGEIFS(Tracker!I:I, Tracker!E:E, 3, Tracker!G:G, "&lt;="&amp;Daily!C325, Tracker!J:J, "Y"), 0)</f>
        <v>40.074074074074076</v>
      </c>
      <c r="AJ325" s="77">
        <f>IFERROR(COUNTIFS(Tracker!E:E, 3, Tracker!G:G, "&lt;="&amp;Daily!C325, Tracker!L:L, "N") / AF325,  0)</f>
        <v>0.35714285714285715</v>
      </c>
      <c r="AK325" s="48">
        <f t="shared" si="148"/>
        <v>377</v>
      </c>
      <c r="AL325" s="26">
        <f t="shared" si="149"/>
        <v>309</v>
      </c>
      <c r="AM325" s="62">
        <f t="shared" si="150"/>
        <v>0.81962864721485407</v>
      </c>
      <c r="AN325" s="74">
        <f>IFERROR(AVERAGEIFS(Tracker!I:I,  Tracker!G:G, "&lt;="&amp;Daily!C325, Tracker!J:J, "Y"), 0)</f>
        <v>23.122977346278319</v>
      </c>
      <c r="AO325" s="77">
        <f>IFERROR(COUNTIFS(Tracker!G:G, "&lt;="&amp;Daily!C325, Tracker!L:L, "N") / AK325,  0)</f>
        <v>0.63395225464190985</v>
      </c>
    </row>
    <row r="326" spans="1:41" x14ac:dyDescent="0.25">
      <c r="A326" s="119"/>
      <c r="B326" s="32">
        <f t="shared" si="134"/>
        <v>45541</v>
      </c>
      <c r="C326" s="27">
        <f t="shared" si="151"/>
        <v>45541</v>
      </c>
      <c r="D326" s="109" t="b">
        <f t="shared" ca="1" si="152"/>
        <v>1</v>
      </c>
      <c r="E326" s="51">
        <f t="shared" si="135"/>
        <v>0</v>
      </c>
      <c r="F326" s="48">
        <f>COUNTIFS(Tracker!G:G,Daily!C326, Tracker!J:J,"Y")</f>
        <v>0</v>
      </c>
      <c r="G326" s="26">
        <f>COUNTIFS(Tracker!G:G,Daily!C326, Tracker!J:J,"Y (with hints)")</f>
        <v>0</v>
      </c>
      <c r="H326" s="33">
        <f>COUNTIFS(Tracker!G:G,Daily!C326, Tracker!J:J,"N")</f>
        <v>0</v>
      </c>
      <c r="I326" s="54">
        <f t="shared" si="136"/>
        <v>0</v>
      </c>
      <c r="J326" s="26">
        <f>COUNTIFS(Tracker!G:G,Daily!C326, Tracker!J:J,"Y",Tracker!E:E,1)</f>
        <v>0</v>
      </c>
      <c r="K326" s="26">
        <f>COUNTIFS(Tracker!G:G,Daily!C326, Tracker!J:J,"Y (with hints)",Tracker!E:E,1)</f>
        <v>0</v>
      </c>
      <c r="L326" s="33">
        <f>COUNTIFS(Tracker!G:G,Daily!C326, Tracker!J:J,"N",Tracker!E:E,1)</f>
        <v>0</v>
      </c>
      <c r="M326" s="54">
        <f t="shared" si="137"/>
        <v>0</v>
      </c>
      <c r="N326" s="26">
        <f>COUNTIFS(Tracker!G:G,Daily!C326, Tracker!J:J,"Y",Tracker!E:E,2)</f>
        <v>0</v>
      </c>
      <c r="O326" s="26">
        <f>COUNTIFS(Tracker!G:G,Daily!C326, Tracker!J:J,"Y (with hints)",Tracker!E:E,2)</f>
        <v>0</v>
      </c>
      <c r="P326" s="33">
        <f>COUNTIFS(Tracker!G:G,Daily!C326, Tracker!J:J,"N",Tracker!E:E,2)</f>
        <v>0</v>
      </c>
      <c r="Q326" s="57">
        <f t="shared" si="138"/>
        <v>0</v>
      </c>
      <c r="R326" s="26">
        <f>COUNTIFS(Tracker!G:G,Daily!C326, Tracker!J:J,"Y",Tracker!E:E,3)</f>
        <v>0</v>
      </c>
      <c r="S326" s="26">
        <f>COUNTIFS(Tracker!G:G,Daily!C326, Tracker!J:J,"Y (with hints)",Tracker!E:E,3)</f>
        <v>0</v>
      </c>
      <c r="T326" s="33">
        <f>COUNTIFS(Tracker!G:G,Daily!C326, Tracker!J:J,"N",Tracker!E:E,3)</f>
        <v>0</v>
      </c>
      <c r="V326" s="48">
        <f t="shared" si="139"/>
        <v>96</v>
      </c>
      <c r="W326" s="26">
        <f t="shared" si="140"/>
        <v>92</v>
      </c>
      <c r="X326" s="62">
        <f t="shared" si="141"/>
        <v>0.95833333333333337</v>
      </c>
      <c r="Y326" s="74">
        <f>AVERAGEIFS(Tracker!I:I, Tracker!E:E, 1, Tracker!G:G, "&lt;="&amp;Daily!C326, Tracker!J:J, "Y")</f>
        <v>12.423913043478262</v>
      </c>
      <c r="Z326" s="77">
        <f>COUNTIFS(Tracker!E:E, 1, Tracker!G:G, "&lt;="&amp;Daily!C326, Tracker!L:L, "N") / V326</f>
        <v>0.8125</v>
      </c>
      <c r="AA326" s="48">
        <f t="shared" si="142"/>
        <v>239</v>
      </c>
      <c r="AB326" s="26">
        <f t="shared" si="143"/>
        <v>190</v>
      </c>
      <c r="AC326" s="62">
        <f t="shared" si="144"/>
        <v>0.79497907949790791</v>
      </c>
      <c r="AD326" s="74">
        <f>AVERAGEIFS(Tracker!I:I, Tracker!E:E, 2, Tracker!G:G, "&lt;="&amp;Daily!C326, Tracker!J:J, "Y")</f>
        <v>25.894736842105264</v>
      </c>
      <c r="AE326" s="77">
        <f>COUNTIFS(Tracker!E:E, 2, Tracker!G:G, "&lt;="&amp;Daily!C326, Tracker!L:L, "N") / AA326</f>
        <v>0.61087866108786615</v>
      </c>
      <c r="AF326" s="48">
        <f t="shared" si="145"/>
        <v>42</v>
      </c>
      <c r="AG326" s="26">
        <f t="shared" si="146"/>
        <v>27</v>
      </c>
      <c r="AH326" s="62">
        <f t="shared" si="147"/>
        <v>0.6428571428571429</v>
      </c>
      <c r="AI326" s="74">
        <f>IFERROR(AVERAGEIFS(Tracker!I:I, Tracker!E:E, 3, Tracker!G:G, "&lt;="&amp;Daily!C326, Tracker!J:J, "Y"), 0)</f>
        <v>40.074074074074076</v>
      </c>
      <c r="AJ326" s="77">
        <f>IFERROR(COUNTIFS(Tracker!E:E, 3, Tracker!G:G, "&lt;="&amp;Daily!C326, Tracker!L:L, "N") / AF326,  0)</f>
        <v>0.35714285714285715</v>
      </c>
      <c r="AK326" s="48">
        <f t="shared" si="148"/>
        <v>377</v>
      </c>
      <c r="AL326" s="26">
        <f t="shared" si="149"/>
        <v>309</v>
      </c>
      <c r="AM326" s="62">
        <f t="shared" si="150"/>
        <v>0.81962864721485407</v>
      </c>
      <c r="AN326" s="74">
        <f>IFERROR(AVERAGEIFS(Tracker!I:I,  Tracker!G:G, "&lt;="&amp;Daily!C326, Tracker!J:J, "Y"), 0)</f>
        <v>23.122977346278319</v>
      </c>
      <c r="AO326" s="77">
        <f>IFERROR(COUNTIFS(Tracker!G:G, "&lt;="&amp;Daily!C326, Tracker!L:L, "N") / AK326,  0)</f>
        <v>0.63395225464190985</v>
      </c>
    </row>
    <row r="327" spans="1:41" x14ac:dyDescent="0.25">
      <c r="A327" s="119"/>
      <c r="B327" s="32">
        <f t="shared" si="134"/>
        <v>45542</v>
      </c>
      <c r="C327" s="27">
        <f t="shared" si="151"/>
        <v>45542</v>
      </c>
      <c r="D327" s="109" t="b">
        <f t="shared" ca="1" si="152"/>
        <v>1</v>
      </c>
      <c r="E327" s="51">
        <f t="shared" si="135"/>
        <v>0</v>
      </c>
      <c r="F327" s="48">
        <f>COUNTIFS(Tracker!G:G,Daily!C327, Tracker!J:J,"Y")</f>
        <v>0</v>
      </c>
      <c r="G327" s="26">
        <f>COUNTIFS(Tracker!G:G,Daily!C327, Tracker!J:J,"Y (with hints)")</f>
        <v>0</v>
      </c>
      <c r="H327" s="33">
        <f>COUNTIFS(Tracker!G:G,Daily!C327, Tracker!J:J,"N")</f>
        <v>0</v>
      </c>
      <c r="I327" s="54">
        <f t="shared" si="136"/>
        <v>0</v>
      </c>
      <c r="J327" s="26">
        <f>COUNTIFS(Tracker!G:G,Daily!C327, Tracker!J:J,"Y",Tracker!E:E,1)</f>
        <v>0</v>
      </c>
      <c r="K327" s="26">
        <f>COUNTIFS(Tracker!G:G,Daily!C327, Tracker!J:J,"Y (with hints)",Tracker!E:E,1)</f>
        <v>0</v>
      </c>
      <c r="L327" s="33">
        <f>COUNTIFS(Tracker!G:G,Daily!C327, Tracker!J:J,"N",Tracker!E:E,1)</f>
        <v>0</v>
      </c>
      <c r="M327" s="54">
        <f t="shared" si="137"/>
        <v>0</v>
      </c>
      <c r="N327" s="26">
        <f>COUNTIFS(Tracker!G:G,Daily!C327, Tracker!J:J,"Y",Tracker!E:E,2)</f>
        <v>0</v>
      </c>
      <c r="O327" s="26">
        <f>COUNTIFS(Tracker!G:G,Daily!C327, Tracker!J:J,"Y (with hints)",Tracker!E:E,2)</f>
        <v>0</v>
      </c>
      <c r="P327" s="33">
        <f>COUNTIFS(Tracker!G:G,Daily!C327, Tracker!J:J,"N",Tracker!E:E,2)</f>
        <v>0</v>
      </c>
      <c r="Q327" s="57">
        <f t="shared" si="138"/>
        <v>0</v>
      </c>
      <c r="R327" s="26">
        <f>COUNTIFS(Tracker!G:G,Daily!C327, Tracker!J:J,"Y",Tracker!E:E,3)</f>
        <v>0</v>
      </c>
      <c r="S327" s="26">
        <f>COUNTIFS(Tracker!G:G,Daily!C327, Tracker!J:J,"Y (with hints)",Tracker!E:E,3)</f>
        <v>0</v>
      </c>
      <c r="T327" s="33">
        <f>COUNTIFS(Tracker!G:G,Daily!C327, Tracker!J:J,"N",Tracker!E:E,3)</f>
        <v>0</v>
      </c>
      <c r="V327" s="48">
        <f t="shared" si="139"/>
        <v>96</v>
      </c>
      <c r="W327" s="26">
        <f t="shared" si="140"/>
        <v>92</v>
      </c>
      <c r="X327" s="62">
        <f t="shared" si="141"/>
        <v>0.95833333333333337</v>
      </c>
      <c r="Y327" s="74">
        <f>AVERAGEIFS(Tracker!I:I, Tracker!E:E, 1, Tracker!G:G, "&lt;="&amp;Daily!C327, Tracker!J:J, "Y")</f>
        <v>12.423913043478262</v>
      </c>
      <c r="Z327" s="77">
        <f>COUNTIFS(Tracker!E:E, 1, Tracker!G:G, "&lt;="&amp;Daily!C327, Tracker!L:L, "N") / V327</f>
        <v>0.8125</v>
      </c>
      <c r="AA327" s="48">
        <f t="shared" si="142"/>
        <v>239</v>
      </c>
      <c r="AB327" s="26">
        <f t="shared" si="143"/>
        <v>190</v>
      </c>
      <c r="AC327" s="62">
        <f t="shared" si="144"/>
        <v>0.79497907949790791</v>
      </c>
      <c r="AD327" s="74">
        <f>AVERAGEIFS(Tracker!I:I, Tracker!E:E, 2, Tracker!G:G, "&lt;="&amp;Daily!C327, Tracker!J:J, "Y")</f>
        <v>25.894736842105264</v>
      </c>
      <c r="AE327" s="77">
        <f>COUNTIFS(Tracker!E:E, 2, Tracker!G:G, "&lt;="&amp;Daily!C327, Tracker!L:L, "N") / AA327</f>
        <v>0.61087866108786615</v>
      </c>
      <c r="AF327" s="48">
        <f t="shared" si="145"/>
        <v>42</v>
      </c>
      <c r="AG327" s="26">
        <f t="shared" si="146"/>
        <v>27</v>
      </c>
      <c r="AH327" s="62">
        <f t="shared" si="147"/>
        <v>0.6428571428571429</v>
      </c>
      <c r="AI327" s="74">
        <f>IFERROR(AVERAGEIFS(Tracker!I:I, Tracker!E:E, 3, Tracker!G:G, "&lt;="&amp;Daily!C327, Tracker!J:J, "Y"), 0)</f>
        <v>40.074074074074076</v>
      </c>
      <c r="AJ327" s="77">
        <f>IFERROR(COUNTIFS(Tracker!E:E, 3, Tracker!G:G, "&lt;="&amp;Daily!C327, Tracker!L:L, "N") / AF327,  0)</f>
        <v>0.35714285714285715</v>
      </c>
      <c r="AK327" s="48">
        <f t="shared" si="148"/>
        <v>377</v>
      </c>
      <c r="AL327" s="26">
        <f t="shared" si="149"/>
        <v>309</v>
      </c>
      <c r="AM327" s="62">
        <f t="shared" si="150"/>
        <v>0.81962864721485407</v>
      </c>
      <c r="AN327" s="74">
        <f>IFERROR(AVERAGEIFS(Tracker!I:I,  Tracker!G:G, "&lt;="&amp;Daily!C327, Tracker!J:J, "Y"), 0)</f>
        <v>23.122977346278319</v>
      </c>
      <c r="AO327" s="77">
        <f>IFERROR(COUNTIFS(Tracker!G:G, "&lt;="&amp;Daily!C327, Tracker!L:L, "N") / AK327,  0)</f>
        <v>0.63395225464190985</v>
      </c>
    </row>
    <row r="328" spans="1:41" ht="15.75" thickBot="1" x14ac:dyDescent="0.3">
      <c r="A328" s="120"/>
      <c r="B328" s="34">
        <f t="shared" si="134"/>
        <v>45543</v>
      </c>
      <c r="C328" s="35">
        <f t="shared" si="151"/>
        <v>45543</v>
      </c>
      <c r="D328" s="110" t="b">
        <f t="shared" ca="1" si="152"/>
        <v>1</v>
      </c>
      <c r="E328" s="52">
        <f t="shared" si="135"/>
        <v>0</v>
      </c>
      <c r="F328" s="39">
        <f>COUNTIFS(Tracker!G:G,Daily!C328, Tracker!J:J,"Y")</f>
        <v>0</v>
      </c>
      <c r="G328" s="36">
        <f>COUNTIFS(Tracker!G:G,Daily!C328, Tracker!J:J,"Y (with hints)")</f>
        <v>0</v>
      </c>
      <c r="H328" s="37">
        <f>COUNTIFS(Tracker!G:G,Daily!C328, Tracker!J:J,"N")</f>
        <v>0</v>
      </c>
      <c r="I328" s="55">
        <f t="shared" si="136"/>
        <v>0</v>
      </c>
      <c r="J328" s="36">
        <f>COUNTIFS(Tracker!G:G,Daily!C328, Tracker!J:J,"Y",Tracker!E:E,1)</f>
        <v>0</v>
      </c>
      <c r="K328" s="36">
        <f>COUNTIFS(Tracker!G:G,Daily!C328, Tracker!J:J,"Y (with hints)",Tracker!E:E,1)</f>
        <v>0</v>
      </c>
      <c r="L328" s="37">
        <f>COUNTIFS(Tracker!G:G,Daily!C328, Tracker!J:J,"N",Tracker!E:E,1)</f>
        <v>0</v>
      </c>
      <c r="M328" s="55">
        <f t="shared" si="137"/>
        <v>0</v>
      </c>
      <c r="N328" s="36">
        <f>COUNTIFS(Tracker!G:G,Daily!C328, Tracker!J:J,"Y",Tracker!E:E,2)</f>
        <v>0</v>
      </c>
      <c r="O328" s="36">
        <f>COUNTIFS(Tracker!G:G,Daily!C328, Tracker!J:J,"Y (with hints)",Tracker!E:E,2)</f>
        <v>0</v>
      </c>
      <c r="P328" s="37">
        <f>COUNTIFS(Tracker!G:G,Daily!C328, Tracker!J:J,"N",Tracker!E:E,2)</f>
        <v>0</v>
      </c>
      <c r="Q328" s="58">
        <f t="shared" si="138"/>
        <v>0</v>
      </c>
      <c r="R328" s="36">
        <f>COUNTIFS(Tracker!G:G,Daily!C328, Tracker!J:J,"Y",Tracker!E:E,3)</f>
        <v>0</v>
      </c>
      <c r="S328" s="36">
        <f>COUNTIFS(Tracker!G:G,Daily!C328, Tracker!J:J,"Y (with hints)",Tracker!E:E,3)</f>
        <v>0</v>
      </c>
      <c r="T328" s="37">
        <f>COUNTIFS(Tracker!G:G,Daily!C328, Tracker!J:J,"N",Tracker!E:E,3)</f>
        <v>0</v>
      </c>
      <c r="V328" s="39">
        <f t="shared" si="139"/>
        <v>96</v>
      </c>
      <c r="W328" s="36">
        <f t="shared" si="140"/>
        <v>92</v>
      </c>
      <c r="X328" s="64">
        <f t="shared" si="141"/>
        <v>0.95833333333333337</v>
      </c>
      <c r="Y328" s="78">
        <f>AVERAGEIFS(Tracker!I:I, Tracker!E:E, 1, Tracker!G:G, "&lt;="&amp;Daily!C328, Tracker!J:J, "Y")</f>
        <v>12.423913043478262</v>
      </c>
      <c r="Z328" s="79">
        <f>COUNTIFS(Tracker!E:E, 1, Tracker!G:G, "&lt;="&amp;Daily!C328, Tracker!L:L, "N") / V328</f>
        <v>0.8125</v>
      </c>
      <c r="AA328" s="39">
        <f t="shared" si="142"/>
        <v>239</v>
      </c>
      <c r="AB328" s="36">
        <f t="shared" si="143"/>
        <v>190</v>
      </c>
      <c r="AC328" s="64">
        <f t="shared" si="144"/>
        <v>0.79497907949790791</v>
      </c>
      <c r="AD328" s="78">
        <f>AVERAGEIFS(Tracker!I:I, Tracker!E:E, 2, Tracker!G:G, "&lt;="&amp;Daily!C328, Tracker!J:J, "Y")</f>
        <v>25.894736842105264</v>
      </c>
      <c r="AE328" s="79">
        <f>COUNTIFS(Tracker!E:E, 2, Tracker!G:G, "&lt;="&amp;Daily!C328, Tracker!L:L, "N") / AA328</f>
        <v>0.61087866108786615</v>
      </c>
      <c r="AF328" s="39">
        <f t="shared" si="145"/>
        <v>42</v>
      </c>
      <c r="AG328" s="36">
        <f t="shared" si="146"/>
        <v>27</v>
      </c>
      <c r="AH328" s="64">
        <f t="shared" si="147"/>
        <v>0.6428571428571429</v>
      </c>
      <c r="AI328" s="78">
        <f>IFERROR(AVERAGEIFS(Tracker!I:I, Tracker!E:E, 3, Tracker!G:G, "&lt;="&amp;Daily!C328, Tracker!J:J, "Y"), 0)</f>
        <v>40.074074074074076</v>
      </c>
      <c r="AJ328" s="79">
        <f>IFERROR(COUNTIFS(Tracker!E:E, 3, Tracker!G:G, "&lt;="&amp;Daily!C328, Tracker!L:L, "N") / AF328,  0)</f>
        <v>0.35714285714285715</v>
      </c>
      <c r="AK328" s="39">
        <f t="shared" si="148"/>
        <v>377</v>
      </c>
      <c r="AL328" s="36">
        <f t="shared" si="149"/>
        <v>309</v>
      </c>
      <c r="AM328" s="64">
        <f t="shared" si="150"/>
        <v>0.81962864721485407</v>
      </c>
      <c r="AN328" s="78">
        <f>IFERROR(AVERAGEIFS(Tracker!I:I,  Tracker!G:G, "&lt;="&amp;Daily!C328, Tracker!J:J, "Y"), 0)</f>
        <v>23.122977346278319</v>
      </c>
      <c r="AO328" s="79">
        <f>IFERROR(COUNTIFS(Tracker!G:G, "&lt;="&amp;Daily!C328, Tracker!L:L, "N") / AK328,  0)</f>
        <v>0.63395225464190985</v>
      </c>
    </row>
    <row r="329" spans="1:41" x14ac:dyDescent="0.25">
      <c r="A329" s="118">
        <f>A322+1</f>
        <v>47</v>
      </c>
      <c r="B329" s="28">
        <f t="shared" si="134"/>
        <v>45544</v>
      </c>
      <c r="C329" s="29">
        <f t="shared" si="151"/>
        <v>45544</v>
      </c>
      <c r="D329" s="108" t="b">
        <f t="shared" ca="1" si="152"/>
        <v>1</v>
      </c>
      <c r="E329" s="50">
        <f t="shared" si="135"/>
        <v>0</v>
      </c>
      <c r="F329" s="38">
        <f>COUNTIFS(Tracker!G:G,Daily!C329, Tracker!J:J,"Y")</f>
        <v>0</v>
      </c>
      <c r="G329" s="30">
        <f>COUNTIFS(Tracker!G:G,Daily!C329, Tracker!J:J,"Y (with hints)")</f>
        <v>0</v>
      </c>
      <c r="H329" s="31">
        <f>COUNTIFS(Tracker!G:G,Daily!C329, Tracker!J:J,"N")</f>
        <v>0</v>
      </c>
      <c r="I329" s="53">
        <f t="shared" si="136"/>
        <v>0</v>
      </c>
      <c r="J329" s="30">
        <f>COUNTIFS(Tracker!G:G,Daily!C329, Tracker!J:J,"Y",Tracker!E:E,1)</f>
        <v>0</v>
      </c>
      <c r="K329" s="30">
        <f>COUNTIFS(Tracker!G:G,Daily!C329, Tracker!J:J,"Y (with hints)",Tracker!E:E,1)</f>
        <v>0</v>
      </c>
      <c r="L329" s="31">
        <f>COUNTIFS(Tracker!G:G,Daily!C329, Tracker!J:J,"N",Tracker!E:E,1)</f>
        <v>0</v>
      </c>
      <c r="M329" s="53">
        <f t="shared" si="137"/>
        <v>0</v>
      </c>
      <c r="N329" s="30">
        <f>COUNTIFS(Tracker!G:G,Daily!C329, Tracker!J:J,"Y",Tracker!E:E,2)</f>
        <v>0</v>
      </c>
      <c r="O329" s="30">
        <f>COUNTIFS(Tracker!G:G,Daily!C329, Tracker!J:J,"Y (with hints)",Tracker!E:E,2)</f>
        <v>0</v>
      </c>
      <c r="P329" s="31">
        <f>COUNTIFS(Tracker!G:G,Daily!C329, Tracker!J:J,"N",Tracker!E:E,2)</f>
        <v>0</v>
      </c>
      <c r="Q329" s="56">
        <f t="shared" si="138"/>
        <v>0</v>
      </c>
      <c r="R329" s="30">
        <f>COUNTIFS(Tracker!G:G,Daily!C329, Tracker!J:J,"Y",Tracker!E:E,3)</f>
        <v>0</v>
      </c>
      <c r="S329" s="30">
        <f>COUNTIFS(Tracker!G:G,Daily!C329, Tracker!J:J,"Y (with hints)",Tracker!E:E,3)</f>
        <v>0</v>
      </c>
      <c r="T329" s="31">
        <f>COUNTIFS(Tracker!G:G,Daily!C329, Tracker!J:J,"N",Tracker!E:E,3)</f>
        <v>0</v>
      </c>
      <c r="V329" s="38">
        <f t="shared" si="139"/>
        <v>96</v>
      </c>
      <c r="W329" s="30">
        <f t="shared" si="140"/>
        <v>92</v>
      </c>
      <c r="X329" s="73">
        <f t="shared" si="141"/>
        <v>0.95833333333333337</v>
      </c>
      <c r="Y329" s="75">
        <f>AVERAGEIFS(Tracker!I:I, Tracker!E:E, 1, Tracker!G:G, "&lt;="&amp;Daily!C329, Tracker!J:J, "Y")</f>
        <v>12.423913043478262</v>
      </c>
      <c r="Z329" s="76">
        <f>COUNTIFS(Tracker!E:E, 1, Tracker!G:G, "&lt;="&amp;Daily!C329, Tracker!L:L, "N") / V329</f>
        <v>0.8125</v>
      </c>
      <c r="AA329" s="38">
        <f t="shared" si="142"/>
        <v>239</v>
      </c>
      <c r="AB329" s="30">
        <f t="shared" si="143"/>
        <v>190</v>
      </c>
      <c r="AC329" s="73">
        <f t="shared" si="144"/>
        <v>0.79497907949790791</v>
      </c>
      <c r="AD329" s="75">
        <f>AVERAGEIFS(Tracker!I:I, Tracker!E:E, 2, Tracker!G:G, "&lt;="&amp;Daily!C329, Tracker!J:J, "Y")</f>
        <v>25.894736842105264</v>
      </c>
      <c r="AE329" s="76">
        <f>COUNTIFS(Tracker!E:E, 2, Tracker!G:G, "&lt;="&amp;Daily!C329, Tracker!L:L, "N") / AA329</f>
        <v>0.61087866108786615</v>
      </c>
      <c r="AF329" s="38">
        <f t="shared" si="145"/>
        <v>42</v>
      </c>
      <c r="AG329" s="30">
        <f t="shared" si="146"/>
        <v>27</v>
      </c>
      <c r="AH329" s="73">
        <f t="shared" si="147"/>
        <v>0.6428571428571429</v>
      </c>
      <c r="AI329" s="75">
        <f>IFERROR(AVERAGEIFS(Tracker!I:I, Tracker!E:E, 3, Tracker!G:G, "&lt;="&amp;Daily!C329, Tracker!J:J, "Y"), 0)</f>
        <v>40.074074074074076</v>
      </c>
      <c r="AJ329" s="76">
        <f>IFERROR(COUNTIFS(Tracker!E:E, 3, Tracker!G:G, "&lt;="&amp;Daily!C329, Tracker!L:L, "N") / AF329,  0)</f>
        <v>0.35714285714285715</v>
      </c>
      <c r="AK329" s="38">
        <f t="shared" si="148"/>
        <v>377</v>
      </c>
      <c r="AL329" s="30">
        <f t="shared" si="149"/>
        <v>309</v>
      </c>
      <c r="AM329" s="73">
        <f t="shared" si="150"/>
        <v>0.81962864721485407</v>
      </c>
      <c r="AN329" s="75">
        <f>IFERROR(AVERAGEIFS(Tracker!I:I,  Tracker!G:G, "&lt;="&amp;Daily!C329, Tracker!J:J, "Y"), 0)</f>
        <v>23.122977346278319</v>
      </c>
      <c r="AO329" s="76">
        <f>IFERROR(COUNTIFS(Tracker!G:G, "&lt;="&amp;Daily!C329, Tracker!L:L, "N") / AK329,  0)</f>
        <v>0.63395225464190985</v>
      </c>
    </row>
    <row r="330" spans="1:41" x14ac:dyDescent="0.25">
      <c r="A330" s="119"/>
      <c r="B330" s="32">
        <f t="shared" si="134"/>
        <v>45545</v>
      </c>
      <c r="C330" s="27">
        <f t="shared" si="151"/>
        <v>45545</v>
      </c>
      <c r="D330" s="109" t="b">
        <f t="shared" ca="1" si="152"/>
        <v>1</v>
      </c>
      <c r="E330" s="51">
        <f t="shared" si="135"/>
        <v>0</v>
      </c>
      <c r="F330" s="48">
        <f>COUNTIFS(Tracker!G:G,Daily!C330, Tracker!J:J,"Y")</f>
        <v>0</v>
      </c>
      <c r="G330" s="26">
        <f>COUNTIFS(Tracker!G:G,Daily!C330, Tracker!J:J,"Y (with hints)")</f>
        <v>0</v>
      </c>
      <c r="H330" s="33">
        <f>COUNTIFS(Tracker!G:G,Daily!C330, Tracker!J:J,"N")</f>
        <v>0</v>
      </c>
      <c r="I330" s="54">
        <f t="shared" si="136"/>
        <v>0</v>
      </c>
      <c r="J330" s="26">
        <f>COUNTIFS(Tracker!G:G,Daily!C330, Tracker!J:J,"Y",Tracker!E:E,1)</f>
        <v>0</v>
      </c>
      <c r="K330" s="26">
        <f>COUNTIFS(Tracker!G:G,Daily!C330, Tracker!J:J,"Y (with hints)",Tracker!E:E,1)</f>
        <v>0</v>
      </c>
      <c r="L330" s="33">
        <f>COUNTIFS(Tracker!G:G,Daily!C330, Tracker!J:J,"N",Tracker!E:E,1)</f>
        <v>0</v>
      </c>
      <c r="M330" s="54">
        <f t="shared" si="137"/>
        <v>0</v>
      </c>
      <c r="N330" s="26">
        <f>COUNTIFS(Tracker!G:G,Daily!C330, Tracker!J:J,"Y",Tracker!E:E,2)</f>
        <v>0</v>
      </c>
      <c r="O330" s="26">
        <f>COUNTIFS(Tracker!G:G,Daily!C330, Tracker!J:J,"Y (with hints)",Tracker!E:E,2)</f>
        <v>0</v>
      </c>
      <c r="P330" s="33">
        <f>COUNTIFS(Tracker!G:G,Daily!C330, Tracker!J:J,"N",Tracker!E:E,2)</f>
        <v>0</v>
      </c>
      <c r="Q330" s="57">
        <f t="shared" si="138"/>
        <v>0</v>
      </c>
      <c r="R330" s="26">
        <f>COUNTIFS(Tracker!G:G,Daily!C330, Tracker!J:J,"Y",Tracker!E:E,3)</f>
        <v>0</v>
      </c>
      <c r="S330" s="26">
        <f>COUNTIFS(Tracker!G:G,Daily!C330, Tracker!J:J,"Y (with hints)",Tracker!E:E,3)</f>
        <v>0</v>
      </c>
      <c r="T330" s="33">
        <f>COUNTIFS(Tracker!G:G,Daily!C330, Tracker!J:J,"N",Tracker!E:E,3)</f>
        <v>0</v>
      </c>
      <c r="V330" s="48">
        <f t="shared" si="139"/>
        <v>96</v>
      </c>
      <c r="W330" s="26">
        <f t="shared" si="140"/>
        <v>92</v>
      </c>
      <c r="X330" s="62">
        <f t="shared" si="141"/>
        <v>0.95833333333333337</v>
      </c>
      <c r="Y330" s="74">
        <f>AVERAGEIFS(Tracker!I:I, Tracker!E:E, 1, Tracker!G:G, "&lt;="&amp;Daily!C330, Tracker!J:J, "Y")</f>
        <v>12.423913043478262</v>
      </c>
      <c r="Z330" s="77">
        <f>COUNTIFS(Tracker!E:E, 1, Tracker!G:G, "&lt;="&amp;Daily!C330, Tracker!L:L, "N") / V330</f>
        <v>0.8125</v>
      </c>
      <c r="AA330" s="48">
        <f t="shared" si="142"/>
        <v>239</v>
      </c>
      <c r="AB330" s="26">
        <f t="shared" si="143"/>
        <v>190</v>
      </c>
      <c r="AC330" s="62">
        <f t="shared" si="144"/>
        <v>0.79497907949790791</v>
      </c>
      <c r="AD330" s="74">
        <f>AVERAGEIFS(Tracker!I:I, Tracker!E:E, 2, Tracker!G:G, "&lt;="&amp;Daily!C330, Tracker!J:J, "Y")</f>
        <v>25.894736842105264</v>
      </c>
      <c r="AE330" s="77">
        <f>COUNTIFS(Tracker!E:E, 2, Tracker!G:G, "&lt;="&amp;Daily!C330, Tracker!L:L, "N") / AA330</f>
        <v>0.61087866108786615</v>
      </c>
      <c r="AF330" s="48">
        <f t="shared" si="145"/>
        <v>42</v>
      </c>
      <c r="AG330" s="26">
        <f t="shared" si="146"/>
        <v>27</v>
      </c>
      <c r="AH330" s="62">
        <f t="shared" si="147"/>
        <v>0.6428571428571429</v>
      </c>
      <c r="AI330" s="74">
        <f>IFERROR(AVERAGEIFS(Tracker!I:I, Tracker!E:E, 3, Tracker!G:G, "&lt;="&amp;Daily!C330, Tracker!J:J, "Y"), 0)</f>
        <v>40.074074074074076</v>
      </c>
      <c r="AJ330" s="77">
        <f>IFERROR(COUNTIFS(Tracker!E:E, 3, Tracker!G:G, "&lt;="&amp;Daily!C330, Tracker!L:L, "N") / AF330,  0)</f>
        <v>0.35714285714285715</v>
      </c>
      <c r="AK330" s="48">
        <f t="shared" si="148"/>
        <v>377</v>
      </c>
      <c r="AL330" s="26">
        <f t="shared" si="149"/>
        <v>309</v>
      </c>
      <c r="AM330" s="62">
        <f t="shared" si="150"/>
        <v>0.81962864721485407</v>
      </c>
      <c r="AN330" s="74">
        <f>IFERROR(AVERAGEIFS(Tracker!I:I,  Tracker!G:G, "&lt;="&amp;Daily!C330, Tracker!J:J, "Y"), 0)</f>
        <v>23.122977346278319</v>
      </c>
      <c r="AO330" s="77">
        <f>IFERROR(COUNTIFS(Tracker!G:G, "&lt;="&amp;Daily!C330, Tracker!L:L, "N") / AK330,  0)</f>
        <v>0.63395225464190985</v>
      </c>
    </row>
    <row r="331" spans="1:41" x14ac:dyDescent="0.25">
      <c r="A331" s="119"/>
      <c r="B331" s="32">
        <f t="shared" si="134"/>
        <v>45546</v>
      </c>
      <c r="C331" s="27">
        <f t="shared" si="151"/>
        <v>45546</v>
      </c>
      <c r="D331" s="109" t="b">
        <f t="shared" ca="1" si="152"/>
        <v>1</v>
      </c>
      <c r="E331" s="51">
        <f t="shared" si="135"/>
        <v>0</v>
      </c>
      <c r="F331" s="48">
        <f>COUNTIFS(Tracker!G:G,Daily!C331, Tracker!J:J,"Y")</f>
        <v>0</v>
      </c>
      <c r="G331" s="26">
        <f>COUNTIFS(Tracker!G:G,Daily!C331, Tracker!J:J,"Y (with hints)")</f>
        <v>0</v>
      </c>
      <c r="H331" s="33">
        <f>COUNTIFS(Tracker!G:G,Daily!C331, Tracker!J:J,"N")</f>
        <v>0</v>
      </c>
      <c r="I331" s="54">
        <f t="shared" si="136"/>
        <v>0</v>
      </c>
      <c r="J331" s="26">
        <f>COUNTIFS(Tracker!G:G,Daily!C331, Tracker!J:J,"Y",Tracker!E:E,1)</f>
        <v>0</v>
      </c>
      <c r="K331" s="26">
        <f>COUNTIFS(Tracker!G:G,Daily!C331, Tracker!J:J,"Y (with hints)",Tracker!E:E,1)</f>
        <v>0</v>
      </c>
      <c r="L331" s="33">
        <f>COUNTIFS(Tracker!G:G,Daily!C331, Tracker!J:J,"N",Tracker!E:E,1)</f>
        <v>0</v>
      </c>
      <c r="M331" s="54">
        <f t="shared" si="137"/>
        <v>0</v>
      </c>
      <c r="N331" s="26">
        <f>COUNTIFS(Tracker!G:G,Daily!C331, Tracker!J:J,"Y",Tracker!E:E,2)</f>
        <v>0</v>
      </c>
      <c r="O331" s="26">
        <f>COUNTIFS(Tracker!G:G,Daily!C331, Tracker!J:J,"Y (with hints)",Tracker!E:E,2)</f>
        <v>0</v>
      </c>
      <c r="P331" s="33">
        <f>COUNTIFS(Tracker!G:G,Daily!C331, Tracker!J:J,"N",Tracker!E:E,2)</f>
        <v>0</v>
      </c>
      <c r="Q331" s="57">
        <f t="shared" si="138"/>
        <v>0</v>
      </c>
      <c r="R331" s="26">
        <f>COUNTIFS(Tracker!G:G,Daily!C331, Tracker!J:J,"Y",Tracker!E:E,3)</f>
        <v>0</v>
      </c>
      <c r="S331" s="26">
        <f>COUNTIFS(Tracker!G:G,Daily!C331, Tracker!J:J,"Y (with hints)",Tracker!E:E,3)</f>
        <v>0</v>
      </c>
      <c r="T331" s="33">
        <f>COUNTIFS(Tracker!G:G,Daily!C331, Tracker!J:J,"N",Tracker!E:E,3)</f>
        <v>0</v>
      </c>
      <c r="V331" s="48">
        <f t="shared" si="139"/>
        <v>96</v>
      </c>
      <c r="W331" s="26">
        <f t="shared" si="140"/>
        <v>92</v>
      </c>
      <c r="X331" s="62">
        <f t="shared" si="141"/>
        <v>0.95833333333333337</v>
      </c>
      <c r="Y331" s="74">
        <f>AVERAGEIFS(Tracker!I:I, Tracker!E:E, 1, Tracker!G:G, "&lt;="&amp;Daily!C331, Tracker!J:J, "Y")</f>
        <v>12.423913043478262</v>
      </c>
      <c r="Z331" s="77">
        <f>COUNTIFS(Tracker!E:E, 1, Tracker!G:G, "&lt;="&amp;Daily!C331, Tracker!L:L, "N") / V331</f>
        <v>0.8125</v>
      </c>
      <c r="AA331" s="48">
        <f t="shared" si="142"/>
        <v>239</v>
      </c>
      <c r="AB331" s="26">
        <f t="shared" si="143"/>
        <v>190</v>
      </c>
      <c r="AC331" s="62">
        <f t="shared" si="144"/>
        <v>0.79497907949790791</v>
      </c>
      <c r="AD331" s="74">
        <f>AVERAGEIFS(Tracker!I:I, Tracker!E:E, 2, Tracker!G:G, "&lt;="&amp;Daily!C331, Tracker!J:J, "Y")</f>
        <v>25.894736842105264</v>
      </c>
      <c r="AE331" s="77">
        <f>COUNTIFS(Tracker!E:E, 2, Tracker!G:G, "&lt;="&amp;Daily!C331, Tracker!L:L, "N") / AA331</f>
        <v>0.61087866108786615</v>
      </c>
      <c r="AF331" s="48">
        <f t="shared" si="145"/>
        <v>42</v>
      </c>
      <c r="AG331" s="26">
        <f t="shared" si="146"/>
        <v>27</v>
      </c>
      <c r="AH331" s="62">
        <f t="shared" si="147"/>
        <v>0.6428571428571429</v>
      </c>
      <c r="AI331" s="74">
        <f>IFERROR(AVERAGEIFS(Tracker!I:I, Tracker!E:E, 3, Tracker!G:G, "&lt;="&amp;Daily!C331, Tracker!J:J, "Y"), 0)</f>
        <v>40.074074074074076</v>
      </c>
      <c r="AJ331" s="77">
        <f>IFERROR(COUNTIFS(Tracker!E:E, 3, Tracker!G:G, "&lt;="&amp;Daily!C331, Tracker!L:L, "N") / AF331,  0)</f>
        <v>0.35714285714285715</v>
      </c>
      <c r="AK331" s="48">
        <f t="shared" si="148"/>
        <v>377</v>
      </c>
      <c r="AL331" s="26">
        <f t="shared" si="149"/>
        <v>309</v>
      </c>
      <c r="AM331" s="62">
        <f t="shared" si="150"/>
        <v>0.81962864721485407</v>
      </c>
      <c r="AN331" s="74">
        <f>IFERROR(AVERAGEIFS(Tracker!I:I,  Tracker!G:G, "&lt;="&amp;Daily!C331, Tracker!J:J, "Y"), 0)</f>
        <v>23.122977346278319</v>
      </c>
      <c r="AO331" s="77">
        <f>IFERROR(COUNTIFS(Tracker!G:G, "&lt;="&amp;Daily!C331, Tracker!L:L, "N") / AK331,  0)</f>
        <v>0.63395225464190985</v>
      </c>
    </row>
    <row r="332" spans="1:41" x14ac:dyDescent="0.25">
      <c r="A332" s="119"/>
      <c r="B332" s="32">
        <f t="shared" ref="B332:B395" si="153">C332</f>
        <v>45547</v>
      </c>
      <c r="C332" s="27">
        <f t="shared" si="151"/>
        <v>45547</v>
      </c>
      <c r="D332" s="109" t="b">
        <f t="shared" ca="1" si="152"/>
        <v>1</v>
      </c>
      <c r="E332" s="51">
        <f t="shared" ref="E332:E395" si="154">SUM(F332:H332)</f>
        <v>0</v>
      </c>
      <c r="F332" s="48">
        <f>COUNTIFS(Tracker!G:G,Daily!C332, Tracker!J:J,"Y")</f>
        <v>0</v>
      </c>
      <c r="G332" s="26">
        <f>COUNTIFS(Tracker!G:G,Daily!C332, Tracker!J:J,"Y (with hints)")</f>
        <v>0</v>
      </c>
      <c r="H332" s="33">
        <f>COUNTIFS(Tracker!G:G,Daily!C332, Tracker!J:J,"N")</f>
        <v>0</v>
      </c>
      <c r="I332" s="54">
        <f t="shared" ref="I332:I395" si="155">SUM(J332:L332)</f>
        <v>0</v>
      </c>
      <c r="J332" s="26">
        <f>COUNTIFS(Tracker!G:G,Daily!C332, Tracker!J:J,"Y",Tracker!E:E,1)</f>
        <v>0</v>
      </c>
      <c r="K332" s="26">
        <f>COUNTIFS(Tracker!G:G,Daily!C332, Tracker!J:J,"Y (with hints)",Tracker!E:E,1)</f>
        <v>0</v>
      </c>
      <c r="L332" s="33">
        <f>COUNTIFS(Tracker!G:G,Daily!C332, Tracker!J:J,"N",Tracker!E:E,1)</f>
        <v>0</v>
      </c>
      <c r="M332" s="54">
        <f t="shared" ref="M332:M395" si="156">SUM(N332:P332)</f>
        <v>0</v>
      </c>
      <c r="N332" s="26">
        <f>COUNTIFS(Tracker!G:G,Daily!C332, Tracker!J:J,"Y",Tracker!E:E,2)</f>
        <v>0</v>
      </c>
      <c r="O332" s="26">
        <f>COUNTIFS(Tracker!G:G,Daily!C332, Tracker!J:J,"Y (with hints)",Tracker!E:E,2)</f>
        <v>0</v>
      </c>
      <c r="P332" s="33">
        <f>COUNTIFS(Tracker!G:G,Daily!C332, Tracker!J:J,"N",Tracker!E:E,2)</f>
        <v>0</v>
      </c>
      <c r="Q332" s="57">
        <f t="shared" ref="Q332:Q395" si="157">SUM(R332:T332)</f>
        <v>0</v>
      </c>
      <c r="R332" s="26">
        <f>COUNTIFS(Tracker!G:G,Daily!C332, Tracker!J:J,"Y",Tracker!E:E,3)</f>
        <v>0</v>
      </c>
      <c r="S332" s="26">
        <f>COUNTIFS(Tracker!G:G,Daily!C332, Tracker!J:J,"Y (with hints)",Tracker!E:E,3)</f>
        <v>0</v>
      </c>
      <c r="T332" s="33">
        <f>COUNTIFS(Tracker!G:G,Daily!C332, Tracker!J:J,"N",Tracker!E:E,3)</f>
        <v>0</v>
      </c>
      <c r="V332" s="48">
        <f t="shared" ref="V332:V395" si="158">V331+I332</f>
        <v>96</v>
      </c>
      <c r="W332" s="26">
        <f t="shared" ref="W332:W395" si="159">W331+J332</f>
        <v>92</v>
      </c>
      <c r="X332" s="62">
        <f t="shared" ref="X332:X395" si="160">W332/V332</f>
        <v>0.95833333333333337</v>
      </c>
      <c r="Y332" s="74">
        <f>AVERAGEIFS(Tracker!I:I, Tracker!E:E, 1, Tracker!G:G, "&lt;="&amp;Daily!C332, Tracker!J:J, "Y")</f>
        <v>12.423913043478262</v>
      </c>
      <c r="Z332" s="77">
        <f>COUNTIFS(Tracker!E:E, 1, Tracker!G:G, "&lt;="&amp;Daily!C332, Tracker!L:L, "N") / V332</f>
        <v>0.8125</v>
      </c>
      <c r="AA332" s="48">
        <f t="shared" ref="AA332:AA395" si="161">AA331+M332</f>
        <v>239</v>
      </c>
      <c r="AB332" s="26">
        <f t="shared" ref="AB332:AB395" si="162">AB331+N332</f>
        <v>190</v>
      </c>
      <c r="AC332" s="62">
        <f t="shared" ref="AC332:AC395" si="163">AB332/AA332</f>
        <v>0.79497907949790791</v>
      </c>
      <c r="AD332" s="74">
        <f>AVERAGEIFS(Tracker!I:I, Tracker!E:E, 2, Tracker!G:G, "&lt;="&amp;Daily!C332, Tracker!J:J, "Y")</f>
        <v>25.894736842105264</v>
      </c>
      <c r="AE332" s="77">
        <f>COUNTIFS(Tracker!E:E, 2, Tracker!G:G, "&lt;="&amp;Daily!C332, Tracker!L:L, "N") / AA332</f>
        <v>0.61087866108786615</v>
      </c>
      <c r="AF332" s="48">
        <f t="shared" ref="AF332:AF395" si="164">AF331+Q332</f>
        <v>42</v>
      </c>
      <c r="AG332" s="26">
        <f t="shared" ref="AG332:AG395" si="165">AG331+R332</f>
        <v>27</v>
      </c>
      <c r="AH332" s="62">
        <f t="shared" ref="AH332:AH395" si="166">IFERROR(AG332/AF332, 0)</f>
        <v>0.6428571428571429</v>
      </c>
      <c r="AI332" s="74">
        <f>IFERROR(AVERAGEIFS(Tracker!I:I, Tracker!E:E, 3, Tracker!G:G, "&lt;="&amp;Daily!C332, Tracker!J:J, "Y"), 0)</f>
        <v>40.074074074074076</v>
      </c>
      <c r="AJ332" s="77">
        <f>IFERROR(COUNTIFS(Tracker!E:E, 3, Tracker!G:G, "&lt;="&amp;Daily!C332, Tracker!L:L, "N") / AF332,  0)</f>
        <v>0.35714285714285715</v>
      </c>
      <c r="AK332" s="48">
        <f t="shared" ref="AK332:AK395" si="167">V332+AA332+AF332</f>
        <v>377</v>
      </c>
      <c r="AL332" s="26">
        <f t="shared" ref="AL332:AL395" si="168">W332+AB332+AG332</f>
        <v>309</v>
      </c>
      <c r="AM332" s="62">
        <f t="shared" ref="AM332:AM395" si="169">IFERROR(AL332/AK332, 0)</f>
        <v>0.81962864721485407</v>
      </c>
      <c r="AN332" s="74">
        <f>IFERROR(AVERAGEIFS(Tracker!I:I,  Tracker!G:G, "&lt;="&amp;Daily!C332, Tracker!J:J, "Y"), 0)</f>
        <v>23.122977346278319</v>
      </c>
      <c r="AO332" s="77">
        <f>IFERROR(COUNTIFS(Tracker!G:G, "&lt;="&amp;Daily!C332, Tracker!L:L, "N") / AK332,  0)</f>
        <v>0.63395225464190985</v>
      </c>
    </row>
    <row r="333" spans="1:41" x14ac:dyDescent="0.25">
      <c r="A333" s="119"/>
      <c r="B333" s="32">
        <f t="shared" si="153"/>
        <v>45548</v>
      </c>
      <c r="C333" s="27">
        <f t="shared" si="151"/>
        <v>45548</v>
      </c>
      <c r="D333" s="109" t="b">
        <f t="shared" ca="1" si="152"/>
        <v>1</v>
      </c>
      <c r="E333" s="51">
        <f t="shared" si="154"/>
        <v>0</v>
      </c>
      <c r="F333" s="48">
        <f>COUNTIFS(Tracker!G:G,Daily!C333, Tracker!J:J,"Y")</f>
        <v>0</v>
      </c>
      <c r="G333" s="26">
        <f>COUNTIFS(Tracker!G:G,Daily!C333, Tracker!J:J,"Y (with hints)")</f>
        <v>0</v>
      </c>
      <c r="H333" s="33">
        <f>COUNTIFS(Tracker!G:G,Daily!C333, Tracker!J:J,"N")</f>
        <v>0</v>
      </c>
      <c r="I333" s="54">
        <f t="shared" si="155"/>
        <v>0</v>
      </c>
      <c r="J333" s="26">
        <f>COUNTIFS(Tracker!G:G,Daily!C333, Tracker!J:J,"Y",Tracker!E:E,1)</f>
        <v>0</v>
      </c>
      <c r="K333" s="26">
        <f>COUNTIFS(Tracker!G:G,Daily!C333, Tracker!J:J,"Y (with hints)",Tracker!E:E,1)</f>
        <v>0</v>
      </c>
      <c r="L333" s="33">
        <f>COUNTIFS(Tracker!G:G,Daily!C333, Tracker!J:J,"N",Tracker!E:E,1)</f>
        <v>0</v>
      </c>
      <c r="M333" s="54">
        <f t="shared" si="156"/>
        <v>0</v>
      </c>
      <c r="N333" s="26">
        <f>COUNTIFS(Tracker!G:G,Daily!C333, Tracker!J:J,"Y",Tracker!E:E,2)</f>
        <v>0</v>
      </c>
      <c r="O333" s="26">
        <f>COUNTIFS(Tracker!G:G,Daily!C333, Tracker!J:J,"Y (with hints)",Tracker!E:E,2)</f>
        <v>0</v>
      </c>
      <c r="P333" s="33">
        <f>COUNTIFS(Tracker!G:G,Daily!C333, Tracker!J:J,"N",Tracker!E:E,2)</f>
        <v>0</v>
      </c>
      <c r="Q333" s="57">
        <f t="shared" si="157"/>
        <v>0</v>
      </c>
      <c r="R333" s="26">
        <f>COUNTIFS(Tracker!G:G,Daily!C333, Tracker!J:J,"Y",Tracker!E:E,3)</f>
        <v>0</v>
      </c>
      <c r="S333" s="26">
        <f>COUNTIFS(Tracker!G:G,Daily!C333, Tracker!J:J,"Y (with hints)",Tracker!E:E,3)</f>
        <v>0</v>
      </c>
      <c r="T333" s="33">
        <f>COUNTIFS(Tracker!G:G,Daily!C333, Tracker!J:J,"N",Tracker!E:E,3)</f>
        <v>0</v>
      </c>
      <c r="V333" s="48">
        <f t="shared" si="158"/>
        <v>96</v>
      </c>
      <c r="W333" s="26">
        <f t="shared" si="159"/>
        <v>92</v>
      </c>
      <c r="X333" s="62">
        <f t="shared" si="160"/>
        <v>0.95833333333333337</v>
      </c>
      <c r="Y333" s="74">
        <f>AVERAGEIFS(Tracker!I:I, Tracker!E:E, 1, Tracker!G:G, "&lt;="&amp;Daily!C333, Tracker!J:J, "Y")</f>
        <v>12.423913043478262</v>
      </c>
      <c r="Z333" s="77">
        <f>COUNTIFS(Tracker!E:E, 1, Tracker!G:G, "&lt;="&amp;Daily!C333, Tracker!L:L, "N") / V333</f>
        <v>0.8125</v>
      </c>
      <c r="AA333" s="48">
        <f t="shared" si="161"/>
        <v>239</v>
      </c>
      <c r="AB333" s="26">
        <f t="shared" si="162"/>
        <v>190</v>
      </c>
      <c r="AC333" s="62">
        <f t="shared" si="163"/>
        <v>0.79497907949790791</v>
      </c>
      <c r="AD333" s="74">
        <f>AVERAGEIFS(Tracker!I:I, Tracker!E:E, 2, Tracker!G:G, "&lt;="&amp;Daily!C333, Tracker!J:J, "Y")</f>
        <v>25.894736842105264</v>
      </c>
      <c r="AE333" s="77">
        <f>COUNTIFS(Tracker!E:E, 2, Tracker!G:G, "&lt;="&amp;Daily!C333, Tracker!L:L, "N") / AA333</f>
        <v>0.61087866108786615</v>
      </c>
      <c r="AF333" s="48">
        <f t="shared" si="164"/>
        <v>42</v>
      </c>
      <c r="AG333" s="26">
        <f t="shared" si="165"/>
        <v>27</v>
      </c>
      <c r="AH333" s="62">
        <f t="shared" si="166"/>
        <v>0.6428571428571429</v>
      </c>
      <c r="AI333" s="74">
        <f>IFERROR(AVERAGEIFS(Tracker!I:I, Tracker!E:E, 3, Tracker!G:G, "&lt;="&amp;Daily!C333, Tracker!J:J, "Y"), 0)</f>
        <v>40.074074074074076</v>
      </c>
      <c r="AJ333" s="77">
        <f>IFERROR(COUNTIFS(Tracker!E:E, 3, Tracker!G:G, "&lt;="&amp;Daily!C333, Tracker!L:L, "N") / AF333,  0)</f>
        <v>0.35714285714285715</v>
      </c>
      <c r="AK333" s="48">
        <f t="shared" si="167"/>
        <v>377</v>
      </c>
      <c r="AL333" s="26">
        <f t="shared" si="168"/>
        <v>309</v>
      </c>
      <c r="AM333" s="62">
        <f t="shared" si="169"/>
        <v>0.81962864721485407</v>
      </c>
      <c r="AN333" s="74">
        <f>IFERROR(AVERAGEIFS(Tracker!I:I,  Tracker!G:G, "&lt;="&amp;Daily!C333, Tracker!J:J, "Y"), 0)</f>
        <v>23.122977346278319</v>
      </c>
      <c r="AO333" s="77">
        <f>IFERROR(COUNTIFS(Tracker!G:G, "&lt;="&amp;Daily!C333, Tracker!L:L, "N") / AK333,  0)</f>
        <v>0.63395225464190985</v>
      </c>
    </row>
    <row r="334" spans="1:41" x14ac:dyDescent="0.25">
      <c r="A334" s="119"/>
      <c r="B334" s="32">
        <f t="shared" si="153"/>
        <v>45549</v>
      </c>
      <c r="C334" s="27">
        <f t="shared" si="151"/>
        <v>45549</v>
      </c>
      <c r="D334" s="109" t="b">
        <f t="shared" ca="1" si="152"/>
        <v>1</v>
      </c>
      <c r="E334" s="51">
        <f t="shared" si="154"/>
        <v>0</v>
      </c>
      <c r="F334" s="48">
        <f>COUNTIFS(Tracker!G:G,Daily!C334, Tracker!J:J,"Y")</f>
        <v>0</v>
      </c>
      <c r="G334" s="26">
        <f>COUNTIFS(Tracker!G:G,Daily!C334, Tracker!J:J,"Y (with hints)")</f>
        <v>0</v>
      </c>
      <c r="H334" s="33">
        <f>COUNTIFS(Tracker!G:G,Daily!C334, Tracker!J:J,"N")</f>
        <v>0</v>
      </c>
      <c r="I334" s="54">
        <f t="shared" si="155"/>
        <v>0</v>
      </c>
      <c r="J334" s="26">
        <f>COUNTIFS(Tracker!G:G,Daily!C334, Tracker!J:J,"Y",Tracker!E:E,1)</f>
        <v>0</v>
      </c>
      <c r="K334" s="26">
        <f>COUNTIFS(Tracker!G:G,Daily!C334, Tracker!J:J,"Y (with hints)",Tracker!E:E,1)</f>
        <v>0</v>
      </c>
      <c r="L334" s="33">
        <f>COUNTIFS(Tracker!G:G,Daily!C334, Tracker!J:J,"N",Tracker!E:E,1)</f>
        <v>0</v>
      </c>
      <c r="M334" s="54">
        <f t="shared" si="156"/>
        <v>0</v>
      </c>
      <c r="N334" s="26">
        <f>COUNTIFS(Tracker!G:G,Daily!C334, Tracker!J:J,"Y",Tracker!E:E,2)</f>
        <v>0</v>
      </c>
      <c r="O334" s="26">
        <f>COUNTIFS(Tracker!G:G,Daily!C334, Tracker!J:J,"Y (with hints)",Tracker!E:E,2)</f>
        <v>0</v>
      </c>
      <c r="P334" s="33">
        <f>COUNTIFS(Tracker!G:G,Daily!C334, Tracker!J:J,"N",Tracker!E:E,2)</f>
        <v>0</v>
      </c>
      <c r="Q334" s="57">
        <f t="shared" si="157"/>
        <v>0</v>
      </c>
      <c r="R334" s="26">
        <f>COUNTIFS(Tracker!G:G,Daily!C334, Tracker!J:J,"Y",Tracker!E:E,3)</f>
        <v>0</v>
      </c>
      <c r="S334" s="26">
        <f>COUNTIFS(Tracker!G:G,Daily!C334, Tracker!J:J,"Y (with hints)",Tracker!E:E,3)</f>
        <v>0</v>
      </c>
      <c r="T334" s="33">
        <f>COUNTIFS(Tracker!G:G,Daily!C334, Tracker!J:J,"N",Tracker!E:E,3)</f>
        <v>0</v>
      </c>
      <c r="V334" s="48">
        <f t="shared" si="158"/>
        <v>96</v>
      </c>
      <c r="W334" s="26">
        <f t="shared" si="159"/>
        <v>92</v>
      </c>
      <c r="X334" s="62">
        <f t="shared" si="160"/>
        <v>0.95833333333333337</v>
      </c>
      <c r="Y334" s="74">
        <f>AVERAGEIFS(Tracker!I:I, Tracker!E:E, 1, Tracker!G:G, "&lt;="&amp;Daily!C334, Tracker!J:J, "Y")</f>
        <v>12.423913043478262</v>
      </c>
      <c r="Z334" s="77">
        <f>COUNTIFS(Tracker!E:E, 1, Tracker!G:G, "&lt;="&amp;Daily!C334, Tracker!L:L, "N") / V334</f>
        <v>0.8125</v>
      </c>
      <c r="AA334" s="48">
        <f t="shared" si="161"/>
        <v>239</v>
      </c>
      <c r="AB334" s="26">
        <f t="shared" si="162"/>
        <v>190</v>
      </c>
      <c r="AC334" s="62">
        <f t="shared" si="163"/>
        <v>0.79497907949790791</v>
      </c>
      <c r="AD334" s="74">
        <f>AVERAGEIFS(Tracker!I:I, Tracker!E:E, 2, Tracker!G:G, "&lt;="&amp;Daily!C334, Tracker!J:J, "Y")</f>
        <v>25.894736842105264</v>
      </c>
      <c r="AE334" s="77">
        <f>COUNTIFS(Tracker!E:E, 2, Tracker!G:G, "&lt;="&amp;Daily!C334, Tracker!L:L, "N") / AA334</f>
        <v>0.61087866108786615</v>
      </c>
      <c r="AF334" s="48">
        <f t="shared" si="164"/>
        <v>42</v>
      </c>
      <c r="AG334" s="26">
        <f t="shared" si="165"/>
        <v>27</v>
      </c>
      <c r="AH334" s="62">
        <f t="shared" si="166"/>
        <v>0.6428571428571429</v>
      </c>
      <c r="AI334" s="74">
        <f>IFERROR(AVERAGEIFS(Tracker!I:I, Tracker!E:E, 3, Tracker!G:G, "&lt;="&amp;Daily!C334, Tracker!J:J, "Y"), 0)</f>
        <v>40.074074074074076</v>
      </c>
      <c r="AJ334" s="77">
        <f>IFERROR(COUNTIFS(Tracker!E:E, 3, Tracker!G:G, "&lt;="&amp;Daily!C334, Tracker!L:L, "N") / AF334,  0)</f>
        <v>0.35714285714285715</v>
      </c>
      <c r="AK334" s="48">
        <f t="shared" si="167"/>
        <v>377</v>
      </c>
      <c r="AL334" s="26">
        <f t="shared" si="168"/>
        <v>309</v>
      </c>
      <c r="AM334" s="62">
        <f t="shared" si="169"/>
        <v>0.81962864721485407</v>
      </c>
      <c r="AN334" s="74">
        <f>IFERROR(AVERAGEIFS(Tracker!I:I,  Tracker!G:G, "&lt;="&amp;Daily!C334, Tracker!J:J, "Y"), 0)</f>
        <v>23.122977346278319</v>
      </c>
      <c r="AO334" s="77">
        <f>IFERROR(COUNTIFS(Tracker!G:G, "&lt;="&amp;Daily!C334, Tracker!L:L, "N") / AK334,  0)</f>
        <v>0.63395225464190985</v>
      </c>
    </row>
    <row r="335" spans="1:41" ht="15.75" thickBot="1" x14ac:dyDescent="0.3">
      <c r="A335" s="120"/>
      <c r="B335" s="34">
        <f t="shared" si="153"/>
        <v>45550</v>
      </c>
      <c r="C335" s="35">
        <f t="shared" ref="C335:C398" si="170">C328+7</f>
        <v>45550</v>
      </c>
      <c r="D335" s="110" t="b">
        <f t="shared" ca="1" si="152"/>
        <v>1</v>
      </c>
      <c r="E335" s="52">
        <f t="shared" si="154"/>
        <v>0</v>
      </c>
      <c r="F335" s="39">
        <f>COUNTIFS(Tracker!G:G,Daily!C335, Tracker!J:J,"Y")</f>
        <v>0</v>
      </c>
      <c r="G335" s="36">
        <f>COUNTIFS(Tracker!G:G,Daily!C335, Tracker!J:J,"Y (with hints)")</f>
        <v>0</v>
      </c>
      <c r="H335" s="37">
        <f>COUNTIFS(Tracker!G:G,Daily!C335, Tracker!J:J,"N")</f>
        <v>0</v>
      </c>
      <c r="I335" s="55">
        <f t="shared" si="155"/>
        <v>0</v>
      </c>
      <c r="J335" s="36">
        <f>COUNTIFS(Tracker!G:G,Daily!C335, Tracker!J:J,"Y",Tracker!E:E,1)</f>
        <v>0</v>
      </c>
      <c r="K335" s="36">
        <f>COUNTIFS(Tracker!G:G,Daily!C335, Tracker!J:J,"Y (with hints)",Tracker!E:E,1)</f>
        <v>0</v>
      </c>
      <c r="L335" s="37">
        <f>COUNTIFS(Tracker!G:G,Daily!C335, Tracker!J:J,"N",Tracker!E:E,1)</f>
        <v>0</v>
      </c>
      <c r="M335" s="55">
        <f t="shared" si="156"/>
        <v>0</v>
      </c>
      <c r="N335" s="36">
        <f>COUNTIFS(Tracker!G:G,Daily!C335, Tracker!J:J,"Y",Tracker!E:E,2)</f>
        <v>0</v>
      </c>
      <c r="O335" s="36">
        <f>COUNTIFS(Tracker!G:G,Daily!C335, Tracker!J:J,"Y (with hints)",Tracker!E:E,2)</f>
        <v>0</v>
      </c>
      <c r="P335" s="37">
        <f>COUNTIFS(Tracker!G:G,Daily!C335, Tracker!J:J,"N",Tracker!E:E,2)</f>
        <v>0</v>
      </c>
      <c r="Q335" s="58">
        <f t="shared" si="157"/>
        <v>0</v>
      </c>
      <c r="R335" s="36">
        <f>COUNTIFS(Tracker!G:G,Daily!C335, Tracker!J:J,"Y",Tracker!E:E,3)</f>
        <v>0</v>
      </c>
      <c r="S335" s="36">
        <f>COUNTIFS(Tracker!G:G,Daily!C335, Tracker!J:J,"Y (with hints)",Tracker!E:E,3)</f>
        <v>0</v>
      </c>
      <c r="T335" s="37">
        <f>COUNTIFS(Tracker!G:G,Daily!C335, Tracker!J:J,"N",Tracker!E:E,3)</f>
        <v>0</v>
      </c>
      <c r="V335" s="39">
        <f t="shared" si="158"/>
        <v>96</v>
      </c>
      <c r="W335" s="36">
        <f t="shared" si="159"/>
        <v>92</v>
      </c>
      <c r="X335" s="64">
        <f t="shared" si="160"/>
        <v>0.95833333333333337</v>
      </c>
      <c r="Y335" s="78">
        <f>AVERAGEIFS(Tracker!I:I, Tracker!E:E, 1, Tracker!G:G, "&lt;="&amp;Daily!C335, Tracker!J:J, "Y")</f>
        <v>12.423913043478262</v>
      </c>
      <c r="Z335" s="79">
        <f>COUNTIFS(Tracker!E:E, 1, Tracker!G:G, "&lt;="&amp;Daily!C335, Tracker!L:L, "N") / V335</f>
        <v>0.8125</v>
      </c>
      <c r="AA335" s="39">
        <f t="shared" si="161"/>
        <v>239</v>
      </c>
      <c r="AB335" s="36">
        <f t="shared" si="162"/>
        <v>190</v>
      </c>
      <c r="AC335" s="64">
        <f t="shared" si="163"/>
        <v>0.79497907949790791</v>
      </c>
      <c r="AD335" s="78">
        <f>AVERAGEIFS(Tracker!I:I, Tracker!E:E, 2, Tracker!G:G, "&lt;="&amp;Daily!C335, Tracker!J:J, "Y")</f>
        <v>25.894736842105264</v>
      </c>
      <c r="AE335" s="79">
        <f>COUNTIFS(Tracker!E:E, 2, Tracker!G:G, "&lt;="&amp;Daily!C335, Tracker!L:L, "N") / AA335</f>
        <v>0.61087866108786615</v>
      </c>
      <c r="AF335" s="39">
        <f t="shared" si="164"/>
        <v>42</v>
      </c>
      <c r="AG335" s="36">
        <f t="shared" si="165"/>
        <v>27</v>
      </c>
      <c r="AH335" s="64">
        <f t="shared" si="166"/>
        <v>0.6428571428571429</v>
      </c>
      <c r="AI335" s="78">
        <f>IFERROR(AVERAGEIFS(Tracker!I:I, Tracker!E:E, 3, Tracker!G:G, "&lt;="&amp;Daily!C335, Tracker!J:J, "Y"), 0)</f>
        <v>40.074074074074076</v>
      </c>
      <c r="AJ335" s="79">
        <f>IFERROR(COUNTIFS(Tracker!E:E, 3, Tracker!G:G, "&lt;="&amp;Daily!C335, Tracker!L:L, "N") / AF335,  0)</f>
        <v>0.35714285714285715</v>
      </c>
      <c r="AK335" s="39">
        <f t="shared" si="167"/>
        <v>377</v>
      </c>
      <c r="AL335" s="36">
        <f t="shared" si="168"/>
        <v>309</v>
      </c>
      <c r="AM335" s="64">
        <f t="shared" si="169"/>
        <v>0.81962864721485407</v>
      </c>
      <c r="AN335" s="78">
        <f>IFERROR(AVERAGEIFS(Tracker!I:I,  Tracker!G:G, "&lt;="&amp;Daily!C335, Tracker!J:J, "Y"), 0)</f>
        <v>23.122977346278319</v>
      </c>
      <c r="AO335" s="79">
        <f>IFERROR(COUNTIFS(Tracker!G:G, "&lt;="&amp;Daily!C335, Tracker!L:L, "N") / AK335,  0)</f>
        <v>0.63395225464190985</v>
      </c>
    </row>
    <row r="336" spans="1:41" x14ac:dyDescent="0.25">
      <c r="A336" s="118">
        <f>A329+1</f>
        <v>48</v>
      </c>
      <c r="B336" s="28">
        <f t="shared" si="153"/>
        <v>45551</v>
      </c>
      <c r="C336" s="29">
        <f t="shared" si="170"/>
        <v>45551</v>
      </c>
      <c r="D336" s="108" t="b">
        <f t="shared" ca="1" si="152"/>
        <v>1</v>
      </c>
      <c r="E336" s="50">
        <f t="shared" si="154"/>
        <v>0</v>
      </c>
      <c r="F336" s="38">
        <f>COUNTIFS(Tracker!G:G,Daily!C336, Tracker!J:J,"Y")</f>
        <v>0</v>
      </c>
      <c r="G336" s="30">
        <f>COUNTIFS(Tracker!G:G,Daily!C336, Tracker!J:J,"Y (with hints)")</f>
        <v>0</v>
      </c>
      <c r="H336" s="31">
        <f>COUNTIFS(Tracker!G:G,Daily!C336, Tracker!J:J,"N")</f>
        <v>0</v>
      </c>
      <c r="I336" s="53">
        <f t="shared" si="155"/>
        <v>0</v>
      </c>
      <c r="J336" s="30">
        <f>COUNTIFS(Tracker!G:G,Daily!C336, Tracker!J:J,"Y",Tracker!E:E,1)</f>
        <v>0</v>
      </c>
      <c r="K336" s="30">
        <f>COUNTIFS(Tracker!G:G,Daily!C336, Tracker!J:J,"Y (with hints)",Tracker!E:E,1)</f>
        <v>0</v>
      </c>
      <c r="L336" s="31">
        <f>COUNTIFS(Tracker!G:G,Daily!C336, Tracker!J:J,"N",Tracker!E:E,1)</f>
        <v>0</v>
      </c>
      <c r="M336" s="53">
        <f t="shared" si="156"/>
        <v>0</v>
      </c>
      <c r="N336" s="30">
        <f>COUNTIFS(Tracker!G:G,Daily!C336, Tracker!J:J,"Y",Tracker!E:E,2)</f>
        <v>0</v>
      </c>
      <c r="O336" s="30">
        <f>COUNTIFS(Tracker!G:G,Daily!C336, Tracker!J:J,"Y (with hints)",Tracker!E:E,2)</f>
        <v>0</v>
      </c>
      <c r="P336" s="31">
        <f>COUNTIFS(Tracker!G:G,Daily!C336, Tracker!J:J,"N",Tracker!E:E,2)</f>
        <v>0</v>
      </c>
      <c r="Q336" s="56">
        <f t="shared" si="157"/>
        <v>0</v>
      </c>
      <c r="R336" s="30">
        <f>COUNTIFS(Tracker!G:G,Daily!C336, Tracker!J:J,"Y",Tracker!E:E,3)</f>
        <v>0</v>
      </c>
      <c r="S336" s="30">
        <f>COUNTIFS(Tracker!G:G,Daily!C336, Tracker!J:J,"Y (with hints)",Tracker!E:E,3)</f>
        <v>0</v>
      </c>
      <c r="T336" s="31">
        <f>COUNTIFS(Tracker!G:G,Daily!C336, Tracker!J:J,"N",Tracker!E:E,3)</f>
        <v>0</v>
      </c>
      <c r="V336" s="38">
        <f t="shared" si="158"/>
        <v>96</v>
      </c>
      <c r="W336" s="30">
        <f t="shared" si="159"/>
        <v>92</v>
      </c>
      <c r="X336" s="73">
        <f t="shared" si="160"/>
        <v>0.95833333333333337</v>
      </c>
      <c r="Y336" s="75">
        <f>AVERAGEIFS(Tracker!I:I, Tracker!E:E, 1, Tracker!G:G, "&lt;="&amp;Daily!C336, Tracker!J:J, "Y")</f>
        <v>12.423913043478262</v>
      </c>
      <c r="Z336" s="76">
        <f>COUNTIFS(Tracker!E:E, 1, Tracker!G:G, "&lt;="&amp;Daily!C336, Tracker!L:L, "N") / V336</f>
        <v>0.8125</v>
      </c>
      <c r="AA336" s="38">
        <f t="shared" si="161"/>
        <v>239</v>
      </c>
      <c r="AB336" s="30">
        <f t="shared" si="162"/>
        <v>190</v>
      </c>
      <c r="AC336" s="73">
        <f t="shared" si="163"/>
        <v>0.79497907949790791</v>
      </c>
      <c r="AD336" s="75">
        <f>AVERAGEIFS(Tracker!I:I, Tracker!E:E, 2, Tracker!G:G, "&lt;="&amp;Daily!C336, Tracker!J:J, "Y")</f>
        <v>25.894736842105264</v>
      </c>
      <c r="AE336" s="76">
        <f>COUNTIFS(Tracker!E:E, 2, Tracker!G:G, "&lt;="&amp;Daily!C336, Tracker!L:L, "N") / AA336</f>
        <v>0.61087866108786615</v>
      </c>
      <c r="AF336" s="38">
        <f t="shared" si="164"/>
        <v>42</v>
      </c>
      <c r="AG336" s="30">
        <f t="shared" si="165"/>
        <v>27</v>
      </c>
      <c r="AH336" s="73">
        <f t="shared" si="166"/>
        <v>0.6428571428571429</v>
      </c>
      <c r="AI336" s="75">
        <f>IFERROR(AVERAGEIFS(Tracker!I:I, Tracker!E:E, 3, Tracker!G:G, "&lt;="&amp;Daily!C336, Tracker!J:J, "Y"), 0)</f>
        <v>40.074074074074076</v>
      </c>
      <c r="AJ336" s="76">
        <f>IFERROR(COUNTIFS(Tracker!E:E, 3, Tracker!G:G, "&lt;="&amp;Daily!C336, Tracker!L:L, "N") / AF336,  0)</f>
        <v>0.35714285714285715</v>
      </c>
      <c r="AK336" s="38">
        <f t="shared" si="167"/>
        <v>377</v>
      </c>
      <c r="AL336" s="30">
        <f t="shared" si="168"/>
        <v>309</v>
      </c>
      <c r="AM336" s="73">
        <f t="shared" si="169"/>
        <v>0.81962864721485407</v>
      </c>
      <c r="AN336" s="75">
        <f>IFERROR(AVERAGEIFS(Tracker!I:I,  Tracker!G:G, "&lt;="&amp;Daily!C336, Tracker!J:J, "Y"), 0)</f>
        <v>23.122977346278319</v>
      </c>
      <c r="AO336" s="76">
        <f>IFERROR(COUNTIFS(Tracker!G:G, "&lt;="&amp;Daily!C336, Tracker!L:L, "N") / AK336,  0)</f>
        <v>0.63395225464190985</v>
      </c>
    </row>
    <row r="337" spans="1:41" x14ac:dyDescent="0.25">
      <c r="A337" s="119"/>
      <c r="B337" s="32">
        <f t="shared" si="153"/>
        <v>45552</v>
      </c>
      <c r="C337" s="27">
        <f t="shared" si="170"/>
        <v>45552</v>
      </c>
      <c r="D337" s="109" t="b">
        <f t="shared" ca="1" si="152"/>
        <v>1</v>
      </c>
      <c r="E337" s="51">
        <f t="shared" si="154"/>
        <v>0</v>
      </c>
      <c r="F337" s="48">
        <f>COUNTIFS(Tracker!G:G,Daily!C337, Tracker!J:J,"Y")</f>
        <v>0</v>
      </c>
      <c r="G337" s="26">
        <f>COUNTIFS(Tracker!G:G,Daily!C337, Tracker!J:J,"Y (with hints)")</f>
        <v>0</v>
      </c>
      <c r="H337" s="33">
        <f>COUNTIFS(Tracker!G:G,Daily!C337, Tracker!J:J,"N")</f>
        <v>0</v>
      </c>
      <c r="I337" s="54">
        <f t="shared" si="155"/>
        <v>0</v>
      </c>
      <c r="J337" s="26">
        <f>COUNTIFS(Tracker!G:G,Daily!C337, Tracker!J:J,"Y",Tracker!E:E,1)</f>
        <v>0</v>
      </c>
      <c r="K337" s="26">
        <f>COUNTIFS(Tracker!G:G,Daily!C337, Tracker!J:J,"Y (with hints)",Tracker!E:E,1)</f>
        <v>0</v>
      </c>
      <c r="L337" s="33">
        <f>COUNTIFS(Tracker!G:G,Daily!C337, Tracker!J:J,"N",Tracker!E:E,1)</f>
        <v>0</v>
      </c>
      <c r="M337" s="54">
        <f t="shared" si="156"/>
        <v>0</v>
      </c>
      <c r="N337" s="26">
        <f>COUNTIFS(Tracker!G:G,Daily!C337, Tracker!J:J,"Y",Tracker!E:E,2)</f>
        <v>0</v>
      </c>
      <c r="O337" s="26">
        <f>COUNTIFS(Tracker!G:G,Daily!C337, Tracker!J:J,"Y (with hints)",Tracker!E:E,2)</f>
        <v>0</v>
      </c>
      <c r="P337" s="33">
        <f>COUNTIFS(Tracker!G:G,Daily!C337, Tracker!J:J,"N",Tracker!E:E,2)</f>
        <v>0</v>
      </c>
      <c r="Q337" s="57">
        <f t="shared" si="157"/>
        <v>0</v>
      </c>
      <c r="R337" s="26">
        <f>COUNTIFS(Tracker!G:G,Daily!C337, Tracker!J:J,"Y",Tracker!E:E,3)</f>
        <v>0</v>
      </c>
      <c r="S337" s="26">
        <f>COUNTIFS(Tracker!G:G,Daily!C337, Tracker!J:J,"Y (with hints)",Tracker!E:E,3)</f>
        <v>0</v>
      </c>
      <c r="T337" s="33">
        <f>COUNTIFS(Tracker!G:G,Daily!C337, Tracker!J:J,"N",Tracker!E:E,3)</f>
        <v>0</v>
      </c>
      <c r="V337" s="48">
        <f t="shared" si="158"/>
        <v>96</v>
      </c>
      <c r="W337" s="26">
        <f t="shared" si="159"/>
        <v>92</v>
      </c>
      <c r="X337" s="62">
        <f t="shared" si="160"/>
        <v>0.95833333333333337</v>
      </c>
      <c r="Y337" s="74">
        <f>AVERAGEIFS(Tracker!I:I, Tracker!E:E, 1, Tracker!G:G, "&lt;="&amp;Daily!C337, Tracker!J:J, "Y")</f>
        <v>12.423913043478262</v>
      </c>
      <c r="Z337" s="77">
        <f>COUNTIFS(Tracker!E:E, 1, Tracker!G:G, "&lt;="&amp;Daily!C337, Tracker!L:L, "N") / V337</f>
        <v>0.8125</v>
      </c>
      <c r="AA337" s="48">
        <f t="shared" si="161"/>
        <v>239</v>
      </c>
      <c r="AB337" s="26">
        <f t="shared" si="162"/>
        <v>190</v>
      </c>
      <c r="AC337" s="62">
        <f t="shared" si="163"/>
        <v>0.79497907949790791</v>
      </c>
      <c r="AD337" s="74">
        <f>AVERAGEIFS(Tracker!I:I, Tracker!E:E, 2, Tracker!G:G, "&lt;="&amp;Daily!C337, Tracker!J:J, "Y")</f>
        <v>25.894736842105264</v>
      </c>
      <c r="AE337" s="77">
        <f>COUNTIFS(Tracker!E:E, 2, Tracker!G:G, "&lt;="&amp;Daily!C337, Tracker!L:L, "N") / AA337</f>
        <v>0.61087866108786615</v>
      </c>
      <c r="AF337" s="48">
        <f t="shared" si="164"/>
        <v>42</v>
      </c>
      <c r="AG337" s="26">
        <f t="shared" si="165"/>
        <v>27</v>
      </c>
      <c r="AH337" s="62">
        <f t="shared" si="166"/>
        <v>0.6428571428571429</v>
      </c>
      <c r="AI337" s="74">
        <f>IFERROR(AVERAGEIFS(Tracker!I:I, Tracker!E:E, 3, Tracker!G:G, "&lt;="&amp;Daily!C337, Tracker!J:J, "Y"), 0)</f>
        <v>40.074074074074076</v>
      </c>
      <c r="AJ337" s="77">
        <f>IFERROR(COUNTIFS(Tracker!E:E, 3, Tracker!G:G, "&lt;="&amp;Daily!C337, Tracker!L:L, "N") / AF337,  0)</f>
        <v>0.35714285714285715</v>
      </c>
      <c r="AK337" s="48">
        <f t="shared" si="167"/>
        <v>377</v>
      </c>
      <c r="AL337" s="26">
        <f t="shared" si="168"/>
        <v>309</v>
      </c>
      <c r="AM337" s="62">
        <f t="shared" si="169"/>
        <v>0.81962864721485407</v>
      </c>
      <c r="AN337" s="74">
        <f>IFERROR(AVERAGEIFS(Tracker!I:I,  Tracker!G:G, "&lt;="&amp;Daily!C337, Tracker!J:J, "Y"), 0)</f>
        <v>23.122977346278319</v>
      </c>
      <c r="AO337" s="77">
        <f>IFERROR(COUNTIFS(Tracker!G:G, "&lt;="&amp;Daily!C337, Tracker!L:L, "N") / AK337,  0)</f>
        <v>0.63395225464190985</v>
      </c>
    </row>
    <row r="338" spans="1:41" x14ac:dyDescent="0.25">
      <c r="A338" s="119"/>
      <c r="B338" s="32">
        <f t="shared" si="153"/>
        <v>45553</v>
      </c>
      <c r="C338" s="27">
        <f t="shared" si="170"/>
        <v>45553</v>
      </c>
      <c r="D338" s="109" t="b">
        <f t="shared" ca="1" si="152"/>
        <v>1</v>
      </c>
      <c r="E338" s="51">
        <f t="shared" si="154"/>
        <v>3</v>
      </c>
      <c r="F338" s="48">
        <f>COUNTIFS(Tracker!G:G,Daily!C338, Tracker!J:J,"Y")</f>
        <v>3</v>
      </c>
      <c r="G338" s="26">
        <f>COUNTIFS(Tracker!G:G,Daily!C338, Tracker!J:J,"Y (with hints)")</f>
        <v>0</v>
      </c>
      <c r="H338" s="33">
        <f>COUNTIFS(Tracker!G:G,Daily!C338, Tracker!J:J,"N")</f>
        <v>0</v>
      </c>
      <c r="I338" s="54">
        <f t="shared" si="155"/>
        <v>1</v>
      </c>
      <c r="J338" s="26">
        <f>COUNTIFS(Tracker!G:G,Daily!C338, Tracker!J:J,"Y",Tracker!E:E,1)</f>
        <v>1</v>
      </c>
      <c r="K338" s="26">
        <f>COUNTIFS(Tracker!G:G,Daily!C338, Tracker!J:J,"Y (with hints)",Tracker!E:E,1)</f>
        <v>0</v>
      </c>
      <c r="L338" s="33">
        <f>COUNTIFS(Tracker!G:G,Daily!C338, Tracker!J:J,"N",Tracker!E:E,1)</f>
        <v>0</v>
      </c>
      <c r="M338" s="54">
        <f t="shared" si="156"/>
        <v>2</v>
      </c>
      <c r="N338" s="26">
        <f>COUNTIFS(Tracker!G:G,Daily!C338, Tracker!J:J,"Y",Tracker!E:E,2)</f>
        <v>2</v>
      </c>
      <c r="O338" s="26">
        <f>COUNTIFS(Tracker!G:G,Daily!C338, Tracker!J:J,"Y (with hints)",Tracker!E:E,2)</f>
        <v>0</v>
      </c>
      <c r="P338" s="33">
        <f>COUNTIFS(Tracker!G:G,Daily!C338, Tracker!J:J,"N",Tracker!E:E,2)</f>
        <v>0</v>
      </c>
      <c r="Q338" s="57">
        <f t="shared" si="157"/>
        <v>0</v>
      </c>
      <c r="R338" s="26">
        <f>COUNTIFS(Tracker!G:G,Daily!C338, Tracker!J:J,"Y",Tracker!E:E,3)</f>
        <v>0</v>
      </c>
      <c r="S338" s="26">
        <f>COUNTIFS(Tracker!G:G,Daily!C338, Tracker!J:J,"Y (with hints)",Tracker!E:E,3)</f>
        <v>0</v>
      </c>
      <c r="T338" s="33">
        <f>COUNTIFS(Tracker!G:G,Daily!C338, Tracker!J:J,"N",Tracker!E:E,3)</f>
        <v>0</v>
      </c>
      <c r="V338" s="48">
        <f t="shared" si="158"/>
        <v>97</v>
      </c>
      <c r="W338" s="26">
        <f t="shared" si="159"/>
        <v>93</v>
      </c>
      <c r="X338" s="62">
        <f t="shared" si="160"/>
        <v>0.95876288659793818</v>
      </c>
      <c r="Y338" s="74">
        <f>AVERAGEIFS(Tracker!I:I, Tracker!E:E, 1, Tracker!G:G, "&lt;="&amp;Daily!C338, Tracker!J:J, "Y")</f>
        <v>12.473118279569892</v>
      </c>
      <c r="Z338" s="77">
        <f>COUNTIFS(Tracker!E:E, 1, Tracker!G:G, "&lt;="&amp;Daily!C338, Tracker!L:L, "N") / V338</f>
        <v>0.80412371134020622</v>
      </c>
      <c r="AA338" s="48">
        <f t="shared" si="161"/>
        <v>241</v>
      </c>
      <c r="AB338" s="26">
        <f t="shared" si="162"/>
        <v>192</v>
      </c>
      <c r="AC338" s="62">
        <f t="shared" si="163"/>
        <v>0.79668049792531115</v>
      </c>
      <c r="AD338" s="74">
        <f>AVERAGEIFS(Tracker!I:I, Tracker!E:E, 2, Tracker!G:G, "&lt;="&amp;Daily!C338, Tracker!J:J, "Y")</f>
        <v>26.005208333333332</v>
      </c>
      <c r="AE338" s="77">
        <f>COUNTIFS(Tracker!E:E, 2, Tracker!G:G, "&lt;="&amp;Daily!C338, Tracker!L:L, "N") / AA338</f>
        <v>0.61410788381742742</v>
      </c>
      <c r="AF338" s="48">
        <f t="shared" si="164"/>
        <v>42</v>
      </c>
      <c r="AG338" s="26">
        <f t="shared" si="165"/>
        <v>27</v>
      </c>
      <c r="AH338" s="62">
        <f t="shared" si="166"/>
        <v>0.6428571428571429</v>
      </c>
      <c r="AI338" s="74">
        <f>IFERROR(AVERAGEIFS(Tracker!I:I, Tracker!E:E, 3, Tracker!G:G, "&lt;="&amp;Daily!C338, Tracker!J:J, "Y"), 0)</f>
        <v>40.074074074074076</v>
      </c>
      <c r="AJ338" s="77">
        <f>IFERROR(COUNTIFS(Tracker!E:E, 3, Tracker!G:G, "&lt;="&amp;Daily!C338, Tracker!L:L, "N") / AF338,  0)</f>
        <v>0.35714285714285715</v>
      </c>
      <c r="AK338" s="48">
        <f t="shared" si="167"/>
        <v>380</v>
      </c>
      <c r="AL338" s="26">
        <f t="shared" si="168"/>
        <v>312</v>
      </c>
      <c r="AM338" s="62">
        <f t="shared" si="169"/>
        <v>0.82105263157894737</v>
      </c>
      <c r="AN338" s="74">
        <f>IFERROR(AVERAGEIFS(Tracker!I:I,  Tracker!G:G, "&lt;="&amp;Daily!C338, Tracker!J:J, "Y"), 0)</f>
        <v>23.189102564102566</v>
      </c>
      <c r="AO338" s="77">
        <f>IFERROR(COUNTIFS(Tracker!G:G, "&lt;="&amp;Daily!C338, Tracker!L:L, "N") / AK338,  0)</f>
        <v>0.63421052631578945</v>
      </c>
    </row>
    <row r="339" spans="1:41" hidden="1" x14ac:dyDescent="0.25">
      <c r="A339" s="119"/>
      <c r="B339" s="32">
        <f t="shared" si="153"/>
        <v>45554</v>
      </c>
      <c r="C339" s="27">
        <f t="shared" si="170"/>
        <v>45554</v>
      </c>
      <c r="D339" s="109" t="b">
        <f t="shared" ca="1" si="152"/>
        <v>1</v>
      </c>
      <c r="E339" s="51">
        <f t="shared" si="154"/>
        <v>0</v>
      </c>
      <c r="F339" s="48">
        <f>COUNTIFS(Tracker!G:G,Daily!C339, Tracker!J:J,"Y")</f>
        <v>0</v>
      </c>
      <c r="G339" s="26">
        <f>COUNTIFS(Tracker!G:G,Daily!C339, Tracker!J:J,"Y (with hints)")</f>
        <v>0</v>
      </c>
      <c r="H339" s="33">
        <f>COUNTIFS(Tracker!G:G,Daily!C339, Tracker!J:J,"N")</f>
        <v>0</v>
      </c>
      <c r="I339" s="54">
        <f t="shared" si="155"/>
        <v>0</v>
      </c>
      <c r="J339" s="26">
        <f>COUNTIFS(Tracker!G:G,Daily!C339, Tracker!J:J,"Y",Tracker!E:E,1)</f>
        <v>0</v>
      </c>
      <c r="K339" s="26">
        <f>COUNTIFS(Tracker!G:G,Daily!C339, Tracker!J:J,"Y (with hints)",Tracker!E:E,1)</f>
        <v>0</v>
      </c>
      <c r="L339" s="33">
        <f>COUNTIFS(Tracker!G:G,Daily!C339, Tracker!J:J,"N",Tracker!E:E,1)</f>
        <v>0</v>
      </c>
      <c r="M339" s="54">
        <f t="shared" si="156"/>
        <v>0</v>
      </c>
      <c r="N339" s="26">
        <f>COUNTIFS(Tracker!G:G,Daily!C339, Tracker!J:J,"Y",Tracker!E:E,2)</f>
        <v>0</v>
      </c>
      <c r="O339" s="26">
        <f>COUNTIFS(Tracker!G:G,Daily!C339, Tracker!J:J,"Y (with hints)",Tracker!E:E,2)</f>
        <v>0</v>
      </c>
      <c r="P339" s="33">
        <f>COUNTIFS(Tracker!G:G,Daily!C339, Tracker!J:J,"N",Tracker!E:E,2)</f>
        <v>0</v>
      </c>
      <c r="Q339" s="57">
        <f t="shared" si="157"/>
        <v>0</v>
      </c>
      <c r="R339" s="26">
        <f>COUNTIFS(Tracker!G:G,Daily!C339, Tracker!J:J,"Y",Tracker!E:E,3)</f>
        <v>0</v>
      </c>
      <c r="S339" s="26">
        <f>COUNTIFS(Tracker!G:G,Daily!C339, Tracker!J:J,"Y (with hints)",Tracker!E:E,3)</f>
        <v>0</v>
      </c>
      <c r="T339" s="33">
        <f>COUNTIFS(Tracker!G:G,Daily!C339, Tracker!J:J,"N",Tracker!E:E,3)</f>
        <v>0</v>
      </c>
      <c r="V339" s="48">
        <f t="shared" si="158"/>
        <v>97</v>
      </c>
      <c r="W339" s="26">
        <f t="shared" si="159"/>
        <v>93</v>
      </c>
      <c r="X339" s="62">
        <f t="shared" si="160"/>
        <v>0.95876288659793818</v>
      </c>
      <c r="Y339" s="74">
        <f>AVERAGEIFS(Tracker!I:I, Tracker!E:E, 1, Tracker!G:G, "&lt;="&amp;Daily!C339, Tracker!J:J, "Y")</f>
        <v>12.473118279569892</v>
      </c>
      <c r="Z339" s="77">
        <f>COUNTIFS(Tracker!E:E, 1, Tracker!G:G, "&lt;="&amp;Daily!C339, Tracker!L:L, "N") / V339</f>
        <v>0.80412371134020622</v>
      </c>
      <c r="AA339" s="48">
        <f t="shared" si="161"/>
        <v>241</v>
      </c>
      <c r="AB339" s="26">
        <f t="shared" si="162"/>
        <v>192</v>
      </c>
      <c r="AC339" s="62">
        <f t="shared" si="163"/>
        <v>0.79668049792531115</v>
      </c>
      <c r="AD339" s="74">
        <f>AVERAGEIFS(Tracker!I:I, Tracker!E:E, 2, Tracker!G:G, "&lt;="&amp;Daily!C339, Tracker!J:J, "Y")</f>
        <v>26.005208333333332</v>
      </c>
      <c r="AE339" s="77">
        <f>COUNTIFS(Tracker!E:E, 2, Tracker!G:G, "&lt;="&amp;Daily!C339, Tracker!L:L, "N") / AA339</f>
        <v>0.61410788381742742</v>
      </c>
      <c r="AF339" s="48">
        <f t="shared" si="164"/>
        <v>42</v>
      </c>
      <c r="AG339" s="26">
        <f t="shared" si="165"/>
        <v>27</v>
      </c>
      <c r="AH339" s="62">
        <f t="shared" si="166"/>
        <v>0.6428571428571429</v>
      </c>
      <c r="AI339" s="74">
        <f>IFERROR(AVERAGEIFS(Tracker!I:I, Tracker!E:E, 3, Tracker!G:G, "&lt;="&amp;Daily!C339, Tracker!J:J, "Y"), 0)</f>
        <v>40.074074074074076</v>
      </c>
      <c r="AJ339" s="77">
        <f>IFERROR(COUNTIFS(Tracker!E:E, 3, Tracker!G:G, "&lt;="&amp;Daily!C339, Tracker!L:L, "N") / AF339,  0)</f>
        <v>0.35714285714285715</v>
      </c>
      <c r="AK339" s="48">
        <f t="shared" si="167"/>
        <v>380</v>
      </c>
      <c r="AL339" s="26">
        <f t="shared" si="168"/>
        <v>312</v>
      </c>
      <c r="AM339" s="62">
        <f t="shared" si="169"/>
        <v>0.82105263157894737</v>
      </c>
      <c r="AN339" s="74">
        <f>IFERROR(AVERAGEIFS(Tracker!I:I,  Tracker!G:G, "&lt;="&amp;Daily!C339, Tracker!J:J, "Y"), 0)</f>
        <v>23.189102564102566</v>
      </c>
      <c r="AO339" s="77">
        <f>IFERROR(COUNTIFS(Tracker!G:G, "&lt;="&amp;Daily!C339, Tracker!L:L, "N") / AK339,  0)</f>
        <v>0.63421052631578945</v>
      </c>
    </row>
    <row r="340" spans="1:41" hidden="1" x14ac:dyDescent="0.25">
      <c r="A340" s="119"/>
      <c r="B340" s="32">
        <f t="shared" si="153"/>
        <v>45555</v>
      </c>
      <c r="C340" s="27">
        <f t="shared" si="170"/>
        <v>45555</v>
      </c>
      <c r="D340" s="109" t="b">
        <f t="shared" ca="1" si="152"/>
        <v>1</v>
      </c>
      <c r="E340" s="51">
        <f t="shared" si="154"/>
        <v>0</v>
      </c>
      <c r="F340" s="48">
        <f>COUNTIFS(Tracker!G:G,Daily!C340, Tracker!J:J,"Y")</f>
        <v>0</v>
      </c>
      <c r="G340" s="26">
        <f>COUNTIFS(Tracker!G:G,Daily!C340, Tracker!J:J,"Y (with hints)")</f>
        <v>0</v>
      </c>
      <c r="H340" s="33">
        <f>COUNTIFS(Tracker!G:G,Daily!C340, Tracker!J:J,"N")</f>
        <v>0</v>
      </c>
      <c r="I340" s="54">
        <f t="shared" si="155"/>
        <v>0</v>
      </c>
      <c r="J340" s="26">
        <f>COUNTIFS(Tracker!G:G,Daily!C340, Tracker!J:J,"Y",Tracker!E:E,1)</f>
        <v>0</v>
      </c>
      <c r="K340" s="26">
        <f>COUNTIFS(Tracker!G:G,Daily!C340, Tracker!J:J,"Y (with hints)",Tracker!E:E,1)</f>
        <v>0</v>
      </c>
      <c r="L340" s="33">
        <f>COUNTIFS(Tracker!G:G,Daily!C340, Tracker!J:J,"N",Tracker!E:E,1)</f>
        <v>0</v>
      </c>
      <c r="M340" s="54">
        <f t="shared" si="156"/>
        <v>0</v>
      </c>
      <c r="N340" s="26">
        <f>COUNTIFS(Tracker!G:G,Daily!C340, Tracker!J:J,"Y",Tracker!E:E,2)</f>
        <v>0</v>
      </c>
      <c r="O340" s="26">
        <f>COUNTIFS(Tracker!G:G,Daily!C340, Tracker!J:J,"Y (with hints)",Tracker!E:E,2)</f>
        <v>0</v>
      </c>
      <c r="P340" s="33">
        <f>COUNTIFS(Tracker!G:G,Daily!C340, Tracker!J:J,"N",Tracker!E:E,2)</f>
        <v>0</v>
      </c>
      <c r="Q340" s="57">
        <f t="shared" si="157"/>
        <v>0</v>
      </c>
      <c r="R340" s="26">
        <f>COUNTIFS(Tracker!G:G,Daily!C340, Tracker!J:J,"Y",Tracker!E:E,3)</f>
        <v>0</v>
      </c>
      <c r="S340" s="26">
        <f>COUNTIFS(Tracker!G:G,Daily!C340, Tracker!J:J,"Y (with hints)",Tracker!E:E,3)</f>
        <v>0</v>
      </c>
      <c r="T340" s="33">
        <f>COUNTIFS(Tracker!G:G,Daily!C340, Tracker!J:J,"N",Tracker!E:E,3)</f>
        <v>0</v>
      </c>
      <c r="V340" s="48">
        <f t="shared" si="158"/>
        <v>97</v>
      </c>
      <c r="W340" s="26">
        <f t="shared" si="159"/>
        <v>93</v>
      </c>
      <c r="X340" s="62">
        <f t="shared" si="160"/>
        <v>0.95876288659793818</v>
      </c>
      <c r="Y340" s="74">
        <f>AVERAGEIFS(Tracker!I:I, Tracker!E:E, 1, Tracker!G:G, "&lt;="&amp;Daily!C340, Tracker!J:J, "Y")</f>
        <v>12.473118279569892</v>
      </c>
      <c r="Z340" s="77">
        <f>COUNTIFS(Tracker!E:E, 1, Tracker!G:G, "&lt;="&amp;Daily!C340, Tracker!L:L, "N") / V340</f>
        <v>0.80412371134020622</v>
      </c>
      <c r="AA340" s="48">
        <f t="shared" si="161"/>
        <v>241</v>
      </c>
      <c r="AB340" s="26">
        <f t="shared" si="162"/>
        <v>192</v>
      </c>
      <c r="AC340" s="62">
        <f t="shared" si="163"/>
        <v>0.79668049792531115</v>
      </c>
      <c r="AD340" s="74">
        <f>AVERAGEIFS(Tracker!I:I, Tracker!E:E, 2, Tracker!G:G, "&lt;="&amp;Daily!C340, Tracker!J:J, "Y")</f>
        <v>26.005208333333332</v>
      </c>
      <c r="AE340" s="77">
        <f>COUNTIFS(Tracker!E:E, 2, Tracker!G:G, "&lt;="&amp;Daily!C340, Tracker!L:L, "N") / AA340</f>
        <v>0.61410788381742742</v>
      </c>
      <c r="AF340" s="48">
        <f t="shared" si="164"/>
        <v>42</v>
      </c>
      <c r="AG340" s="26">
        <f t="shared" si="165"/>
        <v>27</v>
      </c>
      <c r="AH340" s="62">
        <f t="shared" si="166"/>
        <v>0.6428571428571429</v>
      </c>
      <c r="AI340" s="74">
        <f>IFERROR(AVERAGEIFS(Tracker!I:I, Tracker!E:E, 3, Tracker!G:G, "&lt;="&amp;Daily!C340, Tracker!J:J, "Y"), 0)</f>
        <v>40.074074074074076</v>
      </c>
      <c r="AJ340" s="77">
        <f>IFERROR(COUNTIFS(Tracker!E:E, 3, Tracker!G:G, "&lt;="&amp;Daily!C340, Tracker!L:L, "N") / AF340,  0)</f>
        <v>0.35714285714285715</v>
      </c>
      <c r="AK340" s="48">
        <f t="shared" si="167"/>
        <v>380</v>
      </c>
      <c r="AL340" s="26">
        <f t="shared" si="168"/>
        <v>312</v>
      </c>
      <c r="AM340" s="62">
        <f t="shared" si="169"/>
        <v>0.82105263157894737</v>
      </c>
      <c r="AN340" s="74">
        <f>IFERROR(AVERAGEIFS(Tracker!I:I,  Tracker!G:G, "&lt;="&amp;Daily!C340, Tracker!J:J, "Y"), 0)</f>
        <v>23.189102564102566</v>
      </c>
      <c r="AO340" s="77">
        <f>IFERROR(COUNTIFS(Tracker!G:G, "&lt;="&amp;Daily!C340, Tracker!L:L, "N") / AK340,  0)</f>
        <v>0.63421052631578945</v>
      </c>
    </row>
    <row r="341" spans="1:41" hidden="1" x14ac:dyDescent="0.25">
      <c r="A341" s="119"/>
      <c r="B341" s="32">
        <f t="shared" si="153"/>
        <v>45556</v>
      </c>
      <c r="C341" s="27">
        <f t="shared" si="170"/>
        <v>45556</v>
      </c>
      <c r="D341" s="109" t="b">
        <f t="shared" ca="1" si="152"/>
        <v>1</v>
      </c>
      <c r="E341" s="51">
        <f t="shared" si="154"/>
        <v>0</v>
      </c>
      <c r="F341" s="48">
        <f>COUNTIFS(Tracker!G:G,Daily!C341, Tracker!J:J,"Y")</f>
        <v>0</v>
      </c>
      <c r="G341" s="26">
        <f>COUNTIFS(Tracker!G:G,Daily!C341, Tracker!J:J,"Y (with hints)")</f>
        <v>0</v>
      </c>
      <c r="H341" s="33">
        <f>COUNTIFS(Tracker!G:G,Daily!C341, Tracker!J:J,"N")</f>
        <v>0</v>
      </c>
      <c r="I341" s="54">
        <f t="shared" si="155"/>
        <v>0</v>
      </c>
      <c r="J341" s="26">
        <f>COUNTIFS(Tracker!G:G,Daily!C341, Tracker!J:J,"Y",Tracker!E:E,1)</f>
        <v>0</v>
      </c>
      <c r="K341" s="26">
        <f>COUNTIFS(Tracker!G:G,Daily!C341, Tracker!J:J,"Y (with hints)",Tracker!E:E,1)</f>
        <v>0</v>
      </c>
      <c r="L341" s="33">
        <f>COUNTIFS(Tracker!G:G,Daily!C341, Tracker!J:J,"N",Tracker!E:E,1)</f>
        <v>0</v>
      </c>
      <c r="M341" s="54">
        <f t="shared" si="156"/>
        <v>0</v>
      </c>
      <c r="N341" s="26">
        <f>COUNTIFS(Tracker!G:G,Daily!C341, Tracker!J:J,"Y",Tracker!E:E,2)</f>
        <v>0</v>
      </c>
      <c r="O341" s="26">
        <f>COUNTIFS(Tracker!G:G,Daily!C341, Tracker!J:J,"Y (with hints)",Tracker!E:E,2)</f>
        <v>0</v>
      </c>
      <c r="P341" s="33">
        <f>COUNTIFS(Tracker!G:G,Daily!C341, Tracker!J:J,"N",Tracker!E:E,2)</f>
        <v>0</v>
      </c>
      <c r="Q341" s="57">
        <f t="shared" si="157"/>
        <v>0</v>
      </c>
      <c r="R341" s="26">
        <f>COUNTIFS(Tracker!G:G,Daily!C341, Tracker!J:J,"Y",Tracker!E:E,3)</f>
        <v>0</v>
      </c>
      <c r="S341" s="26">
        <f>COUNTIFS(Tracker!G:G,Daily!C341, Tracker!J:J,"Y (with hints)",Tracker!E:E,3)</f>
        <v>0</v>
      </c>
      <c r="T341" s="33">
        <f>COUNTIFS(Tracker!G:G,Daily!C341, Tracker!J:J,"N",Tracker!E:E,3)</f>
        <v>0</v>
      </c>
      <c r="V341" s="48">
        <f t="shared" si="158"/>
        <v>97</v>
      </c>
      <c r="W341" s="26">
        <f t="shared" si="159"/>
        <v>93</v>
      </c>
      <c r="X341" s="62">
        <f t="shared" si="160"/>
        <v>0.95876288659793818</v>
      </c>
      <c r="Y341" s="74">
        <f>AVERAGEIFS(Tracker!I:I, Tracker!E:E, 1, Tracker!G:G, "&lt;="&amp;Daily!C341, Tracker!J:J, "Y")</f>
        <v>12.473118279569892</v>
      </c>
      <c r="Z341" s="77">
        <f>COUNTIFS(Tracker!E:E, 1, Tracker!G:G, "&lt;="&amp;Daily!C341, Tracker!L:L, "N") / V341</f>
        <v>0.80412371134020622</v>
      </c>
      <c r="AA341" s="48">
        <f t="shared" si="161"/>
        <v>241</v>
      </c>
      <c r="AB341" s="26">
        <f t="shared" si="162"/>
        <v>192</v>
      </c>
      <c r="AC341" s="62">
        <f t="shared" si="163"/>
        <v>0.79668049792531115</v>
      </c>
      <c r="AD341" s="74">
        <f>AVERAGEIFS(Tracker!I:I, Tracker!E:E, 2, Tracker!G:G, "&lt;="&amp;Daily!C341, Tracker!J:J, "Y")</f>
        <v>26.005208333333332</v>
      </c>
      <c r="AE341" s="77">
        <f>COUNTIFS(Tracker!E:E, 2, Tracker!G:G, "&lt;="&amp;Daily!C341, Tracker!L:L, "N") / AA341</f>
        <v>0.61410788381742742</v>
      </c>
      <c r="AF341" s="48">
        <f t="shared" si="164"/>
        <v>42</v>
      </c>
      <c r="AG341" s="26">
        <f t="shared" si="165"/>
        <v>27</v>
      </c>
      <c r="AH341" s="62">
        <f t="shared" si="166"/>
        <v>0.6428571428571429</v>
      </c>
      <c r="AI341" s="74">
        <f>IFERROR(AVERAGEIFS(Tracker!I:I, Tracker!E:E, 3, Tracker!G:G, "&lt;="&amp;Daily!C341, Tracker!J:J, "Y"), 0)</f>
        <v>40.074074074074076</v>
      </c>
      <c r="AJ341" s="77">
        <f>IFERROR(COUNTIFS(Tracker!E:E, 3, Tracker!G:G, "&lt;="&amp;Daily!C341, Tracker!L:L, "N") / AF341,  0)</f>
        <v>0.35714285714285715</v>
      </c>
      <c r="AK341" s="48">
        <f t="shared" si="167"/>
        <v>380</v>
      </c>
      <c r="AL341" s="26">
        <f t="shared" si="168"/>
        <v>312</v>
      </c>
      <c r="AM341" s="62">
        <f t="shared" si="169"/>
        <v>0.82105263157894737</v>
      </c>
      <c r="AN341" s="74">
        <f>IFERROR(AVERAGEIFS(Tracker!I:I,  Tracker!G:G, "&lt;="&amp;Daily!C341, Tracker!J:J, "Y"), 0)</f>
        <v>23.189102564102566</v>
      </c>
      <c r="AO341" s="77">
        <f>IFERROR(COUNTIFS(Tracker!G:G, "&lt;="&amp;Daily!C341, Tracker!L:L, "N") / AK341,  0)</f>
        <v>0.63421052631578945</v>
      </c>
    </row>
    <row r="342" spans="1:41" ht="15.75" hidden="1" thickBot="1" x14ac:dyDescent="0.3">
      <c r="A342" s="120"/>
      <c r="B342" s="34">
        <f t="shared" si="153"/>
        <v>45557</v>
      </c>
      <c r="C342" s="35">
        <f t="shared" si="170"/>
        <v>45557</v>
      </c>
      <c r="D342" s="110" t="b">
        <f t="shared" ca="1" si="152"/>
        <v>1</v>
      </c>
      <c r="E342" s="52">
        <f t="shared" si="154"/>
        <v>0</v>
      </c>
      <c r="F342" s="39">
        <f>COUNTIFS(Tracker!G:G,Daily!C342, Tracker!J:J,"Y")</f>
        <v>0</v>
      </c>
      <c r="G342" s="36">
        <f>COUNTIFS(Tracker!G:G,Daily!C342, Tracker!J:J,"Y (with hints)")</f>
        <v>0</v>
      </c>
      <c r="H342" s="37">
        <f>COUNTIFS(Tracker!G:G,Daily!C342, Tracker!J:J,"N")</f>
        <v>0</v>
      </c>
      <c r="I342" s="55">
        <f t="shared" si="155"/>
        <v>0</v>
      </c>
      <c r="J342" s="36">
        <f>COUNTIFS(Tracker!G:G,Daily!C342, Tracker!J:J,"Y",Tracker!E:E,1)</f>
        <v>0</v>
      </c>
      <c r="K342" s="36">
        <f>COUNTIFS(Tracker!G:G,Daily!C342, Tracker!J:J,"Y (with hints)",Tracker!E:E,1)</f>
        <v>0</v>
      </c>
      <c r="L342" s="37">
        <f>COUNTIFS(Tracker!G:G,Daily!C342, Tracker!J:J,"N",Tracker!E:E,1)</f>
        <v>0</v>
      </c>
      <c r="M342" s="55">
        <f t="shared" si="156"/>
        <v>0</v>
      </c>
      <c r="N342" s="36">
        <f>COUNTIFS(Tracker!G:G,Daily!C342, Tracker!J:J,"Y",Tracker!E:E,2)</f>
        <v>0</v>
      </c>
      <c r="O342" s="36">
        <f>COUNTIFS(Tracker!G:G,Daily!C342, Tracker!J:J,"Y (with hints)",Tracker!E:E,2)</f>
        <v>0</v>
      </c>
      <c r="P342" s="37">
        <f>COUNTIFS(Tracker!G:G,Daily!C342, Tracker!J:J,"N",Tracker!E:E,2)</f>
        <v>0</v>
      </c>
      <c r="Q342" s="58">
        <f t="shared" si="157"/>
        <v>0</v>
      </c>
      <c r="R342" s="36">
        <f>COUNTIFS(Tracker!G:G,Daily!C342, Tracker!J:J,"Y",Tracker!E:E,3)</f>
        <v>0</v>
      </c>
      <c r="S342" s="36">
        <f>COUNTIFS(Tracker!G:G,Daily!C342, Tracker!J:J,"Y (with hints)",Tracker!E:E,3)</f>
        <v>0</v>
      </c>
      <c r="T342" s="37">
        <f>COUNTIFS(Tracker!G:G,Daily!C342, Tracker!J:J,"N",Tracker!E:E,3)</f>
        <v>0</v>
      </c>
      <c r="V342" s="39">
        <f t="shared" si="158"/>
        <v>97</v>
      </c>
      <c r="W342" s="36">
        <f t="shared" si="159"/>
        <v>93</v>
      </c>
      <c r="X342" s="64">
        <f t="shared" si="160"/>
        <v>0.95876288659793818</v>
      </c>
      <c r="Y342" s="78">
        <f>AVERAGEIFS(Tracker!I:I, Tracker!E:E, 1, Tracker!G:G, "&lt;="&amp;Daily!C342, Tracker!J:J, "Y")</f>
        <v>12.473118279569892</v>
      </c>
      <c r="Z342" s="79">
        <f>COUNTIFS(Tracker!E:E, 1, Tracker!G:G, "&lt;="&amp;Daily!C342, Tracker!L:L, "N") / V342</f>
        <v>0.80412371134020622</v>
      </c>
      <c r="AA342" s="39">
        <f t="shared" si="161"/>
        <v>241</v>
      </c>
      <c r="AB342" s="36">
        <f t="shared" si="162"/>
        <v>192</v>
      </c>
      <c r="AC342" s="64">
        <f t="shared" si="163"/>
        <v>0.79668049792531115</v>
      </c>
      <c r="AD342" s="78">
        <f>AVERAGEIFS(Tracker!I:I, Tracker!E:E, 2, Tracker!G:G, "&lt;="&amp;Daily!C342, Tracker!J:J, "Y")</f>
        <v>26.005208333333332</v>
      </c>
      <c r="AE342" s="79">
        <f>COUNTIFS(Tracker!E:E, 2, Tracker!G:G, "&lt;="&amp;Daily!C342, Tracker!L:L, "N") / AA342</f>
        <v>0.61410788381742742</v>
      </c>
      <c r="AF342" s="39">
        <f t="shared" si="164"/>
        <v>42</v>
      </c>
      <c r="AG342" s="36">
        <f t="shared" si="165"/>
        <v>27</v>
      </c>
      <c r="AH342" s="64">
        <f t="shared" si="166"/>
        <v>0.6428571428571429</v>
      </c>
      <c r="AI342" s="78">
        <f>IFERROR(AVERAGEIFS(Tracker!I:I, Tracker!E:E, 3, Tracker!G:G, "&lt;="&amp;Daily!C342, Tracker!J:J, "Y"), 0)</f>
        <v>40.074074074074076</v>
      </c>
      <c r="AJ342" s="79">
        <f>IFERROR(COUNTIFS(Tracker!E:E, 3, Tracker!G:G, "&lt;="&amp;Daily!C342, Tracker!L:L, "N") / AF342,  0)</f>
        <v>0.35714285714285715</v>
      </c>
      <c r="AK342" s="39">
        <f t="shared" si="167"/>
        <v>380</v>
      </c>
      <c r="AL342" s="36">
        <f t="shared" si="168"/>
        <v>312</v>
      </c>
      <c r="AM342" s="64">
        <f t="shared" si="169"/>
        <v>0.82105263157894737</v>
      </c>
      <c r="AN342" s="78">
        <f>IFERROR(AVERAGEIFS(Tracker!I:I,  Tracker!G:G, "&lt;="&amp;Daily!C342, Tracker!J:J, "Y"), 0)</f>
        <v>23.189102564102566</v>
      </c>
      <c r="AO342" s="79">
        <f>IFERROR(COUNTIFS(Tracker!G:G, "&lt;="&amp;Daily!C342, Tracker!L:L, "N") / AK342,  0)</f>
        <v>0.63421052631578945</v>
      </c>
    </row>
    <row r="343" spans="1:41" hidden="1" x14ac:dyDescent="0.25">
      <c r="A343" s="118">
        <f>A336+1</f>
        <v>49</v>
      </c>
      <c r="B343" s="28">
        <f t="shared" si="153"/>
        <v>45558</v>
      </c>
      <c r="C343" s="29">
        <f t="shared" si="170"/>
        <v>45558</v>
      </c>
      <c r="D343" s="108" t="b">
        <f t="shared" ca="1" si="152"/>
        <v>1</v>
      </c>
      <c r="E343" s="50">
        <f t="shared" si="154"/>
        <v>0</v>
      </c>
      <c r="F343" s="38">
        <f>COUNTIFS(Tracker!G:G,Daily!C343, Tracker!J:J,"Y")</f>
        <v>0</v>
      </c>
      <c r="G343" s="30">
        <f>COUNTIFS(Tracker!G:G,Daily!C343, Tracker!J:J,"Y (with hints)")</f>
        <v>0</v>
      </c>
      <c r="H343" s="31">
        <f>COUNTIFS(Tracker!G:G,Daily!C343, Tracker!J:J,"N")</f>
        <v>0</v>
      </c>
      <c r="I343" s="53">
        <f t="shared" si="155"/>
        <v>0</v>
      </c>
      <c r="J343" s="30">
        <f>COUNTIFS(Tracker!G:G,Daily!C343, Tracker!J:J,"Y",Tracker!E:E,1)</f>
        <v>0</v>
      </c>
      <c r="K343" s="30">
        <f>COUNTIFS(Tracker!G:G,Daily!C343, Tracker!J:J,"Y (with hints)",Tracker!E:E,1)</f>
        <v>0</v>
      </c>
      <c r="L343" s="31">
        <f>COUNTIFS(Tracker!G:G,Daily!C343, Tracker!J:J,"N",Tracker!E:E,1)</f>
        <v>0</v>
      </c>
      <c r="M343" s="53">
        <f t="shared" si="156"/>
        <v>0</v>
      </c>
      <c r="N343" s="30">
        <f>COUNTIFS(Tracker!G:G,Daily!C343, Tracker!J:J,"Y",Tracker!E:E,2)</f>
        <v>0</v>
      </c>
      <c r="O343" s="30">
        <f>COUNTIFS(Tracker!G:G,Daily!C343, Tracker!J:J,"Y (with hints)",Tracker!E:E,2)</f>
        <v>0</v>
      </c>
      <c r="P343" s="31">
        <f>COUNTIFS(Tracker!G:G,Daily!C343, Tracker!J:J,"N",Tracker!E:E,2)</f>
        <v>0</v>
      </c>
      <c r="Q343" s="56">
        <f t="shared" si="157"/>
        <v>0</v>
      </c>
      <c r="R343" s="30">
        <f>COUNTIFS(Tracker!G:G,Daily!C343, Tracker!J:J,"Y",Tracker!E:E,3)</f>
        <v>0</v>
      </c>
      <c r="S343" s="30">
        <f>COUNTIFS(Tracker!G:G,Daily!C343, Tracker!J:J,"Y (with hints)",Tracker!E:E,3)</f>
        <v>0</v>
      </c>
      <c r="T343" s="31">
        <f>COUNTIFS(Tracker!G:G,Daily!C343, Tracker!J:J,"N",Tracker!E:E,3)</f>
        <v>0</v>
      </c>
      <c r="V343" s="38">
        <f t="shared" si="158"/>
        <v>97</v>
      </c>
      <c r="W343" s="30">
        <f t="shared" si="159"/>
        <v>93</v>
      </c>
      <c r="X343" s="73">
        <f t="shared" si="160"/>
        <v>0.95876288659793818</v>
      </c>
      <c r="Y343" s="75">
        <f>AVERAGEIFS(Tracker!I:I, Tracker!E:E, 1, Tracker!G:G, "&lt;="&amp;Daily!C343, Tracker!J:J, "Y")</f>
        <v>12.473118279569892</v>
      </c>
      <c r="Z343" s="76">
        <f>COUNTIFS(Tracker!E:E, 1, Tracker!G:G, "&lt;="&amp;Daily!C343, Tracker!L:L, "N") / V343</f>
        <v>0.80412371134020622</v>
      </c>
      <c r="AA343" s="38">
        <f t="shared" si="161"/>
        <v>241</v>
      </c>
      <c r="AB343" s="30">
        <f t="shared" si="162"/>
        <v>192</v>
      </c>
      <c r="AC343" s="73">
        <f t="shared" si="163"/>
        <v>0.79668049792531115</v>
      </c>
      <c r="AD343" s="75">
        <f>AVERAGEIFS(Tracker!I:I, Tracker!E:E, 2, Tracker!G:G, "&lt;="&amp;Daily!C343, Tracker!J:J, "Y")</f>
        <v>26.005208333333332</v>
      </c>
      <c r="AE343" s="76">
        <f>COUNTIFS(Tracker!E:E, 2, Tracker!G:G, "&lt;="&amp;Daily!C343, Tracker!L:L, "N") / AA343</f>
        <v>0.61410788381742742</v>
      </c>
      <c r="AF343" s="38">
        <f t="shared" si="164"/>
        <v>42</v>
      </c>
      <c r="AG343" s="30">
        <f t="shared" si="165"/>
        <v>27</v>
      </c>
      <c r="AH343" s="73">
        <f t="shared" si="166"/>
        <v>0.6428571428571429</v>
      </c>
      <c r="AI343" s="75">
        <f>IFERROR(AVERAGEIFS(Tracker!I:I, Tracker!E:E, 3, Tracker!G:G, "&lt;="&amp;Daily!C343, Tracker!J:J, "Y"), 0)</f>
        <v>40.074074074074076</v>
      </c>
      <c r="AJ343" s="76">
        <f>IFERROR(COUNTIFS(Tracker!E:E, 3, Tracker!G:G, "&lt;="&amp;Daily!C343, Tracker!L:L, "N") / AF343,  0)</f>
        <v>0.35714285714285715</v>
      </c>
      <c r="AK343" s="38">
        <f t="shared" si="167"/>
        <v>380</v>
      </c>
      <c r="AL343" s="30">
        <f t="shared" si="168"/>
        <v>312</v>
      </c>
      <c r="AM343" s="73">
        <f t="shared" si="169"/>
        <v>0.82105263157894737</v>
      </c>
      <c r="AN343" s="75">
        <f>IFERROR(AVERAGEIFS(Tracker!I:I,  Tracker!G:G, "&lt;="&amp;Daily!C343, Tracker!J:J, "Y"), 0)</f>
        <v>23.189102564102566</v>
      </c>
      <c r="AO343" s="76">
        <f>IFERROR(COUNTIFS(Tracker!G:G, "&lt;="&amp;Daily!C343, Tracker!L:L, "N") / AK343,  0)</f>
        <v>0.63421052631578945</v>
      </c>
    </row>
    <row r="344" spans="1:41" hidden="1" x14ac:dyDescent="0.25">
      <c r="A344" s="119"/>
      <c r="B344" s="32">
        <f t="shared" si="153"/>
        <v>45559</v>
      </c>
      <c r="C344" s="27">
        <f t="shared" si="170"/>
        <v>45559</v>
      </c>
      <c r="D344" s="109" t="b">
        <f t="shared" ca="1" si="152"/>
        <v>1</v>
      </c>
      <c r="E344" s="51">
        <f t="shared" si="154"/>
        <v>0</v>
      </c>
      <c r="F344" s="48">
        <f>COUNTIFS(Tracker!G:G,Daily!C344, Tracker!J:J,"Y")</f>
        <v>0</v>
      </c>
      <c r="G344" s="26">
        <f>COUNTIFS(Tracker!G:G,Daily!C344, Tracker!J:J,"Y (with hints)")</f>
        <v>0</v>
      </c>
      <c r="H344" s="33">
        <f>COUNTIFS(Tracker!G:G,Daily!C344, Tracker!J:J,"N")</f>
        <v>0</v>
      </c>
      <c r="I344" s="54">
        <f t="shared" si="155"/>
        <v>0</v>
      </c>
      <c r="J344" s="26">
        <f>COUNTIFS(Tracker!G:G,Daily!C344, Tracker!J:J,"Y",Tracker!E:E,1)</f>
        <v>0</v>
      </c>
      <c r="K344" s="26">
        <f>COUNTIFS(Tracker!G:G,Daily!C344, Tracker!J:J,"Y (with hints)",Tracker!E:E,1)</f>
        <v>0</v>
      </c>
      <c r="L344" s="33">
        <f>COUNTIFS(Tracker!G:G,Daily!C344, Tracker!J:J,"N",Tracker!E:E,1)</f>
        <v>0</v>
      </c>
      <c r="M344" s="54">
        <f t="shared" si="156"/>
        <v>0</v>
      </c>
      <c r="N344" s="26">
        <f>COUNTIFS(Tracker!G:G,Daily!C344, Tracker!J:J,"Y",Tracker!E:E,2)</f>
        <v>0</v>
      </c>
      <c r="O344" s="26">
        <f>COUNTIFS(Tracker!G:G,Daily!C344, Tracker!J:J,"Y (with hints)",Tracker!E:E,2)</f>
        <v>0</v>
      </c>
      <c r="P344" s="33">
        <f>COUNTIFS(Tracker!G:G,Daily!C344, Tracker!J:J,"N",Tracker!E:E,2)</f>
        <v>0</v>
      </c>
      <c r="Q344" s="57">
        <f t="shared" si="157"/>
        <v>0</v>
      </c>
      <c r="R344" s="26">
        <f>COUNTIFS(Tracker!G:G,Daily!C344, Tracker!J:J,"Y",Tracker!E:E,3)</f>
        <v>0</v>
      </c>
      <c r="S344" s="26">
        <f>COUNTIFS(Tracker!G:G,Daily!C344, Tracker!J:J,"Y (with hints)",Tracker!E:E,3)</f>
        <v>0</v>
      </c>
      <c r="T344" s="33">
        <f>COUNTIFS(Tracker!G:G,Daily!C344, Tracker!J:J,"N",Tracker!E:E,3)</f>
        <v>0</v>
      </c>
      <c r="V344" s="48">
        <f t="shared" si="158"/>
        <v>97</v>
      </c>
      <c r="W344" s="26">
        <f t="shared" si="159"/>
        <v>93</v>
      </c>
      <c r="X344" s="62">
        <f t="shared" si="160"/>
        <v>0.95876288659793818</v>
      </c>
      <c r="Y344" s="74">
        <f>AVERAGEIFS(Tracker!I:I, Tracker!E:E, 1, Tracker!G:G, "&lt;="&amp;Daily!C344, Tracker!J:J, "Y")</f>
        <v>12.473118279569892</v>
      </c>
      <c r="Z344" s="77">
        <f>COUNTIFS(Tracker!E:E, 1, Tracker!G:G, "&lt;="&amp;Daily!C344, Tracker!L:L, "N") / V344</f>
        <v>0.80412371134020622</v>
      </c>
      <c r="AA344" s="48">
        <f t="shared" si="161"/>
        <v>241</v>
      </c>
      <c r="AB344" s="26">
        <f t="shared" si="162"/>
        <v>192</v>
      </c>
      <c r="AC344" s="62">
        <f t="shared" si="163"/>
        <v>0.79668049792531115</v>
      </c>
      <c r="AD344" s="74">
        <f>AVERAGEIFS(Tracker!I:I, Tracker!E:E, 2, Tracker!G:G, "&lt;="&amp;Daily!C344, Tracker!J:J, "Y")</f>
        <v>26.005208333333332</v>
      </c>
      <c r="AE344" s="77">
        <f>COUNTIFS(Tracker!E:E, 2, Tracker!G:G, "&lt;="&amp;Daily!C344, Tracker!L:L, "N") / AA344</f>
        <v>0.61410788381742742</v>
      </c>
      <c r="AF344" s="48">
        <f t="shared" si="164"/>
        <v>42</v>
      </c>
      <c r="AG344" s="26">
        <f t="shared" si="165"/>
        <v>27</v>
      </c>
      <c r="AH344" s="62">
        <f t="shared" si="166"/>
        <v>0.6428571428571429</v>
      </c>
      <c r="AI344" s="74">
        <f>IFERROR(AVERAGEIFS(Tracker!I:I, Tracker!E:E, 3, Tracker!G:G, "&lt;="&amp;Daily!C344, Tracker!J:J, "Y"), 0)</f>
        <v>40.074074074074076</v>
      </c>
      <c r="AJ344" s="77">
        <f>IFERROR(COUNTIFS(Tracker!E:E, 3, Tracker!G:G, "&lt;="&amp;Daily!C344, Tracker!L:L, "N") / AF344,  0)</f>
        <v>0.35714285714285715</v>
      </c>
      <c r="AK344" s="48">
        <f t="shared" si="167"/>
        <v>380</v>
      </c>
      <c r="AL344" s="26">
        <f t="shared" si="168"/>
        <v>312</v>
      </c>
      <c r="AM344" s="62">
        <f t="shared" si="169"/>
        <v>0.82105263157894737</v>
      </c>
      <c r="AN344" s="74">
        <f>IFERROR(AVERAGEIFS(Tracker!I:I,  Tracker!G:G, "&lt;="&amp;Daily!C344, Tracker!J:J, "Y"), 0)</f>
        <v>23.189102564102566</v>
      </c>
      <c r="AO344" s="77">
        <f>IFERROR(COUNTIFS(Tracker!G:G, "&lt;="&amp;Daily!C344, Tracker!L:L, "N") / AK344,  0)</f>
        <v>0.63421052631578945</v>
      </c>
    </row>
    <row r="345" spans="1:41" hidden="1" x14ac:dyDescent="0.25">
      <c r="A345" s="119"/>
      <c r="B345" s="32">
        <f t="shared" si="153"/>
        <v>45560</v>
      </c>
      <c r="C345" s="27">
        <f t="shared" si="170"/>
        <v>45560</v>
      </c>
      <c r="D345" s="109" t="b">
        <f t="shared" ca="1" si="152"/>
        <v>1</v>
      </c>
      <c r="E345" s="51">
        <f t="shared" si="154"/>
        <v>0</v>
      </c>
      <c r="F345" s="48">
        <f>COUNTIFS(Tracker!G:G,Daily!C345, Tracker!J:J,"Y")</f>
        <v>0</v>
      </c>
      <c r="G345" s="26">
        <f>COUNTIFS(Tracker!G:G,Daily!C345, Tracker!J:J,"Y (with hints)")</f>
        <v>0</v>
      </c>
      <c r="H345" s="33">
        <f>COUNTIFS(Tracker!G:G,Daily!C345, Tracker!J:J,"N")</f>
        <v>0</v>
      </c>
      <c r="I345" s="54">
        <f t="shared" si="155"/>
        <v>0</v>
      </c>
      <c r="J345" s="26">
        <f>COUNTIFS(Tracker!G:G,Daily!C345, Tracker!J:J,"Y",Tracker!E:E,1)</f>
        <v>0</v>
      </c>
      <c r="K345" s="26">
        <f>COUNTIFS(Tracker!G:G,Daily!C345, Tracker!J:J,"Y (with hints)",Tracker!E:E,1)</f>
        <v>0</v>
      </c>
      <c r="L345" s="33">
        <f>COUNTIFS(Tracker!G:G,Daily!C345, Tracker!J:J,"N",Tracker!E:E,1)</f>
        <v>0</v>
      </c>
      <c r="M345" s="54">
        <f t="shared" si="156"/>
        <v>0</v>
      </c>
      <c r="N345" s="26">
        <f>COUNTIFS(Tracker!G:G,Daily!C345, Tracker!J:J,"Y",Tracker!E:E,2)</f>
        <v>0</v>
      </c>
      <c r="O345" s="26">
        <f>COUNTIFS(Tracker!G:G,Daily!C345, Tracker!J:J,"Y (with hints)",Tracker!E:E,2)</f>
        <v>0</v>
      </c>
      <c r="P345" s="33">
        <f>COUNTIFS(Tracker!G:G,Daily!C345, Tracker!J:J,"N",Tracker!E:E,2)</f>
        <v>0</v>
      </c>
      <c r="Q345" s="57">
        <f t="shared" si="157"/>
        <v>0</v>
      </c>
      <c r="R345" s="26">
        <f>COUNTIFS(Tracker!G:G,Daily!C345, Tracker!J:J,"Y",Tracker!E:E,3)</f>
        <v>0</v>
      </c>
      <c r="S345" s="26">
        <f>COUNTIFS(Tracker!G:G,Daily!C345, Tracker!J:J,"Y (with hints)",Tracker!E:E,3)</f>
        <v>0</v>
      </c>
      <c r="T345" s="33">
        <f>COUNTIFS(Tracker!G:G,Daily!C345, Tracker!J:J,"N",Tracker!E:E,3)</f>
        <v>0</v>
      </c>
      <c r="V345" s="48">
        <f t="shared" si="158"/>
        <v>97</v>
      </c>
      <c r="W345" s="26">
        <f t="shared" si="159"/>
        <v>93</v>
      </c>
      <c r="X345" s="62">
        <f t="shared" si="160"/>
        <v>0.95876288659793818</v>
      </c>
      <c r="Y345" s="74">
        <f>AVERAGEIFS(Tracker!I:I, Tracker!E:E, 1, Tracker!G:G, "&lt;="&amp;Daily!C345, Tracker!J:J, "Y")</f>
        <v>12.473118279569892</v>
      </c>
      <c r="Z345" s="77">
        <f>COUNTIFS(Tracker!E:E, 1, Tracker!G:G, "&lt;="&amp;Daily!C345, Tracker!L:L, "N") / V345</f>
        <v>0.80412371134020622</v>
      </c>
      <c r="AA345" s="48">
        <f t="shared" si="161"/>
        <v>241</v>
      </c>
      <c r="AB345" s="26">
        <f t="shared" si="162"/>
        <v>192</v>
      </c>
      <c r="AC345" s="62">
        <f t="shared" si="163"/>
        <v>0.79668049792531115</v>
      </c>
      <c r="AD345" s="74">
        <f>AVERAGEIFS(Tracker!I:I, Tracker!E:E, 2, Tracker!G:G, "&lt;="&amp;Daily!C345, Tracker!J:J, "Y")</f>
        <v>26.005208333333332</v>
      </c>
      <c r="AE345" s="77">
        <f>COUNTIFS(Tracker!E:E, 2, Tracker!G:G, "&lt;="&amp;Daily!C345, Tracker!L:L, "N") / AA345</f>
        <v>0.61410788381742742</v>
      </c>
      <c r="AF345" s="48">
        <f t="shared" si="164"/>
        <v>42</v>
      </c>
      <c r="AG345" s="26">
        <f t="shared" si="165"/>
        <v>27</v>
      </c>
      <c r="AH345" s="62">
        <f t="shared" si="166"/>
        <v>0.6428571428571429</v>
      </c>
      <c r="AI345" s="74">
        <f>IFERROR(AVERAGEIFS(Tracker!I:I, Tracker!E:E, 3, Tracker!G:G, "&lt;="&amp;Daily!C345, Tracker!J:J, "Y"), 0)</f>
        <v>40.074074074074076</v>
      </c>
      <c r="AJ345" s="77">
        <f>IFERROR(COUNTIFS(Tracker!E:E, 3, Tracker!G:G, "&lt;="&amp;Daily!C345, Tracker!L:L, "N") / AF345,  0)</f>
        <v>0.35714285714285715</v>
      </c>
      <c r="AK345" s="48">
        <f t="shared" si="167"/>
        <v>380</v>
      </c>
      <c r="AL345" s="26">
        <f t="shared" si="168"/>
        <v>312</v>
      </c>
      <c r="AM345" s="62">
        <f t="shared" si="169"/>
        <v>0.82105263157894737</v>
      </c>
      <c r="AN345" s="74">
        <f>IFERROR(AVERAGEIFS(Tracker!I:I,  Tracker!G:G, "&lt;="&amp;Daily!C345, Tracker!J:J, "Y"), 0)</f>
        <v>23.189102564102566</v>
      </c>
      <c r="AO345" s="77">
        <f>IFERROR(COUNTIFS(Tracker!G:G, "&lt;="&amp;Daily!C345, Tracker!L:L, "N") / AK345,  0)</f>
        <v>0.63421052631578945</v>
      </c>
    </row>
    <row r="346" spans="1:41" hidden="1" x14ac:dyDescent="0.25">
      <c r="A346" s="119"/>
      <c r="B346" s="32">
        <f t="shared" si="153"/>
        <v>45561</v>
      </c>
      <c r="C346" s="27">
        <f t="shared" si="170"/>
        <v>45561</v>
      </c>
      <c r="D346" s="109" t="b">
        <f t="shared" ca="1" si="152"/>
        <v>1</v>
      </c>
      <c r="E346" s="51">
        <f t="shared" si="154"/>
        <v>0</v>
      </c>
      <c r="F346" s="48">
        <f>COUNTIFS(Tracker!G:G,Daily!C346, Tracker!J:J,"Y")</f>
        <v>0</v>
      </c>
      <c r="G346" s="26">
        <f>COUNTIFS(Tracker!G:G,Daily!C346, Tracker!J:J,"Y (with hints)")</f>
        <v>0</v>
      </c>
      <c r="H346" s="33">
        <f>COUNTIFS(Tracker!G:G,Daily!C346, Tracker!J:J,"N")</f>
        <v>0</v>
      </c>
      <c r="I346" s="54">
        <f t="shared" si="155"/>
        <v>0</v>
      </c>
      <c r="J346" s="26">
        <f>COUNTIFS(Tracker!G:G,Daily!C346, Tracker!J:J,"Y",Tracker!E:E,1)</f>
        <v>0</v>
      </c>
      <c r="K346" s="26">
        <f>COUNTIFS(Tracker!G:G,Daily!C346, Tracker!J:J,"Y (with hints)",Tracker!E:E,1)</f>
        <v>0</v>
      </c>
      <c r="L346" s="33">
        <f>COUNTIFS(Tracker!G:G,Daily!C346, Tracker!J:J,"N",Tracker!E:E,1)</f>
        <v>0</v>
      </c>
      <c r="M346" s="54">
        <f t="shared" si="156"/>
        <v>0</v>
      </c>
      <c r="N346" s="26">
        <f>COUNTIFS(Tracker!G:G,Daily!C346, Tracker!J:J,"Y",Tracker!E:E,2)</f>
        <v>0</v>
      </c>
      <c r="O346" s="26">
        <f>COUNTIFS(Tracker!G:G,Daily!C346, Tracker!J:J,"Y (with hints)",Tracker!E:E,2)</f>
        <v>0</v>
      </c>
      <c r="P346" s="33">
        <f>COUNTIFS(Tracker!G:G,Daily!C346, Tracker!J:J,"N",Tracker!E:E,2)</f>
        <v>0</v>
      </c>
      <c r="Q346" s="57">
        <f t="shared" si="157"/>
        <v>0</v>
      </c>
      <c r="R346" s="26">
        <f>COUNTIFS(Tracker!G:G,Daily!C346, Tracker!J:J,"Y",Tracker!E:E,3)</f>
        <v>0</v>
      </c>
      <c r="S346" s="26">
        <f>COUNTIFS(Tracker!G:G,Daily!C346, Tracker!J:J,"Y (with hints)",Tracker!E:E,3)</f>
        <v>0</v>
      </c>
      <c r="T346" s="33">
        <f>COUNTIFS(Tracker!G:G,Daily!C346, Tracker!J:J,"N",Tracker!E:E,3)</f>
        <v>0</v>
      </c>
      <c r="V346" s="48">
        <f t="shared" si="158"/>
        <v>97</v>
      </c>
      <c r="W346" s="26">
        <f t="shared" si="159"/>
        <v>93</v>
      </c>
      <c r="X346" s="62">
        <f t="shared" si="160"/>
        <v>0.95876288659793818</v>
      </c>
      <c r="Y346" s="74">
        <f>AVERAGEIFS(Tracker!I:I, Tracker!E:E, 1, Tracker!G:G, "&lt;="&amp;Daily!C346, Tracker!J:J, "Y")</f>
        <v>12.473118279569892</v>
      </c>
      <c r="Z346" s="77">
        <f>COUNTIFS(Tracker!E:E, 1, Tracker!G:G, "&lt;="&amp;Daily!C346, Tracker!L:L, "N") / V346</f>
        <v>0.80412371134020622</v>
      </c>
      <c r="AA346" s="48">
        <f t="shared" si="161"/>
        <v>241</v>
      </c>
      <c r="AB346" s="26">
        <f t="shared" si="162"/>
        <v>192</v>
      </c>
      <c r="AC346" s="62">
        <f t="shared" si="163"/>
        <v>0.79668049792531115</v>
      </c>
      <c r="AD346" s="74">
        <f>AVERAGEIFS(Tracker!I:I, Tracker!E:E, 2, Tracker!G:G, "&lt;="&amp;Daily!C346, Tracker!J:J, "Y")</f>
        <v>26.005208333333332</v>
      </c>
      <c r="AE346" s="77">
        <f>COUNTIFS(Tracker!E:E, 2, Tracker!G:G, "&lt;="&amp;Daily!C346, Tracker!L:L, "N") / AA346</f>
        <v>0.61410788381742742</v>
      </c>
      <c r="AF346" s="48">
        <f t="shared" si="164"/>
        <v>42</v>
      </c>
      <c r="AG346" s="26">
        <f t="shared" si="165"/>
        <v>27</v>
      </c>
      <c r="AH346" s="62">
        <f t="shared" si="166"/>
        <v>0.6428571428571429</v>
      </c>
      <c r="AI346" s="74">
        <f>IFERROR(AVERAGEIFS(Tracker!I:I, Tracker!E:E, 3, Tracker!G:G, "&lt;="&amp;Daily!C346, Tracker!J:J, "Y"), 0)</f>
        <v>40.074074074074076</v>
      </c>
      <c r="AJ346" s="77">
        <f>IFERROR(COUNTIFS(Tracker!E:E, 3, Tracker!G:G, "&lt;="&amp;Daily!C346, Tracker!L:L, "N") / AF346,  0)</f>
        <v>0.35714285714285715</v>
      </c>
      <c r="AK346" s="48">
        <f t="shared" si="167"/>
        <v>380</v>
      </c>
      <c r="AL346" s="26">
        <f t="shared" si="168"/>
        <v>312</v>
      </c>
      <c r="AM346" s="62">
        <f t="shared" si="169"/>
        <v>0.82105263157894737</v>
      </c>
      <c r="AN346" s="74">
        <f>IFERROR(AVERAGEIFS(Tracker!I:I,  Tracker!G:G, "&lt;="&amp;Daily!C346, Tracker!J:J, "Y"), 0)</f>
        <v>23.189102564102566</v>
      </c>
      <c r="AO346" s="77">
        <f>IFERROR(COUNTIFS(Tracker!G:G, "&lt;="&amp;Daily!C346, Tracker!L:L, "N") / AK346,  0)</f>
        <v>0.63421052631578945</v>
      </c>
    </row>
    <row r="347" spans="1:41" hidden="1" x14ac:dyDescent="0.25">
      <c r="A347" s="119"/>
      <c r="B347" s="32">
        <f t="shared" si="153"/>
        <v>45562</v>
      </c>
      <c r="C347" s="27">
        <f t="shared" si="170"/>
        <v>45562</v>
      </c>
      <c r="D347" s="109" t="b">
        <f t="shared" ca="1" si="152"/>
        <v>1</v>
      </c>
      <c r="E347" s="51">
        <f t="shared" si="154"/>
        <v>0</v>
      </c>
      <c r="F347" s="48">
        <f>COUNTIFS(Tracker!G:G,Daily!C347, Tracker!J:J,"Y")</f>
        <v>0</v>
      </c>
      <c r="G347" s="26">
        <f>COUNTIFS(Tracker!G:G,Daily!C347, Tracker!J:J,"Y (with hints)")</f>
        <v>0</v>
      </c>
      <c r="H347" s="33">
        <f>COUNTIFS(Tracker!G:G,Daily!C347, Tracker!J:J,"N")</f>
        <v>0</v>
      </c>
      <c r="I347" s="54">
        <f t="shared" si="155"/>
        <v>0</v>
      </c>
      <c r="J347" s="26">
        <f>COUNTIFS(Tracker!G:G,Daily!C347, Tracker!J:J,"Y",Tracker!E:E,1)</f>
        <v>0</v>
      </c>
      <c r="K347" s="26">
        <f>COUNTIFS(Tracker!G:G,Daily!C347, Tracker!J:J,"Y (with hints)",Tracker!E:E,1)</f>
        <v>0</v>
      </c>
      <c r="L347" s="33">
        <f>COUNTIFS(Tracker!G:G,Daily!C347, Tracker!J:J,"N",Tracker!E:E,1)</f>
        <v>0</v>
      </c>
      <c r="M347" s="54">
        <f t="shared" si="156"/>
        <v>0</v>
      </c>
      <c r="N347" s="26">
        <f>COUNTIFS(Tracker!G:G,Daily!C347, Tracker!J:J,"Y",Tracker!E:E,2)</f>
        <v>0</v>
      </c>
      <c r="O347" s="26">
        <f>COUNTIFS(Tracker!G:G,Daily!C347, Tracker!J:J,"Y (with hints)",Tracker!E:E,2)</f>
        <v>0</v>
      </c>
      <c r="P347" s="33">
        <f>COUNTIFS(Tracker!G:G,Daily!C347, Tracker!J:J,"N",Tracker!E:E,2)</f>
        <v>0</v>
      </c>
      <c r="Q347" s="57">
        <f t="shared" si="157"/>
        <v>0</v>
      </c>
      <c r="R347" s="26">
        <f>COUNTIFS(Tracker!G:G,Daily!C347, Tracker!J:J,"Y",Tracker!E:E,3)</f>
        <v>0</v>
      </c>
      <c r="S347" s="26">
        <f>COUNTIFS(Tracker!G:G,Daily!C347, Tracker!J:J,"Y (with hints)",Tracker!E:E,3)</f>
        <v>0</v>
      </c>
      <c r="T347" s="33">
        <f>COUNTIFS(Tracker!G:G,Daily!C347, Tracker!J:J,"N",Tracker!E:E,3)</f>
        <v>0</v>
      </c>
      <c r="V347" s="48">
        <f t="shared" si="158"/>
        <v>97</v>
      </c>
      <c r="W347" s="26">
        <f t="shared" si="159"/>
        <v>93</v>
      </c>
      <c r="X347" s="62">
        <f t="shared" si="160"/>
        <v>0.95876288659793818</v>
      </c>
      <c r="Y347" s="74">
        <f>AVERAGEIFS(Tracker!I:I, Tracker!E:E, 1, Tracker!G:G, "&lt;="&amp;Daily!C347, Tracker!J:J, "Y")</f>
        <v>12.473118279569892</v>
      </c>
      <c r="Z347" s="77">
        <f>COUNTIFS(Tracker!E:E, 1, Tracker!G:G, "&lt;="&amp;Daily!C347, Tracker!L:L, "N") / V347</f>
        <v>0.80412371134020622</v>
      </c>
      <c r="AA347" s="48">
        <f t="shared" si="161"/>
        <v>241</v>
      </c>
      <c r="AB347" s="26">
        <f t="shared" si="162"/>
        <v>192</v>
      </c>
      <c r="AC347" s="62">
        <f t="shared" si="163"/>
        <v>0.79668049792531115</v>
      </c>
      <c r="AD347" s="74">
        <f>AVERAGEIFS(Tracker!I:I, Tracker!E:E, 2, Tracker!G:G, "&lt;="&amp;Daily!C347, Tracker!J:J, "Y")</f>
        <v>26.005208333333332</v>
      </c>
      <c r="AE347" s="77">
        <f>COUNTIFS(Tracker!E:E, 2, Tracker!G:G, "&lt;="&amp;Daily!C347, Tracker!L:L, "N") / AA347</f>
        <v>0.61410788381742742</v>
      </c>
      <c r="AF347" s="48">
        <f t="shared" si="164"/>
        <v>42</v>
      </c>
      <c r="AG347" s="26">
        <f t="shared" si="165"/>
        <v>27</v>
      </c>
      <c r="AH347" s="62">
        <f t="shared" si="166"/>
        <v>0.6428571428571429</v>
      </c>
      <c r="AI347" s="74">
        <f>IFERROR(AVERAGEIFS(Tracker!I:I, Tracker!E:E, 3, Tracker!G:G, "&lt;="&amp;Daily!C347, Tracker!J:J, "Y"), 0)</f>
        <v>40.074074074074076</v>
      </c>
      <c r="AJ347" s="77">
        <f>IFERROR(COUNTIFS(Tracker!E:E, 3, Tracker!G:G, "&lt;="&amp;Daily!C347, Tracker!L:L, "N") / AF347,  0)</f>
        <v>0.35714285714285715</v>
      </c>
      <c r="AK347" s="48">
        <f t="shared" si="167"/>
        <v>380</v>
      </c>
      <c r="AL347" s="26">
        <f t="shared" si="168"/>
        <v>312</v>
      </c>
      <c r="AM347" s="62">
        <f t="shared" si="169"/>
        <v>0.82105263157894737</v>
      </c>
      <c r="AN347" s="74">
        <f>IFERROR(AVERAGEIFS(Tracker!I:I,  Tracker!G:G, "&lt;="&amp;Daily!C347, Tracker!J:J, "Y"), 0)</f>
        <v>23.189102564102566</v>
      </c>
      <c r="AO347" s="77">
        <f>IFERROR(COUNTIFS(Tracker!G:G, "&lt;="&amp;Daily!C347, Tracker!L:L, "N") / AK347,  0)</f>
        <v>0.63421052631578945</v>
      </c>
    </row>
    <row r="348" spans="1:41" hidden="1" x14ac:dyDescent="0.25">
      <c r="A348" s="119"/>
      <c r="B348" s="32">
        <f t="shared" si="153"/>
        <v>45563</v>
      </c>
      <c r="C348" s="27">
        <f t="shared" si="170"/>
        <v>45563</v>
      </c>
      <c r="D348" s="109" t="b">
        <f t="shared" ca="1" si="152"/>
        <v>1</v>
      </c>
      <c r="E348" s="51">
        <f t="shared" si="154"/>
        <v>0</v>
      </c>
      <c r="F348" s="48">
        <f>COUNTIFS(Tracker!G:G,Daily!C348, Tracker!J:J,"Y")</f>
        <v>0</v>
      </c>
      <c r="G348" s="26">
        <f>COUNTIFS(Tracker!G:G,Daily!C348, Tracker!J:J,"Y (with hints)")</f>
        <v>0</v>
      </c>
      <c r="H348" s="33">
        <f>COUNTIFS(Tracker!G:G,Daily!C348, Tracker!J:J,"N")</f>
        <v>0</v>
      </c>
      <c r="I348" s="54">
        <f t="shared" si="155"/>
        <v>0</v>
      </c>
      <c r="J348" s="26">
        <f>COUNTIFS(Tracker!G:G,Daily!C348, Tracker!J:J,"Y",Tracker!E:E,1)</f>
        <v>0</v>
      </c>
      <c r="K348" s="26">
        <f>COUNTIFS(Tracker!G:G,Daily!C348, Tracker!J:J,"Y (with hints)",Tracker!E:E,1)</f>
        <v>0</v>
      </c>
      <c r="L348" s="33">
        <f>COUNTIFS(Tracker!G:G,Daily!C348, Tracker!J:J,"N",Tracker!E:E,1)</f>
        <v>0</v>
      </c>
      <c r="M348" s="54">
        <f t="shared" si="156"/>
        <v>0</v>
      </c>
      <c r="N348" s="26">
        <f>COUNTIFS(Tracker!G:G,Daily!C348, Tracker!J:J,"Y",Tracker!E:E,2)</f>
        <v>0</v>
      </c>
      <c r="O348" s="26">
        <f>COUNTIFS(Tracker!G:G,Daily!C348, Tracker!J:J,"Y (with hints)",Tracker!E:E,2)</f>
        <v>0</v>
      </c>
      <c r="P348" s="33">
        <f>COUNTIFS(Tracker!G:G,Daily!C348, Tracker!J:J,"N",Tracker!E:E,2)</f>
        <v>0</v>
      </c>
      <c r="Q348" s="57">
        <f t="shared" si="157"/>
        <v>0</v>
      </c>
      <c r="R348" s="26">
        <f>COUNTIFS(Tracker!G:G,Daily!C348, Tracker!J:J,"Y",Tracker!E:E,3)</f>
        <v>0</v>
      </c>
      <c r="S348" s="26">
        <f>COUNTIFS(Tracker!G:G,Daily!C348, Tracker!J:J,"Y (with hints)",Tracker!E:E,3)</f>
        <v>0</v>
      </c>
      <c r="T348" s="33">
        <f>COUNTIFS(Tracker!G:G,Daily!C348, Tracker!J:J,"N",Tracker!E:E,3)</f>
        <v>0</v>
      </c>
      <c r="V348" s="48">
        <f t="shared" si="158"/>
        <v>97</v>
      </c>
      <c r="W348" s="26">
        <f t="shared" si="159"/>
        <v>93</v>
      </c>
      <c r="X348" s="62">
        <f t="shared" si="160"/>
        <v>0.95876288659793818</v>
      </c>
      <c r="Y348" s="74">
        <f>AVERAGEIFS(Tracker!I:I, Tracker!E:E, 1, Tracker!G:G, "&lt;="&amp;Daily!C348, Tracker!J:J, "Y")</f>
        <v>12.473118279569892</v>
      </c>
      <c r="Z348" s="77">
        <f>COUNTIFS(Tracker!E:E, 1, Tracker!G:G, "&lt;="&amp;Daily!C348, Tracker!L:L, "N") / V348</f>
        <v>0.80412371134020622</v>
      </c>
      <c r="AA348" s="48">
        <f t="shared" si="161"/>
        <v>241</v>
      </c>
      <c r="AB348" s="26">
        <f t="shared" si="162"/>
        <v>192</v>
      </c>
      <c r="AC348" s="62">
        <f t="shared" si="163"/>
        <v>0.79668049792531115</v>
      </c>
      <c r="AD348" s="74">
        <f>AVERAGEIFS(Tracker!I:I, Tracker!E:E, 2, Tracker!G:G, "&lt;="&amp;Daily!C348, Tracker!J:J, "Y")</f>
        <v>26.005208333333332</v>
      </c>
      <c r="AE348" s="77">
        <f>COUNTIFS(Tracker!E:E, 2, Tracker!G:G, "&lt;="&amp;Daily!C348, Tracker!L:L, "N") / AA348</f>
        <v>0.61410788381742742</v>
      </c>
      <c r="AF348" s="48">
        <f t="shared" si="164"/>
        <v>42</v>
      </c>
      <c r="AG348" s="26">
        <f t="shared" si="165"/>
        <v>27</v>
      </c>
      <c r="AH348" s="62">
        <f t="shared" si="166"/>
        <v>0.6428571428571429</v>
      </c>
      <c r="AI348" s="74">
        <f>IFERROR(AVERAGEIFS(Tracker!I:I, Tracker!E:E, 3, Tracker!G:G, "&lt;="&amp;Daily!C348, Tracker!J:J, "Y"), 0)</f>
        <v>40.074074074074076</v>
      </c>
      <c r="AJ348" s="77">
        <f>IFERROR(COUNTIFS(Tracker!E:E, 3, Tracker!G:G, "&lt;="&amp;Daily!C348, Tracker!L:L, "N") / AF348,  0)</f>
        <v>0.35714285714285715</v>
      </c>
      <c r="AK348" s="48">
        <f t="shared" si="167"/>
        <v>380</v>
      </c>
      <c r="AL348" s="26">
        <f t="shared" si="168"/>
        <v>312</v>
      </c>
      <c r="AM348" s="62">
        <f t="shared" si="169"/>
        <v>0.82105263157894737</v>
      </c>
      <c r="AN348" s="74">
        <f>IFERROR(AVERAGEIFS(Tracker!I:I,  Tracker!G:G, "&lt;="&amp;Daily!C348, Tracker!J:J, "Y"), 0)</f>
        <v>23.189102564102566</v>
      </c>
      <c r="AO348" s="77">
        <f>IFERROR(COUNTIFS(Tracker!G:G, "&lt;="&amp;Daily!C348, Tracker!L:L, "N") / AK348,  0)</f>
        <v>0.63421052631578945</v>
      </c>
    </row>
    <row r="349" spans="1:41" ht="15.75" hidden="1" thickBot="1" x14ac:dyDescent="0.3">
      <c r="A349" s="120"/>
      <c r="B349" s="34">
        <f t="shared" si="153"/>
        <v>45564</v>
      </c>
      <c r="C349" s="35">
        <f t="shared" si="170"/>
        <v>45564</v>
      </c>
      <c r="D349" s="110" t="b">
        <f t="shared" ca="1" si="152"/>
        <v>1</v>
      </c>
      <c r="E349" s="52">
        <f t="shared" si="154"/>
        <v>0</v>
      </c>
      <c r="F349" s="39">
        <f>COUNTIFS(Tracker!G:G,Daily!C349, Tracker!J:J,"Y")</f>
        <v>0</v>
      </c>
      <c r="G349" s="36">
        <f>COUNTIFS(Tracker!G:G,Daily!C349, Tracker!J:J,"Y (with hints)")</f>
        <v>0</v>
      </c>
      <c r="H349" s="37">
        <f>COUNTIFS(Tracker!G:G,Daily!C349, Tracker!J:J,"N")</f>
        <v>0</v>
      </c>
      <c r="I349" s="55">
        <f t="shared" si="155"/>
        <v>0</v>
      </c>
      <c r="J349" s="36">
        <f>COUNTIFS(Tracker!G:G,Daily!C349, Tracker!J:J,"Y",Tracker!E:E,1)</f>
        <v>0</v>
      </c>
      <c r="K349" s="36">
        <f>COUNTIFS(Tracker!G:G,Daily!C349, Tracker!J:J,"Y (with hints)",Tracker!E:E,1)</f>
        <v>0</v>
      </c>
      <c r="L349" s="37">
        <f>COUNTIFS(Tracker!G:G,Daily!C349, Tracker!J:J,"N",Tracker!E:E,1)</f>
        <v>0</v>
      </c>
      <c r="M349" s="55">
        <f t="shared" si="156"/>
        <v>0</v>
      </c>
      <c r="N349" s="36">
        <f>COUNTIFS(Tracker!G:G,Daily!C349, Tracker!J:J,"Y",Tracker!E:E,2)</f>
        <v>0</v>
      </c>
      <c r="O349" s="36">
        <f>COUNTIFS(Tracker!G:G,Daily!C349, Tracker!J:J,"Y (with hints)",Tracker!E:E,2)</f>
        <v>0</v>
      </c>
      <c r="P349" s="37">
        <f>COUNTIFS(Tracker!G:G,Daily!C349, Tracker!J:J,"N",Tracker!E:E,2)</f>
        <v>0</v>
      </c>
      <c r="Q349" s="58">
        <f t="shared" si="157"/>
        <v>0</v>
      </c>
      <c r="R349" s="36">
        <f>COUNTIFS(Tracker!G:G,Daily!C349, Tracker!J:J,"Y",Tracker!E:E,3)</f>
        <v>0</v>
      </c>
      <c r="S349" s="36">
        <f>COUNTIFS(Tracker!G:G,Daily!C349, Tracker!J:J,"Y (with hints)",Tracker!E:E,3)</f>
        <v>0</v>
      </c>
      <c r="T349" s="37">
        <f>COUNTIFS(Tracker!G:G,Daily!C349, Tracker!J:J,"N",Tracker!E:E,3)</f>
        <v>0</v>
      </c>
      <c r="V349" s="39">
        <f t="shared" si="158"/>
        <v>97</v>
      </c>
      <c r="W349" s="36">
        <f t="shared" si="159"/>
        <v>93</v>
      </c>
      <c r="X349" s="64">
        <f t="shared" si="160"/>
        <v>0.95876288659793818</v>
      </c>
      <c r="Y349" s="78">
        <f>AVERAGEIFS(Tracker!I:I, Tracker!E:E, 1, Tracker!G:G, "&lt;="&amp;Daily!C349, Tracker!J:J, "Y")</f>
        <v>12.473118279569892</v>
      </c>
      <c r="Z349" s="79">
        <f>COUNTIFS(Tracker!E:E, 1, Tracker!G:G, "&lt;="&amp;Daily!C349, Tracker!L:L, "N") / V349</f>
        <v>0.80412371134020622</v>
      </c>
      <c r="AA349" s="39">
        <f t="shared" si="161"/>
        <v>241</v>
      </c>
      <c r="AB349" s="36">
        <f t="shared" si="162"/>
        <v>192</v>
      </c>
      <c r="AC349" s="64">
        <f t="shared" si="163"/>
        <v>0.79668049792531115</v>
      </c>
      <c r="AD349" s="78">
        <f>AVERAGEIFS(Tracker!I:I, Tracker!E:E, 2, Tracker!G:G, "&lt;="&amp;Daily!C349, Tracker!J:J, "Y")</f>
        <v>26.005208333333332</v>
      </c>
      <c r="AE349" s="79">
        <f>COUNTIFS(Tracker!E:E, 2, Tracker!G:G, "&lt;="&amp;Daily!C349, Tracker!L:L, "N") / AA349</f>
        <v>0.61410788381742742</v>
      </c>
      <c r="AF349" s="39">
        <f t="shared" si="164"/>
        <v>42</v>
      </c>
      <c r="AG349" s="36">
        <f t="shared" si="165"/>
        <v>27</v>
      </c>
      <c r="AH349" s="64">
        <f t="shared" si="166"/>
        <v>0.6428571428571429</v>
      </c>
      <c r="AI349" s="78">
        <f>IFERROR(AVERAGEIFS(Tracker!I:I, Tracker!E:E, 3, Tracker!G:G, "&lt;="&amp;Daily!C349, Tracker!J:J, "Y"), 0)</f>
        <v>40.074074074074076</v>
      </c>
      <c r="AJ349" s="79">
        <f>IFERROR(COUNTIFS(Tracker!E:E, 3, Tracker!G:G, "&lt;="&amp;Daily!C349, Tracker!L:L, "N") / AF349,  0)</f>
        <v>0.35714285714285715</v>
      </c>
      <c r="AK349" s="39">
        <f t="shared" si="167"/>
        <v>380</v>
      </c>
      <c r="AL349" s="36">
        <f t="shared" si="168"/>
        <v>312</v>
      </c>
      <c r="AM349" s="64">
        <f t="shared" si="169"/>
        <v>0.82105263157894737</v>
      </c>
      <c r="AN349" s="78">
        <f>IFERROR(AVERAGEIFS(Tracker!I:I,  Tracker!G:G, "&lt;="&amp;Daily!C349, Tracker!J:J, "Y"), 0)</f>
        <v>23.189102564102566</v>
      </c>
      <c r="AO349" s="79">
        <f>IFERROR(COUNTIFS(Tracker!G:G, "&lt;="&amp;Daily!C349, Tracker!L:L, "N") / AK349,  0)</f>
        <v>0.63421052631578945</v>
      </c>
    </row>
    <row r="350" spans="1:41" hidden="1" x14ac:dyDescent="0.25">
      <c r="A350" s="118">
        <f>A343+1</f>
        <v>50</v>
      </c>
      <c r="B350" s="28">
        <f t="shared" si="153"/>
        <v>45565</v>
      </c>
      <c r="C350" s="29">
        <f t="shared" si="170"/>
        <v>45565</v>
      </c>
      <c r="D350" s="108" t="b">
        <f t="shared" ca="1" si="152"/>
        <v>1</v>
      </c>
      <c r="E350" s="50">
        <f t="shared" si="154"/>
        <v>0</v>
      </c>
      <c r="F350" s="38">
        <f>COUNTIFS(Tracker!G:G,Daily!C350, Tracker!J:J,"Y")</f>
        <v>0</v>
      </c>
      <c r="G350" s="30">
        <f>COUNTIFS(Tracker!G:G,Daily!C350, Tracker!J:J,"Y (with hints)")</f>
        <v>0</v>
      </c>
      <c r="H350" s="31">
        <f>COUNTIFS(Tracker!G:G,Daily!C350, Tracker!J:J,"N")</f>
        <v>0</v>
      </c>
      <c r="I350" s="53">
        <f t="shared" si="155"/>
        <v>0</v>
      </c>
      <c r="J350" s="30">
        <f>COUNTIFS(Tracker!G:G,Daily!C350, Tracker!J:J,"Y",Tracker!E:E,1)</f>
        <v>0</v>
      </c>
      <c r="K350" s="30">
        <f>COUNTIFS(Tracker!G:G,Daily!C350, Tracker!J:J,"Y (with hints)",Tracker!E:E,1)</f>
        <v>0</v>
      </c>
      <c r="L350" s="31">
        <f>COUNTIFS(Tracker!G:G,Daily!C350, Tracker!J:J,"N",Tracker!E:E,1)</f>
        <v>0</v>
      </c>
      <c r="M350" s="53">
        <f t="shared" si="156"/>
        <v>0</v>
      </c>
      <c r="N350" s="30">
        <f>COUNTIFS(Tracker!G:G,Daily!C350, Tracker!J:J,"Y",Tracker!E:E,2)</f>
        <v>0</v>
      </c>
      <c r="O350" s="30">
        <f>COUNTIFS(Tracker!G:G,Daily!C350, Tracker!J:J,"Y (with hints)",Tracker!E:E,2)</f>
        <v>0</v>
      </c>
      <c r="P350" s="31">
        <f>COUNTIFS(Tracker!G:G,Daily!C350, Tracker!J:J,"N",Tracker!E:E,2)</f>
        <v>0</v>
      </c>
      <c r="Q350" s="56">
        <f t="shared" si="157"/>
        <v>0</v>
      </c>
      <c r="R350" s="30">
        <f>COUNTIFS(Tracker!G:G,Daily!C350, Tracker!J:J,"Y",Tracker!E:E,3)</f>
        <v>0</v>
      </c>
      <c r="S350" s="30">
        <f>COUNTIFS(Tracker!G:G,Daily!C350, Tracker!J:J,"Y (with hints)",Tracker!E:E,3)</f>
        <v>0</v>
      </c>
      <c r="T350" s="31">
        <f>COUNTIFS(Tracker!G:G,Daily!C350, Tracker!J:J,"N",Tracker!E:E,3)</f>
        <v>0</v>
      </c>
      <c r="V350" s="38">
        <f t="shared" si="158"/>
        <v>97</v>
      </c>
      <c r="W350" s="30">
        <f t="shared" si="159"/>
        <v>93</v>
      </c>
      <c r="X350" s="73">
        <f t="shared" si="160"/>
        <v>0.95876288659793818</v>
      </c>
      <c r="Y350" s="75">
        <f>AVERAGEIFS(Tracker!I:I, Tracker!E:E, 1, Tracker!G:G, "&lt;="&amp;Daily!C350, Tracker!J:J, "Y")</f>
        <v>12.473118279569892</v>
      </c>
      <c r="Z350" s="76">
        <f>COUNTIFS(Tracker!E:E, 1, Tracker!G:G, "&lt;="&amp;Daily!C350, Tracker!L:L, "N") / V350</f>
        <v>0.80412371134020622</v>
      </c>
      <c r="AA350" s="38">
        <f t="shared" si="161"/>
        <v>241</v>
      </c>
      <c r="AB350" s="30">
        <f t="shared" si="162"/>
        <v>192</v>
      </c>
      <c r="AC350" s="73">
        <f t="shared" si="163"/>
        <v>0.79668049792531115</v>
      </c>
      <c r="AD350" s="75">
        <f>AVERAGEIFS(Tracker!I:I, Tracker!E:E, 2, Tracker!G:G, "&lt;="&amp;Daily!C350, Tracker!J:J, "Y")</f>
        <v>26.005208333333332</v>
      </c>
      <c r="AE350" s="76">
        <f>COUNTIFS(Tracker!E:E, 2, Tracker!G:G, "&lt;="&amp;Daily!C350, Tracker!L:L, "N") / AA350</f>
        <v>0.61410788381742742</v>
      </c>
      <c r="AF350" s="38">
        <f t="shared" si="164"/>
        <v>42</v>
      </c>
      <c r="AG350" s="30">
        <f t="shared" si="165"/>
        <v>27</v>
      </c>
      <c r="AH350" s="73">
        <f t="shared" si="166"/>
        <v>0.6428571428571429</v>
      </c>
      <c r="AI350" s="75">
        <f>IFERROR(AVERAGEIFS(Tracker!I:I, Tracker!E:E, 3, Tracker!G:G, "&lt;="&amp;Daily!C350, Tracker!J:J, "Y"), 0)</f>
        <v>40.074074074074076</v>
      </c>
      <c r="AJ350" s="76">
        <f>IFERROR(COUNTIFS(Tracker!E:E, 3, Tracker!G:G, "&lt;="&amp;Daily!C350, Tracker!L:L, "N") / AF350,  0)</f>
        <v>0.35714285714285715</v>
      </c>
      <c r="AK350" s="38">
        <f t="shared" si="167"/>
        <v>380</v>
      </c>
      <c r="AL350" s="30">
        <f t="shared" si="168"/>
        <v>312</v>
      </c>
      <c r="AM350" s="73">
        <f t="shared" si="169"/>
        <v>0.82105263157894737</v>
      </c>
      <c r="AN350" s="75">
        <f>IFERROR(AVERAGEIFS(Tracker!I:I,  Tracker!G:G, "&lt;="&amp;Daily!C350, Tracker!J:J, "Y"), 0)</f>
        <v>23.189102564102566</v>
      </c>
      <c r="AO350" s="76">
        <f>IFERROR(COUNTIFS(Tracker!G:G, "&lt;="&amp;Daily!C350, Tracker!L:L, "N") / AK350,  0)</f>
        <v>0.63421052631578945</v>
      </c>
    </row>
    <row r="351" spans="1:41" hidden="1" x14ac:dyDescent="0.25">
      <c r="A351" s="119"/>
      <c r="B351" s="32">
        <f t="shared" si="153"/>
        <v>45566</v>
      </c>
      <c r="C351" s="27">
        <f t="shared" si="170"/>
        <v>45566</v>
      </c>
      <c r="D351" s="109" t="b">
        <f t="shared" ca="1" si="152"/>
        <v>1</v>
      </c>
      <c r="E351" s="51">
        <f t="shared" si="154"/>
        <v>0</v>
      </c>
      <c r="F351" s="48">
        <f>COUNTIFS(Tracker!G:G,Daily!C351, Tracker!J:J,"Y")</f>
        <v>0</v>
      </c>
      <c r="G351" s="26">
        <f>COUNTIFS(Tracker!G:G,Daily!C351, Tracker!J:J,"Y (with hints)")</f>
        <v>0</v>
      </c>
      <c r="H351" s="33">
        <f>COUNTIFS(Tracker!G:G,Daily!C351, Tracker!J:J,"N")</f>
        <v>0</v>
      </c>
      <c r="I351" s="54">
        <f t="shared" si="155"/>
        <v>0</v>
      </c>
      <c r="J351" s="26">
        <f>COUNTIFS(Tracker!G:G,Daily!C351, Tracker!J:J,"Y",Tracker!E:E,1)</f>
        <v>0</v>
      </c>
      <c r="K351" s="26">
        <f>COUNTIFS(Tracker!G:G,Daily!C351, Tracker!J:J,"Y (with hints)",Tracker!E:E,1)</f>
        <v>0</v>
      </c>
      <c r="L351" s="33">
        <f>COUNTIFS(Tracker!G:G,Daily!C351, Tracker!J:J,"N",Tracker!E:E,1)</f>
        <v>0</v>
      </c>
      <c r="M351" s="54">
        <f t="shared" si="156"/>
        <v>0</v>
      </c>
      <c r="N351" s="26">
        <f>COUNTIFS(Tracker!G:G,Daily!C351, Tracker!J:J,"Y",Tracker!E:E,2)</f>
        <v>0</v>
      </c>
      <c r="O351" s="26">
        <f>COUNTIFS(Tracker!G:G,Daily!C351, Tracker!J:J,"Y (with hints)",Tracker!E:E,2)</f>
        <v>0</v>
      </c>
      <c r="P351" s="33">
        <f>COUNTIFS(Tracker!G:G,Daily!C351, Tracker!J:J,"N",Tracker!E:E,2)</f>
        <v>0</v>
      </c>
      <c r="Q351" s="57">
        <f t="shared" si="157"/>
        <v>0</v>
      </c>
      <c r="R351" s="26">
        <f>COUNTIFS(Tracker!G:G,Daily!C351, Tracker!J:J,"Y",Tracker!E:E,3)</f>
        <v>0</v>
      </c>
      <c r="S351" s="26">
        <f>COUNTIFS(Tracker!G:G,Daily!C351, Tracker!J:J,"Y (with hints)",Tracker!E:E,3)</f>
        <v>0</v>
      </c>
      <c r="T351" s="33">
        <f>COUNTIFS(Tracker!G:G,Daily!C351, Tracker!J:J,"N",Tracker!E:E,3)</f>
        <v>0</v>
      </c>
      <c r="V351" s="48">
        <f t="shared" si="158"/>
        <v>97</v>
      </c>
      <c r="W351" s="26">
        <f t="shared" si="159"/>
        <v>93</v>
      </c>
      <c r="X351" s="62">
        <f t="shared" si="160"/>
        <v>0.95876288659793818</v>
      </c>
      <c r="Y351" s="74">
        <f>AVERAGEIFS(Tracker!I:I, Tracker!E:E, 1, Tracker!G:G, "&lt;="&amp;Daily!C351, Tracker!J:J, "Y")</f>
        <v>12.473118279569892</v>
      </c>
      <c r="Z351" s="77">
        <f>COUNTIFS(Tracker!E:E, 1, Tracker!G:G, "&lt;="&amp;Daily!C351, Tracker!L:L, "N") / V351</f>
        <v>0.80412371134020622</v>
      </c>
      <c r="AA351" s="48">
        <f t="shared" si="161"/>
        <v>241</v>
      </c>
      <c r="AB351" s="26">
        <f t="shared" si="162"/>
        <v>192</v>
      </c>
      <c r="AC351" s="62">
        <f t="shared" si="163"/>
        <v>0.79668049792531115</v>
      </c>
      <c r="AD351" s="74">
        <f>AVERAGEIFS(Tracker!I:I, Tracker!E:E, 2, Tracker!G:G, "&lt;="&amp;Daily!C351, Tracker!J:J, "Y")</f>
        <v>26.005208333333332</v>
      </c>
      <c r="AE351" s="77">
        <f>COUNTIFS(Tracker!E:E, 2, Tracker!G:G, "&lt;="&amp;Daily!C351, Tracker!L:L, "N") / AA351</f>
        <v>0.61410788381742742</v>
      </c>
      <c r="AF351" s="48">
        <f t="shared" si="164"/>
        <v>42</v>
      </c>
      <c r="AG351" s="26">
        <f t="shared" si="165"/>
        <v>27</v>
      </c>
      <c r="AH351" s="62">
        <f t="shared" si="166"/>
        <v>0.6428571428571429</v>
      </c>
      <c r="AI351" s="74">
        <f>IFERROR(AVERAGEIFS(Tracker!I:I, Tracker!E:E, 3, Tracker!G:G, "&lt;="&amp;Daily!C351, Tracker!J:J, "Y"), 0)</f>
        <v>40.074074074074076</v>
      </c>
      <c r="AJ351" s="77">
        <f>IFERROR(COUNTIFS(Tracker!E:E, 3, Tracker!G:G, "&lt;="&amp;Daily!C351, Tracker!L:L, "N") / AF351,  0)</f>
        <v>0.35714285714285715</v>
      </c>
      <c r="AK351" s="48">
        <f t="shared" si="167"/>
        <v>380</v>
      </c>
      <c r="AL351" s="26">
        <f t="shared" si="168"/>
        <v>312</v>
      </c>
      <c r="AM351" s="62">
        <f t="shared" si="169"/>
        <v>0.82105263157894737</v>
      </c>
      <c r="AN351" s="74">
        <f>IFERROR(AVERAGEIFS(Tracker!I:I,  Tracker!G:G, "&lt;="&amp;Daily!C351, Tracker!J:J, "Y"), 0)</f>
        <v>23.189102564102566</v>
      </c>
      <c r="AO351" s="77">
        <f>IFERROR(COUNTIFS(Tracker!G:G, "&lt;="&amp;Daily!C351, Tracker!L:L, "N") / AK351,  0)</f>
        <v>0.63421052631578945</v>
      </c>
    </row>
    <row r="352" spans="1:41" hidden="1" x14ac:dyDescent="0.25">
      <c r="A352" s="119"/>
      <c r="B352" s="32">
        <f t="shared" si="153"/>
        <v>45567</v>
      </c>
      <c r="C352" s="27">
        <f t="shared" si="170"/>
        <v>45567</v>
      </c>
      <c r="D352" s="109" t="b">
        <f t="shared" ca="1" si="152"/>
        <v>1</v>
      </c>
      <c r="E352" s="51">
        <f t="shared" si="154"/>
        <v>0</v>
      </c>
      <c r="F352" s="48">
        <f>COUNTIFS(Tracker!G:G,Daily!C352, Tracker!J:J,"Y")</f>
        <v>0</v>
      </c>
      <c r="G352" s="26">
        <f>COUNTIFS(Tracker!G:G,Daily!C352, Tracker!J:J,"Y (with hints)")</f>
        <v>0</v>
      </c>
      <c r="H352" s="33">
        <f>COUNTIFS(Tracker!G:G,Daily!C352, Tracker!J:J,"N")</f>
        <v>0</v>
      </c>
      <c r="I352" s="54">
        <f t="shared" si="155"/>
        <v>0</v>
      </c>
      <c r="J352" s="26">
        <f>COUNTIFS(Tracker!G:G,Daily!C352, Tracker!J:J,"Y",Tracker!E:E,1)</f>
        <v>0</v>
      </c>
      <c r="K352" s="26">
        <f>COUNTIFS(Tracker!G:G,Daily!C352, Tracker!J:J,"Y (with hints)",Tracker!E:E,1)</f>
        <v>0</v>
      </c>
      <c r="L352" s="33">
        <f>COUNTIFS(Tracker!G:G,Daily!C352, Tracker!J:J,"N",Tracker!E:E,1)</f>
        <v>0</v>
      </c>
      <c r="M352" s="54">
        <f t="shared" si="156"/>
        <v>0</v>
      </c>
      <c r="N352" s="26">
        <f>COUNTIFS(Tracker!G:G,Daily!C352, Tracker!J:J,"Y",Tracker!E:E,2)</f>
        <v>0</v>
      </c>
      <c r="O352" s="26">
        <f>COUNTIFS(Tracker!G:G,Daily!C352, Tracker!J:J,"Y (with hints)",Tracker!E:E,2)</f>
        <v>0</v>
      </c>
      <c r="P352" s="33">
        <f>COUNTIFS(Tracker!G:G,Daily!C352, Tracker!J:J,"N",Tracker!E:E,2)</f>
        <v>0</v>
      </c>
      <c r="Q352" s="57">
        <f t="shared" si="157"/>
        <v>0</v>
      </c>
      <c r="R352" s="26">
        <f>COUNTIFS(Tracker!G:G,Daily!C352, Tracker!J:J,"Y",Tracker!E:E,3)</f>
        <v>0</v>
      </c>
      <c r="S352" s="26">
        <f>COUNTIFS(Tracker!G:G,Daily!C352, Tracker!J:J,"Y (with hints)",Tracker!E:E,3)</f>
        <v>0</v>
      </c>
      <c r="T352" s="33">
        <f>COUNTIFS(Tracker!G:G,Daily!C352, Tracker!J:J,"N",Tracker!E:E,3)</f>
        <v>0</v>
      </c>
      <c r="V352" s="48">
        <f t="shared" si="158"/>
        <v>97</v>
      </c>
      <c r="W352" s="26">
        <f t="shared" si="159"/>
        <v>93</v>
      </c>
      <c r="X352" s="62">
        <f t="shared" si="160"/>
        <v>0.95876288659793818</v>
      </c>
      <c r="Y352" s="74">
        <f>AVERAGEIFS(Tracker!I:I, Tracker!E:E, 1, Tracker!G:G, "&lt;="&amp;Daily!C352, Tracker!J:J, "Y")</f>
        <v>12.473118279569892</v>
      </c>
      <c r="Z352" s="77">
        <f>COUNTIFS(Tracker!E:E, 1, Tracker!G:G, "&lt;="&amp;Daily!C352, Tracker!L:L, "N") / V352</f>
        <v>0.80412371134020622</v>
      </c>
      <c r="AA352" s="48">
        <f t="shared" si="161"/>
        <v>241</v>
      </c>
      <c r="AB352" s="26">
        <f t="shared" si="162"/>
        <v>192</v>
      </c>
      <c r="AC352" s="62">
        <f t="shared" si="163"/>
        <v>0.79668049792531115</v>
      </c>
      <c r="AD352" s="74">
        <f>AVERAGEIFS(Tracker!I:I, Tracker!E:E, 2, Tracker!G:G, "&lt;="&amp;Daily!C352, Tracker!J:J, "Y")</f>
        <v>26.005208333333332</v>
      </c>
      <c r="AE352" s="77">
        <f>COUNTIFS(Tracker!E:E, 2, Tracker!G:G, "&lt;="&amp;Daily!C352, Tracker!L:L, "N") / AA352</f>
        <v>0.61410788381742742</v>
      </c>
      <c r="AF352" s="48">
        <f t="shared" si="164"/>
        <v>42</v>
      </c>
      <c r="AG352" s="26">
        <f t="shared" si="165"/>
        <v>27</v>
      </c>
      <c r="AH352" s="62">
        <f t="shared" si="166"/>
        <v>0.6428571428571429</v>
      </c>
      <c r="AI352" s="74">
        <f>IFERROR(AVERAGEIFS(Tracker!I:I, Tracker!E:E, 3, Tracker!G:G, "&lt;="&amp;Daily!C352, Tracker!J:J, "Y"), 0)</f>
        <v>40.074074074074076</v>
      </c>
      <c r="AJ352" s="77">
        <f>IFERROR(COUNTIFS(Tracker!E:E, 3, Tracker!G:G, "&lt;="&amp;Daily!C352, Tracker!L:L, "N") / AF352,  0)</f>
        <v>0.35714285714285715</v>
      </c>
      <c r="AK352" s="48">
        <f t="shared" si="167"/>
        <v>380</v>
      </c>
      <c r="AL352" s="26">
        <f t="shared" si="168"/>
        <v>312</v>
      </c>
      <c r="AM352" s="62">
        <f t="shared" si="169"/>
        <v>0.82105263157894737</v>
      </c>
      <c r="AN352" s="74">
        <f>IFERROR(AVERAGEIFS(Tracker!I:I,  Tracker!G:G, "&lt;="&amp;Daily!C352, Tracker!J:J, "Y"), 0)</f>
        <v>23.189102564102566</v>
      </c>
      <c r="AO352" s="77">
        <f>IFERROR(COUNTIFS(Tracker!G:G, "&lt;="&amp;Daily!C352, Tracker!L:L, "N") / AK352,  0)</f>
        <v>0.63421052631578945</v>
      </c>
    </row>
    <row r="353" spans="1:41" hidden="1" x14ac:dyDescent="0.25">
      <c r="A353" s="119"/>
      <c r="B353" s="32">
        <f t="shared" si="153"/>
        <v>45568</v>
      </c>
      <c r="C353" s="27">
        <f t="shared" si="170"/>
        <v>45568</v>
      </c>
      <c r="D353" s="109" t="b">
        <f t="shared" ca="1" si="152"/>
        <v>1</v>
      </c>
      <c r="E353" s="51">
        <f t="shared" si="154"/>
        <v>0</v>
      </c>
      <c r="F353" s="48">
        <f>COUNTIFS(Tracker!G:G,Daily!C353, Tracker!J:J,"Y")</f>
        <v>0</v>
      </c>
      <c r="G353" s="26">
        <f>COUNTIFS(Tracker!G:G,Daily!C353, Tracker!J:J,"Y (with hints)")</f>
        <v>0</v>
      </c>
      <c r="H353" s="33">
        <f>COUNTIFS(Tracker!G:G,Daily!C353, Tracker!J:J,"N")</f>
        <v>0</v>
      </c>
      <c r="I353" s="54">
        <f t="shared" si="155"/>
        <v>0</v>
      </c>
      <c r="J353" s="26">
        <f>COUNTIFS(Tracker!G:G,Daily!C353, Tracker!J:J,"Y",Tracker!E:E,1)</f>
        <v>0</v>
      </c>
      <c r="K353" s="26">
        <f>COUNTIFS(Tracker!G:G,Daily!C353, Tracker!J:J,"Y (with hints)",Tracker!E:E,1)</f>
        <v>0</v>
      </c>
      <c r="L353" s="33">
        <f>COUNTIFS(Tracker!G:G,Daily!C353, Tracker!J:J,"N",Tracker!E:E,1)</f>
        <v>0</v>
      </c>
      <c r="M353" s="54">
        <f t="shared" si="156"/>
        <v>0</v>
      </c>
      <c r="N353" s="26">
        <f>COUNTIFS(Tracker!G:G,Daily!C353, Tracker!J:J,"Y",Tracker!E:E,2)</f>
        <v>0</v>
      </c>
      <c r="O353" s="26">
        <f>COUNTIFS(Tracker!G:G,Daily!C353, Tracker!J:J,"Y (with hints)",Tracker!E:E,2)</f>
        <v>0</v>
      </c>
      <c r="P353" s="33">
        <f>COUNTIFS(Tracker!G:G,Daily!C353, Tracker!J:J,"N",Tracker!E:E,2)</f>
        <v>0</v>
      </c>
      <c r="Q353" s="57">
        <f t="shared" si="157"/>
        <v>0</v>
      </c>
      <c r="R353" s="26">
        <f>COUNTIFS(Tracker!G:G,Daily!C353, Tracker!J:J,"Y",Tracker!E:E,3)</f>
        <v>0</v>
      </c>
      <c r="S353" s="26">
        <f>COUNTIFS(Tracker!G:G,Daily!C353, Tracker!J:J,"Y (with hints)",Tracker!E:E,3)</f>
        <v>0</v>
      </c>
      <c r="T353" s="33">
        <f>COUNTIFS(Tracker!G:G,Daily!C353, Tracker!J:J,"N",Tracker!E:E,3)</f>
        <v>0</v>
      </c>
      <c r="V353" s="48">
        <f t="shared" si="158"/>
        <v>97</v>
      </c>
      <c r="W353" s="26">
        <f t="shared" si="159"/>
        <v>93</v>
      </c>
      <c r="X353" s="62">
        <f t="shared" si="160"/>
        <v>0.95876288659793818</v>
      </c>
      <c r="Y353" s="74">
        <f>AVERAGEIFS(Tracker!I:I, Tracker!E:E, 1, Tracker!G:G, "&lt;="&amp;Daily!C353, Tracker!J:J, "Y")</f>
        <v>12.473118279569892</v>
      </c>
      <c r="Z353" s="77">
        <f>COUNTIFS(Tracker!E:E, 1, Tracker!G:G, "&lt;="&amp;Daily!C353, Tracker!L:L, "N") / V353</f>
        <v>0.80412371134020622</v>
      </c>
      <c r="AA353" s="48">
        <f t="shared" si="161"/>
        <v>241</v>
      </c>
      <c r="AB353" s="26">
        <f t="shared" si="162"/>
        <v>192</v>
      </c>
      <c r="AC353" s="62">
        <f t="shared" si="163"/>
        <v>0.79668049792531115</v>
      </c>
      <c r="AD353" s="74">
        <f>AVERAGEIFS(Tracker!I:I, Tracker!E:E, 2, Tracker!G:G, "&lt;="&amp;Daily!C353, Tracker!J:J, "Y")</f>
        <v>26.005208333333332</v>
      </c>
      <c r="AE353" s="77">
        <f>COUNTIFS(Tracker!E:E, 2, Tracker!G:G, "&lt;="&amp;Daily!C353, Tracker!L:L, "N") / AA353</f>
        <v>0.61410788381742742</v>
      </c>
      <c r="AF353" s="48">
        <f t="shared" si="164"/>
        <v>42</v>
      </c>
      <c r="AG353" s="26">
        <f t="shared" si="165"/>
        <v>27</v>
      </c>
      <c r="AH353" s="62">
        <f t="shared" si="166"/>
        <v>0.6428571428571429</v>
      </c>
      <c r="AI353" s="74">
        <f>IFERROR(AVERAGEIFS(Tracker!I:I, Tracker!E:E, 3, Tracker!G:G, "&lt;="&amp;Daily!C353, Tracker!J:J, "Y"), 0)</f>
        <v>40.074074074074076</v>
      </c>
      <c r="AJ353" s="77">
        <f>IFERROR(COUNTIFS(Tracker!E:E, 3, Tracker!G:G, "&lt;="&amp;Daily!C353, Tracker!L:L, "N") / AF353,  0)</f>
        <v>0.35714285714285715</v>
      </c>
      <c r="AK353" s="48">
        <f t="shared" si="167"/>
        <v>380</v>
      </c>
      <c r="AL353" s="26">
        <f t="shared" si="168"/>
        <v>312</v>
      </c>
      <c r="AM353" s="62">
        <f t="shared" si="169"/>
        <v>0.82105263157894737</v>
      </c>
      <c r="AN353" s="74">
        <f>IFERROR(AVERAGEIFS(Tracker!I:I,  Tracker!G:G, "&lt;="&amp;Daily!C353, Tracker!J:J, "Y"), 0)</f>
        <v>23.189102564102566</v>
      </c>
      <c r="AO353" s="77">
        <f>IFERROR(COUNTIFS(Tracker!G:G, "&lt;="&amp;Daily!C353, Tracker!L:L, "N") / AK353,  0)</f>
        <v>0.63421052631578945</v>
      </c>
    </row>
    <row r="354" spans="1:41" hidden="1" x14ac:dyDescent="0.25">
      <c r="A354" s="119"/>
      <c r="B354" s="32">
        <f t="shared" si="153"/>
        <v>45569</v>
      </c>
      <c r="C354" s="27">
        <f t="shared" si="170"/>
        <v>45569</v>
      </c>
      <c r="D354" s="109" t="b">
        <f t="shared" ca="1" si="152"/>
        <v>1</v>
      </c>
      <c r="E354" s="51">
        <f t="shared" si="154"/>
        <v>0</v>
      </c>
      <c r="F354" s="48">
        <f>COUNTIFS(Tracker!G:G,Daily!C354, Tracker!J:J,"Y")</f>
        <v>0</v>
      </c>
      <c r="G354" s="26">
        <f>COUNTIFS(Tracker!G:G,Daily!C354, Tracker!J:J,"Y (with hints)")</f>
        <v>0</v>
      </c>
      <c r="H354" s="33">
        <f>COUNTIFS(Tracker!G:G,Daily!C354, Tracker!J:J,"N")</f>
        <v>0</v>
      </c>
      <c r="I354" s="54">
        <f t="shared" si="155"/>
        <v>0</v>
      </c>
      <c r="J354" s="26">
        <f>COUNTIFS(Tracker!G:G,Daily!C354, Tracker!J:J,"Y",Tracker!E:E,1)</f>
        <v>0</v>
      </c>
      <c r="K354" s="26">
        <f>COUNTIFS(Tracker!G:G,Daily!C354, Tracker!J:J,"Y (with hints)",Tracker!E:E,1)</f>
        <v>0</v>
      </c>
      <c r="L354" s="33">
        <f>COUNTIFS(Tracker!G:G,Daily!C354, Tracker!J:J,"N",Tracker!E:E,1)</f>
        <v>0</v>
      </c>
      <c r="M354" s="54">
        <f t="shared" si="156"/>
        <v>0</v>
      </c>
      <c r="N354" s="26">
        <f>COUNTIFS(Tracker!G:G,Daily!C354, Tracker!J:J,"Y",Tracker!E:E,2)</f>
        <v>0</v>
      </c>
      <c r="O354" s="26">
        <f>COUNTIFS(Tracker!G:G,Daily!C354, Tracker!J:J,"Y (with hints)",Tracker!E:E,2)</f>
        <v>0</v>
      </c>
      <c r="P354" s="33">
        <f>COUNTIFS(Tracker!G:G,Daily!C354, Tracker!J:J,"N",Tracker!E:E,2)</f>
        <v>0</v>
      </c>
      <c r="Q354" s="57">
        <f t="shared" si="157"/>
        <v>0</v>
      </c>
      <c r="R354" s="26">
        <f>COUNTIFS(Tracker!G:G,Daily!C354, Tracker!J:J,"Y",Tracker!E:E,3)</f>
        <v>0</v>
      </c>
      <c r="S354" s="26">
        <f>COUNTIFS(Tracker!G:G,Daily!C354, Tracker!J:J,"Y (with hints)",Tracker!E:E,3)</f>
        <v>0</v>
      </c>
      <c r="T354" s="33">
        <f>COUNTIFS(Tracker!G:G,Daily!C354, Tracker!J:J,"N",Tracker!E:E,3)</f>
        <v>0</v>
      </c>
      <c r="V354" s="48">
        <f t="shared" si="158"/>
        <v>97</v>
      </c>
      <c r="W354" s="26">
        <f t="shared" si="159"/>
        <v>93</v>
      </c>
      <c r="X354" s="62">
        <f t="shared" si="160"/>
        <v>0.95876288659793818</v>
      </c>
      <c r="Y354" s="74">
        <f>AVERAGEIFS(Tracker!I:I, Tracker!E:E, 1, Tracker!G:G, "&lt;="&amp;Daily!C354, Tracker!J:J, "Y")</f>
        <v>12.473118279569892</v>
      </c>
      <c r="Z354" s="77">
        <f>COUNTIFS(Tracker!E:E, 1, Tracker!G:G, "&lt;="&amp;Daily!C354, Tracker!L:L, "N") / V354</f>
        <v>0.80412371134020622</v>
      </c>
      <c r="AA354" s="48">
        <f t="shared" si="161"/>
        <v>241</v>
      </c>
      <c r="AB354" s="26">
        <f t="shared" si="162"/>
        <v>192</v>
      </c>
      <c r="AC354" s="62">
        <f t="shared" si="163"/>
        <v>0.79668049792531115</v>
      </c>
      <c r="AD354" s="74">
        <f>AVERAGEIFS(Tracker!I:I, Tracker!E:E, 2, Tracker!G:G, "&lt;="&amp;Daily!C354, Tracker!J:J, "Y")</f>
        <v>26.005208333333332</v>
      </c>
      <c r="AE354" s="77">
        <f>COUNTIFS(Tracker!E:E, 2, Tracker!G:G, "&lt;="&amp;Daily!C354, Tracker!L:L, "N") / AA354</f>
        <v>0.61410788381742742</v>
      </c>
      <c r="AF354" s="48">
        <f t="shared" si="164"/>
        <v>42</v>
      </c>
      <c r="AG354" s="26">
        <f t="shared" si="165"/>
        <v>27</v>
      </c>
      <c r="AH354" s="62">
        <f t="shared" si="166"/>
        <v>0.6428571428571429</v>
      </c>
      <c r="AI354" s="74">
        <f>IFERROR(AVERAGEIFS(Tracker!I:I, Tracker!E:E, 3, Tracker!G:G, "&lt;="&amp;Daily!C354, Tracker!J:J, "Y"), 0)</f>
        <v>40.074074074074076</v>
      </c>
      <c r="AJ354" s="77">
        <f>IFERROR(COUNTIFS(Tracker!E:E, 3, Tracker!G:G, "&lt;="&amp;Daily!C354, Tracker!L:L, "N") / AF354,  0)</f>
        <v>0.35714285714285715</v>
      </c>
      <c r="AK354" s="48">
        <f t="shared" si="167"/>
        <v>380</v>
      </c>
      <c r="AL354" s="26">
        <f t="shared" si="168"/>
        <v>312</v>
      </c>
      <c r="AM354" s="62">
        <f t="shared" si="169"/>
        <v>0.82105263157894737</v>
      </c>
      <c r="AN354" s="74">
        <f>IFERROR(AVERAGEIFS(Tracker!I:I,  Tracker!G:G, "&lt;="&amp;Daily!C354, Tracker!J:J, "Y"), 0)</f>
        <v>23.189102564102566</v>
      </c>
      <c r="AO354" s="77">
        <f>IFERROR(COUNTIFS(Tracker!G:G, "&lt;="&amp;Daily!C354, Tracker!L:L, "N") / AK354,  0)</f>
        <v>0.63421052631578945</v>
      </c>
    </row>
    <row r="355" spans="1:41" hidden="1" x14ac:dyDescent="0.25">
      <c r="A355" s="119"/>
      <c r="B355" s="32">
        <f t="shared" si="153"/>
        <v>45570</v>
      </c>
      <c r="C355" s="27">
        <f t="shared" si="170"/>
        <v>45570</v>
      </c>
      <c r="D355" s="109" t="b">
        <f t="shared" ca="1" si="152"/>
        <v>1</v>
      </c>
      <c r="E355" s="51">
        <f t="shared" si="154"/>
        <v>0</v>
      </c>
      <c r="F355" s="48">
        <f>COUNTIFS(Tracker!G:G,Daily!C355, Tracker!J:J,"Y")</f>
        <v>0</v>
      </c>
      <c r="G355" s="26">
        <f>COUNTIFS(Tracker!G:G,Daily!C355, Tracker!J:J,"Y (with hints)")</f>
        <v>0</v>
      </c>
      <c r="H355" s="33">
        <f>COUNTIFS(Tracker!G:G,Daily!C355, Tracker!J:J,"N")</f>
        <v>0</v>
      </c>
      <c r="I355" s="54">
        <f t="shared" si="155"/>
        <v>0</v>
      </c>
      <c r="J355" s="26">
        <f>COUNTIFS(Tracker!G:G,Daily!C355, Tracker!J:J,"Y",Tracker!E:E,1)</f>
        <v>0</v>
      </c>
      <c r="K355" s="26">
        <f>COUNTIFS(Tracker!G:G,Daily!C355, Tracker!J:J,"Y (with hints)",Tracker!E:E,1)</f>
        <v>0</v>
      </c>
      <c r="L355" s="33">
        <f>COUNTIFS(Tracker!G:G,Daily!C355, Tracker!J:J,"N",Tracker!E:E,1)</f>
        <v>0</v>
      </c>
      <c r="M355" s="54">
        <f t="shared" si="156"/>
        <v>0</v>
      </c>
      <c r="N355" s="26">
        <f>COUNTIFS(Tracker!G:G,Daily!C355, Tracker!J:J,"Y",Tracker!E:E,2)</f>
        <v>0</v>
      </c>
      <c r="O355" s="26">
        <f>COUNTIFS(Tracker!G:G,Daily!C355, Tracker!J:J,"Y (with hints)",Tracker!E:E,2)</f>
        <v>0</v>
      </c>
      <c r="P355" s="33">
        <f>COUNTIFS(Tracker!G:G,Daily!C355, Tracker!J:J,"N",Tracker!E:E,2)</f>
        <v>0</v>
      </c>
      <c r="Q355" s="57">
        <f t="shared" si="157"/>
        <v>0</v>
      </c>
      <c r="R355" s="26">
        <f>COUNTIFS(Tracker!G:G,Daily!C355, Tracker!J:J,"Y",Tracker!E:E,3)</f>
        <v>0</v>
      </c>
      <c r="S355" s="26">
        <f>COUNTIFS(Tracker!G:G,Daily!C355, Tracker!J:J,"Y (with hints)",Tracker!E:E,3)</f>
        <v>0</v>
      </c>
      <c r="T355" s="33">
        <f>COUNTIFS(Tracker!G:G,Daily!C355, Tracker!J:J,"N",Tracker!E:E,3)</f>
        <v>0</v>
      </c>
      <c r="V355" s="48">
        <f t="shared" si="158"/>
        <v>97</v>
      </c>
      <c r="W355" s="26">
        <f t="shared" si="159"/>
        <v>93</v>
      </c>
      <c r="X355" s="62">
        <f t="shared" si="160"/>
        <v>0.95876288659793818</v>
      </c>
      <c r="Y355" s="74">
        <f>AVERAGEIFS(Tracker!I:I, Tracker!E:E, 1, Tracker!G:G, "&lt;="&amp;Daily!C355, Tracker!J:J, "Y")</f>
        <v>12.473118279569892</v>
      </c>
      <c r="Z355" s="77">
        <f>COUNTIFS(Tracker!E:E, 1, Tracker!G:G, "&lt;="&amp;Daily!C355, Tracker!L:L, "N") / V355</f>
        <v>0.80412371134020622</v>
      </c>
      <c r="AA355" s="48">
        <f t="shared" si="161"/>
        <v>241</v>
      </c>
      <c r="AB355" s="26">
        <f t="shared" si="162"/>
        <v>192</v>
      </c>
      <c r="AC355" s="62">
        <f t="shared" si="163"/>
        <v>0.79668049792531115</v>
      </c>
      <c r="AD355" s="74">
        <f>AVERAGEIFS(Tracker!I:I, Tracker!E:E, 2, Tracker!G:G, "&lt;="&amp;Daily!C355, Tracker!J:J, "Y")</f>
        <v>26.005208333333332</v>
      </c>
      <c r="AE355" s="77">
        <f>COUNTIFS(Tracker!E:E, 2, Tracker!G:G, "&lt;="&amp;Daily!C355, Tracker!L:L, "N") / AA355</f>
        <v>0.61410788381742742</v>
      </c>
      <c r="AF355" s="48">
        <f t="shared" si="164"/>
        <v>42</v>
      </c>
      <c r="AG355" s="26">
        <f t="shared" si="165"/>
        <v>27</v>
      </c>
      <c r="AH355" s="62">
        <f t="shared" si="166"/>
        <v>0.6428571428571429</v>
      </c>
      <c r="AI355" s="74">
        <f>IFERROR(AVERAGEIFS(Tracker!I:I, Tracker!E:E, 3, Tracker!G:G, "&lt;="&amp;Daily!C355, Tracker!J:J, "Y"), 0)</f>
        <v>40.074074074074076</v>
      </c>
      <c r="AJ355" s="77">
        <f>IFERROR(COUNTIFS(Tracker!E:E, 3, Tracker!G:G, "&lt;="&amp;Daily!C355, Tracker!L:L, "N") / AF355,  0)</f>
        <v>0.35714285714285715</v>
      </c>
      <c r="AK355" s="48">
        <f t="shared" si="167"/>
        <v>380</v>
      </c>
      <c r="AL355" s="26">
        <f t="shared" si="168"/>
        <v>312</v>
      </c>
      <c r="AM355" s="62">
        <f t="shared" si="169"/>
        <v>0.82105263157894737</v>
      </c>
      <c r="AN355" s="74">
        <f>IFERROR(AVERAGEIFS(Tracker!I:I,  Tracker!G:G, "&lt;="&amp;Daily!C355, Tracker!J:J, "Y"), 0)</f>
        <v>23.189102564102566</v>
      </c>
      <c r="AO355" s="77">
        <f>IFERROR(COUNTIFS(Tracker!G:G, "&lt;="&amp;Daily!C355, Tracker!L:L, "N") / AK355,  0)</f>
        <v>0.63421052631578945</v>
      </c>
    </row>
    <row r="356" spans="1:41" ht="15.75" hidden="1" thickBot="1" x14ac:dyDescent="0.3">
      <c r="A356" s="120"/>
      <c r="B356" s="34">
        <f t="shared" si="153"/>
        <v>45571</v>
      </c>
      <c r="C356" s="35">
        <f t="shared" si="170"/>
        <v>45571</v>
      </c>
      <c r="D356" s="110" t="b">
        <f t="shared" ca="1" si="152"/>
        <v>1</v>
      </c>
      <c r="E356" s="52">
        <f t="shared" si="154"/>
        <v>0</v>
      </c>
      <c r="F356" s="39">
        <f>COUNTIFS(Tracker!G:G,Daily!C356, Tracker!J:J,"Y")</f>
        <v>0</v>
      </c>
      <c r="G356" s="36">
        <f>COUNTIFS(Tracker!G:G,Daily!C356, Tracker!J:J,"Y (with hints)")</f>
        <v>0</v>
      </c>
      <c r="H356" s="37">
        <f>COUNTIFS(Tracker!G:G,Daily!C356, Tracker!J:J,"N")</f>
        <v>0</v>
      </c>
      <c r="I356" s="55">
        <f t="shared" si="155"/>
        <v>0</v>
      </c>
      <c r="J356" s="36">
        <f>COUNTIFS(Tracker!G:G,Daily!C356, Tracker!J:J,"Y",Tracker!E:E,1)</f>
        <v>0</v>
      </c>
      <c r="K356" s="36">
        <f>COUNTIFS(Tracker!G:G,Daily!C356, Tracker!J:J,"Y (with hints)",Tracker!E:E,1)</f>
        <v>0</v>
      </c>
      <c r="L356" s="37">
        <f>COUNTIFS(Tracker!G:G,Daily!C356, Tracker!J:J,"N",Tracker!E:E,1)</f>
        <v>0</v>
      </c>
      <c r="M356" s="55">
        <f t="shared" si="156"/>
        <v>0</v>
      </c>
      <c r="N356" s="36">
        <f>COUNTIFS(Tracker!G:G,Daily!C356, Tracker!J:J,"Y",Tracker!E:E,2)</f>
        <v>0</v>
      </c>
      <c r="O356" s="36">
        <f>COUNTIFS(Tracker!G:G,Daily!C356, Tracker!J:J,"Y (with hints)",Tracker!E:E,2)</f>
        <v>0</v>
      </c>
      <c r="P356" s="37">
        <f>COUNTIFS(Tracker!G:G,Daily!C356, Tracker!J:J,"N",Tracker!E:E,2)</f>
        <v>0</v>
      </c>
      <c r="Q356" s="58">
        <f t="shared" si="157"/>
        <v>0</v>
      </c>
      <c r="R356" s="36">
        <f>COUNTIFS(Tracker!G:G,Daily!C356, Tracker!J:J,"Y",Tracker!E:E,3)</f>
        <v>0</v>
      </c>
      <c r="S356" s="36">
        <f>COUNTIFS(Tracker!G:G,Daily!C356, Tracker!J:J,"Y (with hints)",Tracker!E:E,3)</f>
        <v>0</v>
      </c>
      <c r="T356" s="37">
        <f>COUNTIFS(Tracker!G:G,Daily!C356, Tracker!J:J,"N",Tracker!E:E,3)</f>
        <v>0</v>
      </c>
      <c r="V356" s="39">
        <f t="shared" si="158"/>
        <v>97</v>
      </c>
      <c r="W356" s="36">
        <f t="shared" si="159"/>
        <v>93</v>
      </c>
      <c r="X356" s="64">
        <f t="shared" si="160"/>
        <v>0.95876288659793818</v>
      </c>
      <c r="Y356" s="78">
        <f>AVERAGEIFS(Tracker!I:I, Tracker!E:E, 1, Tracker!G:G, "&lt;="&amp;Daily!C356, Tracker!J:J, "Y")</f>
        <v>12.473118279569892</v>
      </c>
      <c r="Z356" s="79">
        <f>COUNTIFS(Tracker!E:E, 1, Tracker!G:G, "&lt;="&amp;Daily!C356, Tracker!L:L, "N") / V356</f>
        <v>0.80412371134020622</v>
      </c>
      <c r="AA356" s="39">
        <f t="shared" si="161"/>
        <v>241</v>
      </c>
      <c r="AB356" s="36">
        <f t="shared" si="162"/>
        <v>192</v>
      </c>
      <c r="AC356" s="64">
        <f t="shared" si="163"/>
        <v>0.79668049792531115</v>
      </c>
      <c r="AD356" s="78">
        <f>AVERAGEIFS(Tracker!I:I, Tracker!E:E, 2, Tracker!G:G, "&lt;="&amp;Daily!C356, Tracker!J:J, "Y")</f>
        <v>26.005208333333332</v>
      </c>
      <c r="AE356" s="79">
        <f>COUNTIFS(Tracker!E:E, 2, Tracker!G:G, "&lt;="&amp;Daily!C356, Tracker!L:L, "N") / AA356</f>
        <v>0.61410788381742742</v>
      </c>
      <c r="AF356" s="39">
        <f t="shared" si="164"/>
        <v>42</v>
      </c>
      <c r="AG356" s="36">
        <f t="shared" si="165"/>
        <v>27</v>
      </c>
      <c r="AH356" s="64">
        <f t="shared" si="166"/>
        <v>0.6428571428571429</v>
      </c>
      <c r="AI356" s="78">
        <f>IFERROR(AVERAGEIFS(Tracker!I:I, Tracker!E:E, 3, Tracker!G:G, "&lt;="&amp;Daily!C356, Tracker!J:J, "Y"), 0)</f>
        <v>40.074074074074076</v>
      </c>
      <c r="AJ356" s="79">
        <f>IFERROR(COUNTIFS(Tracker!E:E, 3, Tracker!G:G, "&lt;="&amp;Daily!C356, Tracker!L:L, "N") / AF356,  0)</f>
        <v>0.35714285714285715</v>
      </c>
      <c r="AK356" s="39">
        <f t="shared" si="167"/>
        <v>380</v>
      </c>
      <c r="AL356" s="36">
        <f t="shared" si="168"/>
        <v>312</v>
      </c>
      <c r="AM356" s="64">
        <f t="shared" si="169"/>
        <v>0.82105263157894737</v>
      </c>
      <c r="AN356" s="78">
        <f>IFERROR(AVERAGEIFS(Tracker!I:I,  Tracker!G:G, "&lt;="&amp;Daily!C356, Tracker!J:J, "Y"), 0)</f>
        <v>23.189102564102566</v>
      </c>
      <c r="AO356" s="79">
        <f>IFERROR(COUNTIFS(Tracker!G:G, "&lt;="&amp;Daily!C356, Tracker!L:L, "N") / AK356,  0)</f>
        <v>0.63421052631578945</v>
      </c>
    </row>
    <row r="357" spans="1:41" hidden="1" x14ac:dyDescent="0.25">
      <c r="A357" s="118">
        <f>A350+1</f>
        <v>51</v>
      </c>
      <c r="B357" s="28">
        <f t="shared" si="153"/>
        <v>45572</v>
      </c>
      <c r="C357" s="29">
        <f t="shared" si="170"/>
        <v>45572</v>
      </c>
      <c r="D357" s="108" t="b">
        <f t="shared" ca="1" si="152"/>
        <v>1</v>
      </c>
      <c r="E357" s="50">
        <f t="shared" si="154"/>
        <v>0</v>
      </c>
      <c r="F357" s="38">
        <f>COUNTIFS(Tracker!G:G,Daily!C357, Tracker!J:J,"Y")</f>
        <v>0</v>
      </c>
      <c r="G357" s="30">
        <f>COUNTIFS(Tracker!G:G,Daily!C357, Tracker!J:J,"Y (with hints)")</f>
        <v>0</v>
      </c>
      <c r="H357" s="31">
        <f>COUNTIFS(Tracker!G:G,Daily!C357, Tracker!J:J,"N")</f>
        <v>0</v>
      </c>
      <c r="I357" s="53">
        <f t="shared" si="155"/>
        <v>0</v>
      </c>
      <c r="J357" s="30">
        <f>COUNTIFS(Tracker!G:G,Daily!C357, Tracker!J:J,"Y",Tracker!E:E,1)</f>
        <v>0</v>
      </c>
      <c r="K357" s="30">
        <f>COUNTIFS(Tracker!G:G,Daily!C357, Tracker!J:J,"Y (with hints)",Tracker!E:E,1)</f>
        <v>0</v>
      </c>
      <c r="L357" s="31">
        <f>COUNTIFS(Tracker!G:G,Daily!C357, Tracker!J:J,"N",Tracker!E:E,1)</f>
        <v>0</v>
      </c>
      <c r="M357" s="53">
        <f t="shared" si="156"/>
        <v>0</v>
      </c>
      <c r="N357" s="30">
        <f>COUNTIFS(Tracker!G:G,Daily!C357, Tracker!J:J,"Y",Tracker!E:E,2)</f>
        <v>0</v>
      </c>
      <c r="O357" s="30">
        <f>COUNTIFS(Tracker!G:G,Daily!C357, Tracker!J:J,"Y (with hints)",Tracker!E:E,2)</f>
        <v>0</v>
      </c>
      <c r="P357" s="31">
        <f>COUNTIFS(Tracker!G:G,Daily!C357, Tracker!J:J,"N",Tracker!E:E,2)</f>
        <v>0</v>
      </c>
      <c r="Q357" s="56">
        <f t="shared" si="157"/>
        <v>0</v>
      </c>
      <c r="R357" s="30">
        <f>COUNTIFS(Tracker!G:G,Daily!C357, Tracker!J:J,"Y",Tracker!E:E,3)</f>
        <v>0</v>
      </c>
      <c r="S357" s="30">
        <f>COUNTIFS(Tracker!G:G,Daily!C357, Tracker!J:J,"Y (with hints)",Tracker!E:E,3)</f>
        <v>0</v>
      </c>
      <c r="T357" s="31">
        <f>COUNTIFS(Tracker!G:G,Daily!C357, Tracker!J:J,"N",Tracker!E:E,3)</f>
        <v>0</v>
      </c>
      <c r="V357" s="38">
        <f t="shared" si="158"/>
        <v>97</v>
      </c>
      <c r="W357" s="30">
        <f t="shared" si="159"/>
        <v>93</v>
      </c>
      <c r="X357" s="73">
        <f t="shared" si="160"/>
        <v>0.95876288659793818</v>
      </c>
      <c r="Y357" s="75">
        <f>AVERAGEIFS(Tracker!I:I, Tracker!E:E, 1, Tracker!G:G, "&lt;="&amp;Daily!C357, Tracker!J:J, "Y")</f>
        <v>12.473118279569892</v>
      </c>
      <c r="Z357" s="76">
        <f>COUNTIFS(Tracker!E:E, 1, Tracker!G:G, "&lt;="&amp;Daily!C357, Tracker!L:L, "N") / V357</f>
        <v>0.80412371134020622</v>
      </c>
      <c r="AA357" s="38">
        <f t="shared" si="161"/>
        <v>241</v>
      </c>
      <c r="AB357" s="30">
        <f t="shared" si="162"/>
        <v>192</v>
      </c>
      <c r="AC357" s="73">
        <f t="shared" si="163"/>
        <v>0.79668049792531115</v>
      </c>
      <c r="AD357" s="75">
        <f>AVERAGEIFS(Tracker!I:I, Tracker!E:E, 2, Tracker!G:G, "&lt;="&amp;Daily!C357, Tracker!J:J, "Y")</f>
        <v>26.005208333333332</v>
      </c>
      <c r="AE357" s="76">
        <f>COUNTIFS(Tracker!E:E, 2, Tracker!G:G, "&lt;="&amp;Daily!C357, Tracker!L:L, "N") / AA357</f>
        <v>0.61410788381742742</v>
      </c>
      <c r="AF357" s="38">
        <f t="shared" si="164"/>
        <v>42</v>
      </c>
      <c r="AG357" s="30">
        <f t="shared" si="165"/>
        <v>27</v>
      </c>
      <c r="AH357" s="73">
        <f t="shared" si="166"/>
        <v>0.6428571428571429</v>
      </c>
      <c r="AI357" s="75">
        <f>IFERROR(AVERAGEIFS(Tracker!I:I, Tracker!E:E, 3, Tracker!G:G, "&lt;="&amp;Daily!C357, Tracker!J:J, "Y"), 0)</f>
        <v>40.074074074074076</v>
      </c>
      <c r="AJ357" s="76">
        <f>IFERROR(COUNTIFS(Tracker!E:E, 3, Tracker!G:G, "&lt;="&amp;Daily!C357, Tracker!L:L, "N") / AF357,  0)</f>
        <v>0.35714285714285715</v>
      </c>
      <c r="AK357" s="38">
        <f t="shared" si="167"/>
        <v>380</v>
      </c>
      <c r="AL357" s="30">
        <f t="shared" si="168"/>
        <v>312</v>
      </c>
      <c r="AM357" s="73">
        <f t="shared" si="169"/>
        <v>0.82105263157894737</v>
      </c>
      <c r="AN357" s="75">
        <f>IFERROR(AVERAGEIFS(Tracker!I:I,  Tracker!G:G, "&lt;="&amp;Daily!C357, Tracker!J:J, "Y"), 0)</f>
        <v>23.189102564102566</v>
      </c>
      <c r="AO357" s="76">
        <f>IFERROR(COUNTIFS(Tracker!G:G, "&lt;="&amp;Daily!C357, Tracker!L:L, "N") / AK357,  0)</f>
        <v>0.63421052631578945</v>
      </c>
    </row>
    <row r="358" spans="1:41" hidden="1" x14ac:dyDescent="0.25">
      <c r="A358" s="119"/>
      <c r="B358" s="32">
        <f t="shared" si="153"/>
        <v>45573</v>
      </c>
      <c r="C358" s="27">
        <f t="shared" si="170"/>
        <v>45573</v>
      </c>
      <c r="D358" s="109" t="b">
        <f t="shared" ca="1" si="152"/>
        <v>1</v>
      </c>
      <c r="E358" s="51">
        <f t="shared" si="154"/>
        <v>0</v>
      </c>
      <c r="F358" s="48">
        <f>COUNTIFS(Tracker!G:G,Daily!C358, Tracker!J:J,"Y")</f>
        <v>0</v>
      </c>
      <c r="G358" s="26">
        <f>COUNTIFS(Tracker!G:G,Daily!C358, Tracker!J:J,"Y (with hints)")</f>
        <v>0</v>
      </c>
      <c r="H358" s="33">
        <f>COUNTIFS(Tracker!G:G,Daily!C358, Tracker!J:J,"N")</f>
        <v>0</v>
      </c>
      <c r="I358" s="54">
        <f t="shared" si="155"/>
        <v>0</v>
      </c>
      <c r="J358" s="26">
        <f>COUNTIFS(Tracker!G:G,Daily!C358, Tracker!J:J,"Y",Tracker!E:E,1)</f>
        <v>0</v>
      </c>
      <c r="K358" s="26">
        <f>COUNTIFS(Tracker!G:G,Daily!C358, Tracker!J:J,"Y (with hints)",Tracker!E:E,1)</f>
        <v>0</v>
      </c>
      <c r="L358" s="33">
        <f>COUNTIFS(Tracker!G:G,Daily!C358, Tracker!J:J,"N",Tracker!E:E,1)</f>
        <v>0</v>
      </c>
      <c r="M358" s="54">
        <f t="shared" si="156"/>
        <v>0</v>
      </c>
      <c r="N358" s="26">
        <f>COUNTIFS(Tracker!G:G,Daily!C358, Tracker!J:J,"Y",Tracker!E:E,2)</f>
        <v>0</v>
      </c>
      <c r="O358" s="26">
        <f>COUNTIFS(Tracker!G:G,Daily!C358, Tracker!J:J,"Y (with hints)",Tracker!E:E,2)</f>
        <v>0</v>
      </c>
      <c r="P358" s="33">
        <f>COUNTIFS(Tracker!G:G,Daily!C358, Tracker!J:J,"N",Tracker!E:E,2)</f>
        <v>0</v>
      </c>
      <c r="Q358" s="57">
        <f t="shared" si="157"/>
        <v>0</v>
      </c>
      <c r="R358" s="26">
        <f>COUNTIFS(Tracker!G:G,Daily!C358, Tracker!J:J,"Y",Tracker!E:E,3)</f>
        <v>0</v>
      </c>
      <c r="S358" s="26">
        <f>COUNTIFS(Tracker!G:G,Daily!C358, Tracker!J:J,"Y (with hints)",Tracker!E:E,3)</f>
        <v>0</v>
      </c>
      <c r="T358" s="33">
        <f>COUNTIFS(Tracker!G:G,Daily!C358, Tracker!J:J,"N",Tracker!E:E,3)</f>
        <v>0</v>
      </c>
      <c r="V358" s="48">
        <f t="shared" si="158"/>
        <v>97</v>
      </c>
      <c r="W358" s="26">
        <f t="shared" si="159"/>
        <v>93</v>
      </c>
      <c r="X358" s="62">
        <f t="shared" si="160"/>
        <v>0.95876288659793818</v>
      </c>
      <c r="Y358" s="74">
        <f>AVERAGEIFS(Tracker!I:I, Tracker!E:E, 1, Tracker!G:G, "&lt;="&amp;Daily!C358, Tracker!J:J, "Y")</f>
        <v>12.473118279569892</v>
      </c>
      <c r="Z358" s="77">
        <f>COUNTIFS(Tracker!E:E, 1, Tracker!G:G, "&lt;="&amp;Daily!C358, Tracker!L:L, "N") / V358</f>
        <v>0.80412371134020622</v>
      </c>
      <c r="AA358" s="48">
        <f t="shared" si="161"/>
        <v>241</v>
      </c>
      <c r="AB358" s="26">
        <f t="shared" si="162"/>
        <v>192</v>
      </c>
      <c r="AC358" s="62">
        <f t="shared" si="163"/>
        <v>0.79668049792531115</v>
      </c>
      <c r="AD358" s="74">
        <f>AVERAGEIFS(Tracker!I:I, Tracker!E:E, 2, Tracker!G:G, "&lt;="&amp;Daily!C358, Tracker!J:J, "Y")</f>
        <v>26.005208333333332</v>
      </c>
      <c r="AE358" s="77">
        <f>COUNTIFS(Tracker!E:E, 2, Tracker!G:G, "&lt;="&amp;Daily!C358, Tracker!L:L, "N") / AA358</f>
        <v>0.61410788381742742</v>
      </c>
      <c r="AF358" s="48">
        <f t="shared" si="164"/>
        <v>42</v>
      </c>
      <c r="AG358" s="26">
        <f t="shared" si="165"/>
        <v>27</v>
      </c>
      <c r="AH358" s="62">
        <f t="shared" si="166"/>
        <v>0.6428571428571429</v>
      </c>
      <c r="AI358" s="74">
        <f>IFERROR(AVERAGEIFS(Tracker!I:I, Tracker!E:E, 3, Tracker!G:G, "&lt;="&amp;Daily!C358, Tracker!J:J, "Y"), 0)</f>
        <v>40.074074074074076</v>
      </c>
      <c r="AJ358" s="77">
        <f>IFERROR(COUNTIFS(Tracker!E:E, 3, Tracker!G:G, "&lt;="&amp;Daily!C358, Tracker!L:L, "N") / AF358,  0)</f>
        <v>0.35714285714285715</v>
      </c>
      <c r="AK358" s="48">
        <f t="shared" si="167"/>
        <v>380</v>
      </c>
      <c r="AL358" s="26">
        <f t="shared" si="168"/>
        <v>312</v>
      </c>
      <c r="AM358" s="62">
        <f t="shared" si="169"/>
        <v>0.82105263157894737</v>
      </c>
      <c r="AN358" s="74">
        <f>IFERROR(AVERAGEIFS(Tracker!I:I,  Tracker!G:G, "&lt;="&amp;Daily!C358, Tracker!J:J, "Y"), 0)</f>
        <v>23.189102564102566</v>
      </c>
      <c r="AO358" s="77">
        <f>IFERROR(COUNTIFS(Tracker!G:G, "&lt;="&amp;Daily!C358, Tracker!L:L, "N") / AK358,  0)</f>
        <v>0.63421052631578945</v>
      </c>
    </row>
    <row r="359" spans="1:41" hidden="1" x14ac:dyDescent="0.25">
      <c r="A359" s="119"/>
      <c r="B359" s="32">
        <f t="shared" si="153"/>
        <v>45574</v>
      </c>
      <c r="C359" s="27">
        <f t="shared" si="170"/>
        <v>45574</v>
      </c>
      <c r="D359" s="109" t="b">
        <f t="shared" ca="1" si="152"/>
        <v>1</v>
      </c>
      <c r="E359" s="51">
        <f t="shared" si="154"/>
        <v>0</v>
      </c>
      <c r="F359" s="48">
        <f>COUNTIFS(Tracker!G:G,Daily!C359, Tracker!J:J,"Y")</f>
        <v>0</v>
      </c>
      <c r="G359" s="26">
        <f>COUNTIFS(Tracker!G:G,Daily!C359, Tracker!J:J,"Y (with hints)")</f>
        <v>0</v>
      </c>
      <c r="H359" s="33">
        <f>COUNTIFS(Tracker!G:G,Daily!C359, Tracker!J:J,"N")</f>
        <v>0</v>
      </c>
      <c r="I359" s="54">
        <f t="shared" si="155"/>
        <v>0</v>
      </c>
      <c r="J359" s="26">
        <f>COUNTIFS(Tracker!G:G,Daily!C359, Tracker!J:J,"Y",Tracker!E:E,1)</f>
        <v>0</v>
      </c>
      <c r="K359" s="26">
        <f>COUNTIFS(Tracker!G:G,Daily!C359, Tracker!J:J,"Y (with hints)",Tracker!E:E,1)</f>
        <v>0</v>
      </c>
      <c r="L359" s="33">
        <f>COUNTIFS(Tracker!G:G,Daily!C359, Tracker!J:J,"N",Tracker!E:E,1)</f>
        <v>0</v>
      </c>
      <c r="M359" s="54">
        <f t="shared" si="156"/>
        <v>0</v>
      </c>
      <c r="N359" s="26">
        <f>COUNTIFS(Tracker!G:G,Daily!C359, Tracker!J:J,"Y",Tracker!E:E,2)</f>
        <v>0</v>
      </c>
      <c r="O359" s="26">
        <f>COUNTIFS(Tracker!G:G,Daily!C359, Tracker!J:J,"Y (with hints)",Tracker!E:E,2)</f>
        <v>0</v>
      </c>
      <c r="P359" s="33">
        <f>COUNTIFS(Tracker!G:G,Daily!C359, Tracker!J:J,"N",Tracker!E:E,2)</f>
        <v>0</v>
      </c>
      <c r="Q359" s="57">
        <f t="shared" si="157"/>
        <v>0</v>
      </c>
      <c r="R359" s="26">
        <f>COUNTIFS(Tracker!G:G,Daily!C359, Tracker!J:J,"Y",Tracker!E:E,3)</f>
        <v>0</v>
      </c>
      <c r="S359" s="26">
        <f>COUNTIFS(Tracker!G:G,Daily!C359, Tracker!J:J,"Y (with hints)",Tracker!E:E,3)</f>
        <v>0</v>
      </c>
      <c r="T359" s="33">
        <f>COUNTIFS(Tracker!G:G,Daily!C359, Tracker!J:J,"N",Tracker!E:E,3)</f>
        <v>0</v>
      </c>
      <c r="V359" s="48">
        <f t="shared" si="158"/>
        <v>97</v>
      </c>
      <c r="W359" s="26">
        <f t="shared" si="159"/>
        <v>93</v>
      </c>
      <c r="X359" s="62">
        <f t="shared" si="160"/>
        <v>0.95876288659793818</v>
      </c>
      <c r="Y359" s="74">
        <f>AVERAGEIFS(Tracker!I:I, Tracker!E:E, 1, Tracker!G:G, "&lt;="&amp;Daily!C359, Tracker!J:J, "Y")</f>
        <v>12.473118279569892</v>
      </c>
      <c r="Z359" s="77">
        <f>COUNTIFS(Tracker!E:E, 1, Tracker!G:G, "&lt;="&amp;Daily!C359, Tracker!L:L, "N") / V359</f>
        <v>0.80412371134020622</v>
      </c>
      <c r="AA359" s="48">
        <f t="shared" si="161"/>
        <v>241</v>
      </c>
      <c r="AB359" s="26">
        <f t="shared" si="162"/>
        <v>192</v>
      </c>
      <c r="AC359" s="62">
        <f t="shared" si="163"/>
        <v>0.79668049792531115</v>
      </c>
      <c r="AD359" s="74">
        <f>AVERAGEIFS(Tracker!I:I, Tracker!E:E, 2, Tracker!G:G, "&lt;="&amp;Daily!C359, Tracker!J:J, "Y")</f>
        <v>26.005208333333332</v>
      </c>
      <c r="AE359" s="77">
        <f>COUNTIFS(Tracker!E:E, 2, Tracker!G:G, "&lt;="&amp;Daily!C359, Tracker!L:L, "N") / AA359</f>
        <v>0.61410788381742742</v>
      </c>
      <c r="AF359" s="48">
        <f t="shared" si="164"/>
        <v>42</v>
      </c>
      <c r="AG359" s="26">
        <f t="shared" si="165"/>
        <v>27</v>
      </c>
      <c r="AH359" s="62">
        <f t="shared" si="166"/>
        <v>0.6428571428571429</v>
      </c>
      <c r="AI359" s="74">
        <f>IFERROR(AVERAGEIFS(Tracker!I:I, Tracker!E:E, 3, Tracker!G:G, "&lt;="&amp;Daily!C359, Tracker!J:J, "Y"), 0)</f>
        <v>40.074074074074076</v>
      </c>
      <c r="AJ359" s="77">
        <f>IFERROR(COUNTIFS(Tracker!E:E, 3, Tracker!G:G, "&lt;="&amp;Daily!C359, Tracker!L:L, "N") / AF359,  0)</f>
        <v>0.35714285714285715</v>
      </c>
      <c r="AK359" s="48">
        <f t="shared" si="167"/>
        <v>380</v>
      </c>
      <c r="AL359" s="26">
        <f t="shared" si="168"/>
        <v>312</v>
      </c>
      <c r="AM359" s="62">
        <f t="shared" si="169"/>
        <v>0.82105263157894737</v>
      </c>
      <c r="AN359" s="74">
        <f>IFERROR(AVERAGEIFS(Tracker!I:I,  Tracker!G:G, "&lt;="&amp;Daily!C359, Tracker!J:J, "Y"), 0)</f>
        <v>23.189102564102566</v>
      </c>
      <c r="AO359" s="77">
        <f>IFERROR(COUNTIFS(Tracker!G:G, "&lt;="&amp;Daily!C359, Tracker!L:L, "N") / AK359,  0)</f>
        <v>0.63421052631578945</v>
      </c>
    </row>
    <row r="360" spans="1:41" hidden="1" x14ac:dyDescent="0.25">
      <c r="A360" s="119"/>
      <c r="B360" s="32">
        <f t="shared" si="153"/>
        <v>45575</v>
      </c>
      <c r="C360" s="27">
        <f t="shared" si="170"/>
        <v>45575</v>
      </c>
      <c r="D360" s="109" t="b">
        <f t="shared" ca="1" si="152"/>
        <v>1</v>
      </c>
      <c r="E360" s="51">
        <f t="shared" si="154"/>
        <v>0</v>
      </c>
      <c r="F360" s="48">
        <f>COUNTIFS(Tracker!G:G,Daily!C360, Tracker!J:J,"Y")</f>
        <v>0</v>
      </c>
      <c r="G360" s="26">
        <f>COUNTIFS(Tracker!G:G,Daily!C360, Tracker!J:J,"Y (with hints)")</f>
        <v>0</v>
      </c>
      <c r="H360" s="33">
        <f>COUNTIFS(Tracker!G:G,Daily!C360, Tracker!J:J,"N")</f>
        <v>0</v>
      </c>
      <c r="I360" s="54">
        <f t="shared" si="155"/>
        <v>0</v>
      </c>
      <c r="J360" s="26">
        <f>COUNTIFS(Tracker!G:G,Daily!C360, Tracker!J:J,"Y",Tracker!E:E,1)</f>
        <v>0</v>
      </c>
      <c r="K360" s="26">
        <f>COUNTIFS(Tracker!G:G,Daily!C360, Tracker!J:J,"Y (with hints)",Tracker!E:E,1)</f>
        <v>0</v>
      </c>
      <c r="L360" s="33">
        <f>COUNTIFS(Tracker!G:G,Daily!C360, Tracker!J:J,"N",Tracker!E:E,1)</f>
        <v>0</v>
      </c>
      <c r="M360" s="54">
        <f t="shared" si="156"/>
        <v>0</v>
      </c>
      <c r="N360" s="26">
        <f>COUNTIFS(Tracker!G:G,Daily!C360, Tracker!J:J,"Y",Tracker!E:E,2)</f>
        <v>0</v>
      </c>
      <c r="O360" s="26">
        <f>COUNTIFS(Tracker!G:G,Daily!C360, Tracker!J:J,"Y (with hints)",Tracker!E:E,2)</f>
        <v>0</v>
      </c>
      <c r="P360" s="33">
        <f>COUNTIFS(Tracker!G:G,Daily!C360, Tracker!J:J,"N",Tracker!E:E,2)</f>
        <v>0</v>
      </c>
      <c r="Q360" s="57">
        <f t="shared" si="157"/>
        <v>0</v>
      </c>
      <c r="R360" s="26">
        <f>COUNTIFS(Tracker!G:G,Daily!C360, Tracker!J:J,"Y",Tracker!E:E,3)</f>
        <v>0</v>
      </c>
      <c r="S360" s="26">
        <f>COUNTIFS(Tracker!G:G,Daily!C360, Tracker!J:J,"Y (with hints)",Tracker!E:E,3)</f>
        <v>0</v>
      </c>
      <c r="T360" s="33">
        <f>COUNTIFS(Tracker!G:G,Daily!C360, Tracker!J:J,"N",Tracker!E:E,3)</f>
        <v>0</v>
      </c>
      <c r="V360" s="48">
        <f t="shared" si="158"/>
        <v>97</v>
      </c>
      <c r="W360" s="26">
        <f t="shared" si="159"/>
        <v>93</v>
      </c>
      <c r="X360" s="62">
        <f t="shared" si="160"/>
        <v>0.95876288659793818</v>
      </c>
      <c r="Y360" s="74">
        <f>AVERAGEIFS(Tracker!I:I, Tracker!E:E, 1, Tracker!G:G, "&lt;="&amp;Daily!C360, Tracker!J:J, "Y")</f>
        <v>12.473118279569892</v>
      </c>
      <c r="Z360" s="77">
        <f>COUNTIFS(Tracker!E:E, 1, Tracker!G:G, "&lt;="&amp;Daily!C360, Tracker!L:L, "N") / V360</f>
        <v>0.80412371134020622</v>
      </c>
      <c r="AA360" s="48">
        <f t="shared" si="161"/>
        <v>241</v>
      </c>
      <c r="AB360" s="26">
        <f t="shared" si="162"/>
        <v>192</v>
      </c>
      <c r="AC360" s="62">
        <f t="shared" si="163"/>
        <v>0.79668049792531115</v>
      </c>
      <c r="AD360" s="74">
        <f>AVERAGEIFS(Tracker!I:I, Tracker!E:E, 2, Tracker!G:G, "&lt;="&amp;Daily!C360, Tracker!J:J, "Y")</f>
        <v>26.005208333333332</v>
      </c>
      <c r="AE360" s="77">
        <f>COUNTIFS(Tracker!E:E, 2, Tracker!G:G, "&lt;="&amp;Daily!C360, Tracker!L:L, "N") / AA360</f>
        <v>0.61410788381742742</v>
      </c>
      <c r="AF360" s="48">
        <f t="shared" si="164"/>
        <v>42</v>
      </c>
      <c r="AG360" s="26">
        <f t="shared" si="165"/>
        <v>27</v>
      </c>
      <c r="AH360" s="62">
        <f t="shared" si="166"/>
        <v>0.6428571428571429</v>
      </c>
      <c r="AI360" s="74">
        <f>IFERROR(AVERAGEIFS(Tracker!I:I, Tracker!E:E, 3, Tracker!G:G, "&lt;="&amp;Daily!C360, Tracker!J:J, "Y"), 0)</f>
        <v>40.074074074074076</v>
      </c>
      <c r="AJ360" s="77">
        <f>IFERROR(COUNTIFS(Tracker!E:E, 3, Tracker!G:G, "&lt;="&amp;Daily!C360, Tracker!L:L, "N") / AF360,  0)</f>
        <v>0.35714285714285715</v>
      </c>
      <c r="AK360" s="48">
        <f t="shared" si="167"/>
        <v>380</v>
      </c>
      <c r="AL360" s="26">
        <f t="shared" si="168"/>
        <v>312</v>
      </c>
      <c r="AM360" s="62">
        <f t="shared" si="169"/>
        <v>0.82105263157894737</v>
      </c>
      <c r="AN360" s="74">
        <f>IFERROR(AVERAGEIFS(Tracker!I:I,  Tracker!G:G, "&lt;="&amp;Daily!C360, Tracker!J:J, "Y"), 0)</f>
        <v>23.189102564102566</v>
      </c>
      <c r="AO360" s="77">
        <f>IFERROR(COUNTIFS(Tracker!G:G, "&lt;="&amp;Daily!C360, Tracker!L:L, "N") / AK360,  0)</f>
        <v>0.63421052631578945</v>
      </c>
    </row>
    <row r="361" spans="1:41" hidden="1" x14ac:dyDescent="0.25">
      <c r="A361" s="119"/>
      <c r="B361" s="32">
        <f t="shared" si="153"/>
        <v>45576</v>
      </c>
      <c r="C361" s="27">
        <f t="shared" si="170"/>
        <v>45576</v>
      </c>
      <c r="D361" s="109" t="b">
        <f t="shared" ca="1" si="152"/>
        <v>1</v>
      </c>
      <c r="E361" s="51">
        <f t="shared" si="154"/>
        <v>0</v>
      </c>
      <c r="F361" s="48">
        <f>COUNTIFS(Tracker!G:G,Daily!C361, Tracker!J:J,"Y")</f>
        <v>0</v>
      </c>
      <c r="G361" s="26">
        <f>COUNTIFS(Tracker!G:G,Daily!C361, Tracker!J:J,"Y (with hints)")</f>
        <v>0</v>
      </c>
      <c r="H361" s="33">
        <f>COUNTIFS(Tracker!G:G,Daily!C361, Tracker!J:J,"N")</f>
        <v>0</v>
      </c>
      <c r="I361" s="54">
        <f t="shared" si="155"/>
        <v>0</v>
      </c>
      <c r="J361" s="26">
        <f>COUNTIFS(Tracker!G:G,Daily!C361, Tracker!J:J,"Y",Tracker!E:E,1)</f>
        <v>0</v>
      </c>
      <c r="K361" s="26">
        <f>COUNTIFS(Tracker!G:G,Daily!C361, Tracker!J:J,"Y (with hints)",Tracker!E:E,1)</f>
        <v>0</v>
      </c>
      <c r="L361" s="33">
        <f>COUNTIFS(Tracker!G:G,Daily!C361, Tracker!J:J,"N",Tracker!E:E,1)</f>
        <v>0</v>
      </c>
      <c r="M361" s="54">
        <f t="shared" si="156"/>
        <v>0</v>
      </c>
      <c r="N361" s="26">
        <f>COUNTIFS(Tracker!G:G,Daily!C361, Tracker!J:J,"Y",Tracker!E:E,2)</f>
        <v>0</v>
      </c>
      <c r="O361" s="26">
        <f>COUNTIFS(Tracker!G:G,Daily!C361, Tracker!J:J,"Y (with hints)",Tracker!E:E,2)</f>
        <v>0</v>
      </c>
      <c r="P361" s="33">
        <f>COUNTIFS(Tracker!G:G,Daily!C361, Tracker!J:J,"N",Tracker!E:E,2)</f>
        <v>0</v>
      </c>
      <c r="Q361" s="57">
        <f t="shared" si="157"/>
        <v>0</v>
      </c>
      <c r="R361" s="26">
        <f>COUNTIFS(Tracker!G:G,Daily!C361, Tracker!J:J,"Y",Tracker!E:E,3)</f>
        <v>0</v>
      </c>
      <c r="S361" s="26">
        <f>COUNTIFS(Tracker!G:G,Daily!C361, Tracker!J:J,"Y (with hints)",Tracker!E:E,3)</f>
        <v>0</v>
      </c>
      <c r="T361" s="33">
        <f>COUNTIFS(Tracker!G:G,Daily!C361, Tracker!J:J,"N",Tracker!E:E,3)</f>
        <v>0</v>
      </c>
      <c r="V361" s="48">
        <f t="shared" si="158"/>
        <v>97</v>
      </c>
      <c r="W361" s="26">
        <f t="shared" si="159"/>
        <v>93</v>
      </c>
      <c r="X361" s="62">
        <f t="shared" si="160"/>
        <v>0.95876288659793818</v>
      </c>
      <c r="Y361" s="74">
        <f>AVERAGEIFS(Tracker!I:I, Tracker!E:E, 1, Tracker!G:G, "&lt;="&amp;Daily!C361, Tracker!J:J, "Y")</f>
        <v>12.473118279569892</v>
      </c>
      <c r="Z361" s="77">
        <f>COUNTIFS(Tracker!E:E, 1, Tracker!G:G, "&lt;="&amp;Daily!C361, Tracker!L:L, "N") / V361</f>
        <v>0.80412371134020622</v>
      </c>
      <c r="AA361" s="48">
        <f t="shared" si="161"/>
        <v>241</v>
      </c>
      <c r="AB361" s="26">
        <f t="shared" si="162"/>
        <v>192</v>
      </c>
      <c r="AC361" s="62">
        <f t="shared" si="163"/>
        <v>0.79668049792531115</v>
      </c>
      <c r="AD361" s="74">
        <f>AVERAGEIFS(Tracker!I:I, Tracker!E:E, 2, Tracker!G:G, "&lt;="&amp;Daily!C361, Tracker!J:J, "Y")</f>
        <v>26.005208333333332</v>
      </c>
      <c r="AE361" s="77">
        <f>COUNTIFS(Tracker!E:E, 2, Tracker!G:G, "&lt;="&amp;Daily!C361, Tracker!L:L, "N") / AA361</f>
        <v>0.61410788381742742</v>
      </c>
      <c r="AF361" s="48">
        <f t="shared" si="164"/>
        <v>42</v>
      </c>
      <c r="AG361" s="26">
        <f t="shared" si="165"/>
        <v>27</v>
      </c>
      <c r="AH361" s="62">
        <f t="shared" si="166"/>
        <v>0.6428571428571429</v>
      </c>
      <c r="AI361" s="74">
        <f>IFERROR(AVERAGEIFS(Tracker!I:I, Tracker!E:E, 3, Tracker!G:G, "&lt;="&amp;Daily!C361, Tracker!J:J, "Y"), 0)</f>
        <v>40.074074074074076</v>
      </c>
      <c r="AJ361" s="77">
        <f>IFERROR(COUNTIFS(Tracker!E:E, 3, Tracker!G:G, "&lt;="&amp;Daily!C361, Tracker!L:L, "N") / AF361,  0)</f>
        <v>0.35714285714285715</v>
      </c>
      <c r="AK361" s="48">
        <f t="shared" si="167"/>
        <v>380</v>
      </c>
      <c r="AL361" s="26">
        <f t="shared" si="168"/>
        <v>312</v>
      </c>
      <c r="AM361" s="62">
        <f t="shared" si="169"/>
        <v>0.82105263157894737</v>
      </c>
      <c r="AN361" s="74">
        <f>IFERROR(AVERAGEIFS(Tracker!I:I,  Tracker!G:G, "&lt;="&amp;Daily!C361, Tracker!J:J, "Y"), 0)</f>
        <v>23.189102564102566</v>
      </c>
      <c r="AO361" s="77">
        <f>IFERROR(COUNTIFS(Tracker!G:G, "&lt;="&amp;Daily!C361, Tracker!L:L, "N") / AK361,  0)</f>
        <v>0.63421052631578945</v>
      </c>
    </row>
    <row r="362" spans="1:41" hidden="1" x14ac:dyDescent="0.25">
      <c r="A362" s="119"/>
      <c r="B362" s="32">
        <f t="shared" si="153"/>
        <v>45577</v>
      </c>
      <c r="C362" s="27">
        <f t="shared" si="170"/>
        <v>45577</v>
      </c>
      <c r="D362" s="109" t="b">
        <f t="shared" ca="1" si="152"/>
        <v>1</v>
      </c>
      <c r="E362" s="51">
        <f t="shared" si="154"/>
        <v>0</v>
      </c>
      <c r="F362" s="48">
        <f>COUNTIFS(Tracker!G:G,Daily!C362, Tracker!J:J,"Y")</f>
        <v>0</v>
      </c>
      <c r="G362" s="26">
        <f>COUNTIFS(Tracker!G:G,Daily!C362, Tracker!J:J,"Y (with hints)")</f>
        <v>0</v>
      </c>
      <c r="H362" s="33">
        <f>COUNTIFS(Tracker!G:G,Daily!C362, Tracker!J:J,"N")</f>
        <v>0</v>
      </c>
      <c r="I362" s="54">
        <f t="shared" si="155"/>
        <v>0</v>
      </c>
      <c r="J362" s="26">
        <f>COUNTIFS(Tracker!G:G,Daily!C362, Tracker!J:J,"Y",Tracker!E:E,1)</f>
        <v>0</v>
      </c>
      <c r="K362" s="26">
        <f>COUNTIFS(Tracker!G:G,Daily!C362, Tracker!J:J,"Y (with hints)",Tracker!E:E,1)</f>
        <v>0</v>
      </c>
      <c r="L362" s="33">
        <f>COUNTIFS(Tracker!G:G,Daily!C362, Tracker!J:J,"N",Tracker!E:E,1)</f>
        <v>0</v>
      </c>
      <c r="M362" s="54">
        <f t="shared" si="156"/>
        <v>0</v>
      </c>
      <c r="N362" s="26">
        <f>COUNTIFS(Tracker!G:G,Daily!C362, Tracker!J:J,"Y",Tracker!E:E,2)</f>
        <v>0</v>
      </c>
      <c r="O362" s="26">
        <f>COUNTIFS(Tracker!G:G,Daily!C362, Tracker!J:J,"Y (with hints)",Tracker!E:E,2)</f>
        <v>0</v>
      </c>
      <c r="P362" s="33">
        <f>COUNTIFS(Tracker!G:G,Daily!C362, Tracker!J:J,"N",Tracker!E:E,2)</f>
        <v>0</v>
      </c>
      <c r="Q362" s="57">
        <f t="shared" si="157"/>
        <v>0</v>
      </c>
      <c r="R362" s="26">
        <f>COUNTIFS(Tracker!G:G,Daily!C362, Tracker!J:J,"Y",Tracker!E:E,3)</f>
        <v>0</v>
      </c>
      <c r="S362" s="26">
        <f>COUNTIFS(Tracker!G:G,Daily!C362, Tracker!J:J,"Y (with hints)",Tracker!E:E,3)</f>
        <v>0</v>
      </c>
      <c r="T362" s="33">
        <f>COUNTIFS(Tracker!G:G,Daily!C362, Tracker!J:J,"N",Tracker!E:E,3)</f>
        <v>0</v>
      </c>
      <c r="V362" s="48">
        <f t="shared" si="158"/>
        <v>97</v>
      </c>
      <c r="W362" s="26">
        <f t="shared" si="159"/>
        <v>93</v>
      </c>
      <c r="X362" s="62">
        <f t="shared" si="160"/>
        <v>0.95876288659793818</v>
      </c>
      <c r="Y362" s="74">
        <f>AVERAGEIFS(Tracker!I:I, Tracker!E:E, 1, Tracker!G:G, "&lt;="&amp;Daily!C362, Tracker!J:J, "Y")</f>
        <v>12.473118279569892</v>
      </c>
      <c r="Z362" s="77">
        <f>COUNTIFS(Tracker!E:E, 1, Tracker!G:G, "&lt;="&amp;Daily!C362, Tracker!L:L, "N") / V362</f>
        <v>0.80412371134020622</v>
      </c>
      <c r="AA362" s="48">
        <f t="shared" si="161"/>
        <v>241</v>
      </c>
      <c r="AB362" s="26">
        <f t="shared" si="162"/>
        <v>192</v>
      </c>
      <c r="AC362" s="62">
        <f t="shared" si="163"/>
        <v>0.79668049792531115</v>
      </c>
      <c r="AD362" s="74">
        <f>AVERAGEIFS(Tracker!I:I, Tracker!E:E, 2, Tracker!G:G, "&lt;="&amp;Daily!C362, Tracker!J:J, "Y")</f>
        <v>26.005208333333332</v>
      </c>
      <c r="AE362" s="77">
        <f>COUNTIFS(Tracker!E:E, 2, Tracker!G:G, "&lt;="&amp;Daily!C362, Tracker!L:L, "N") / AA362</f>
        <v>0.61410788381742742</v>
      </c>
      <c r="AF362" s="48">
        <f t="shared" si="164"/>
        <v>42</v>
      </c>
      <c r="AG362" s="26">
        <f t="shared" si="165"/>
        <v>27</v>
      </c>
      <c r="AH362" s="62">
        <f t="shared" si="166"/>
        <v>0.6428571428571429</v>
      </c>
      <c r="AI362" s="74">
        <f>IFERROR(AVERAGEIFS(Tracker!I:I, Tracker!E:E, 3, Tracker!G:G, "&lt;="&amp;Daily!C362, Tracker!J:J, "Y"), 0)</f>
        <v>40.074074074074076</v>
      </c>
      <c r="AJ362" s="77">
        <f>IFERROR(COUNTIFS(Tracker!E:E, 3, Tracker!G:G, "&lt;="&amp;Daily!C362, Tracker!L:L, "N") / AF362,  0)</f>
        <v>0.35714285714285715</v>
      </c>
      <c r="AK362" s="48">
        <f t="shared" si="167"/>
        <v>380</v>
      </c>
      <c r="AL362" s="26">
        <f t="shared" si="168"/>
        <v>312</v>
      </c>
      <c r="AM362" s="62">
        <f t="shared" si="169"/>
        <v>0.82105263157894737</v>
      </c>
      <c r="AN362" s="74">
        <f>IFERROR(AVERAGEIFS(Tracker!I:I,  Tracker!G:G, "&lt;="&amp;Daily!C362, Tracker!J:J, "Y"), 0)</f>
        <v>23.189102564102566</v>
      </c>
      <c r="AO362" s="77">
        <f>IFERROR(COUNTIFS(Tracker!G:G, "&lt;="&amp;Daily!C362, Tracker!L:L, "N") / AK362,  0)</f>
        <v>0.63421052631578945</v>
      </c>
    </row>
    <row r="363" spans="1:41" ht="15.75" hidden="1" thickBot="1" x14ac:dyDescent="0.3">
      <c r="A363" s="120"/>
      <c r="B363" s="34">
        <f t="shared" si="153"/>
        <v>45578</v>
      </c>
      <c r="C363" s="35">
        <f t="shared" si="170"/>
        <v>45578</v>
      </c>
      <c r="D363" s="110" t="b">
        <f t="shared" ca="1" si="152"/>
        <v>1</v>
      </c>
      <c r="E363" s="52">
        <f t="shared" si="154"/>
        <v>0</v>
      </c>
      <c r="F363" s="39">
        <f>COUNTIFS(Tracker!G:G,Daily!C363, Tracker!J:J,"Y")</f>
        <v>0</v>
      </c>
      <c r="G363" s="36">
        <f>COUNTIFS(Tracker!G:G,Daily!C363, Tracker!J:J,"Y (with hints)")</f>
        <v>0</v>
      </c>
      <c r="H363" s="37">
        <f>COUNTIFS(Tracker!G:G,Daily!C363, Tracker!J:J,"N")</f>
        <v>0</v>
      </c>
      <c r="I363" s="55">
        <f t="shared" si="155"/>
        <v>0</v>
      </c>
      <c r="J363" s="36">
        <f>COUNTIFS(Tracker!G:G,Daily!C363, Tracker!J:J,"Y",Tracker!E:E,1)</f>
        <v>0</v>
      </c>
      <c r="K363" s="36">
        <f>COUNTIFS(Tracker!G:G,Daily!C363, Tracker!J:J,"Y (with hints)",Tracker!E:E,1)</f>
        <v>0</v>
      </c>
      <c r="L363" s="37">
        <f>COUNTIFS(Tracker!G:G,Daily!C363, Tracker!J:J,"N",Tracker!E:E,1)</f>
        <v>0</v>
      </c>
      <c r="M363" s="55">
        <f t="shared" si="156"/>
        <v>0</v>
      </c>
      <c r="N363" s="36">
        <f>COUNTIFS(Tracker!G:G,Daily!C363, Tracker!J:J,"Y",Tracker!E:E,2)</f>
        <v>0</v>
      </c>
      <c r="O363" s="36">
        <f>COUNTIFS(Tracker!G:G,Daily!C363, Tracker!J:J,"Y (with hints)",Tracker!E:E,2)</f>
        <v>0</v>
      </c>
      <c r="P363" s="37">
        <f>COUNTIFS(Tracker!G:G,Daily!C363, Tracker!J:J,"N",Tracker!E:E,2)</f>
        <v>0</v>
      </c>
      <c r="Q363" s="58">
        <f t="shared" si="157"/>
        <v>0</v>
      </c>
      <c r="R363" s="36">
        <f>COUNTIFS(Tracker!G:G,Daily!C363, Tracker!J:J,"Y",Tracker!E:E,3)</f>
        <v>0</v>
      </c>
      <c r="S363" s="36">
        <f>COUNTIFS(Tracker!G:G,Daily!C363, Tracker!J:J,"Y (with hints)",Tracker!E:E,3)</f>
        <v>0</v>
      </c>
      <c r="T363" s="37">
        <f>COUNTIFS(Tracker!G:G,Daily!C363, Tracker!J:J,"N",Tracker!E:E,3)</f>
        <v>0</v>
      </c>
      <c r="V363" s="39">
        <f t="shared" si="158"/>
        <v>97</v>
      </c>
      <c r="W363" s="36">
        <f t="shared" si="159"/>
        <v>93</v>
      </c>
      <c r="X363" s="64">
        <f t="shared" si="160"/>
        <v>0.95876288659793818</v>
      </c>
      <c r="Y363" s="78">
        <f>AVERAGEIFS(Tracker!I:I, Tracker!E:E, 1, Tracker!G:G, "&lt;="&amp;Daily!C363, Tracker!J:J, "Y")</f>
        <v>12.473118279569892</v>
      </c>
      <c r="Z363" s="79">
        <f>COUNTIFS(Tracker!E:E, 1, Tracker!G:G, "&lt;="&amp;Daily!C363, Tracker!L:L, "N") / V363</f>
        <v>0.80412371134020622</v>
      </c>
      <c r="AA363" s="39">
        <f t="shared" si="161"/>
        <v>241</v>
      </c>
      <c r="AB363" s="36">
        <f t="shared" si="162"/>
        <v>192</v>
      </c>
      <c r="AC363" s="64">
        <f t="shared" si="163"/>
        <v>0.79668049792531115</v>
      </c>
      <c r="AD363" s="78">
        <f>AVERAGEIFS(Tracker!I:I, Tracker!E:E, 2, Tracker!G:G, "&lt;="&amp;Daily!C363, Tracker!J:J, "Y")</f>
        <v>26.005208333333332</v>
      </c>
      <c r="AE363" s="79">
        <f>COUNTIFS(Tracker!E:E, 2, Tracker!G:G, "&lt;="&amp;Daily!C363, Tracker!L:L, "N") / AA363</f>
        <v>0.61410788381742742</v>
      </c>
      <c r="AF363" s="39">
        <f t="shared" si="164"/>
        <v>42</v>
      </c>
      <c r="AG363" s="36">
        <f t="shared" si="165"/>
        <v>27</v>
      </c>
      <c r="AH363" s="64">
        <f t="shared" si="166"/>
        <v>0.6428571428571429</v>
      </c>
      <c r="AI363" s="78">
        <f>IFERROR(AVERAGEIFS(Tracker!I:I, Tracker!E:E, 3, Tracker!G:G, "&lt;="&amp;Daily!C363, Tracker!J:J, "Y"), 0)</f>
        <v>40.074074074074076</v>
      </c>
      <c r="AJ363" s="79">
        <f>IFERROR(COUNTIFS(Tracker!E:E, 3, Tracker!G:G, "&lt;="&amp;Daily!C363, Tracker!L:L, "N") / AF363,  0)</f>
        <v>0.35714285714285715</v>
      </c>
      <c r="AK363" s="39">
        <f t="shared" si="167"/>
        <v>380</v>
      </c>
      <c r="AL363" s="36">
        <f t="shared" si="168"/>
        <v>312</v>
      </c>
      <c r="AM363" s="64">
        <f t="shared" si="169"/>
        <v>0.82105263157894737</v>
      </c>
      <c r="AN363" s="78">
        <f>IFERROR(AVERAGEIFS(Tracker!I:I,  Tracker!G:G, "&lt;="&amp;Daily!C363, Tracker!J:J, "Y"), 0)</f>
        <v>23.189102564102566</v>
      </c>
      <c r="AO363" s="79">
        <f>IFERROR(COUNTIFS(Tracker!G:G, "&lt;="&amp;Daily!C363, Tracker!L:L, "N") / AK363,  0)</f>
        <v>0.63421052631578945</v>
      </c>
    </row>
    <row r="364" spans="1:41" hidden="1" x14ac:dyDescent="0.25">
      <c r="A364" s="118">
        <f>A357+1</f>
        <v>52</v>
      </c>
      <c r="B364" s="28">
        <f t="shared" si="153"/>
        <v>45579</v>
      </c>
      <c r="C364" s="29">
        <f t="shared" si="170"/>
        <v>45579</v>
      </c>
      <c r="D364" s="108" t="b">
        <f t="shared" ca="1" si="152"/>
        <v>1</v>
      </c>
      <c r="E364" s="50">
        <f t="shared" si="154"/>
        <v>4</v>
      </c>
      <c r="F364" s="38">
        <f>COUNTIFS(Tracker!G:G,Daily!C364, Tracker!J:J,"Y")</f>
        <v>3</v>
      </c>
      <c r="G364" s="30">
        <f>COUNTIFS(Tracker!G:G,Daily!C364, Tracker!J:J,"Y (with hints)")</f>
        <v>0</v>
      </c>
      <c r="H364" s="31">
        <f>COUNTIFS(Tracker!G:G,Daily!C364, Tracker!J:J,"N")</f>
        <v>1</v>
      </c>
      <c r="I364" s="53">
        <f t="shared" si="155"/>
        <v>1</v>
      </c>
      <c r="J364" s="30">
        <f>COUNTIFS(Tracker!G:G,Daily!C364, Tracker!J:J,"Y",Tracker!E:E,1)</f>
        <v>1</v>
      </c>
      <c r="K364" s="30">
        <f>COUNTIFS(Tracker!G:G,Daily!C364, Tracker!J:J,"Y (with hints)",Tracker!E:E,1)</f>
        <v>0</v>
      </c>
      <c r="L364" s="31">
        <f>COUNTIFS(Tracker!G:G,Daily!C364, Tracker!J:J,"N",Tracker!E:E,1)</f>
        <v>0</v>
      </c>
      <c r="M364" s="53">
        <f t="shared" si="156"/>
        <v>3</v>
      </c>
      <c r="N364" s="30">
        <f>COUNTIFS(Tracker!G:G,Daily!C364, Tracker!J:J,"Y",Tracker!E:E,2)</f>
        <v>2</v>
      </c>
      <c r="O364" s="30">
        <f>COUNTIFS(Tracker!G:G,Daily!C364, Tracker!J:J,"Y (with hints)",Tracker!E:E,2)</f>
        <v>0</v>
      </c>
      <c r="P364" s="31">
        <f>COUNTIFS(Tracker!G:G,Daily!C364, Tracker!J:J,"N",Tracker!E:E,2)</f>
        <v>1</v>
      </c>
      <c r="Q364" s="56">
        <f t="shared" si="157"/>
        <v>0</v>
      </c>
      <c r="R364" s="30">
        <f>COUNTIFS(Tracker!G:G,Daily!C364, Tracker!J:J,"Y",Tracker!E:E,3)</f>
        <v>0</v>
      </c>
      <c r="S364" s="30">
        <f>COUNTIFS(Tracker!G:G,Daily!C364, Tracker!J:J,"Y (with hints)",Tracker!E:E,3)</f>
        <v>0</v>
      </c>
      <c r="T364" s="31">
        <f>COUNTIFS(Tracker!G:G,Daily!C364, Tracker!J:J,"N",Tracker!E:E,3)</f>
        <v>0</v>
      </c>
      <c r="V364" s="38">
        <f t="shared" si="158"/>
        <v>98</v>
      </c>
      <c r="W364" s="30">
        <f t="shared" si="159"/>
        <v>94</v>
      </c>
      <c r="X364" s="73">
        <f t="shared" si="160"/>
        <v>0.95918367346938771</v>
      </c>
      <c r="Y364" s="75">
        <f>AVERAGEIFS(Tracker!I:I, Tracker!E:E, 1, Tracker!G:G, "&lt;="&amp;Daily!C364, Tracker!J:J, "Y")</f>
        <v>12.425531914893616</v>
      </c>
      <c r="Z364" s="76">
        <f>COUNTIFS(Tracker!E:E, 1, Tracker!G:G, "&lt;="&amp;Daily!C364, Tracker!L:L, "N") / V364</f>
        <v>0.80612244897959184</v>
      </c>
      <c r="AA364" s="38">
        <f t="shared" si="161"/>
        <v>244</v>
      </c>
      <c r="AB364" s="30">
        <f t="shared" si="162"/>
        <v>194</v>
      </c>
      <c r="AC364" s="73">
        <f t="shared" si="163"/>
        <v>0.79508196721311475</v>
      </c>
      <c r="AD364" s="75">
        <f>AVERAGEIFS(Tracker!I:I, Tracker!E:E, 2, Tracker!G:G, "&lt;="&amp;Daily!C364, Tracker!J:J, "Y")</f>
        <v>25.953608247422679</v>
      </c>
      <c r="AE364" s="76">
        <f>COUNTIFS(Tracker!E:E, 2, Tracker!G:G, "&lt;="&amp;Daily!C364, Tracker!L:L, "N") / AA364</f>
        <v>0.61475409836065575</v>
      </c>
      <c r="AF364" s="38">
        <f t="shared" si="164"/>
        <v>42</v>
      </c>
      <c r="AG364" s="30">
        <f t="shared" si="165"/>
        <v>27</v>
      </c>
      <c r="AH364" s="73">
        <f t="shared" si="166"/>
        <v>0.6428571428571429</v>
      </c>
      <c r="AI364" s="75">
        <f>IFERROR(AVERAGEIFS(Tracker!I:I, Tracker!E:E, 3, Tracker!G:G, "&lt;="&amp;Daily!C364, Tracker!J:J, "Y"), 0)</f>
        <v>40.074074074074076</v>
      </c>
      <c r="AJ364" s="76">
        <f>IFERROR(COUNTIFS(Tracker!E:E, 3, Tracker!G:G, "&lt;="&amp;Daily!C364, Tracker!L:L, "N") / AF364,  0)</f>
        <v>0.35714285714285715</v>
      </c>
      <c r="AK364" s="38">
        <f t="shared" si="167"/>
        <v>384</v>
      </c>
      <c r="AL364" s="30">
        <f t="shared" si="168"/>
        <v>315</v>
      </c>
      <c r="AM364" s="73">
        <f t="shared" si="169"/>
        <v>0.8203125</v>
      </c>
      <c r="AN364" s="75">
        <f>IFERROR(AVERAGEIFS(Tracker!I:I,  Tracker!G:G, "&lt;="&amp;Daily!C364, Tracker!J:J, "Y"), 0)</f>
        <v>23.126984126984127</v>
      </c>
      <c r="AO364" s="76">
        <f>IFERROR(COUNTIFS(Tracker!G:G, "&lt;="&amp;Daily!C364, Tracker!L:L, "N") / AK364,  0)</f>
        <v>0.63541666666666663</v>
      </c>
    </row>
    <row r="365" spans="1:41" hidden="1" x14ac:dyDescent="0.25">
      <c r="A365" s="119"/>
      <c r="B365" s="32">
        <f t="shared" si="153"/>
        <v>45580</v>
      </c>
      <c r="C365" s="27">
        <f t="shared" si="170"/>
        <v>45580</v>
      </c>
      <c r="D365" s="109" t="b">
        <f t="shared" ca="1" si="152"/>
        <v>1</v>
      </c>
      <c r="E365" s="51">
        <f t="shared" si="154"/>
        <v>2</v>
      </c>
      <c r="F365" s="48">
        <f>COUNTIFS(Tracker!G:G,Daily!C365, Tracker!J:J,"Y")</f>
        <v>2</v>
      </c>
      <c r="G365" s="26">
        <f>COUNTIFS(Tracker!G:G,Daily!C365, Tracker!J:J,"Y (with hints)")</f>
        <v>0</v>
      </c>
      <c r="H365" s="33">
        <f>COUNTIFS(Tracker!G:G,Daily!C365, Tracker!J:J,"N")</f>
        <v>0</v>
      </c>
      <c r="I365" s="54">
        <f t="shared" si="155"/>
        <v>0</v>
      </c>
      <c r="J365" s="26">
        <f>COUNTIFS(Tracker!G:G,Daily!C365, Tracker!J:J,"Y",Tracker!E:E,1)</f>
        <v>0</v>
      </c>
      <c r="K365" s="26">
        <f>COUNTIFS(Tracker!G:G,Daily!C365, Tracker!J:J,"Y (with hints)",Tracker!E:E,1)</f>
        <v>0</v>
      </c>
      <c r="L365" s="33">
        <f>COUNTIFS(Tracker!G:G,Daily!C365, Tracker!J:J,"N",Tracker!E:E,1)</f>
        <v>0</v>
      </c>
      <c r="M365" s="54">
        <f t="shared" si="156"/>
        <v>2</v>
      </c>
      <c r="N365" s="26">
        <f>COUNTIFS(Tracker!G:G,Daily!C365, Tracker!J:J,"Y",Tracker!E:E,2)</f>
        <v>2</v>
      </c>
      <c r="O365" s="26">
        <f>COUNTIFS(Tracker!G:G,Daily!C365, Tracker!J:J,"Y (with hints)",Tracker!E:E,2)</f>
        <v>0</v>
      </c>
      <c r="P365" s="33">
        <f>COUNTIFS(Tracker!G:G,Daily!C365, Tracker!J:J,"N",Tracker!E:E,2)</f>
        <v>0</v>
      </c>
      <c r="Q365" s="57">
        <f t="shared" si="157"/>
        <v>0</v>
      </c>
      <c r="R365" s="26">
        <f>COUNTIFS(Tracker!G:G,Daily!C365, Tracker!J:J,"Y",Tracker!E:E,3)</f>
        <v>0</v>
      </c>
      <c r="S365" s="26">
        <f>COUNTIFS(Tracker!G:G,Daily!C365, Tracker!J:J,"Y (with hints)",Tracker!E:E,3)</f>
        <v>0</v>
      </c>
      <c r="T365" s="33">
        <f>COUNTIFS(Tracker!G:G,Daily!C365, Tracker!J:J,"N",Tracker!E:E,3)</f>
        <v>0</v>
      </c>
      <c r="V365" s="48">
        <f t="shared" si="158"/>
        <v>98</v>
      </c>
      <c r="W365" s="26">
        <f t="shared" si="159"/>
        <v>94</v>
      </c>
      <c r="X365" s="62">
        <f t="shared" si="160"/>
        <v>0.95918367346938771</v>
      </c>
      <c r="Y365" s="74">
        <f>AVERAGEIFS(Tracker!I:I, Tracker!E:E, 1, Tracker!G:G, "&lt;="&amp;Daily!C365, Tracker!J:J, "Y")</f>
        <v>12.425531914893616</v>
      </c>
      <c r="Z365" s="77">
        <f>COUNTIFS(Tracker!E:E, 1, Tracker!G:G, "&lt;="&amp;Daily!C365, Tracker!L:L, "N") / V365</f>
        <v>0.80612244897959184</v>
      </c>
      <c r="AA365" s="48">
        <f t="shared" si="161"/>
        <v>246</v>
      </c>
      <c r="AB365" s="26">
        <f t="shared" si="162"/>
        <v>196</v>
      </c>
      <c r="AC365" s="62">
        <f t="shared" si="163"/>
        <v>0.7967479674796748</v>
      </c>
      <c r="AD365" s="74">
        <f>AVERAGEIFS(Tracker!I:I, Tracker!E:E, 2, Tracker!G:G, "&lt;="&amp;Daily!C365, Tracker!J:J, "Y")</f>
        <v>25.959183673469386</v>
      </c>
      <c r="AE365" s="77">
        <f>COUNTIFS(Tracker!E:E, 2, Tracker!G:G, "&lt;="&amp;Daily!C365, Tracker!L:L, "N") / AA365</f>
        <v>0.61382113821138207</v>
      </c>
      <c r="AF365" s="48">
        <f t="shared" si="164"/>
        <v>42</v>
      </c>
      <c r="AG365" s="26">
        <f t="shared" si="165"/>
        <v>27</v>
      </c>
      <c r="AH365" s="62">
        <f t="shared" si="166"/>
        <v>0.6428571428571429</v>
      </c>
      <c r="AI365" s="74">
        <f>IFERROR(AVERAGEIFS(Tracker!I:I, Tracker!E:E, 3, Tracker!G:G, "&lt;="&amp;Daily!C365, Tracker!J:J, "Y"), 0)</f>
        <v>40.074074074074076</v>
      </c>
      <c r="AJ365" s="77">
        <f>IFERROR(COUNTIFS(Tracker!E:E, 3, Tracker!G:G, "&lt;="&amp;Daily!C365, Tracker!L:L, "N") / AF365,  0)</f>
        <v>0.35714285714285715</v>
      </c>
      <c r="AK365" s="48">
        <f t="shared" si="167"/>
        <v>386</v>
      </c>
      <c r="AL365" s="26">
        <f t="shared" si="168"/>
        <v>317</v>
      </c>
      <c r="AM365" s="62">
        <f t="shared" si="169"/>
        <v>0.82124352331606221</v>
      </c>
      <c r="AN365" s="74">
        <f>IFERROR(AVERAGEIFS(Tracker!I:I,  Tracker!G:G, "&lt;="&amp;Daily!C365, Tracker!J:J, "Y"), 0)</f>
        <v>23.148264984227129</v>
      </c>
      <c r="AO365" s="77">
        <f>IFERROR(COUNTIFS(Tracker!G:G, "&lt;="&amp;Daily!C365, Tracker!L:L, "N") / AK365,  0)</f>
        <v>0.63471502590673579</v>
      </c>
    </row>
    <row r="366" spans="1:41" hidden="1" x14ac:dyDescent="0.25">
      <c r="A366" s="119"/>
      <c r="B366" s="32">
        <f t="shared" si="153"/>
        <v>45581</v>
      </c>
      <c r="C366" s="27">
        <f t="shared" si="170"/>
        <v>45581</v>
      </c>
      <c r="D366" s="109" t="b">
        <f t="shared" ca="1" si="152"/>
        <v>1</v>
      </c>
      <c r="E366" s="51">
        <f t="shared" si="154"/>
        <v>1</v>
      </c>
      <c r="F366" s="48">
        <f>COUNTIFS(Tracker!G:G,Daily!C366, Tracker!J:J,"Y")</f>
        <v>1</v>
      </c>
      <c r="G366" s="26">
        <f>COUNTIFS(Tracker!G:G,Daily!C366, Tracker!J:J,"Y (with hints)")</f>
        <v>0</v>
      </c>
      <c r="H366" s="33">
        <f>COUNTIFS(Tracker!G:G,Daily!C366, Tracker!J:J,"N")</f>
        <v>0</v>
      </c>
      <c r="I366" s="54">
        <f t="shared" si="155"/>
        <v>0</v>
      </c>
      <c r="J366" s="26">
        <f>COUNTIFS(Tracker!G:G,Daily!C366, Tracker!J:J,"Y",Tracker!E:E,1)</f>
        <v>0</v>
      </c>
      <c r="K366" s="26">
        <f>COUNTIFS(Tracker!G:G,Daily!C366, Tracker!J:J,"Y (with hints)",Tracker!E:E,1)</f>
        <v>0</v>
      </c>
      <c r="L366" s="33">
        <f>COUNTIFS(Tracker!G:G,Daily!C366, Tracker!J:J,"N",Tracker!E:E,1)</f>
        <v>0</v>
      </c>
      <c r="M366" s="54">
        <f t="shared" si="156"/>
        <v>1</v>
      </c>
      <c r="N366" s="26">
        <f>COUNTIFS(Tracker!G:G,Daily!C366, Tracker!J:J,"Y",Tracker!E:E,2)</f>
        <v>1</v>
      </c>
      <c r="O366" s="26">
        <f>COUNTIFS(Tracker!G:G,Daily!C366, Tracker!J:J,"Y (with hints)",Tracker!E:E,2)</f>
        <v>0</v>
      </c>
      <c r="P366" s="33">
        <f>COUNTIFS(Tracker!G:G,Daily!C366, Tracker!J:J,"N",Tracker!E:E,2)</f>
        <v>0</v>
      </c>
      <c r="Q366" s="57">
        <f t="shared" si="157"/>
        <v>0</v>
      </c>
      <c r="R366" s="26">
        <f>COUNTIFS(Tracker!G:G,Daily!C366, Tracker!J:J,"Y",Tracker!E:E,3)</f>
        <v>0</v>
      </c>
      <c r="S366" s="26">
        <f>COUNTIFS(Tracker!G:G,Daily!C366, Tracker!J:J,"Y (with hints)",Tracker!E:E,3)</f>
        <v>0</v>
      </c>
      <c r="T366" s="33">
        <f>COUNTIFS(Tracker!G:G,Daily!C366, Tracker!J:J,"N",Tracker!E:E,3)</f>
        <v>0</v>
      </c>
      <c r="V366" s="48">
        <f t="shared" si="158"/>
        <v>98</v>
      </c>
      <c r="W366" s="26">
        <f t="shared" si="159"/>
        <v>94</v>
      </c>
      <c r="X366" s="62">
        <f t="shared" si="160"/>
        <v>0.95918367346938771</v>
      </c>
      <c r="Y366" s="74">
        <f>AVERAGEIFS(Tracker!I:I, Tracker!E:E, 1, Tracker!G:G, "&lt;="&amp;Daily!C366, Tracker!J:J, "Y")</f>
        <v>12.425531914893616</v>
      </c>
      <c r="Z366" s="77">
        <f>COUNTIFS(Tracker!E:E, 1, Tracker!G:G, "&lt;="&amp;Daily!C366, Tracker!L:L, "N") / V366</f>
        <v>0.80612244897959184</v>
      </c>
      <c r="AA366" s="48">
        <f t="shared" si="161"/>
        <v>247</v>
      </c>
      <c r="AB366" s="26">
        <f t="shared" si="162"/>
        <v>197</v>
      </c>
      <c r="AC366" s="62">
        <f t="shared" si="163"/>
        <v>0.79757085020242913</v>
      </c>
      <c r="AD366" s="74">
        <f>AVERAGEIFS(Tracker!I:I, Tracker!E:E, 2, Tracker!G:G, "&lt;="&amp;Daily!C366, Tracker!J:J, "Y")</f>
        <v>25.939086294416242</v>
      </c>
      <c r="AE366" s="77">
        <f>COUNTIFS(Tracker!E:E, 2, Tracker!G:G, "&lt;="&amp;Daily!C366, Tracker!L:L, "N") / AA366</f>
        <v>0.61538461538461542</v>
      </c>
      <c r="AF366" s="48">
        <f t="shared" si="164"/>
        <v>42</v>
      </c>
      <c r="AG366" s="26">
        <f t="shared" si="165"/>
        <v>27</v>
      </c>
      <c r="AH366" s="62">
        <f t="shared" si="166"/>
        <v>0.6428571428571429</v>
      </c>
      <c r="AI366" s="74">
        <f>IFERROR(AVERAGEIFS(Tracker!I:I, Tracker!E:E, 3, Tracker!G:G, "&lt;="&amp;Daily!C366, Tracker!J:J, "Y"), 0)</f>
        <v>40.074074074074076</v>
      </c>
      <c r="AJ366" s="77">
        <f>IFERROR(COUNTIFS(Tracker!E:E, 3, Tracker!G:G, "&lt;="&amp;Daily!C366, Tracker!L:L, "N") / AF366,  0)</f>
        <v>0.35714285714285715</v>
      </c>
      <c r="AK366" s="48">
        <f t="shared" si="167"/>
        <v>387</v>
      </c>
      <c r="AL366" s="26">
        <f t="shared" si="168"/>
        <v>318</v>
      </c>
      <c r="AM366" s="62">
        <f t="shared" si="169"/>
        <v>0.82170542635658916</v>
      </c>
      <c r="AN366" s="74">
        <f>IFERROR(AVERAGEIFS(Tracker!I:I,  Tracker!G:G, "&lt;="&amp;Daily!C366, Tracker!J:J, "Y"), 0)</f>
        <v>23.144654088050313</v>
      </c>
      <c r="AO366" s="77">
        <f>IFERROR(COUNTIFS(Tracker!G:G, "&lt;="&amp;Daily!C366, Tracker!L:L, "N") / AK366,  0)</f>
        <v>0.63565891472868219</v>
      </c>
    </row>
    <row r="367" spans="1:41" hidden="1" x14ac:dyDescent="0.25">
      <c r="A367" s="119"/>
      <c r="B367" s="32">
        <f t="shared" si="153"/>
        <v>45582</v>
      </c>
      <c r="C367" s="27">
        <f t="shared" si="170"/>
        <v>45582</v>
      </c>
      <c r="D367" s="109" t="b">
        <f t="shared" ca="1" si="152"/>
        <v>1</v>
      </c>
      <c r="E367" s="51">
        <f t="shared" si="154"/>
        <v>1</v>
      </c>
      <c r="F367" s="48">
        <f>COUNTIFS(Tracker!G:G,Daily!C367, Tracker!J:J,"Y")</f>
        <v>1</v>
      </c>
      <c r="G367" s="26">
        <f>COUNTIFS(Tracker!G:G,Daily!C367, Tracker!J:J,"Y (with hints)")</f>
        <v>0</v>
      </c>
      <c r="H367" s="33">
        <f>COUNTIFS(Tracker!G:G,Daily!C367, Tracker!J:J,"N")</f>
        <v>0</v>
      </c>
      <c r="I367" s="54">
        <f t="shared" si="155"/>
        <v>0</v>
      </c>
      <c r="J367" s="26">
        <f>COUNTIFS(Tracker!G:G,Daily!C367, Tracker!J:J,"Y",Tracker!E:E,1)</f>
        <v>0</v>
      </c>
      <c r="K367" s="26">
        <f>COUNTIFS(Tracker!G:G,Daily!C367, Tracker!J:J,"Y (with hints)",Tracker!E:E,1)</f>
        <v>0</v>
      </c>
      <c r="L367" s="33">
        <f>COUNTIFS(Tracker!G:G,Daily!C367, Tracker!J:J,"N",Tracker!E:E,1)</f>
        <v>0</v>
      </c>
      <c r="M367" s="54">
        <f t="shared" si="156"/>
        <v>1</v>
      </c>
      <c r="N367" s="26">
        <f>COUNTIFS(Tracker!G:G,Daily!C367, Tracker!J:J,"Y",Tracker!E:E,2)</f>
        <v>1</v>
      </c>
      <c r="O367" s="26">
        <f>COUNTIFS(Tracker!G:G,Daily!C367, Tracker!J:J,"Y (with hints)",Tracker!E:E,2)</f>
        <v>0</v>
      </c>
      <c r="P367" s="33">
        <f>COUNTIFS(Tracker!G:G,Daily!C367, Tracker!J:J,"N",Tracker!E:E,2)</f>
        <v>0</v>
      </c>
      <c r="Q367" s="57">
        <f t="shared" si="157"/>
        <v>0</v>
      </c>
      <c r="R367" s="26">
        <f>COUNTIFS(Tracker!G:G,Daily!C367, Tracker!J:J,"Y",Tracker!E:E,3)</f>
        <v>0</v>
      </c>
      <c r="S367" s="26">
        <f>COUNTIFS(Tracker!G:G,Daily!C367, Tracker!J:J,"Y (with hints)",Tracker!E:E,3)</f>
        <v>0</v>
      </c>
      <c r="T367" s="33">
        <f>COUNTIFS(Tracker!G:G,Daily!C367, Tracker!J:J,"N",Tracker!E:E,3)</f>
        <v>0</v>
      </c>
      <c r="V367" s="48">
        <f t="shared" si="158"/>
        <v>98</v>
      </c>
      <c r="W367" s="26">
        <f t="shared" si="159"/>
        <v>94</v>
      </c>
      <c r="X367" s="62">
        <f t="shared" si="160"/>
        <v>0.95918367346938771</v>
      </c>
      <c r="Y367" s="74">
        <f>AVERAGEIFS(Tracker!I:I, Tracker!E:E, 1, Tracker!G:G, "&lt;="&amp;Daily!C367, Tracker!J:J, "Y")</f>
        <v>12.425531914893616</v>
      </c>
      <c r="Z367" s="77">
        <f>COUNTIFS(Tracker!E:E, 1, Tracker!G:G, "&lt;="&amp;Daily!C367, Tracker!L:L, "N") / V367</f>
        <v>0.80612244897959184</v>
      </c>
      <c r="AA367" s="48">
        <f t="shared" si="161"/>
        <v>248</v>
      </c>
      <c r="AB367" s="26">
        <f t="shared" si="162"/>
        <v>198</v>
      </c>
      <c r="AC367" s="62">
        <f t="shared" si="163"/>
        <v>0.79838709677419351</v>
      </c>
      <c r="AD367" s="74">
        <f>AVERAGEIFS(Tracker!I:I, Tracker!E:E, 2, Tracker!G:G, "&lt;="&amp;Daily!C367, Tracker!J:J, "Y")</f>
        <v>25.994949494949495</v>
      </c>
      <c r="AE367" s="77">
        <f>COUNTIFS(Tracker!E:E, 2, Tracker!G:G, "&lt;="&amp;Daily!C367, Tracker!L:L, "N") / AA367</f>
        <v>0.61693548387096775</v>
      </c>
      <c r="AF367" s="48">
        <f t="shared" si="164"/>
        <v>42</v>
      </c>
      <c r="AG367" s="26">
        <f t="shared" si="165"/>
        <v>27</v>
      </c>
      <c r="AH367" s="62">
        <f t="shared" si="166"/>
        <v>0.6428571428571429</v>
      </c>
      <c r="AI367" s="74">
        <f>IFERROR(AVERAGEIFS(Tracker!I:I, Tracker!E:E, 3, Tracker!G:G, "&lt;="&amp;Daily!C367, Tracker!J:J, "Y"), 0)</f>
        <v>40.074074074074076</v>
      </c>
      <c r="AJ367" s="77">
        <f>IFERROR(COUNTIFS(Tracker!E:E, 3, Tracker!G:G, "&lt;="&amp;Daily!C367, Tracker!L:L, "N") / AF367,  0)</f>
        <v>0.35714285714285715</v>
      </c>
      <c r="AK367" s="48">
        <f t="shared" si="167"/>
        <v>388</v>
      </c>
      <c r="AL367" s="26">
        <f t="shared" si="168"/>
        <v>319</v>
      </c>
      <c r="AM367" s="62">
        <f t="shared" si="169"/>
        <v>0.82216494845360821</v>
      </c>
      <c r="AN367" s="74">
        <f>IFERROR(AVERAGEIFS(Tracker!I:I,  Tracker!G:G, "&lt;="&amp;Daily!C367, Tracker!J:J, "Y"), 0)</f>
        <v>23.188087774294672</v>
      </c>
      <c r="AO367" s="77">
        <f>IFERROR(COUNTIFS(Tracker!G:G, "&lt;="&amp;Daily!C367, Tracker!L:L, "N") / AK367,  0)</f>
        <v>0.63659793814432986</v>
      </c>
    </row>
    <row r="368" spans="1:41" hidden="1" x14ac:dyDescent="0.25">
      <c r="A368" s="119"/>
      <c r="B368" s="32">
        <f t="shared" si="153"/>
        <v>45583</v>
      </c>
      <c r="C368" s="27">
        <f t="shared" si="170"/>
        <v>45583</v>
      </c>
      <c r="D368" s="109" t="b">
        <f t="shared" ca="1" si="152"/>
        <v>1</v>
      </c>
      <c r="E368" s="51">
        <f t="shared" si="154"/>
        <v>0</v>
      </c>
      <c r="F368" s="48">
        <f>COUNTIFS(Tracker!G:G,Daily!C368, Tracker!J:J,"Y")</f>
        <v>0</v>
      </c>
      <c r="G368" s="26">
        <f>COUNTIFS(Tracker!G:G,Daily!C368, Tracker!J:J,"Y (with hints)")</f>
        <v>0</v>
      </c>
      <c r="H368" s="33">
        <f>COUNTIFS(Tracker!G:G,Daily!C368, Tracker!J:J,"N")</f>
        <v>0</v>
      </c>
      <c r="I368" s="54">
        <f t="shared" si="155"/>
        <v>0</v>
      </c>
      <c r="J368" s="26">
        <f>COUNTIFS(Tracker!G:G,Daily!C368, Tracker!J:J,"Y",Tracker!E:E,1)</f>
        <v>0</v>
      </c>
      <c r="K368" s="26">
        <f>COUNTIFS(Tracker!G:G,Daily!C368, Tracker!J:J,"Y (with hints)",Tracker!E:E,1)</f>
        <v>0</v>
      </c>
      <c r="L368" s="33">
        <f>COUNTIFS(Tracker!G:G,Daily!C368, Tracker!J:J,"N",Tracker!E:E,1)</f>
        <v>0</v>
      </c>
      <c r="M368" s="54">
        <f t="shared" si="156"/>
        <v>0</v>
      </c>
      <c r="N368" s="26">
        <f>COUNTIFS(Tracker!G:G,Daily!C368, Tracker!J:J,"Y",Tracker!E:E,2)</f>
        <v>0</v>
      </c>
      <c r="O368" s="26">
        <f>COUNTIFS(Tracker!G:G,Daily!C368, Tracker!J:J,"Y (with hints)",Tracker!E:E,2)</f>
        <v>0</v>
      </c>
      <c r="P368" s="33">
        <f>COUNTIFS(Tracker!G:G,Daily!C368, Tracker!J:J,"N",Tracker!E:E,2)</f>
        <v>0</v>
      </c>
      <c r="Q368" s="57">
        <f t="shared" si="157"/>
        <v>0</v>
      </c>
      <c r="R368" s="26">
        <f>COUNTIFS(Tracker!G:G,Daily!C368, Tracker!J:J,"Y",Tracker!E:E,3)</f>
        <v>0</v>
      </c>
      <c r="S368" s="26">
        <f>COUNTIFS(Tracker!G:G,Daily!C368, Tracker!J:J,"Y (with hints)",Tracker!E:E,3)</f>
        <v>0</v>
      </c>
      <c r="T368" s="33">
        <f>COUNTIFS(Tracker!G:G,Daily!C368, Tracker!J:J,"N",Tracker!E:E,3)</f>
        <v>0</v>
      </c>
      <c r="V368" s="48">
        <f t="shared" si="158"/>
        <v>98</v>
      </c>
      <c r="W368" s="26">
        <f t="shared" si="159"/>
        <v>94</v>
      </c>
      <c r="X368" s="62">
        <f t="shared" si="160"/>
        <v>0.95918367346938771</v>
      </c>
      <c r="Y368" s="74">
        <f>AVERAGEIFS(Tracker!I:I, Tracker!E:E, 1, Tracker!G:G, "&lt;="&amp;Daily!C368, Tracker!J:J, "Y")</f>
        <v>12.425531914893616</v>
      </c>
      <c r="Z368" s="77">
        <f>COUNTIFS(Tracker!E:E, 1, Tracker!G:G, "&lt;="&amp;Daily!C368, Tracker!L:L, "N") / V368</f>
        <v>0.80612244897959184</v>
      </c>
      <c r="AA368" s="48">
        <f t="shared" si="161"/>
        <v>248</v>
      </c>
      <c r="AB368" s="26">
        <f t="shared" si="162"/>
        <v>198</v>
      </c>
      <c r="AC368" s="62">
        <f t="shared" si="163"/>
        <v>0.79838709677419351</v>
      </c>
      <c r="AD368" s="74">
        <f>AVERAGEIFS(Tracker!I:I, Tracker!E:E, 2, Tracker!G:G, "&lt;="&amp;Daily!C368, Tracker!J:J, "Y")</f>
        <v>25.994949494949495</v>
      </c>
      <c r="AE368" s="77">
        <f>COUNTIFS(Tracker!E:E, 2, Tracker!G:G, "&lt;="&amp;Daily!C368, Tracker!L:L, "N") / AA368</f>
        <v>0.61693548387096775</v>
      </c>
      <c r="AF368" s="48">
        <f t="shared" si="164"/>
        <v>42</v>
      </c>
      <c r="AG368" s="26">
        <f t="shared" si="165"/>
        <v>27</v>
      </c>
      <c r="AH368" s="62">
        <f t="shared" si="166"/>
        <v>0.6428571428571429</v>
      </c>
      <c r="AI368" s="74">
        <f>IFERROR(AVERAGEIFS(Tracker!I:I, Tracker!E:E, 3, Tracker!G:G, "&lt;="&amp;Daily!C368, Tracker!J:J, "Y"), 0)</f>
        <v>40.074074074074076</v>
      </c>
      <c r="AJ368" s="77">
        <f>IFERROR(COUNTIFS(Tracker!E:E, 3, Tracker!G:G, "&lt;="&amp;Daily!C368, Tracker!L:L, "N") / AF368,  0)</f>
        <v>0.35714285714285715</v>
      </c>
      <c r="AK368" s="48">
        <f t="shared" si="167"/>
        <v>388</v>
      </c>
      <c r="AL368" s="26">
        <f t="shared" si="168"/>
        <v>319</v>
      </c>
      <c r="AM368" s="62">
        <f t="shared" si="169"/>
        <v>0.82216494845360821</v>
      </c>
      <c r="AN368" s="74">
        <f>IFERROR(AVERAGEIFS(Tracker!I:I,  Tracker!G:G, "&lt;="&amp;Daily!C368, Tracker!J:J, "Y"), 0)</f>
        <v>23.188087774294672</v>
      </c>
      <c r="AO368" s="77">
        <f>IFERROR(COUNTIFS(Tracker!G:G, "&lt;="&amp;Daily!C368, Tracker!L:L, "N") / AK368,  0)</f>
        <v>0.63659793814432986</v>
      </c>
    </row>
    <row r="369" spans="1:41" hidden="1" x14ac:dyDescent="0.25">
      <c r="A369" s="119"/>
      <c r="B369" s="32">
        <f t="shared" si="153"/>
        <v>45584</v>
      </c>
      <c r="C369" s="27">
        <f t="shared" si="170"/>
        <v>45584</v>
      </c>
      <c r="D369" s="109" t="b">
        <f t="shared" ca="1" si="152"/>
        <v>1</v>
      </c>
      <c r="E369" s="51">
        <f t="shared" si="154"/>
        <v>0</v>
      </c>
      <c r="F369" s="48">
        <f>COUNTIFS(Tracker!G:G,Daily!C369, Tracker!J:J,"Y")</f>
        <v>0</v>
      </c>
      <c r="G369" s="26">
        <f>COUNTIFS(Tracker!G:G,Daily!C369, Tracker!J:J,"Y (with hints)")</f>
        <v>0</v>
      </c>
      <c r="H369" s="33">
        <f>COUNTIFS(Tracker!G:G,Daily!C369, Tracker!J:J,"N")</f>
        <v>0</v>
      </c>
      <c r="I369" s="54">
        <f t="shared" si="155"/>
        <v>0</v>
      </c>
      <c r="J369" s="26">
        <f>COUNTIFS(Tracker!G:G,Daily!C369, Tracker!J:J,"Y",Tracker!E:E,1)</f>
        <v>0</v>
      </c>
      <c r="K369" s="26">
        <f>COUNTIFS(Tracker!G:G,Daily!C369, Tracker!J:J,"Y (with hints)",Tracker!E:E,1)</f>
        <v>0</v>
      </c>
      <c r="L369" s="33">
        <f>COUNTIFS(Tracker!G:G,Daily!C369, Tracker!J:J,"N",Tracker!E:E,1)</f>
        <v>0</v>
      </c>
      <c r="M369" s="54">
        <f t="shared" si="156"/>
        <v>0</v>
      </c>
      <c r="N369" s="26">
        <f>COUNTIFS(Tracker!G:G,Daily!C369, Tracker!J:J,"Y",Tracker!E:E,2)</f>
        <v>0</v>
      </c>
      <c r="O369" s="26">
        <f>COUNTIFS(Tracker!G:G,Daily!C369, Tracker!J:J,"Y (with hints)",Tracker!E:E,2)</f>
        <v>0</v>
      </c>
      <c r="P369" s="33">
        <f>COUNTIFS(Tracker!G:G,Daily!C369, Tracker!J:J,"N",Tracker!E:E,2)</f>
        <v>0</v>
      </c>
      <c r="Q369" s="57">
        <f t="shared" si="157"/>
        <v>0</v>
      </c>
      <c r="R369" s="26">
        <f>COUNTIFS(Tracker!G:G,Daily!C369, Tracker!J:J,"Y",Tracker!E:E,3)</f>
        <v>0</v>
      </c>
      <c r="S369" s="26">
        <f>COUNTIFS(Tracker!G:G,Daily!C369, Tracker!J:J,"Y (with hints)",Tracker!E:E,3)</f>
        <v>0</v>
      </c>
      <c r="T369" s="33">
        <f>COUNTIFS(Tracker!G:G,Daily!C369, Tracker!J:J,"N",Tracker!E:E,3)</f>
        <v>0</v>
      </c>
      <c r="V369" s="48">
        <f t="shared" si="158"/>
        <v>98</v>
      </c>
      <c r="W369" s="26">
        <f t="shared" si="159"/>
        <v>94</v>
      </c>
      <c r="X369" s="62">
        <f t="shared" si="160"/>
        <v>0.95918367346938771</v>
      </c>
      <c r="Y369" s="74">
        <f>AVERAGEIFS(Tracker!I:I, Tracker!E:E, 1, Tracker!G:G, "&lt;="&amp;Daily!C369, Tracker!J:J, "Y")</f>
        <v>12.425531914893616</v>
      </c>
      <c r="Z369" s="77">
        <f>COUNTIFS(Tracker!E:E, 1, Tracker!G:G, "&lt;="&amp;Daily!C369, Tracker!L:L, "N") / V369</f>
        <v>0.80612244897959184</v>
      </c>
      <c r="AA369" s="48">
        <f t="shared" si="161"/>
        <v>248</v>
      </c>
      <c r="AB369" s="26">
        <f t="shared" si="162"/>
        <v>198</v>
      </c>
      <c r="AC369" s="62">
        <f t="shared" si="163"/>
        <v>0.79838709677419351</v>
      </c>
      <c r="AD369" s="74">
        <f>AVERAGEIFS(Tracker!I:I, Tracker!E:E, 2, Tracker!G:G, "&lt;="&amp;Daily!C369, Tracker!J:J, "Y")</f>
        <v>25.994949494949495</v>
      </c>
      <c r="AE369" s="77">
        <f>COUNTIFS(Tracker!E:E, 2, Tracker!G:G, "&lt;="&amp;Daily!C369, Tracker!L:L, "N") / AA369</f>
        <v>0.61693548387096775</v>
      </c>
      <c r="AF369" s="48">
        <f t="shared" si="164"/>
        <v>42</v>
      </c>
      <c r="AG369" s="26">
        <f t="shared" si="165"/>
        <v>27</v>
      </c>
      <c r="AH369" s="62">
        <f t="shared" si="166"/>
        <v>0.6428571428571429</v>
      </c>
      <c r="AI369" s="74">
        <f>IFERROR(AVERAGEIFS(Tracker!I:I, Tracker!E:E, 3, Tracker!G:G, "&lt;="&amp;Daily!C369, Tracker!J:J, "Y"), 0)</f>
        <v>40.074074074074076</v>
      </c>
      <c r="AJ369" s="77">
        <f>IFERROR(COUNTIFS(Tracker!E:E, 3, Tracker!G:G, "&lt;="&amp;Daily!C369, Tracker!L:L, "N") / AF369,  0)</f>
        <v>0.35714285714285715</v>
      </c>
      <c r="AK369" s="48">
        <f t="shared" si="167"/>
        <v>388</v>
      </c>
      <c r="AL369" s="26">
        <f t="shared" si="168"/>
        <v>319</v>
      </c>
      <c r="AM369" s="62">
        <f t="shared" si="169"/>
        <v>0.82216494845360821</v>
      </c>
      <c r="AN369" s="74">
        <f>IFERROR(AVERAGEIFS(Tracker!I:I,  Tracker!G:G, "&lt;="&amp;Daily!C369, Tracker!J:J, "Y"), 0)</f>
        <v>23.188087774294672</v>
      </c>
      <c r="AO369" s="77">
        <f>IFERROR(COUNTIFS(Tracker!G:G, "&lt;="&amp;Daily!C369, Tracker!L:L, "N") / AK369,  0)</f>
        <v>0.63659793814432986</v>
      </c>
    </row>
    <row r="370" spans="1:41" ht="15.75" hidden="1" thickBot="1" x14ac:dyDescent="0.3">
      <c r="A370" s="120"/>
      <c r="B370" s="34">
        <f t="shared" si="153"/>
        <v>45585</v>
      </c>
      <c r="C370" s="35">
        <f t="shared" si="170"/>
        <v>45585</v>
      </c>
      <c r="D370" s="110" t="b">
        <f t="shared" ca="1" si="152"/>
        <v>1</v>
      </c>
      <c r="E370" s="52">
        <f t="shared" si="154"/>
        <v>0</v>
      </c>
      <c r="F370" s="39">
        <f>COUNTIFS(Tracker!G:G,Daily!C370, Tracker!J:J,"Y")</f>
        <v>0</v>
      </c>
      <c r="G370" s="36">
        <f>COUNTIFS(Tracker!G:G,Daily!C370, Tracker!J:J,"Y (with hints)")</f>
        <v>0</v>
      </c>
      <c r="H370" s="37">
        <f>COUNTIFS(Tracker!G:G,Daily!C370, Tracker!J:J,"N")</f>
        <v>0</v>
      </c>
      <c r="I370" s="55">
        <f t="shared" si="155"/>
        <v>0</v>
      </c>
      <c r="J370" s="36">
        <f>COUNTIFS(Tracker!G:G,Daily!C370, Tracker!J:J,"Y",Tracker!E:E,1)</f>
        <v>0</v>
      </c>
      <c r="K370" s="36">
        <f>COUNTIFS(Tracker!G:G,Daily!C370, Tracker!J:J,"Y (with hints)",Tracker!E:E,1)</f>
        <v>0</v>
      </c>
      <c r="L370" s="37">
        <f>COUNTIFS(Tracker!G:G,Daily!C370, Tracker!J:J,"N",Tracker!E:E,1)</f>
        <v>0</v>
      </c>
      <c r="M370" s="55">
        <f t="shared" si="156"/>
        <v>0</v>
      </c>
      <c r="N370" s="36">
        <f>COUNTIFS(Tracker!G:G,Daily!C370, Tracker!J:J,"Y",Tracker!E:E,2)</f>
        <v>0</v>
      </c>
      <c r="O370" s="36">
        <f>COUNTIFS(Tracker!G:G,Daily!C370, Tracker!J:J,"Y (with hints)",Tracker!E:E,2)</f>
        <v>0</v>
      </c>
      <c r="P370" s="37">
        <f>COUNTIFS(Tracker!G:G,Daily!C370, Tracker!J:J,"N",Tracker!E:E,2)</f>
        <v>0</v>
      </c>
      <c r="Q370" s="58">
        <f t="shared" si="157"/>
        <v>0</v>
      </c>
      <c r="R370" s="36">
        <f>COUNTIFS(Tracker!G:G,Daily!C370, Tracker!J:J,"Y",Tracker!E:E,3)</f>
        <v>0</v>
      </c>
      <c r="S370" s="36">
        <f>COUNTIFS(Tracker!G:G,Daily!C370, Tracker!J:J,"Y (with hints)",Tracker!E:E,3)</f>
        <v>0</v>
      </c>
      <c r="T370" s="37">
        <f>COUNTIFS(Tracker!G:G,Daily!C370, Tracker!J:J,"N",Tracker!E:E,3)</f>
        <v>0</v>
      </c>
      <c r="V370" s="39">
        <f t="shared" si="158"/>
        <v>98</v>
      </c>
      <c r="W370" s="36">
        <f t="shared" si="159"/>
        <v>94</v>
      </c>
      <c r="X370" s="64">
        <f t="shared" si="160"/>
        <v>0.95918367346938771</v>
      </c>
      <c r="Y370" s="78">
        <f>AVERAGEIFS(Tracker!I:I, Tracker!E:E, 1, Tracker!G:G, "&lt;="&amp;Daily!C370, Tracker!J:J, "Y")</f>
        <v>12.425531914893616</v>
      </c>
      <c r="Z370" s="79">
        <f>COUNTIFS(Tracker!E:E, 1, Tracker!G:G, "&lt;="&amp;Daily!C370, Tracker!L:L, "N") / V370</f>
        <v>0.80612244897959184</v>
      </c>
      <c r="AA370" s="39">
        <f t="shared" si="161"/>
        <v>248</v>
      </c>
      <c r="AB370" s="36">
        <f t="shared" si="162"/>
        <v>198</v>
      </c>
      <c r="AC370" s="64">
        <f t="shared" si="163"/>
        <v>0.79838709677419351</v>
      </c>
      <c r="AD370" s="78">
        <f>AVERAGEIFS(Tracker!I:I, Tracker!E:E, 2, Tracker!G:G, "&lt;="&amp;Daily!C370, Tracker!J:J, "Y")</f>
        <v>25.994949494949495</v>
      </c>
      <c r="AE370" s="79">
        <f>COUNTIFS(Tracker!E:E, 2, Tracker!G:G, "&lt;="&amp;Daily!C370, Tracker!L:L, "N") / AA370</f>
        <v>0.61693548387096775</v>
      </c>
      <c r="AF370" s="39">
        <f t="shared" si="164"/>
        <v>42</v>
      </c>
      <c r="AG370" s="36">
        <f t="shared" si="165"/>
        <v>27</v>
      </c>
      <c r="AH370" s="64">
        <f t="shared" si="166"/>
        <v>0.6428571428571429</v>
      </c>
      <c r="AI370" s="78">
        <f>IFERROR(AVERAGEIFS(Tracker!I:I, Tracker!E:E, 3, Tracker!G:G, "&lt;="&amp;Daily!C370, Tracker!J:J, "Y"), 0)</f>
        <v>40.074074074074076</v>
      </c>
      <c r="AJ370" s="79">
        <f>IFERROR(COUNTIFS(Tracker!E:E, 3, Tracker!G:G, "&lt;="&amp;Daily!C370, Tracker!L:L, "N") / AF370,  0)</f>
        <v>0.35714285714285715</v>
      </c>
      <c r="AK370" s="39">
        <f t="shared" si="167"/>
        <v>388</v>
      </c>
      <c r="AL370" s="36">
        <f t="shared" si="168"/>
        <v>319</v>
      </c>
      <c r="AM370" s="64">
        <f t="shared" si="169"/>
        <v>0.82216494845360821</v>
      </c>
      <c r="AN370" s="78">
        <f>IFERROR(AVERAGEIFS(Tracker!I:I,  Tracker!G:G, "&lt;="&amp;Daily!C370, Tracker!J:J, "Y"), 0)</f>
        <v>23.188087774294672</v>
      </c>
      <c r="AO370" s="79">
        <f>IFERROR(COUNTIFS(Tracker!G:G, "&lt;="&amp;Daily!C370, Tracker!L:L, "N") / AK370,  0)</f>
        <v>0.63659793814432986</v>
      </c>
    </row>
    <row r="371" spans="1:41" hidden="1" x14ac:dyDescent="0.25">
      <c r="A371" s="118">
        <f>A364+1</f>
        <v>53</v>
      </c>
      <c r="B371" s="28">
        <f t="shared" si="153"/>
        <v>45586</v>
      </c>
      <c r="C371" s="29">
        <f t="shared" si="170"/>
        <v>45586</v>
      </c>
      <c r="D371" s="108" t="b">
        <f t="shared" ca="1" si="152"/>
        <v>1</v>
      </c>
      <c r="E371" s="50">
        <f t="shared" si="154"/>
        <v>0</v>
      </c>
      <c r="F371" s="38">
        <f>COUNTIFS(Tracker!G:G,Daily!C371, Tracker!J:J,"Y")</f>
        <v>0</v>
      </c>
      <c r="G371" s="30">
        <f>COUNTIFS(Tracker!G:G,Daily!C371, Tracker!J:J,"Y (with hints)")</f>
        <v>0</v>
      </c>
      <c r="H371" s="31">
        <f>COUNTIFS(Tracker!G:G,Daily!C371, Tracker!J:J,"N")</f>
        <v>0</v>
      </c>
      <c r="I371" s="53">
        <f t="shared" si="155"/>
        <v>0</v>
      </c>
      <c r="J371" s="30">
        <f>COUNTIFS(Tracker!G:G,Daily!C371, Tracker!J:J,"Y",Tracker!E:E,1)</f>
        <v>0</v>
      </c>
      <c r="K371" s="30">
        <f>COUNTIFS(Tracker!G:G,Daily!C371, Tracker!J:J,"Y (with hints)",Tracker!E:E,1)</f>
        <v>0</v>
      </c>
      <c r="L371" s="31">
        <f>COUNTIFS(Tracker!G:G,Daily!C371, Tracker!J:J,"N",Tracker!E:E,1)</f>
        <v>0</v>
      </c>
      <c r="M371" s="53">
        <f t="shared" si="156"/>
        <v>0</v>
      </c>
      <c r="N371" s="30">
        <f>COUNTIFS(Tracker!G:G,Daily!C371, Tracker!J:J,"Y",Tracker!E:E,2)</f>
        <v>0</v>
      </c>
      <c r="O371" s="30">
        <f>COUNTIFS(Tracker!G:G,Daily!C371, Tracker!J:J,"Y (with hints)",Tracker!E:E,2)</f>
        <v>0</v>
      </c>
      <c r="P371" s="31">
        <f>COUNTIFS(Tracker!G:G,Daily!C371, Tracker!J:J,"N",Tracker!E:E,2)</f>
        <v>0</v>
      </c>
      <c r="Q371" s="56">
        <f t="shared" si="157"/>
        <v>0</v>
      </c>
      <c r="R371" s="30">
        <f>COUNTIFS(Tracker!G:G,Daily!C371, Tracker!J:J,"Y",Tracker!E:E,3)</f>
        <v>0</v>
      </c>
      <c r="S371" s="30">
        <f>COUNTIFS(Tracker!G:G,Daily!C371, Tracker!J:J,"Y (with hints)",Tracker!E:E,3)</f>
        <v>0</v>
      </c>
      <c r="T371" s="31">
        <f>COUNTIFS(Tracker!G:G,Daily!C371, Tracker!J:J,"N",Tracker!E:E,3)</f>
        <v>0</v>
      </c>
      <c r="V371" s="38">
        <f t="shared" si="158"/>
        <v>98</v>
      </c>
      <c r="W371" s="30">
        <f t="shared" si="159"/>
        <v>94</v>
      </c>
      <c r="X371" s="73">
        <f t="shared" si="160"/>
        <v>0.95918367346938771</v>
      </c>
      <c r="Y371" s="75">
        <f>AVERAGEIFS(Tracker!I:I, Tracker!E:E, 1, Tracker!G:G, "&lt;="&amp;Daily!C371, Tracker!J:J, "Y")</f>
        <v>12.425531914893616</v>
      </c>
      <c r="Z371" s="76">
        <f>COUNTIFS(Tracker!E:E, 1, Tracker!G:G, "&lt;="&amp;Daily!C371, Tracker!L:L, "N") / V371</f>
        <v>0.80612244897959184</v>
      </c>
      <c r="AA371" s="38">
        <f t="shared" si="161"/>
        <v>248</v>
      </c>
      <c r="AB371" s="30">
        <f t="shared" si="162"/>
        <v>198</v>
      </c>
      <c r="AC371" s="73">
        <f t="shared" si="163"/>
        <v>0.79838709677419351</v>
      </c>
      <c r="AD371" s="75">
        <f>AVERAGEIFS(Tracker!I:I, Tracker!E:E, 2, Tracker!G:G, "&lt;="&amp;Daily!C371, Tracker!J:J, "Y")</f>
        <v>25.994949494949495</v>
      </c>
      <c r="AE371" s="76">
        <f>COUNTIFS(Tracker!E:E, 2, Tracker!G:G, "&lt;="&amp;Daily!C371, Tracker!L:L, "N") / AA371</f>
        <v>0.61693548387096775</v>
      </c>
      <c r="AF371" s="38">
        <f t="shared" si="164"/>
        <v>42</v>
      </c>
      <c r="AG371" s="30">
        <f t="shared" si="165"/>
        <v>27</v>
      </c>
      <c r="AH371" s="73">
        <f t="shared" si="166"/>
        <v>0.6428571428571429</v>
      </c>
      <c r="AI371" s="75">
        <f>IFERROR(AVERAGEIFS(Tracker!I:I, Tracker!E:E, 3, Tracker!G:G, "&lt;="&amp;Daily!C371, Tracker!J:J, "Y"), 0)</f>
        <v>40.074074074074076</v>
      </c>
      <c r="AJ371" s="76">
        <f>IFERROR(COUNTIFS(Tracker!E:E, 3, Tracker!G:G, "&lt;="&amp;Daily!C371, Tracker!L:L, "N") / AF371,  0)</f>
        <v>0.35714285714285715</v>
      </c>
      <c r="AK371" s="38">
        <f t="shared" si="167"/>
        <v>388</v>
      </c>
      <c r="AL371" s="30">
        <f t="shared" si="168"/>
        <v>319</v>
      </c>
      <c r="AM371" s="73">
        <f t="shared" si="169"/>
        <v>0.82216494845360821</v>
      </c>
      <c r="AN371" s="75">
        <f>IFERROR(AVERAGEIFS(Tracker!I:I,  Tracker!G:G, "&lt;="&amp;Daily!C371, Tracker!J:J, "Y"), 0)</f>
        <v>23.188087774294672</v>
      </c>
      <c r="AO371" s="76">
        <f>IFERROR(COUNTIFS(Tracker!G:G, "&lt;="&amp;Daily!C371, Tracker!L:L, "N") / AK371,  0)</f>
        <v>0.63659793814432986</v>
      </c>
    </row>
    <row r="372" spans="1:41" hidden="1" x14ac:dyDescent="0.25">
      <c r="A372" s="119"/>
      <c r="B372" s="32">
        <f t="shared" si="153"/>
        <v>45587</v>
      </c>
      <c r="C372" s="27">
        <f t="shared" si="170"/>
        <v>45587</v>
      </c>
      <c r="D372" s="109" t="b">
        <f t="shared" ca="1" si="152"/>
        <v>1</v>
      </c>
      <c r="E372" s="51">
        <f t="shared" si="154"/>
        <v>0</v>
      </c>
      <c r="F372" s="48">
        <f>COUNTIFS(Tracker!G:G,Daily!C372, Tracker!J:J,"Y")</f>
        <v>0</v>
      </c>
      <c r="G372" s="26">
        <f>COUNTIFS(Tracker!G:G,Daily!C372, Tracker!J:J,"Y (with hints)")</f>
        <v>0</v>
      </c>
      <c r="H372" s="33">
        <f>COUNTIFS(Tracker!G:G,Daily!C372, Tracker!J:J,"N")</f>
        <v>0</v>
      </c>
      <c r="I372" s="54">
        <f t="shared" si="155"/>
        <v>0</v>
      </c>
      <c r="J372" s="26">
        <f>COUNTIFS(Tracker!G:G,Daily!C372, Tracker!J:J,"Y",Tracker!E:E,1)</f>
        <v>0</v>
      </c>
      <c r="K372" s="26">
        <f>COUNTIFS(Tracker!G:G,Daily!C372, Tracker!J:J,"Y (with hints)",Tracker!E:E,1)</f>
        <v>0</v>
      </c>
      <c r="L372" s="33">
        <f>COUNTIFS(Tracker!G:G,Daily!C372, Tracker!J:J,"N",Tracker!E:E,1)</f>
        <v>0</v>
      </c>
      <c r="M372" s="54">
        <f t="shared" si="156"/>
        <v>0</v>
      </c>
      <c r="N372" s="26">
        <f>COUNTIFS(Tracker!G:G,Daily!C372, Tracker!J:J,"Y",Tracker!E:E,2)</f>
        <v>0</v>
      </c>
      <c r="O372" s="26">
        <f>COUNTIFS(Tracker!G:G,Daily!C372, Tracker!J:J,"Y (with hints)",Tracker!E:E,2)</f>
        <v>0</v>
      </c>
      <c r="P372" s="33">
        <f>COUNTIFS(Tracker!G:G,Daily!C372, Tracker!J:J,"N",Tracker!E:E,2)</f>
        <v>0</v>
      </c>
      <c r="Q372" s="57">
        <f t="shared" si="157"/>
        <v>0</v>
      </c>
      <c r="R372" s="26">
        <f>COUNTIFS(Tracker!G:G,Daily!C372, Tracker!J:J,"Y",Tracker!E:E,3)</f>
        <v>0</v>
      </c>
      <c r="S372" s="26">
        <f>COUNTIFS(Tracker!G:G,Daily!C372, Tracker!J:J,"Y (with hints)",Tracker!E:E,3)</f>
        <v>0</v>
      </c>
      <c r="T372" s="33">
        <f>COUNTIFS(Tracker!G:G,Daily!C372, Tracker!J:J,"N",Tracker!E:E,3)</f>
        <v>0</v>
      </c>
      <c r="V372" s="48">
        <f t="shared" si="158"/>
        <v>98</v>
      </c>
      <c r="W372" s="26">
        <f t="shared" si="159"/>
        <v>94</v>
      </c>
      <c r="X372" s="62">
        <f t="shared" si="160"/>
        <v>0.95918367346938771</v>
      </c>
      <c r="Y372" s="74">
        <f>AVERAGEIFS(Tracker!I:I, Tracker!E:E, 1, Tracker!G:G, "&lt;="&amp;Daily!C372, Tracker!J:J, "Y")</f>
        <v>12.425531914893616</v>
      </c>
      <c r="Z372" s="77">
        <f>COUNTIFS(Tracker!E:E, 1, Tracker!G:G, "&lt;="&amp;Daily!C372, Tracker!L:L, "N") / V372</f>
        <v>0.80612244897959184</v>
      </c>
      <c r="AA372" s="48">
        <f t="shared" si="161"/>
        <v>248</v>
      </c>
      <c r="AB372" s="26">
        <f t="shared" si="162"/>
        <v>198</v>
      </c>
      <c r="AC372" s="62">
        <f t="shared" si="163"/>
        <v>0.79838709677419351</v>
      </c>
      <c r="AD372" s="74">
        <f>AVERAGEIFS(Tracker!I:I, Tracker!E:E, 2, Tracker!G:G, "&lt;="&amp;Daily!C372, Tracker!J:J, "Y")</f>
        <v>25.994949494949495</v>
      </c>
      <c r="AE372" s="77">
        <f>COUNTIFS(Tracker!E:E, 2, Tracker!G:G, "&lt;="&amp;Daily!C372, Tracker!L:L, "N") / AA372</f>
        <v>0.61693548387096775</v>
      </c>
      <c r="AF372" s="48">
        <f t="shared" si="164"/>
        <v>42</v>
      </c>
      <c r="AG372" s="26">
        <f t="shared" si="165"/>
        <v>27</v>
      </c>
      <c r="AH372" s="62">
        <f t="shared" si="166"/>
        <v>0.6428571428571429</v>
      </c>
      <c r="AI372" s="74">
        <f>IFERROR(AVERAGEIFS(Tracker!I:I, Tracker!E:E, 3, Tracker!G:G, "&lt;="&amp;Daily!C372, Tracker!J:J, "Y"), 0)</f>
        <v>40.074074074074076</v>
      </c>
      <c r="AJ372" s="77">
        <f>IFERROR(COUNTIFS(Tracker!E:E, 3, Tracker!G:G, "&lt;="&amp;Daily!C372, Tracker!L:L, "N") / AF372,  0)</f>
        <v>0.35714285714285715</v>
      </c>
      <c r="AK372" s="48">
        <f t="shared" si="167"/>
        <v>388</v>
      </c>
      <c r="AL372" s="26">
        <f t="shared" si="168"/>
        <v>319</v>
      </c>
      <c r="AM372" s="62">
        <f t="shared" si="169"/>
        <v>0.82216494845360821</v>
      </c>
      <c r="AN372" s="74">
        <f>IFERROR(AVERAGEIFS(Tracker!I:I,  Tracker!G:G, "&lt;="&amp;Daily!C372, Tracker!J:J, "Y"), 0)</f>
        <v>23.188087774294672</v>
      </c>
      <c r="AO372" s="77">
        <f>IFERROR(COUNTIFS(Tracker!G:G, "&lt;="&amp;Daily!C372, Tracker!L:L, "N") / AK372,  0)</f>
        <v>0.63659793814432986</v>
      </c>
    </row>
    <row r="373" spans="1:41" hidden="1" x14ac:dyDescent="0.25">
      <c r="A373" s="119"/>
      <c r="B373" s="32">
        <f t="shared" si="153"/>
        <v>45588</v>
      </c>
      <c r="C373" s="27">
        <f t="shared" si="170"/>
        <v>45588</v>
      </c>
      <c r="D373" s="109" t="b">
        <f t="shared" ca="1" si="152"/>
        <v>1</v>
      </c>
      <c r="E373" s="51">
        <f t="shared" si="154"/>
        <v>0</v>
      </c>
      <c r="F373" s="48">
        <f>COUNTIFS(Tracker!G:G,Daily!C373, Tracker!J:J,"Y")</f>
        <v>0</v>
      </c>
      <c r="G373" s="26">
        <f>COUNTIFS(Tracker!G:G,Daily!C373, Tracker!J:J,"Y (with hints)")</f>
        <v>0</v>
      </c>
      <c r="H373" s="33">
        <f>COUNTIFS(Tracker!G:G,Daily!C373, Tracker!J:J,"N")</f>
        <v>0</v>
      </c>
      <c r="I373" s="54">
        <f t="shared" si="155"/>
        <v>0</v>
      </c>
      <c r="J373" s="26">
        <f>COUNTIFS(Tracker!G:G,Daily!C373, Tracker!J:J,"Y",Tracker!E:E,1)</f>
        <v>0</v>
      </c>
      <c r="K373" s="26">
        <f>COUNTIFS(Tracker!G:G,Daily!C373, Tracker!J:J,"Y (with hints)",Tracker!E:E,1)</f>
        <v>0</v>
      </c>
      <c r="L373" s="33">
        <f>COUNTIFS(Tracker!G:G,Daily!C373, Tracker!J:J,"N",Tracker!E:E,1)</f>
        <v>0</v>
      </c>
      <c r="M373" s="54">
        <f t="shared" si="156"/>
        <v>0</v>
      </c>
      <c r="N373" s="26">
        <f>COUNTIFS(Tracker!G:G,Daily!C373, Tracker!J:J,"Y",Tracker!E:E,2)</f>
        <v>0</v>
      </c>
      <c r="O373" s="26">
        <f>COUNTIFS(Tracker!G:G,Daily!C373, Tracker!J:J,"Y (with hints)",Tracker!E:E,2)</f>
        <v>0</v>
      </c>
      <c r="P373" s="33">
        <f>COUNTIFS(Tracker!G:G,Daily!C373, Tracker!J:J,"N",Tracker!E:E,2)</f>
        <v>0</v>
      </c>
      <c r="Q373" s="57">
        <f t="shared" si="157"/>
        <v>0</v>
      </c>
      <c r="R373" s="26">
        <f>COUNTIFS(Tracker!G:G,Daily!C373, Tracker!J:J,"Y",Tracker!E:E,3)</f>
        <v>0</v>
      </c>
      <c r="S373" s="26">
        <f>COUNTIFS(Tracker!G:G,Daily!C373, Tracker!J:J,"Y (with hints)",Tracker!E:E,3)</f>
        <v>0</v>
      </c>
      <c r="T373" s="33">
        <f>COUNTIFS(Tracker!G:G,Daily!C373, Tracker!J:J,"N",Tracker!E:E,3)</f>
        <v>0</v>
      </c>
      <c r="V373" s="48">
        <f t="shared" si="158"/>
        <v>98</v>
      </c>
      <c r="W373" s="26">
        <f t="shared" si="159"/>
        <v>94</v>
      </c>
      <c r="X373" s="62">
        <f t="shared" si="160"/>
        <v>0.95918367346938771</v>
      </c>
      <c r="Y373" s="74">
        <f>AVERAGEIFS(Tracker!I:I, Tracker!E:E, 1, Tracker!G:G, "&lt;="&amp;Daily!C373, Tracker!J:J, "Y")</f>
        <v>12.425531914893616</v>
      </c>
      <c r="Z373" s="77">
        <f>COUNTIFS(Tracker!E:E, 1, Tracker!G:G, "&lt;="&amp;Daily!C373, Tracker!L:L, "N") / V373</f>
        <v>0.80612244897959184</v>
      </c>
      <c r="AA373" s="48">
        <f t="shared" si="161"/>
        <v>248</v>
      </c>
      <c r="AB373" s="26">
        <f t="shared" si="162"/>
        <v>198</v>
      </c>
      <c r="AC373" s="62">
        <f t="shared" si="163"/>
        <v>0.79838709677419351</v>
      </c>
      <c r="AD373" s="74">
        <f>AVERAGEIFS(Tracker!I:I, Tracker!E:E, 2, Tracker!G:G, "&lt;="&amp;Daily!C373, Tracker!J:J, "Y")</f>
        <v>25.994949494949495</v>
      </c>
      <c r="AE373" s="77">
        <f>COUNTIFS(Tracker!E:E, 2, Tracker!G:G, "&lt;="&amp;Daily!C373, Tracker!L:L, "N") / AA373</f>
        <v>0.61693548387096775</v>
      </c>
      <c r="AF373" s="48">
        <f t="shared" si="164"/>
        <v>42</v>
      </c>
      <c r="AG373" s="26">
        <f t="shared" si="165"/>
        <v>27</v>
      </c>
      <c r="AH373" s="62">
        <f t="shared" si="166"/>
        <v>0.6428571428571429</v>
      </c>
      <c r="AI373" s="74">
        <f>IFERROR(AVERAGEIFS(Tracker!I:I, Tracker!E:E, 3, Tracker!G:G, "&lt;="&amp;Daily!C373, Tracker!J:J, "Y"), 0)</f>
        <v>40.074074074074076</v>
      </c>
      <c r="AJ373" s="77">
        <f>IFERROR(COUNTIFS(Tracker!E:E, 3, Tracker!G:G, "&lt;="&amp;Daily!C373, Tracker!L:L, "N") / AF373,  0)</f>
        <v>0.35714285714285715</v>
      </c>
      <c r="AK373" s="48">
        <f t="shared" si="167"/>
        <v>388</v>
      </c>
      <c r="AL373" s="26">
        <f t="shared" si="168"/>
        <v>319</v>
      </c>
      <c r="AM373" s="62">
        <f t="shared" si="169"/>
        <v>0.82216494845360821</v>
      </c>
      <c r="AN373" s="74">
        <f>IFERROR(AVERAGEIFS(Tracker!I:I,  Tracker!G:G, "&lt;="&amp;Daily!C373, Tracker!J:J, "Y"), 0)</f>
        <v>23.188087774294672</v>
      </c>
      <c r="AO373" s="77">
        <f>IFERROR(COUNTIFS(Tracker!G:G, "&lt;="&amp;Daily!C373, Tracker!L:L, "N") / AK373,  0)</f>
        <v>0.63659793814432986</v>
      </c>
    </row>
    <row r="374" spans="1:41" hidden="1" x14ac:dyDescent="0.25">
      <c r="A374" s="119"/>
      <c r="B374" s="32">
        <f t="shared" si="153"/>
        <v>45589</v>
      </c>
      <c r="C374" s="27">
        <f t="shared" si="170"/>
        <v>45589</v>
      </c>
      <c r="D374" s="109" t="b">
        <f t="shared" ca="1" si="152"/>
        <v>1</v>
      </c>
      <c r="E374" s="51">
        <f t="shared" si="154"/>
        <v>0</v>
      </c>
      <c r="F374" s="48">
        <f>COUNTIFS(Tracker!G:G,Daily!C374, Tracker!J:J,"Y")</f>
        <v>0</v>
      </c>
      <c r="G374" s="26">
        <f>COUNTIFS(Tracker!G:G,Daily!C374, Tracker!J:J,"Y (with hints)")</f>
        <v>0</v>
      </c>
      <c r="H374" s="33">
        <f>COUNTIFS(Tracker!G:G,Daily!C374, Tracker!J:J,"N")</f>
        <v>0</v>
      </c>
      <c r="I374" s="54">
        <f t="shared" si="155"/>
        <v>0</v>
      </c>
      <c r="J374" s="26">
        <f>COUNTIFS(Tracker!G:G,Daily!C374, Tracker!J:J,"Y",Tracker!E:E,1)</f>
        <v>0</v>
      </c>
      <c r="K374" s="26">
        <f>COUNTIFS(Tracker!G:G,Daily!C374, Tracker!J:J,"Y (with hints)",Tracker!E:E,1)</f>
        <v>0</v>
      </c>
      <c r="L374" s="33">
        <f>COUNTIFS(Tracker!G:G,Daily!C374, Tracker!J:J,"N",Tracker!E:E,1)</f>
        <v>0</v>
      </c>
      <c r="M374" s="54">
        <f t="shared" si="156"/>
        <v>0</v>
      </c>
      <c r="N374" s="26">
        <f>COUNTIFS(Tracker!G:G,Daily!C374, Tracker!J:J,"Y",Tracker!E:E,2)</f>
        <v>0</v>
      </c>
      <c r="O374" s="26">
        <f>COUNTIFS(Tracker!G:G,Daily!C374, Tracker!J:J,"Y (with hints)",Tracker!E:E,2)</f>
        <v>0</v>
      </c>
      <c r="P374" s="33">
        <f>COUNTIFS(Tracker!G:G,Daily!C374, Tracker!J:J,"N",Tracker!E:E,2)</f>
        <v>0</v>
      </c>
      <c r="Q374" s="57">
        <f t="shared" si="157"/>
        <v>0</v>
      </c>
      <c r="R374" s="26">
        <f>COUNTIFS(Tracker!G:G,Daily!C374, Tracker!J:J,"Y",Tracker!E:E,3)</f>
        <v>0</v>
      </c>
      <c r="S374" s="26">
        <f>COUNTIFS(Tracker!G:G,Daily!C374, Tracker!J:J,"Y (with hints)",Tracker!E:E,3)</f>
        <v>0</v>
      </c>
      <c r="T374" s="33">
        <f>COUNTIFS(Tracker!G:G,Daily!C374, Tracker!J:J,"N",Tracker!E:E,3)</f>
        <v>0</v>
      </c>
      <c r="V374" s="48">
        <f t="shared" si="158"/>
        <v>98</v>
      </c>
      <c r="W374" s="26">
        <f t="shared" si="159"/>
        <v>94</v>
      </c>
      <c r="X374" s="62">
        <f t="shared" si="160"/>
        <v>0.95918367346938771</v>
      </c>
      <c r="Y374" s="74">
        <f>AVERAGEIFS(Tracker!I:I, Tracker!E:E, 1, Tracker!G:G, "&lt;="&amp;Daily!C374, Tracker!J:J, "Y")</f>
        <v>12.425531914893616</v>
      </c>
      <c r="Z374" s="77">
        <f>COUNTIFS(Tracker!E:E, 1, Tracker!G:G, "&lt;="&amp;Daily!C374, Tracker!L:L, "N") / V374</f>
        <v>0.80612244897959184</v>
      </c>
      <c r="AA374" s="48">
        <f t="shared" si="161"/>
        <v>248</v>
      </c>
      <c r="AB374" s="26">
        <f t="shared" si="162"/>
        <v>198</v>
      </c>
      <c r="AC374" s="62">
        <f t="shared" si="163"/>
        <v>0.79838709677419351</v>
      </c>
      <c r="AD374" s="74">
        <f>AVERAGEIFS(Tracker!I:I, Tracker!E:E, 2, Tracker!G:G, "&lt;="&amp;Daily!C374, Tracker!J:J, "Y")</f>
        <v>25.994949494949495</v>
      </c>
      <c r="AE374" s="77">
        <f>COUNTIFS(Tracker!E:E, 2, Tracker!G:G, "&lt;="&amp;Daily!C374, Tracker!L:L, "N") / AA374</f>
        <v>0.61693548387096775</v>
      </c>
      <c r="AF374" s="48">
        <f t="shared" si="164"/>
        <v>42</v>
      </c>
      <c r="AG374" s="26">
        <f t="shared" si="165"/>
        <v>27</v>
      </c>
      <c r="AH374" s="62">
        <f t="shared" si="166"/>
        <v>0.6428571428571429</v>
      </c>
      <c r="AI374" s="74">
        <f>IFERROR(AVERAGEIFS(Tracker!I:I, Tracker!E:E, 3, Tracker!G:G, "&lt;="&amp;Daily!C374, Tracker!J:J, "Y"), 0)</f>
        <v>40.074074074074076</v>
      </c>
      <c r="AJ374" s="77">
        <f>IFERROR(COUNTIFS(Tracker!E:E, 3, Tracker!G:G, "&lt;="&amp;Daily!C374, Tracker!L:L, "N") / AF374,  0)</f>
        <v>0.35714285714285715</v>
      </c>
      <c r="AK374" s="48">
        <f t="shared" si="167"/>
        <v>388</v>
      </c>
      <c r="AL374" s="26">
        <f t="shared" si="168"/>
        <v>319</v>
      </c>
      <c r="AM374" s="62">
        <f t="shared" si="169"/>
        <v>0.82216494845360821</v>
      </c>
      <c r="AN374" s="74">
        <f>IFERROR(AVERAGEIFS(Tracker!I:I,  Tracker!G:G, "&lt;="&amp;Daily!C374, Tracker!J:J, "Y"), 0)</f>
        <v>23.188087774294672</v>
      </c>
      <c r="AO374" s="77">
        <f>IFERROR(COUNTIFS(Tracker!G:G, "&lt;="&amp;Daily!C374, Tracker!L:L, "N") / AK374,  0)</f>
        <v>0.63659793814432986</v>
      </c>
    </row>
    <row r="375" spans="1:41" hidden="1" x14ac:dyDescent="0.25">
      <c r="A375" s="119"/>
      <c r="B375" s="32">
        <f t="shared" si="153"/>
        <v>45590</v>
      </c>
      <c r="C375" s="27">
        <f t="shared" si="170"/>
        <v>45590</v>
      </c>
      <c r="D375" s="109" t="b">
        <f t="shared" ca="1" si="152"/>
        <v>1</v>
      </c>
      <c r="E375" s="51">
        <f t="shared" si="154"/>
        <v>0</v>
      </c>
      <c r="F375" s="48">
        <f>COUNTIFS(Tracker!G:G,Daily!C375, Tracker!J:J,"Y")</f>
        <v>0</v>
      </c>
      <c r="G375" s="26">
        <f>COUNTIFS(Tracker!G:G,Daily!C375, Tracker!J:J,"Y (with hints)")</f>
        <v>0</v>
      </c>
      <c r="H375" s="33">
        <f>COUNTIFS(Tracker!G:G,Daily!C375, Tracker!J:J,"N")</f>
        <v>0</v>
      </c>
      <c r="I375" s="54">
        <f t="shared" si="155"/>
        <v>0</v>
      </c>
      <c r="J375" s="26">
        <f>COUNTIFS(Tracker!G:G,Daily!C375, Tracker!J:J,"Y",Tracker!E:E,1)</f>
        <v>0</v>
      </c>
      <c r="K375" s="26">
        <f>COUNTIFS(Tracker!G:G,Daily!C375, Tracker!J:J,"Y (with hints)",Tracker!E:E,1)</f>
        <v>0</v>
      </c>
      <c r="L375" s="33">
        <f>COUNTIFS(Tracker!G:G,Daily!C375, Tracker!J:J,"N",Tracker!E:E,1)</f>
        <v>0</v>
      </c>
      <c r="M375" s="54">
        <f t="shared" si="156"/>
        <v>0</v>
      </c>
      <c r="N375" s="26">
        <f>COUNTIFS(Tracker!G:G,Daily!C375, Tracker!J:J,"Y",Tracker!E:E,2)</f>
        <v>0</v>
      </c>
      <c r="O375" s="26">
        <f>COUNTIFS(Tracker!G:G,Daily!C375, Tracker!J:J,"Y (with hints)",Tracker!E:E,2)</f>
        <v>0</v>
      </c>
      <c r="P375" s="33">
        <f>COUNTIFS(Tracker!G:G,Daily!C375, Tracker!J:J,"N",Tracker!E:E,2)</f>
        <v>0</v>
      </c>
      <c r="Q375" s="57">
        <f t="shared" si="157"/>
        <v>0</v>
      </c>
      <c r="R375" s="26">
        <f>COUNTIFS(Tracker!G:G,Daily!C375, Tracker!J:J,"Y",Tracker!E:E,3)</f>
        <v>0</v>
      </c>
      <c r="S375" s="26">
        <f>COUNTIFS(Tracker!G:G,Daily!C375, Tracker!J:J,"Y (with hints)",Tracker!E:E,3)</f>
        <v>0</v>
      </c>
      <c r="T375" s="33">
        <f>COUNTIFS(Tracker!G:G,Daily!C375, Tracker!J:J,"N",Tracker!E:E,3)</f>
        <v>0</v>
      </c>
      <c r="V375" s="48">
        <f t="shared" si="158"/>
        <v>98</v>
      </c>
      <c r="W375" s="26">
        <f t="shared" si="159"/>
        <v>94</v>
      </c>
      <c r="X375" s="62">
        <f t="shared" si="160"/>
        <v>0.95918367346938771</v>
      </c>
      <c r="Y375" s="74">
        <f>AVERAGEIFS(Tracker!I:I, Tracker!E:E, 1, Tracker!G:G, "&lt;="&amp;Daily!C375, Tracker!J:J, "Y")</f>
        <v>12.425531914893616</v>
      </c>
      <c r="Z375" s="77">
        <f>COUNTIFS(Tracker!E:E, 1, Tracker!G:G, "&lt;="&amp;Daily!C375, Tracker!L:L, "N") / V375</f>
        <v>0.80612244897959184</v>
      </c>
      <c r="AA375" s="48">
        <f t="shared" si="161"/>
        <v>248</v>
      </c>
      <c r="AB375" s="26">
        <f t="shared" si="162"/>
        <v>198</v>
      </c>
      <c r="AC375" s="62">
        <f t="shared" si="163"/>
        <v>0.79838709677419351</v>
      </c>
      <c r="AD375" s="74">
        <f>AVERAGEIFS(Tracker!I:I, Tracker!E:E, 2, Tracker!G:G, "&lt;="&amp;Daily!C375, Tracker!J:J, "Y")</f>
        <v>25.994949494949495</v>
      </c>
      <c r="AE375" s="77">
        <f>COUNTIFS(Tracker!E:E, 2, Tracker!G:G, "&lt;="&amp;Daily!C375, Tracker!L:L, "N") / AA375</f>
        <v>0.61693548387096775</v>
      </c>
      <c r="AF375" s="48">
        <f t="shared" si="164"/>
        <v>42</v>
      </c>
      <c r="AG375" s="26">
        <f t="shared" si="165"/>
        <v>27</v>
      </c>
      <c r="AH375" s="62">
        <f t="shared" si="166"/>
        <v>0.6428571428571429</v>
      </c>
      <c r="AI375" s="74">
        <f>IFERROR(AVERAGEIFS(Tracker!I:I, Tracker!E:E, 3, Tracker!G:G, "&lt;="&amp;Daily!C375, Tracker!J:J, "Y"), 0)</f>
        <v>40.074074074074076</v>
      </c>
      <c r="AJ375" s="77">
        <f>IFERROR(COUNTIFS(Tracker!E:E, 3, Tracker!G:G, "&lt;="&amp;Daily!C375, Tracker!L:L, "N") / AF375,  0)</f>
        <v>0.35714285714285715</v>
      </c>
      <c r="AK375" s="48">
        <f t="shared" si="167"/>
        <v>388</v>
      </c>
      <c r="AL375" s="26">
        <f t="shared" si="168"/>
        <v>319</v>
      </c>
      <c r="AM375" s="62">
        <f t="shared" si="169"/>
        <v>0.82216494845360821</v>
      </c>
      <c r="AN375" s="74">
        <f>IFERROR(AVERAGEIFS(Tracker!I:I,  Tracker!G:G, "&lt;="&amp;Daily!C375, Tracker!J:J, "Y"), 0)</f>
        <v>23.188087774294672</v>
      </c>
      <c r="AO375" s="77">
        <f>IFERROR(COUNTIFS(Tracker!G:G, "&lt;="&amp;Daily!C375, Tracker!L:L, "N") / AK375,  0)</f>
        <v>0.63659793814432986</v>
      </c>
    </row>
    <row r="376" spans="1:41" hidden="1" x14ac:dyDescent="0.25">
      <c r="A376" s="119"/>
      <c r="B376" s="32">
        <f t="shared" si="153"/>
        <v>45591</v>
      </c>
      <c r="C376" s="27">
        <f t="shared" si="170"/>
        <v>45591</v>
      </c>
      <c r="D376" s="109" t="b">
        <f t="shared" ca="1" si="152"/>
        <v>1</v>
      </c>
      <c r="E376" s="51">
        <f t="shared" si="154"/>
        <v>0</v>
      </c>
      <c r="F376" s="48">
        <f>COUNTIFS(Tracker!G:G,Daily!C376, Tracker!J:J,"Y")</f>
        <v>0</v>
      </c>
      <c r="G376" s="26">
        <f>COUNTIFS(Tracker!G:G,Daily!C376, Tracker!J:J,"Y (with hints)")</f>
        <v>0</v>
      </c>
      <c r="H376" s="33">
        <f>COUNTIFS(Tracker!G:G,Daily!C376, Tracker!J:J,"N")</f>
        <v>0</v>
      </c>
      <c r="I376" s="54">
        <f t="shared" si="155"/>
        <v>0</v>
      </c>
      <c r="J376" s="26">
        <f>COUNTIFS(Tracker!G:G,Daily!C376, Tracker!J:J,"Y",Tracker!E:E,1)</f>
        <v>0</v>
      </c>
      <c r="K376" s="26">
        <f>COUNTIFS(Tracker!G:G,Daily!C376, Tracker!J:J,"Y (with hints)",Tracker!E:E,1)</f>
        <v>0</v>
      </c>
      <c r="L376" s="33">
        <f>COUNTIFS(Tracker!G:G,Daily!C376, Tracker!J:J,"N",Tracker!E:E,1)</f>
        <v>0</v>
      </c>
      <c r="M376" s="54">
        <f t="shared" si="156"/>
        <v>0</v>
      </c>
      <c r="N376" s="26">
        <f>COUNTIFS(Tracker!G:G,Daily!C376, Tracker!J:J,"Y",Tracker!E:E,2)</f>
        <v>0</v>
      </c>
      <c r="O376" s="26">
        <f>COUNTIFS(Tracker!G:G,Daily!C376, Tracker!J:J,"Y (with hints)",Tracker!E:E,2)</f>
        <v>0</v>
      </c>
      <c r="P376" s="33">
        <f>COUNTIFS(Tracker!G:G,Daily!C376, Tracker!J:J,"N",Tracker!E:E,2)</f>
        <v>0</v>
      </c>
      <c r="Q376" s="57">
        <f t="shared" si="157"/>
        <v>0</v>
      </c>
      <c r="R376" s="26">
        <f>COUNTIFS(Tracker!G:G,Daily!C376, Tracker!J:J,"Y",Tracker!E:E,3)</f>
        <v>0</v>
      </c>
      <c r="S376" s="26">
        <f>COUNTIFS(Tracker!G:G,Daily!C376, Tracker!J:J,"Y (with hints)",Tracker!E:E,3)</f>
        <v>0</v>
      </c>
      <c r="T376" s="33">
        <f>COUNTIFS(Tracker!G:G,Daily!C376, Tracker!J:J,"N",Tracker!E:E,3)</f>
        <v>0</v>
      </c>
      <c r="V376" s="48">
        <f t="shared" si="158"/>
        <v>98</v>
      </c>
      <c r="W376" s="26">
        <f t="shared" si="159"/>
        <v>94</v>
      </c>
      <c r="X376" s="62">
        <f t="shared" si="160"/>
        <v>0.95918367346938771</v>
      </c>
      <c r="Y376" s="74">
        <f>AVERAGEIFS(Tracker!I:I, Tracker!E:E, 1, Tracker!G:G, "&lt;="&amp;Daily!C376, Tracker!J:J, "Y")</f>
        <v>12.425531914893616</v>
      </c>
      <c r="Z376" s="77">
        <f>COUNTIFS(Tracker!E:E, 1, Tracker!G:G, "&lt;="&amp;Daily!C376, Tracker!L:L, "N") / V376</f>
        <v>0.80612244897959184</v>
      </c>
      <c r="AA376" s="48">
        <f t="shared" si="161"/>
        <v>248</v>
      </c>
      <c r="AB376" s="26">
        <f t="shared" si="162"/>
        <v>198</v>
      </c>
      <c r="AC376" s="62">
        <f t="shared" si="163"/>
        <v>0.79838709677419351</v>
      </c>
      <c r="AD376" s="74">
        <f>AVERAGEIFS(Tracker!I:I, Tracker!E:E, 2, Tracker!G:G, "&lt;="&amp;Daily!C376, Tracker!J:J, "Y")</f>
        <v>25.994949494949495</v>
      </c>
      <c r="AE376" s="77">
        <f>COUNTIFS(Tracker!E:E, 2, Tracker!G:G, "&lt;="&amp;Daily!C376, Tracker!L:L, "N") / AA376</f>
        <v>0.61693548387096775</v>
      </c>
      <c r="AF376" s="48">
        <f t="shared" si="164"/>
        <v>42</v>
      </c>
      <c r="AG376" s="26">
        <f t="shared" si="165"/>
        <v>27</v>
      </c>
      <c r="AH376" s="62">
        <f t="shared" si="166"/>
        <v>0.6428571428571429</v>
      </c>
      <c r="AI376" s="74">
        <f>IFERROR(AVERAGEIFS(Tracker!I:I, Tracker!E:E, 3, Tracker!G:G, "&lt;="&amp;Daily!C376, Tracker!J:J, "Y"), 0)</f>
        <v>40.074074074074076</v>
      </c>
      <c r="AJ376" s="77">
        <f>IFERROR(COUNTIFS(Tracker!E:E, 3, Tracker!G:G, "&lt;="&amp;Daily!C376, Tracker!L:L, "N") / AF376,  0)</f>
        <v>0.35714285714285715</v>
      </c>
      <c r="AK376" s="48">
        <f t="shared" si="167"/>
        <v>388</v>
      </c>
      <c r="AL376" s="26">
        <f t="shared" si="168"/>
        <v>319</v>
      </c>
      <c r="AM376" s="62">
        <f t="shared" si="169"/>
        <v>0.82216494845360821</v>
      </c>
      <c r="AN376" s="74">
        <f>IFERROR(AVERAGEIFS(Tracker!I:I,  Tracker!G:G, "&lt;="&amp;Daily!C376, Tracker!J:J, "Y"), 0)</f>
        <v>23.188087774294672</v>
      </c>
      <c r="AO376" s="77">
        <f>IFERROR(COUNTIFS(Tracker!G:G, "&lt;="&amp;Daily!C376, Tracker!L:L, "N") / AK376,  0)</f>
        <v>0.63659793814432986</v>
      </c>
    </row>
    <row r="377" spans="1:41" ht="15.75" hidden="1" thickBot="1" x14ac:dyDescent="0.3">
      <c r="A377" s="120"/>
      <c r="B377" s="34">
        <f t="shared" si="153"/>
        <v>45592</v>
      </c>
      <c r="C377" s="35">
        <f t="shared" si="170"/>
        <v>45592</v>
      </c>
      <c r="D377" s="110" t="b">
        <f t="shared" ca="1" si="152"/>
        <v>1</v>
      </c>
      <c r="E377" s="52">
        <f t="shared" si="154"/>
        <v>0</v>
      </c>
      <c r="F377" s="39">
        <f>COUNTIFS(Tracker!G:G,Daily!C377, Tracker!J:J,"Y")</f>
        <v>0</v>
      </c>
      <c r="G377" s="36">
        <f>COUNTIFS(Tracker!G:G,Daily!C377, Tracker!J:J,"Y (with hints)")</f>
        <v>0</v>
      </c>
      <c r="H377" s="37">
        <f>COUNTIFS(Tracker!G:G,Daily!C377, Tracker!J:J,"N")</f>
        <v>0</v>
      </c>
      <c r="I377" s="55">
        <f t="shared" si="155"/>
        <v>0</v>
      </c>
      <c r="J377" s="36">
        <f>COUNTIFS(Tracker!G:G,Daily!C377, Tracker!J:J,"Y",Tracker!E:E,1)</f>
        <v>0</v>
      </c>
      <c r="K377" s="36">
        <f>COUNTIFS(Tracker!G:G,Daily!C377, Tracker!J:J,"Y (with hints)",Tracker!E:E,1)</f>
        <v>0</v>
      </c>
      <c r="L377" s="37">
        <f>COUNTIFS(Tracker!G:G,Daily!C377, Tracker!J:J,"N",Tracker!E:E,1)</f>
        <v>0</v>
      </c>
      <c r="M377" s="55">
        <f t="shared" si="156"/>
        <v>0</v>
      </c>
      <c r="N377" s="36">
        <f>COUNTIFS(Tracker!G:G,Daily!C377, Tracker!J:J,"Y",Tracker!E:E,2)</f>
        <v>0</v>
      </c>
      <c r="O377" s="36">
        <f>COUNTIFS(Tracker!G:G,Daily!C377, Tracker!J:J,"Y (with hints)",Tracker!E:E,2)</f>
        <v>0</v>
      </c>
      <c r="P377" s="37">
        <f>COUNTIFS(Tracker!G:G,Daily!C377, Tracker!J:J,"N",Tracker!E:E,2)</f>
        <v>0</v>
      </c>
      <c r="Q377" s="58">
        <f t="shared" si="157"/>
        <v>0</v>
      </c>
      <c r="R377" s="36">
        <f>COUNTIFS(Tracker!G:G,Daily!C377, Tracker!J:J,"Y",Tracker!E:E,3)</f>
        <v>0</v>
      </c>
      <c r="S377" s="36">
        <f>COUNTIFS(Tracker!G:G,Daily!C377, Tracker!J:J,"Y (with hints)",Tracker!E:E,3)</f>
        <v>0</v>
      </c>
      <c r="T377" s="37">
        <f>COUNTIFS(Tracker!G:G,Daily!C377, Tracker!J:J,"N",Tracker!E:E,3)</f>
        <v>0</v>
      </c>
      <c r="V377" s="39">
        <f t="shared" si="158"/>
        <v>98</v>
      </c>
      <c r="W377" s="36">
        <f t="shared" si="159"/>
        <v>94</v>
      </c>
      <c r="X377" s="64">
        <f t="shared" si="160"/>
        <v>0.95918367346938771</v>
      </c>
      <c r="Y377" s="78">
        <f>AVERAGEIFS(Tracker!I:I, Tracker!E:E, 1, Tracker!G:G, "&lt;="&amp;Daily!C377, Tracker!J:J, "Y")</f>
        <v>12.425531914893616</v>
      </c>
      <c r="Z377" s="79">
        <f>COUNTIFS(Tracker!E:E, 1, Tracker!G:G, "&lt;="&amp;Daily!C377, Tracker!L:L, "N") / V377</f>
        <v>0.80612244897959184</v>
      </c>
      <c r="AA377" s="39">
        <f t="shared" si="161"/>
        <v>248</v>
      </c>
      <c r="AB377" s="36">
        <f t="shared" si="162"/>
        <v>198</v>
      </c>
      <c r="AC377" s="64">
        <f t="shared" si="163"/>
        <v>0.79838709677419351</v>
      </c>
      <c r="AD377" s="78">
        <f>AVERAGEIFS(Tracker!I:I, Tracker!E:E, 2, Tracker!G:G, "&lt;="&amp;Daily!C377, Tracker!J:J, "Y")</f>
        <v>25.994949494949495</v>
      </c>
      <c r="AE377" s="79">
        <f>COUNTIFS(Tracker!E:E, 2, Tracker!G:G, "&lt;="&amp;Daily!C377, Tracker!L:L, "N") / AA377</f>
        <v>0.61693548387096775</v>
      </c>
      <c r="AF377" s="39">
        <f t="shared" si="164"/>
        <v>42</v>
      </c>
      <c r="AG377" s="36">
        <f t="shared" si="165"/>
        <v>27</v>
      </c>
      <c r="AH377" s="64">
        <f t="shared" si="166"/>
        <v>0.6428571428571429</v>
      </c>
      <c r="AI377" s="78">
        <f>IFERROR(AVERAGEIFS(Tracker!I:I, Tracker!E:E, 3, Tracker!G:G, "&lt;="&amp;Daily!C377, Tracker!J:J, "Y"), 0)</f>
        <v>40.074074074074076</v>
      </c>
      <c r="AJ377" s="79">
        <f>IFERROR(COUNTIFS(Tracker!E:E, 3, Tracker!G:G, "&lt;="&amp;Daily!C377, Tracker!L:L, "N") / AF377,  0)</f>
        <v>0.35714285714285715</v>
      </c>
      <c r="AK377" s="39">
        <f t="shared" si="167"/>
        <v>388</v>
      </c>
      <c r="AL377" s="36">
        <f t="shared" si="168"/>
        <v>319</v>
      </c>
      <c r="AM377" s="64">
        <f t="shared" si="169"/>
        <v>0.82216494845360821</v>
      </c>
      <c r="AN377" s="78">
        <f>IFERROR(AVERAGEIFS(Tracker!I:I,  Tracker!G:G, "&lt;="&amp;Daily!C377, Tracker!J:J, "Y"), 0)</f>
        <v>23.188087774294672</v>
      </c>
      <c r="AO377" s="79">
        <f>IFERROR(COUNTIFS(Tracker!G:G, "&lt;="&amp;Daily!C377, Tracker!L:L, "N") / AK377,  0)</f>
        <v>0.63659793814432986</v>
      </c>
    </row>
    <row r="378" spans="1:41" hidden="1" x14ac:dyDescent="0.25">
      <c r="A378" s="118">
        <f>A371+1</f>
        <v>54</v>
      </c>
      <c r="B378" s="28">
        <f t="shared" si="153"/>
        <v>45593</v>
      </c>
      <c r="C378" s="29">
        <f t="shared" si="170"/>
        <v>45593</v>
      </c>
      <c r="D378" s="108" t="b">
        <f t="shared" ca="1" si="152"/>
        <v>1</v>
      </c>
      <c r="E378" s="50">
        <f t="shared" si="154"/>
        <v>0</v>
      </c>
      <c r="F378" s="38">
        <f>COUNTIFS(Tracker!G:G,Daily!C378, Tracker!J:J,"Y")</f>
        <v>0</v>
      </c>
      <c r="G378" s="30">
        <f>COUNTIFS(Tracker!G:G,Daily!C378, Tracker!J:J,"Y (with hints)")</f>
        <v>0</v>
      </c>
      <c r="H378" s="31">
        <f>COUNTIFS(Tracker!G:G,Daily!C378, Tracker!J:J,"N")</f>
        <v>0</v>
      </c>
      <c r="I378" s="53">
        <f t="shared" si="155"/>
        <v>0</v>
      </c>
      <c r="J378" s="30">
        <f>COUNTIFS(Tracker!G:G,Daily!C378, Tracker!J:J,"Y",Tracker!E:E,1)</f>
        <v>0</v>
      </c>
      <c r="K378" s="30">
        <f>COUNTIFS(Tracker!G:G,Daily!C378, Tracker!J:J,"Y (with hints)",Tracker!E:E,1)</f>
        <v>0</v>
      </c>
      <c r="L378" s="31">
        <f>COUNTIFS(Tracker!G:G,Daily!C378, Tracker!J:J,"N",Tracker!E:E,1)</f>
        <v>0</v>
      </c>
      <c r="M378" s="53">
        <f t="shared" si="156"/>
        <v>0</v>
      </c>
      <c r="N378" s="30">
        <f>COUNTIFS(Tracker!G:G,Daily!C378, Tracker!J:J,"Y",Tracker!E:E,2)</f>
        <v>0</v>
      </c>
      <c r="O378" s="30">
        <f>COUNTIFS(Tracker!G:G,Daily!C378, Tracker!J:J,"Y (with hints)",Tracker!E:E,2)</f>
        <v>0</v>
      </c>
      <c r="P378" s="31">
        <f>COUNTIFS(Tracker!G:G,Daily!C378, Tracker!J:J,"N",Tracker!E:E,2)</f>
        <v>0</v>
      </c>
      <c r="Q378" s="56">
        <f t="shared" si="157"/>
        <v>0</v>
      </c>
      <c r="R378" s="30">
        <f>COUNTIFS(Tracker!G:G,Daily!C378, Tracker!J:J,"Y",Tracker!E:E,3)</f>
        <v>0</v>
      </c>
      <c r="S378" s="30">
        <f>COUNTIFS(Tracker!G:G,Daily!C378, Tracker!J:J,"Y (with hints)",Tracker!E:E,3)</f>
        <v>0</v>
      </c>
      <c r="T378" s="31">
        <f>COUNTIFS(Tracker!G:G,Daily!C378, Tracker!J:J,"N",Tracker!E:E,3)</f>
        <v>0</v>
      </c>
      <c r="V378" s="38">
        <f t="shared" si="158"/>
        <v>98</v>
      </c>
      <c r="W378" s="30">
        <f t="shared" si="159"/>
        <v>94</v>
      </c>
      <c r="X378" s="73">
        <f t="shared" si="160"/>
        <v>0.95918367346938771</v>
      </c>
      <c r="Y378" s="75">
        <f>AVERAGEIFS(Tracker!I:I, Tracker!E:E, 1, Tracker!G:G, "&lt;="&amp;Daily!C378, Tracker!J:J, "Y")</f>
        <v>12.425531914893616</v>
      </c>
      <c r="Z378" s="76">
        <f>COUNTIFS(Tracker!E:E, 1, Tracker!G:G, "&lt;="&amp;Daily!C378, Tracker!L:L, "N") / V378</f>
        <v>0.80612244897959184</v>
      </c>
      <c r="AA378" s="38">
        <f t="shared" si="161"/>
        <v>248</v>
      </c>
      <c r="AB378" s="30">
        <f t="shared" si="162"/>
        <v>198</v>
      </c>
      <c r="AC378" s="73">
        <f t="shared" si="163"/>
        <v>0.79838709677419351</v>
      </c>
      <c r="AD378" s="75">
        <f>AVERAGEIFS(Tracker!I:I, Tracker!E:E, 2, Tracker!G:G, "&lt;="&amp;Daily!C378, Tracker!J:J, "Y")</f>
        <v>25.994949494949495</v>
      </c>
      <c r="AE378" s="76">
        <f>COUNTIFS(Tracker!E:E, 2, Tracker!G:G, "&lt;="&amp;Daily!C378, Tracker!L:L, "N") / AA378</f>
        <v>0.61693548387096775</v>
      </c>
      <c r="AF378" s="38">
        <f t="shared" si="164"/>
        <v>42</v>
      </c>
      <c r="AG378" s="30">
        <f t="shared" si="165"/>
        <v>27</v>
      </c>
      <c r="AH378" s="73">
        <f t="shared" si="166"/>
        <v>0.6428571428571429</v>
      </c>
      <c r="AI378" s="75">
        <f>IFERROR(AVERAGEIFS(Tracker!I:I, Tracker!E:E, 3, Tracker!G:G, "&lt;="&amp;Daily!C378, Tracker!J:J, "Y"), 0)</f>
        <v>40.074074074074076</v>
      </c>
      <c r="AJ378" s="76">
        <f>IFERROR(COUNTIFS(Tracker!E:E, 3, Tracker!G:G, "&lt;="&amp;Daily!C378, Tracker!L:L, "N") / AF378,  0)</f>
        <v>0.35714285714285715</v>
      </c>
      <c r="AK378" s="38">
        <f t="shared" si="167"/>
        <v>388</v>
      </c>
      <c r="AL378" s="30">
        <f t="shared" si="168"/>
        <v>319</v>
      </c>
      <c r="AM378" s="73">
        <f t="shared" si="169"/>
        <v>0.82216494845360821</v>
      </c>
      <c r="AN378" s="75">
        <f>IFERROR(AVERAGEIFS(Tracker!I:I,  Tracker!G:G, "&lt;="&amp;Daily!C378, Tracker!J:J, "Y"), 0)</f>
        <v>23.188087774294672</v>
      </c>
      <c r="AO378" s="76">
        <f>IFERROR(COUNTIFS(Tracker!G:G, "&lt;="&amp;Daily!C378, Tracker!L:L, "N") / AK378,  0)</f>
        <v>0.63659793814432986</v>
      </c>
    </row>
    <row r="379" spans="1:41" hidden="1" x14ac:dyDescent="0.25">
      <c r="A379" s="119"/>
      <c r="B379" s="32">
        <f t="shared" si="153"/>
        <v>45594</v>
      </c>
      <c r="C379" s="27">
        <f t="shared" si="170"/>
        <v>45594</v>
      </c>
      <c r="D379" s="109" t="b">
        <f t="shared" ca="1" si="152"/>
        <v>1</v>
      </c>
      <c r="E379" s="51">
        <f t="shared" si="154"/>
        <v>0</v>
      </c>
      <c r="F379" s="48">
        <f>COUNTIFS(Tracker!G:G,Daily!C379, Tracker!J:J,"Y")</f>
        <v>0</v>
      </c>
      <c r="G379" s="26">
        <f>COUNTIFS(Tracker!G:G,Daily!C379, Tracker!J:J,"Y (with hints)")</f>
        <v>0</v>
      </c>
      <c r="H379" s="33">
        <f>COUNTIFS(Tracker!G:G,Daily!C379, Tracker!J:J,"N")</f>
        <v>0</v>
      </c>
      <c r="I379" s="54">
        <f t="shared" si="155"/>
        <v>0</v>
      </c>
      <c r="J379" s="26">
        <f>COUNTIFS(Tracker!G:G,Daily!C379, Tracker!J:J,"Y",Tracker!E:E,1)</f>
        <v>0</v>
      </c>
      <c r="K379" s="26">
        <f>COUNTIFS(Tracker!G:G,Daily!C379, Tracker!J:J,"Y (with hints)",Tracker!E:E,1)</f>
        <v>0</v>
      </c>
      <c r="L379" s="33">
        <f>COUNTIFS(Tracker!G:G,Daily!C379, Tracker!J:J,"N",Tracker!E:E,1)</f>
        <v>0</v>
      </c>
      <c r="M379" s="54">
        <f t="shared" si="156"/>
        <v>0</v>
      </c>
      <c r="N379" s="26">
        <f>COUNTIFS(Tracker!G:G,Daily!C379, Tracker!J:J,"Y",Tracker!E:E,2)</f>
        <v>0</v>
      </c>
      <c r="O379" s="26">
        <f>COUNTIFS(Tracker!G:G,Daily!C379, Tracker!J:J,"Y (with hints)",Tracker!E:E,2)</f>
        <v>0</v>
      </c>
      <c r="P379" s="33">
        <f>COUNTIFS(Tracker!G:G,Daily!C379, Tracker!J:J,"N",Tracker!E:E,2)</f>
        <v>0</v>
      </c>
      <c r="Q379" s="57">
        <f t="shared" si="157"/>
        <v>0</v>
      </c>
      <c r="R379" s="26">
        <f>COUNTIFS(Tracker!G:G,Daily!C379, Tracker!J:J,"Y",Tracker!E:E,3)</f>
        <v>0</v>
      </c>
      <c r="S379" s="26">
        <f>COUNTIFS(Tracker!G:G,Daily!C379, Tracker!J:J,"Y (with hints)",Tracker!E:E,3)</f>
        <v>0</v>
      </c>
      <c r="T379" s="33">
        <f>COUNTIFS(Tracker!G:G,Daily!C379, Tracker!J:J,"N",Tracker!E:E,3)</f>
        <v>0</v>
      </c>
      <c r="V379" s="48">
        <f t="shared" si="158"/>
        <v>98</v>
      </c>
      <c r="W379" s="26">
        <f t="shared" si="159"/>
        <v>94</v>
      </c>
      <c r="X379" s="62">
        <f t="shared" si="160"/>
        <v>0.95918367346938771</v>
      </c>
      <c r="Y379" s="74">
        <f>AVERAGEIFS(Tracker!I:I, Tracker!E:E, 1, Tracker!G:G, "&lt;="&amp;Daily!C379, Tracker!J:J, "Y")</f>
        <v>12.425531914893616</v>
      </c>
      <c r="Z379" s="77">
        <f>COUNTIFS(Tracker!E:E, 1, Tracker!G:G, "&lt;="&amp;Daily!C379, Tracker!L:L, "N") / V379</f>
        <v>0.80612244897959184</v>
      </c>
      <c r="AA379" s="48">
        <f t="shared" si="161"/>
        <v>248</v>
      </c>
      <c r="AB379" s="26">
        <f t="shared" si="162"/>
        <v>198</v>
      </c>
      <c r="AC379" s="62">
        <f t="shared" si="163"/>
        <v>0.79838709677419351</v>
      </c>
      <c r="AD379" s="74">
        <f>AVERAGEIFS(Tracker!I:I, Tracker!E:E, 2, Tracker!G:G, "&lt;="&amp;Daily!C379, Tracker!J:J, "Y")</f>
        <v>25.994949494949495</v>
      </c>
      <c r="AE379" s="77">
        <f>COUNTIFS(Tracker!E:E, 2, Tracker!G:G, "&lt;="&amp;Daily!C379, Tracker!L:L, "N") / AA379</f>
        <v>0.61693548387096775</v>
      </c>
      <c r="AF379" s="48">
        <f t="shared" si="164"/>
        <v>42</v>
      </c>
      <c r="AG379" s="26">
        <f t="shared" si="165"/>
        <v>27</v>
      </c>
      <c r="AH379" s="62">
        <f t="shared" si="166"/>
        <v>0.6428571428571429</v>
      </c>
      <c r="AI379" s="74">
        <f>IFERROR(AVERAGEIFS(Tracker!I:I, Tracker!E:E, 3, Tracker!G:G, "&lt;="&amp;Daily!C379, Tracker!J:J, "Y"), 0)</f>
        <v>40.074074074074076</v>
      </c>
      <c r="AJ379" s="77">
        <f>IFERROR(COUNTIFS(Tracker!E:E, 3, Tracker!G:G, "&lt;="&amp;Daily!C379, Tracker!L:L, "N") / AF379,  0)</f>
        <v>0.35714285714285715</v>
      </c>
      <c r="AK379" s="48">
        <f t="shared" si="167"/>
        <v>388</v>
      </c>
      <c r="AL379" s="26">
        <f t="shared" si="168"/>
        <v>319</v>
      </c>
      <c r="AM379" s="62">
        <f t="shared" si="169"/>
        <v>0.82216494845360821</v>
      </c>
      <c r="AN379" s="74">
        <f>IFERROR(AVERAGEIFS(Tracker!I:I,  Tracker!G:G, "&lt;="&amp;Daily!C379, Tracker!J:J, "Y"), 0)</f>
        <v>23.188087774294672</v>
      </c>
      <c r="AO379" s="77">
        <f>IFERROR(COUNTIFS(Tracker!G:G, "&lt;="&amp;Daily!C379, Tracker!L:L, "N") / AK379,  0)</f>
        <v>0.63659793814432986</v>
      </c>
    </row>
    <row r="380" spans="1:41" hidden="1" x14ac:dyDescent="0.25">
      <c r="A380" s="119"/>
      <c r="B380" s="32">
        <f t="shared" si="153"/>
        <v>45595</v>
      </c>
      <c r="C380" s="27">
        <f t="shared" si="170"/>
        <v>45595</v>
      </c>
      <c r="D380" s="109" t="b">
        <f t="shared" ca="1" si="152"/>
        <v>1</v>
      </c>
      <c r="E380" s="51">
        <f t="shared" si="154"/>
        <v>0</v>
      </c>
      <c r="F380" s="48">
        <f>COUNTIFS(Tracker!G:G,Daily!C380, Tracker!J:J,"Y")</f>
        <v>0</v>
      </c>
      <c r="G380" s="26">
        <f>COUNTIFS(Tracker!G:G,Daily!C380, Tracker!J:J,"Y (with hints)")</f>
        <v>0</v>
      </c>
      <c r="H380" s="33">
        <f>COUNTIFS(Tracker!G:G,Daily!C380, Tracker!J:J,"N")</f>
        <v>0</v>
      </c>
      <c r="I380" s="54">
        <f t="shared" si="155"/>
        <v>0</v>
      </c>
      <c r="J380" s="26">
        <f>COUNTIFS(Tracker!G:G,Daily!C380, Tracker!J:J,"Y",Tracker!E:E,1)</f>
        <v>0</v>
      </c>
      <c r="K380" s="26">
        <f>COUNTIFS(Tracker!G:G,Daily!C380, Tracker!J:J,"Y (with hints)",Tracker!E:E,1)</f>
        <v>0</v>
      </c>
      <c r="L380" s="33">
        <f>COUNTIFS(Tracker!G:G,Daily!C380, Tracker!J:J,"N",Tracker!E:E,1)</f>
        <v>0</v>
      </c>
      <c r="M380" s="54">
        <f t="shared" si="156"/>
        <v>0</v>
      </c>
      <c r="N380" s="26">
        <f>COUNTIFS(Tracker!G:G,Daily!C380, Tracker!J:J,"Y",Tracker!E:E,2)</f>
        <v>0</v>
      </c>
      <c r="O380" s="26">
        <f>COUNTIFS(Tracker!G:G,Daily!C380, Tracker!J:J,"Y (with hints)",Tracker!E:E,2)</f>
        <v>0</v>
      </c>
      <c r="P380" s="33">
        <f>COUNTIFS(Tracker!G:G,Daily!C380, Tracker!J:J,"N",Tracker!E:E,2)</f>
        <v>0</v>
      </c>
      <c r="Q380" s="57">
        <f t="shared" si="157"/>
        <v>0</v>
      </c>
      <c r="R380" s="26">
        <f>COUNTIFS(Tracker!G:G,Daily!C380, Tracker!J:J,"Y",Tracker!E:E,3)</f>
        <v>0</v>
      </c>
      <c r="S380" s="26">
        <f>COUNTIFS(Tracker!G:G,Daily!C380, Tracker!J:J,"Y (with hints)",Tracker!E:E,3)</f>
        <v>0</v>
      </c>
      <c r="T380" s="33">
        <f>COUNTIFS(Tracker!G:G,Daily!C380, Tracker!J:J,"N",Tracker!E:E,3)</f>
        <v>0</v>
      </c>
      <c r="V380" s="48">
        <f t="shared" si="158"/>
        <v>98</v>
      </c>
      <c r="W380" s="26">
        <f t="shared" si="159"/>
        <v>94</v>
      </c>
      <c r="X380" s="62">
        <f t="shared" si="160"/>
        <v>0.95918367346938771</v>
      </c>
      <c r="Y380" s="74">
        <f>AVERAGEIFS(Tracker!I:I, Tracker!E:E, 1, Tracker!G:G, "&lt;="&amp;Daily!C380, Tracker!J:J, "Y")</f>
        <v>12.425531914893616</v>
      </c>
      <c r="Z380" s="77">
        <f>COUNTIFS(Tracker!E:E, 1, Tracker!G:G, "&lt;="&amp;Daily!C380, Tracker!L:L, "N") / V380</f>
        <v>0.80612244897959184</v>
      </c>
      <c r="AA380" s="48">
        <f t="shared" si="161"/>
        <v>248</v>
      </c>
      <c r="AB380" s="26">
        <f t="shared" si="162"/>
        <v>198</v>
      </c>
      <c r="AC380" s="62">
        <f t="shared" si="163"/>
        <v>0.79838709677419351</v>
      </c>
      <c r="AD380" s="74">
        <f>AVERAGEIFS(Tracker!I:I, Tracker!E:E, 2, Tracker!G:G, "&lt;="&amp;Daily!C380, Tracker!J:J, "Y")</f>
        <v>25.994949494949495</v>
      </c>
      <c r="AE380" s="77">
        <f>COUNTIFS(Tracker!E:E, 2, Tracker!G:G, "&lt;="&amp;Daily!C380, Tracker!L:L, "N") / AA380</f>
        <v>0.61693548387096775</v>
      </c>
      <c r="AF380" s="48">
        <f t="shared" si="164"/>
        <v>42</v>
      </c>
      <c r="AG380" s="26">
        <f t="shared" si="165"/>
        <v>27</v>
      </c>
      <c r="AH380" s="62">
        <f t="shared" si="166"/>
        <v>0.6428571428571429</v>
      </c>
      <c r="AI380" s="74">
        <f>IFERROR(AVERAGEIFS(Tracker!I:I, Tracker!E:E, 3, Tracker!G:G, "&lt;="&amp;Daily!C380, Tracker!J:J, "Y"), 0)</f>
        <v>40.074074074074076</v>
      </c>
      <c r="AJ380" s="77">
        <f>IFERROR(COUNTIFS(Tracker!E:E, 3, Tracker!G:G, "&lt;="&amp;Daily!C380, Tracker!L:L, "N") / AF380,  0)</f>
        <v>0.35714285714285715</v>
      </c>
      <c r="AK380" s="48">
        <f t="shared" si="167"/>
        <v>388</v>
      </c>
      <c r="AL380" s="26">
        <f t="shared" si="168"/>
        <v>319</v>
      </c>
      <c r="AM380" s="62">
        <f t="shared" si="169"/>
        <v>0.82216494845360821</v>
      </c>
      <c r="AN380" s="74">
        <f>IFERROR(AVERAGEIFS(Tracker!I:I,  Tracker!G:G, "&lt;="&amp;Daily!C380, Tracker!J:J, "Y"), 0)</f>
        <v>23.188087774294672</v>
      </c>
      <c r="AO380" s="77">
        <f>IFERROR(COUNTIFS(Tracker!G:G, "&lt;="&amp;Daily!C380, Tracker!L:L, "N") / AK380,  0)</f>
        <v>0.63659793814432986</v>
      </c>
    </row>
    <row r="381" spans="1:41" hidden="1" x14ac:dyDescent="0.25">
      <c r="A381" s="119"/>
      <c r="B381" s="32">
        <f t="shared" si="153"/>
        <v>45596</v>
      </c>
      <c r="C381" s="27">
        <f t="shared" si="170"/>
        <v>45596</v>
      </c>
      <c r="D381" s="109" t="b">
        <f t="shared" ca="1" si="152"/>
        <v>1</v>
      </c>
      <c r="E381" s="51">
        <f t="shared" si="154"/>
        <v>0</v>
      </c>
      <c r="F381" s="48">
        <f>COUNTIFS(Tracker!G:G,Daily!C381, Tracker!J:J,"Y")</f>
        <v>0</v>
      </c>
      <c r="G381" s="26">
        <f>COUNTIFS(Tracker!G:G,Daily!C381, Tracker!J:J,"Y (with hints)")</f>
        <v>0</v>
      </c>
      <c r="H381" s="33">
        <f>COUNTIFS(Tracker!G:G,Daily!C381, Tracker!J:J,"N")</f>
        <v>0</v>
      </c>
      <c r="I381" s="54">
        <f t="shared" si="155"/>
        <v>0</v>
      </c>
      <c r="J381" s="26">
        <f>COUNTIFS(Tracker!G:G,Daily!C381, Tracker!J:J,"Y",Tracker!E:E,1)</f>
        <v>0</v>
      </c>
      <c r="K381" s="26">
        <f>COUNTIFS(Tracker!G:G,Daily!C381, Tracker!J:J,"Y (with hints)",Tracker!E:E,1)</f>
        <v>0</v>
      </c>
      <c r="L381" s="33">
        <f>COUNTIFS(Tracker!G:G,Daily!C381, Tracker!J:J,"N",Tracker!E:E,1)</f>
        <v>0</v>
      </c>
      <c r="M381" s="54">
        <f t="shared" si="156"/>
        <v>0</v>
      </c>
      <c r="N381" s="26">
        <f>COUNTIFS(Tracker!G:G,Daily!C381, Tracker!J:J,"Y",Tracker!E:E,2)</f>
        <v>0</v>
      </c>
      <c r="O381" s="26">
        <f>COUNTIFS(Tracker!G:G,Daily!C381, Tracker!J:J,"Y (with hints)",Tracker!E:E,2)</f>
        <v>0</v>
      </c>
      <c r="P381" s="33">
        <f>COUNTIFS(Tracker!G:G,Daily!C381, Tracker!J:J,"N",Tracker!E:E,2)</f>
        <v>0</v>
      </c>
      <c r="Q381" s="57">
        <f t="shared" si="157"/>
        <v>0</v>
      </c>
      <c r="R381" s="26">
        <f>COUNTIFS(Tracker!G:G,Daily!C381, Tracker!J:J,"Y",Tracker!E:E,3)</f>
        <v>0</v>
      </c>
      <c r="S381" s="26">
        <f>COUNTIFS(Tracker!G:G,Daily!C381, Tracker!J:J,"Y (with hints)",Tracker!E:E,3)</f>
        <v>0</v>
      </c>
      <c r="T381" s="33">
        <f>COUNTIFS(Tracker!G:G,Daily!C381, Tracker!J:J,"N",Tracker!E:E,3)</f>
        <v>0</v>
      </c>
      <c r="V381" s="48">
        <f t="shared" si="158"/>
        <v>98</v>
      </c>
      <c r="W381" s="26">
        <f t="shared" si="159"/>
        <v>94</v>
      </c>
      <c r="X381" s="62">
        <f t="shared" si="160"/>
        <v>0.95918367346938771</v>
      </c>
      <c r="Y381" s="74">
        <f>AVERAGEIFS(Tracker!I:I, Tracker!E:E, 1, Tracker!G:G, "&lt;="&amp;Daily!C381, Tracker!J:J, "Y")</f>
        <v>12.425531914893616</v>
      </c>
      <c r="Z381" s="77">
        <f>COUNTIFS(Tracker!E:E, 1, Tracker!G:G, "&lt;="&amp;Daily!C381, Tracker!L:L, "N") / V381</f>
        <v>0.80612244897959184</v>
      </c>
      <c r="AA381" s="48">
        <f t="shared" si="161"/>
        <v>248</v>
      </c>
      <c r="AB381" s="26">
        <f t="shared" si="162"/>
        <v>198</v>
      </c>
      <c r="AC381" s="62">
        <f t="shared" si="163"/>
        <v>0.79838709677419351</v>
      </c>
      <c r="AD381" s="74">
        <f>AVERAGEIFS(Tracker!I:I, Tracker!E:E, 2, Tracker!G:G, "&lt;="&amp;Daily!C381, Tracker!J:J, "Y")</f>
        <v>25.994949494949495</v>
      </c>
      <c r="AE381" s="77">
        <f>COUNTIFS(Tracker!E:E, 2, Tracker!G:G, "&lt;="&amp;Daily!C381, Tracker!L:L, "N") / AA381</f>
        <v>0.61693548387096775</v>
      </c>
      <c r="AF381" s="48">
        <f t="shared" si="164"/>
        <v>42</v>
      </c>
      <c r="AG381" s="26">
        <f t="shared" si="165"/>
        <v>27</v>
      </c>
      <c r="AH381" s="62">
        <f t="shared" si="166"/>
        <v>0.6428571428571429</v>
      </c>
      <c r="AI381" s="74">
        <f>IFERROR(AVERAGEIFS(Tracker!I:I, Tracker!E:E, 3, Tracker!G:G, "&lt;="&amp;Daily!C381, Tracker!J:J, "Y"), 0)</f>
        <v>40.074074074074076</v>
      </c>
      <c r="AJ381" s="77">
        <f>IFERROR(COUNTIFS(Tracker!E:E, 3, Tracker!G:G, "&lt;="&amp;Daily!C381, Tracker!L:L, "N") / AF381,  0)</f>
        <v>0.35714285714285715</v>
      </c>
      <c r="AK381" s="48">
        <f t="shared" si="167"/>
        <v>388</v>
      </c>
      <c r="AL381" s="26">
        <f t="shared" si="168"/>
        <v>319</v>
      </c>
      <c r="AM381" s="62">
        <f t="shared" si="169"/>
        <v>0.82216494845360821</v>
      </c>
      <c r="AN381" s="74">
        <f>IFERROR(AVERAGEIFS(Tracker!I:I,  Tracker!G:G, "&lt;="&amp;Daily!C381, Tracker!J:J, "Y"), 0)</f>
        <v>23.188087774294672</v>
      </c>
      <c r="AO381" s="77">
        <f>IFERROR(COUNTIFS(Tracker!G:G, "&lt;="&amp;Daily!C381, Tracker!L:L, "N") / AK381,  0)</f>
        <v>0.63659793814432986</v>
      </c>
    </row>
    <row r="382" spans="1:41" hidden="1" x14ac:dyDescent="0.25">
      <c r="A382" s="119"/>
      <c r="B382" s="32">
        <f t="shared" si="153"/>
        <v>45597</v>
      </c>
      <c r="C382" s="27">
        <f t="shared" si="170"/>
        <v>45597</v>
      </c>
      <c r="D382" s="109" t="b">
        <f t="shared" ca="1" si="152"/>
        <v>1</v>
      </c>
      <c r="E382" s="51">
        <f t="shared" si="154"/>
        <v>0</v>
      </c>
      <c r="F382" s="48">
        <f>COUNTIFS(Tracker!G:G,Daily!C382, Tracker!J:J,"Y")</f>
        <v>0</v>
      </c>
      <c r="G382" s="26">
        <f>COUNTIFS(Tracker!G:G,Daily!C382, Tracker!J:J,"Y (with hints)")</f>
        <v>0</v>
      </c>
      <c r="H382" s="33">
        <f>COUNTIFS(Tracker!G:G,Daily!C382, Tracker!J:J,"N")</f>
        <v>0</v>
      </c>
      <c r="I382" s="54">
        <f t="shared" si="155"/>
        <v>0</v>
      </c>
      <c r="J382" s="26">
        <f>COUNTIFS(Tracker!G:G,Daily!C382, Tracker!J:J,"Y",Tracker!E:E,1)</f>
        <v>0</v>
      </c>
      <c r="K382" s="26">
        <f>COUNTIFS(Tracker!G:G,Daily!C382, Tracker!J:J,"Y (with hints)",Tracker!E:E,1)</f>
        <v>0</v>
      </c>
      <c r="L382" s="33">
        <f>COUNTIFS(Tracker!G:G,Daily!C382, Tracker!J:J,"N",Tracker!E:E,1)</f>
        <v>0</v>
      </c>
      <c r="M382" s="54">
        <f t="shared" si="156"/>
        <v>0</v>
      </c>
      <c r="N382" s="26">
        <f>COUNTIFS(Tracker!G:G,Daily!C382, Tracker!J:J,"Y",Tracker!E:E,2)</f>
        <v>0</v>
      </c>
      <c r="O382" s="26">
        <f>COUNTIFS(Tracker!G:G,Daily!C382, Tracker!J:J,"Y (with hints)",Tracker!E:E,2)</f>
        <v>0</v>
      </c>
      <c r="P382" s="33">
        <f>COUNTIFS(Tracker!G:G,Daily!C382, Tracker!J:J,"N",Tracker!E:E,2)</f>
        <v>0</v>
      </c>
      <c r="Q382" s="57">
        <f t="shared" si="157"/>
        <v>0</v>
      </c>
      <c r="R382" s="26">
        <f>COUNTIFS(Tracker!G:G,Daily!C382, Tracker!J:J,"Y",Tracker!E:E,3)</f>
        <v>0</v>
      </c>
      <c r="S382" s="26">
        <f>COUNTIFS(Tracker!G:G,Daily!C382, Tracker!J:J,"Y (with hints)",Tracker!E:E,3)</f>
        <v>0</v>
      </c>
      <c r="T382" s="33">
        <f>COUNTIFS(Tracker!G:G,Daily!C382, Tracker!J:J,"N",Tracker!E:E,3)</f>
        <v>0</v>
      </c>
      <c r="V382" s="48">
        <f t="shared" si="158"/>
        <v>98</v>
      </c>
      <c r="W382" s="26">
        <f t="shared" si="159"/>
        <v>94</v>
      </c>
      <c r="X382" s="62">
        <f t="shared" si="160"/>
        <v>0.95918367346938771</v>
      </c>
      <c r="Y382" s="74">
        <f>AVERAGEIFS(Tracker!I:I, Tracker!E:E, 1, Tracker!G:G, "&lt;="&amp;Daily!C382, Tracker!J:J, "Y")</f>
        <v>12.425531914893616</v>
      </c>
      <c r="Z382" s="77">
        <f>COUNTIFS(Tracker!E:E, 1, Tracker!G:G, "&lt;="&amp;Daily!C382, Tracker!L:L, "N") / V382</f>
        <v>0.80612244897959184</v>
      </c>
      <c r="AA382" s="48">
        <f t="shared" si="161"/>
        <v>248</v>
      </c>
      <c r="AB382" s="26">
        <f t="shared" si="162"/>
        <v>198</v>
      </c>
      <c r="AC382" s="62">
        <f t="shared" si="163"/>
        <v>0.79838709677419351</v>
      </c>
      <c r="AD382" s="74">
        <f>AVERAGEIFS(Tracker!I:I, Tracker!E:E, 2, Tracker!G:G, "&lt;="&amp;Daily!C382, Tracker!J:J, "Y")</f>
        <v>25.994949494949495</v>
      </c>
      <c r="AE382" s="77">
        <f>COUNTIFS(Tracker!E:E, 2, Tracker!G:G, "&lt;="&amp;Daily!C382, Tracker!L:L, "N") / AA382</f>
        <v>0.61693548387096775</v>
      </c>
      <c r="AF382" s="48">
        <f t="shared" si="164"/>
        <v>42</v>
      </c>
      <c r="AG382" s="26">
        <f t="shared" si="165"/>
        <v>27</v>
      </c>
      <c r="AH382" s="62">
        <f t="shared" si="166"/>
        <v>0.6428571428571429</v>
      </c>
      <c r="AI382" s="74">
        <f>IFERROR(AVERAGEIFS(Tracker!I:I, Tracker!E:E, 3, Tracker!G:G, "&lt;="&amp;Daily!C382, Tracker!J:J, "Y"), 0)</f>
        <v>40.074074074074076</v>
      </c>
      <c r="AJ382" s="77">
        <f>IFERROR(COUNTIFS(Tracker!E:E, 3, Tracker!G:G, "&lt;="&amp;Daily!C382, Tracker!L:L, "N") / AF382,  0)</f>
        <v>0.35714285714285715</v>
      </c>
      <c r="AK382" s="48">
        <f t="shared" si="167"/>
        <v>388</v>
      </c>
      <c r="AL382" s="26">
        <f t="shared" si="168"/>
        <v>319</v>
      </c>
      <c r="AM382" s="62">
        <f t="shared" si="169"/>
        <v>0.82216494845360821</v>
      </c>
      <c r="AN382" s="74">
        <f>IFERROR(AVERAGEIFS(Tracker!I:I,  Tracker!G:G, "&lt;="&amp;Daily!C382, Tracker!J:J, "Y"), 0)</f>
        <v>23.188087774294672</v>
      </c>
      <c r="AO382" s="77">
        <f>IFERROR(COUNTIFS(Tracker!G:G, "&lt;="&amp;Daily!C382, Tracker!L:L, "N") / AK382,  0)</f>
        <v>0.63659793814432986</v>
      </c>
    </row>
    <row r="383" spans="1:41" hidden="1" x14ac:dyDescent="0.25">
      <c r="A383" s="119"/>
      <c r="B383" s="32">
        <f t="shared" si="153"/>
        <v>45598</v>
      </c>
      <c r="C383" s="27">
        <f t="shared" si="170"/>
        <v>45598</v>
      </c>
      <c r="D383" s="109" t="b">
        <f t="shared" ca="1" si="152"/>
        <v>1</v>
      </c>
      <c r="E383" s="51">
        <f t="shared" si="154"/>
        <v>0</v>
      </c>
      <c r="F383" s="48">
        <f>COUNTIFS(Tracker!G:G,Daily!C383, Tracker!J:J,"Y")</f>
        <v>0</v>
      </c>
      <c r="G383" s="26">
        <f>COUNTIFS(Tracker!G:G,Daily!C383, Tracker!J:J,"Y (with hints)")</f>
        <v>0</v>
      </c>
      <c r="H383" s="33">
        <f>COUNTIFS(Tracker!G:G,Daily!C383, Tracker!J:J,"N")</f>
        <v>0</v>
      </c>
      <c r="I383" s="54">
        <f t="shared" si="155"/>
        <v>0</v>
      </c>
      <c r="J383" s="26">
        <f>COUNTIFS(Tracker!G:G,Daily!C383, Tracker!J:J,"Y",Tracker!E:E,1)</f>
        <v>0</v>
      </c>
      <c r="K383" s="26">
        <f>COUNTIFS(Tracker!G:G,Daily!C383, Tracker!J:J,"Y (with hints)",Tracker!E:E,1)</f>
        <v>0</v>
      </c>
      <c r="L383" s="33">
        <f>COUNTIFS(Tracker!G:G,Daily!C383, Tracker!J:J,"N",Tracker!E:E,1)</f>
        <v>0</v>
      </c>
      <c r="M383" s="54">
        <f t="shared" si="156"/>
        <v>0</v>
      </c>
      <c r="N383" s="26">
        <f>COUNTIFS(Tracker!G:G,Daily!C383, Tracker!J:J,"Y",Tracker!E:E,2)</f>
        <v>0</v>
      </c>
      <c r="O383" s="26">
        <f>COUNTIFS(Tracker!G:G,Daily!C383, Tracker!J:J,"Y (with hints)",Tracker!E:E,2)</f>
        <v>0</v>
      </c>
      <c r="P383" s="33">
        <f>COUNTIFS(Tracker!G:G,Daily!C383, Tracker!J:J,"N",Tracker!E:E,2)</f>
        <v>0</v>
      </c>
      <c r="Q383" s="57">
        <f t="shared" si="157"/>
        <v>0</v>
      </c>
      <c r="R383" s="26">
        <f>COUNTIFS(Tracker!G:G,Daily!C383, Tracker!J:J,"Y",Tracker!E:E,3)</f>
        <v>0</v>
      </c>
      <c r="S383" s="26">
        <f>COUNTIFS(Tracker!G:G,Daily!C383, Tracker!J:J,"Y (with hints)",Tracker!E:E,3)</f>
        <v>0</v>
      </c>
      <c r="T383" s="33">
        <f>COUNTIFS(Tracker!G:G,Daily!C383, Tracker!J:J,"N",Tracker!E:E,3)</f>
        <v>0</v>
      </c>
      <c r="V383" s="48">
        <f t="shared" si="158"/>
        <v>98</v>
      </c>
      <c r="W383" s="26">
        <f t="shared" si="159"/>
        <v>94</v>
      </c>
      <c r="X383" s="62">
        <f t="shared" si="160"/>
        <v>0.95918367346938771</v>
      </c>
      <c r="Y383" s="74">
        <f>AVERAGEIFS(Tracker!I:I, Tracker!E:E, 1, Tracker!G:G, "&lt;="&amp;Daily!C383, Tracker!J:J, "Y")</f>
        <v>12.425531914893616</v>
      </c>
      <c r="Z383" s="77">
        <f>COUNTIFS(Tracker!E:E, 1, Tracker!G:G, "&lt;="&amp;Daily!C383, Tracker!L:L, "N") / V383</f>
        <v>0.80612244897959184</v>
      </c>
      <c r="AA383" s="48">
        <f t="shared" si="161"/>
        <v>248</v>
      </c>
      <c r="AB383" s="26">
        <f t="shared" si="162"/>
        <v>198</v>
      </c>
      <c r="AC383" s="62">
        <f t="shared" si="163"/>
        <v>0.79838709677419351</v>
      </c>
      <c r="AD383" s="74">
        <f>AVERAGEIFS(Tracker!I:I, Tracker!E:E, 2, Tracker!G:G, "&lt;="&amp;Daily!C383, Tracker!J:J, "Y")</f>
        <v>25.994949494949495</v>
      </c>
      <c r="AE383" s="77">
        <f>COUNTIFS(Tracker!E:E, 2, Tracker!G:G, "&lt;="&amp;Daily!C383, Tracker!L:L, "N") / AA383</f>
        <v>0.61693548387096775</v>
      </c>
      <c r="AF383" s="48">
        <f t="shared" si="164"/>
        <v>42</v>
      </c>
      <c r="AG383" s="26">
        <f t="shared" si="165"/>
        <v>27</v>
      </c>
      <c r="AH383" s="62">
        <f t="shared" si="166"/>
        <v>0.6428571428571429</v>
      </c>
      <c r="AI383" s="74">
        <f>IFERROR(AVERAGEIFS(Tracker!I:I, Tracker!E:E, 3, Tracker!G:G, "&lt;="&amp;Daily!C383, Tracker!J:J, "Y"), 0)</f>
        <v>40.074074074074076</v>
      </c>
      <c r="AJ383" s="77">
        <f>IFERROR(COUNTIFS(Tracker!E:E, 3, Tracker!G:G, "&lt;="&amp;Daily!C383, Tracker!L:L, "N") / AF383,  0)</f>
        <v>0.35714285714285715</v>
      </c>
      <c r="AK383" s="48">
        <f t="shared" si="167"/>
        <v>388</v>
      </c>
      <c r="AL383" s="26">
        <f t="shared" si="168"/>
        <v>319</v>
      </c>
      <c r="AM383" s="62">
        <f t="shared" si="169"/>
        <v>0.82216494845360821</v>
      </c>
      <c r="AN383" s="74">
        <f>IFERROR(AVERAGEIFS(Tracker!I:I,  Tracker!G:G, "&lt;="&amp;Daily!C383, Tracker!J:J, "Y"), 0)</f>
        <v>23.188087774294672</v>
      </c>
      <c r="AO383" s="77">
        <f>IFERROR(COUNTIFS(Tracker!G:G, "&lt;="&amp;Daily!C383, Tracker!L:L, "N") / AK383,  0)</f>
        <v>0.63659793814432986</v>
      </c>
    </row>
    <row r="384" spans="1:41" ht="15.75" hidden="1" thickBot="1" x14ac:dyDescent="0.3">
      <c r="A384" s="120"/>
      <c r="B384" s="34">
        <f t="shared" si="153"/>
        <v>45599</v>
      </c>
      <c r="C384" s="35">
        <f t="shared" si="170"/>
        <v>45599</v>
      </c>
      <c r="D384" s="110" t="b">
        <f t="shared" ca="1" si="152"/>
        <v>1</v>
      </c>
      <c r="E384" s="52">
        <f t="shared" si="154"/>
        <v>0</v>
      </c>
      <c r="F384" s="39">
        <f>COUNTIFS(Tracker!G:G,Daily!C384, Tracker!J:J,"Y")</f>
        <v>0</v>
      </c>
      <c r="G384" s="36">
        <f>COUNTIFS(Tracker!G:G,Daily!C384, Tracker!J:J,"Y (with hints)")</f>
        <v>0</v>
      </c>
      <c r="H384" s="37">
        <f>COUNTIFS(Tracker!G:G,Daily!C384, Tracker!J:J,"N")</f>
        <v>0</v>
      </c>
      <c r="I384" s="55">
        <f t="shared" si="155"/>
        <v>0</v>
      </c>
      <c r="J384" s="36">
        <f>COUNTIFS(Tracker!G:G,Daily!C384, Tracker!J:J,"Y",Tracker!E:E,1)</f>
        <v>0</v>
      </c>
      <c r="K384" s="36">
        <f>COUNTIFS(Tracker!G:G,Daily!C384, Tracker!J:J,"Y (with hints)",Tracker!E:E,1)</f>
        <v>0</v>
      </c>
      <c r="L384" s="37">
        <f>COUNTIFS(Tracker!G:G,Daily!C384, Tracker!J:J,"N",Tracker!E:E,1)</f>
        <v>0</v>
      </c>
      <c r="M384" s="55">
        <f t="shared" si="156"/>
        <v>0</v>
      </c>
      <c r="N384" s="36">
        <f>COUNTIFS(Tracker!G:G,Daily!C384, Tracker!J:J,"Y",Tracker!E:E,2)</f>
        <v>0</v>
      </c>
      <c r="O384" s="36">
        <f>COUNTIFS(Tracker!G:G,Daily!C384, Tracker!J:J,"Y (with hints)",Tracker!E:E,2)</f>
        <v>0</v>
      </c>
      <c r="P384" s="37">
        <f>COUNTIFS(Tracker!G:G,Daily!C384, Tracker!J:J,"N",Tracker!E:E,2)</f>
        <v>0</v>
      </c>
      <c r="Q384" s="58">
        <f t="shared" si="157"/>
        <v>0</v>
      </c>
      <c r="R384" s="36">
        <f>COUNTIFS(Tracker!G:G,Daily!C384, Tracker!J:J,"Y",Tracker!E:E,3)</f>
        <v>0</v>
      </c>
      <c r="S384" s="36">
        <f>COUNTIFS(Tracker!G:G,Daily!C384, Tracker!J:J,"Y (with hints)",Tracker!E:E,3)</f>
        <v>0</v>
      </c>
      <c r="T384" s="37">
        <f>COUNTIFS(Tracker!G:G,Daily!C384, Tracker!J:J,"N",Tracker!E:E,3)</f>
        <v>0</v>
      </c>
      <c r="V384" s="39">
        <f t="shared" si="158"/>
        <v>98</v>
      </c>
      <c r="W384" s="36">
        <f t="shared" si="159"/>
        <v>94</v>
      </c>
      <c r="X384" s="64">
        <f t="shared" si="160"/>
        <v>0.95918367346938771</v>
      </c>
      <c r="Y384" s="78">
        <f>AVERAGEIFS(Tracker!I:I, Tracker!E:E, 1, Tracker!G:G, "&lt;="&amp;Daily!C384, Tracker!J:J, "Y")</f>
        <v>12.425531914893616</v>
      </c>
      <c r="Z384" s="79">
        <f>COUNTIFS(Tracker!E:E, 1, Tracker!G:G, "&lt;="&amp;Daily!C384, Tracker!L:L, "N") / V384</f>
        <v>0.80612244897959184</v>
      </c>
      <c r="AA384" s="39">
        <f t="shared" si="161"/>
        <v>248</v>
      </c>
      <c r="AB384" s="36">
        <f t="shared" si="162"/>
        <v>198</v>
      </c>
      <c r="AC384" s="64">
        <f t="shared" si="163"/>
        <v>0.79838709677419351</v>
      </c>
      <c r="AD384" s="78">
        <f>AVERAGEIFS(Tracker!I:I, Tracker!E:E, 2, Tracker!G:G, "&lt;="&amp;Daily!C384, Tracker!J:J, "Y")</f>
        <v>25.994949494949495</v>
      </c>
      <c r="AE384" s="79">
        <f>COUNTIFS(Tracker!E:E, 2, Tracker!G:G, "&lt;="&amp;Daily!C384, Tracker!L:L, "N") / AA384</f>
        <v>0.61693548387096775</v>
      </c>
      <c r="AF384" s="39">
        <f t="shared" si="164"/>
        <v>42</v>
      </c>
      <c r="AG384" s="36">
        <f t="shared" si="165"/>
        <v>27</v>
      </c>
      <c r="AH384" s="64">
        <f t="shared" si="166"/>
        <v>0.6428571428571429</v>
      </c>
      <c r="AI384" s="78">
        <f>IFERROR(AVERAGEIFS(Tracker!I:I, Tracker!E:E, 3, Tracker!G:G, "&lt;="&amp;Daily!C384, Tracker!J:J, "Y"), 0)</f>
        <v>40.074074074074076</v>
      </c>
      <c r="AJ384" s="79">
        <f>IFERROR(COUNTIFS(Tracker!E:E, 3, Tracker!G:G, "&lt;="&amp;Daily!C384, Tracker!L:L, "N") / AF384,  0)</f>
        <v>0.35714285714285715</v>
      </c>
      <c r="AK384" s="39">
        <f t="shared" si="167"/>
        <v>388</v>
      </c>
      <c r="AL384" s="36">
        <f t="shared" si="168"/>
        <v>319</v>
      </c>
      <c r="AM384" s="64">
        <f t="shared" si="169"/>
        <v>0.82216494845360821</v>
      </c>
      <c r="AN384" s="78">
        <f>IFERROR(AVERAGEIFS(Tracker!I:I,  Tracker!G:G, "&lt;="&amp;Daily!C384, Tracker!J:J, "Y"), 0)</f>
        <v>23.188087774294672</v>
      </c>
      <c r="AO384" s="79">
        <f>IFERROR(COUNTIFS(Tracker!G:G, "&lt;="&amp;Daily!C384, Tracker!L:L, "N") / AK384,  0)</f>
        <v>0.63659793814432986</v>
      </c>
    </row>
    <row r="385" spans="1:41" hidden="1" x14ac:dyDescent="0.25">
      <c r="A385" s="118">
        <f>A378+1</f>
        <v>55</v>
      </c>
      <c r="B385" s="28">
        <f t="shared" si="153"/>
        <v>45600</v>
      </c>
      <c r="C385" s="29">
        <f t="shared" si="170"/>
        <v>45600</v>
      </c>
      <c r="D385" s="108" t="b">
        <f t="shared" ca="1" si="152"/>
        <v>1</v>
      </c>
      <c r="E385" s="50">
        <f t="shared" si="154"/>
        <v>3</v>
      </c>
      <c r="F385" s="38">
        <f>COUNTIFS(Tracker!G:G,Daily!C385, Tracker!J:J,"Y")</f>
        <v>2</v>
      </c>
      <c r="G385" s="30">
        <f>COUNTIFS(Tracker!G:G,Daily!C385, Tracker!J:J,"Y (with hints)")</f>
        <v>0</v>
      </c>
      <c r="H385" s="31">
        <f>COUNTIFS(Tracker!G:G,Daily!C385, Tracker!J:J,"N")</f>
        <v>1</v>
      </c>
      <c r="I385" s="53">
        <f t="shared" si="155"/>
        <v>1</v>
      </c>
      <c r="J385" s="30">
        <f>COUNTIFS(Tracker!G:G,Daily!C385, Tracker!J:J,"Y",Tracker!E:E,1)</f>
        <v>1</v>
      </c>
      <c r="K385" s="30">
        <f>COUNTIFS(Tracker!G:G,Daily!C385, Tracker!J:J,"Y (with hints)",Tracker!E:E,1)</f>
        <v>0</v>
      </c>
      <c r="L385" s="31">
        <f>COUNTIFS(Tracker!G:G,Daily!C385, Tracker!J:J,"N",Tracker!E:E,1)</f>
        <v>0</v>
      </c>
      <c r="M385" s="53">
        <f t="shared" si="156"/>
        <v>2</v>
      </c>
      <c r="N385" s="30">
        <f>COUNTIFS(Tracker!G:G,Daily!C385, Tracker!J:J,"Y",Tracker!E:E,2)</f>
        <v>1</v>
      </c>
      <c r="O385" s="30">
        <f>COUNTIFS(Tracker!G:G,Daily!C385, Tracker!J:J,"Y (with hints)",Tracker!E:E,2)</f>
        <v>0</v>
      </c>
      <c r="P385" s="31">
        <f>COUNTIFS(Tracker!G:G,Daily!C385, Tracker!J:J,"N",Tracker!E:E,2)</f>
        <v>1</v>
      </c>
      <c r="Q385" s="56">
        <f t="shared" si="157"/>
        <v>0</v>
      </c>
      <c r="R385" s="30">
        <f>COUNTIFS(Tracker!G:G,Daily!C385, Tracker!J:J,"Y",Tracker!E:E,3)</f>
        <v>0</v>
      </c>
      <c r="S385" s="30">
        <f>COUNTIFS(Tracker!G:G,Daily!C385, Tracker!J:J,"Y (with hints)",Tracker!E:E,3)</f>
        <v>0</v>
      </c>
      <c r="T385" s="31">
        <f>COUNTIFS(Tracker!G:G,Daily!C385, Tracker!J:J,"N",Tracker!E:E,3)</f>
        <v>0</v>
      </c>
      <c r="V385" s="38">
        <f t="shared" si="158"/>
        <v>99</v>
      </c>
      <c r="W385" s="30">
        <f t="shared" si="159"/>
        <v>95</v>
      </c>
      <c r="X385" s="73">
        <f t="shared" si="160"/>
        <v>0.95959595959595956</v>
      </c>
      <c r="Y385" s="75">
        <f>AVERAGEIFS(Tracker!I:I, Tracker!E:E, 1, Tracker!G:G, "&lt;="&amp;Daily!C385, Tracker!J:J, "Y")</f>
        <v>12.368421052631579</v>
      </c>
      <c r="Z385" s="76">
        <f>COUNTIFS(Tracker!E:E, 1, Tracker!G:G, "&lt;="&amp;Daily!C385, Tracker!L:L, "N") / V385</f>
        <v>0.80808080808080807</v>
      </c>
      <c r="AA385" s="38">
        <f t="shared" si="161"/>
        <v>250</v>
      </c>
      <c r="AB385" s="30">
        <f t="shared" si="162"/>
        <v>199</v>
      </c>
      <c r="AC385" s="73">
        <f t="shared" si="163"/>
        <v>0.79600000000000004</v>
      </c>
      <c r="AD385" s="75">
        <f>AVERAGEIFS(Tracker!I:I, Tracker!E:E, 2, Tracker!G:G, "&lt;="&amp;Daily!C385, Tracker!J:J, "Y")</f>
        <v>25.984924623115578</v>
      </c>
      <c r="AE385" s="76">
        <f>COUNTIFS(Tracker!E:E, 2, Tracker!G:G, "&lt;="&amp;Daily!C385, Tracker!L:L, "N") / AA385</f>
        <v>0.61599999999999999</v>
      </c>
      <c r="AF385" s="38">
        <f t="shared" si="164"/>
        <v>42</v>
      </c>
      <c r="AG385" s="30">
        <f t="shared" si="165"/>
        <v>27</v>
      </c>
      <c r="AH385" s="73">
        <f t="shared" si="166"/>
        <v>0.6428571428571429</v>
      </c>
      <c r="AI385" s="75">
        <f>IFERROR(AVERAGEIFS(Tracker!I:I, Tracker!E:E, 3, Tracker!G:G, "&lt;="&amp;Daily!C385, Tracker!J:J, "Y"), 0)</f>
        <v>40.074074074074076</v>
      </c>
      <c r="AJ385" s="76">
        <f>IFERROR(COUNTIFS(Tracker!E:E, 3, Tracker!G:G, "&lt;="&amp;Daily!C385, Tracker!L:L, "N") / AF385,  0)</f>
        <v>0.35714285714285715</v>
      </c>
      <c r="AK385" s="38">
        <f t="shared" si="167"/>
        <v>391</v>
      </c>
      <c r="AL385" s="30">
        <f t="shared" si="168"/>
        <v>321</v>
      </c>
      <c r="AM385" s="73">
        <f t="shared" si="169"/>
        <v>0.82097186700767266</v>
      </c>
      <c r="AN385" s="75">
        <f>IFERROR(AVERAGEIFS(Tracker!I:I,  Tracker!G:G, "&lt;="&amp;Daily!C385, Tracker!J:J, "Y"), 0)</f>
        <v>23.140186915887849</v>
      </c>
      <c r="AO385" s="76">
        <f>IFERROR(COUNTIFS(Tracker!G:G, "&lt;="&amp;Daily!C385, Tracker!L:L, "N") / AK385,  0)</f>
        <v>0.63682864450127874</v>
      </c>
    </row>
    <row r="386" spans="1:41" hidden="1" x14ac:dyDescent="0.25">
      <c r="A386" s="119"/>
      <c r="B386" s="32">
        <f t="shared" si="153"/>
        <v>45601</v>
      </c>
      <c r="C386" s="27">
        <f t="shared" si="170"/>
        <v>45601</v>
      </c>
      <c r="D386" s="109" t="b">
        <f t="shared" ca="1" si="152"/>
        <v>0</v>
      </c>
      <c r="E386" s="51">
        <f t="shared" si="154"/>
        <v>0</v>
      </c>
      <c r="F386" s="48">
        <f>COUNTIFS(Tracker!G:G,Daily!C386, Tracker!J:J,"Y")</f>
        <v>0</v>
      </c>
      <c r="G386" s="26">
        <f>COUNTIFS(Tracker!G:G,Daily!C386, Tracker!J:J,"Y (with hints)")</f>
        <v>0</v>
      </c>
      <c r="H386" s="33">
        <f>COUNTIFS(Tracker!G:G,Daily!C386, Tracker!J:J,"N")</f>
        <v>0</v>
      </c>
      <c r="I386" s="54">
        <f t="shared" si="155"/>
        <v>0</v>
      </c>
      <c r="J386" s="26">
        <f>COUNTIFS(Tracker!G:G,Daily!C386, Tracker!J:J,"Y",Tracker!E:E,1)</f>
        <v>0</v>
      </c>
      <c r="K386" s="26">
        <f>COUNTIFS(Tracker!G:G,Daily!C386, Tracker!J:J,"Y (with hints)",Tracker!E:E,1)</f>
        <v>0</v>
      </c>
      <c r="L386" s="33">
        <f>COUNTIFS(Tracker!G:G,Daily!C386, Tracker!J:J,"N",Tracker!E:E,1)</f>
        <v>0</v>
      </c>
      <c r="M386" s="54">
        <f t="shared" si="156"/>
        <v>0</v>
      </c>
      <c r="N386" s="26">
        <f>COUNTIFS(Tracker!G:G,Daily!C386, Tracker!J:J,"Y",Tracker!E:E,2)</f>
        <v>0</v>
      </c>
      <c r="O386" s="26">
        <f>COUNTIFS(Tracker!G:G,Daily!C386, Tracker!J:J,"Y (with hints)",Tracker!E:E,2)</f>
        <v>0</v>
      </c>
      <c r="P386" s="33">
        <f>COUNTIFS(Tracker!G:G,Daily!C386, Tracker!J:J,"N",Tracker!E:E,2)</f>
        <v>0</v>
      </c>
      <c r="Q386" s="57">
        <f t="shared" si="157"/>
        <v>0</v>
      </c>
      <c r="R386" s="26">
        <f>COUNTIFS(Tracker!G:G,Daily!C386, Tracker!J:J,"Y",Tracker!E:E,3)</f>
        <v>0</v>
      </c>
      <c r="S386" s="26">
        <f>COUNTIFS(Tracker!G:G,Daily!C386, Tracker!J:J,"Y (with hints)",Tracker!E:E,3)</f>
        <v>0</v>
      </c>
      <c r="T386" s="33">
        <f>COUNTIFS(Tracker!G:G,Daily!C386, Tracker!J:J,"N",Tracker!E:E,3)</f>
        <v>0</v>
      </c>
      <c r="V386" s="48">
        <f t="shared" si="158"/>
        <v>99</v>
      </c>
      <c r="W386" s="26">
        <f t="shared" si="159"/>
        <v>95</v>
      </c>
      <c r="X386" s="62">
        <f t="shared" si="160"/>
        <v>0.95959595959595956</v>
      </c>
      <c r="Y386" s="74">
        <f>AVERAGEIFS(Tracker!I:I, Tracker!E:E, 1, Tracker!G:G, "&lt;="&amp;Daily!C386, Tracker!J:J, "Y")</f>
        <v>12.368421052631579</v>
      </c>
      <c r="Z386" s="77">
        <f>COUNTIFS(Tracker!E:E, 1, Tracker!G:G, "&lt;="&amp;Daily!C386, Tracker!L:L, "N") / V386</f>
        <v>0.80808080808080807</v>
      </c>
      <c r="AA386" s="48">
        <f t="shared" si="161"/>
        <v>250</v>
      </c>
      <c r="AB386" s="26">
        <f t="shared" si="162"/>
        <v>199</v>
      </c>
      <c r="AC386" s="62">
        <f t="shared" si="163"/>
        <v>0.79600000000000004</v>
      </c>
      <c r="AD386" s="74">
        <f>AVERAGEIFS(Tracker!I:I, Tracker!E:E, 2, Tracker!G:G, "&lt;="&amp;Daily!C386, Tracker!J:J, "Y")</f>
        <v>25.984924623115578</v>
      </c>
      <c r="AE386" s="77">
        <f>COUNTIFS(Tracker!E:E, 2, Tracker!G:G, "&lt;="&amp;Daily!C386, Tracker!L:L, "N") / AA386</f>
        <v>0.61599999999999999</v>
      </c>
      <c r="AF386" s="48">
        <f t="shared" si="164"/>
        <v>42</v>
      </c>
      <c r="AG386" s="26">
        <f t="shared" si="165"/>
        <v>27</v>
      </c>
      <c r="AH386" s="62">
        <f t="shared" si="166"/>
        <v>0.6428571428571429</v>
      </c>
      <c r="AI386" s="74">
        <f>IFERROR(AVERAGEIFS(Tracker!I:I, Tracker!E:E, 3, Tracker!G:G, "&lt;="&amp;Daily!C386, Tracker!J:J, "Y"), 0)</f>
        <v>40.074074074074076</v>
      </c>
      <c r="AJ386" s="77">
        <f>IFERROR(COUNTIFS(Tracker!E:E, 3, Tracker!G:G, "&lt;="&amp;Daily!C386, Tracker!L:L, "N") / AF386,  0)</f>
        <v>0.35714285714285715</v>
      </c>
      <c r="AK386" s="48">
        <f t="shared" si="167"/>
        <v>391</v>
      </c>
      <c r="AL386" s="26">
        <f t="shared" si="168"/>
        <v>321</v>
      </c>
      <c r="AM386" s="62">
        <f t="shared" si="169"/>
        <v>0.82097186700767266</v>
      </c>
      <c r="AN386" s="74">
        <f>IFERROR(AVERAGEIFS(Tracker!I:I,  Tracker!G:G, "&lt;="&amp;Daily!C386, Tracker!J:J, "Y"), 0)</f>
        <v>23.140186915887849</v>
      </c>
      <c r="AO386" s="77">
        <f>IFERROR(COUNTIFS(Tracker!G:G, "&lt;="&amp;Daily!C386, Tracker!L:L, "N") / AK386,  0)</f>
        <v>0.63682864450127874</v>
      </c>
    </row>
    <row r="387" spans="1:41" hidden="1" x14ac:dyDescent="0.25">
      <c r="A387" s="119"/>
      <c r="B387" s="32">
        <f t="shared" si="153"/>
        <v>45602</v>
      </c>
      <c r="C387" s="27">
        <f t="shared" si="170"/>
        <v>45602</v>
      </c>
      <c r="D387" s="109" t="b">
        <f t="shared" ca="1" si="152"/>
        <v>0</v>
      </c>
      <c r="E387" s="51">
        <f t="shared" si="154"/>
        <v>0</v>
      </c>
      <c r="F387" s="48">
        <f>COUNTIFS(Tracker!G:G,Daily!C387, Tracker!J:J,"Y")</f>
        <v>0</v>
      </c>
      <c r="G387" s="26">
        <f>COUNTIFS(Tracker!G:G,Daily!C387, Tracker!J:J,"Y (with hints)")</f>
        <v>0</v>
      </c>
      <c r="H387" s="33">
        <f>COUNTIFS(Tracker!G:G,Daily!C387, Tracker!J:J,"N")</f>
        <v>0</v>
      </c>
      <c r="I387" s="54">
        <f t="shared" si="155"/>
        <v>0</v>
      </c>
      <c r="J387" s="26">
        <f>COUNTIFS(Tracker!G:G,Daily!C387, Tracker!J:J,"Y",Tracker!E:E,1)</f>
        <v>0</v>
      </c>
      <c r="K387" s="26">
        <f>COUNTIFS(Tracker!G:G,Daily!C387, Tracker!J:J,"Y (with hints)",Tracker!E:E,1)</f>
        <v>0</v>
      </c>
      <c r="L387" s="33">
        <f>COUNTIFS(Tracker!G:G,Daily!C387, Tracker!J:J,"N",Tracker!E:E,1)</f>
        <v>0</v>
      </c>
      <c r="M387" s="54">
        <f t="shared" si="156"/>
        <v>0</v>
      </c>
      <c r="N387" s="26">
        <f>COUNTIFS(Tracker!G:G,Daily!C387, Tracker!J:J,"Y",Tracker!E:E,2)</f>
        <v>0</v>
      </c>
      <c r="O387" s="26">
        <f>COUNTIFS(Tracker!G:G,Daily!C387, Tracker!J:J,"Y (with hints)",Tracker!E:E,2)</f>
        <v>0</v>
      </c>
      <c r="P387" s="33">
        <f>COUNTIFS(Tracker!G:G,Daily!C387, Tracker!J:J,"N",Tracker!E:E,2)</f>
        <v>0</v>
      </c>
      <c r="Q387" s="57">
        <f t="shared" si="157"/>
        <v>0</v>
      </c>
      <c r="R387" s="26">
        <f>COUNTIFS(Tracker!G:G,Daily!C387, Tracker!J:J,"Y",Tracker!E:E,3)</f>
        <v>0</v>
      </c>
      <c r="S387" s="26">
        <f>COUNTIFS(Tracker!G:G,Daily!C387, Tracker!J:J,"Y (with hints)",Tracker!E:E,3)</f>
        <v>0</v>
      </c>
      <c r="T387" s="33">
        <f>COUNTIFS(Tracker!G:G,Daily!C387, Tracker!J:J,"N",Tracker!E:E,3)</f>
        <v>0</v>
      </c>
      <c r="V387" s="48">
        <f t="shared" si="158"/>
        <v>99</v>
      </c>
      <c r="W387" s="26">
        <f t="shared" si="159"/>
        <v>95</v>
      </c>
      <c r="X387" s="62">
        <f t="shared" si="160"/>
        <v>0.95959595959595956</v>
      </c>
      <c r="Y387" s="74">
        <f>AVERAGEIFS(Tracker!I:I, Tracker!E:E, 1, Tracker!G:G, "&lt;="&amp;Daily!C387, Tracker!J:J, "Y")</f>
        <v>12.368421052631579</v>
      </c>
      <c r="Z387" s="77">
        <f>COUNTIFS(Tracker!E:E, 1, Tracker!G:G, "&lt;="&amp;Daily!C387, Tracker!L:L, "N") / V387</f>
        <v>0.80808080808080807</v>
      </c>
      <c r="AA387" s="48">
        <f t="shared" si="161"/>
        <v>250</v>
      </c>
      <c r="AB387" s="26">
        <f t="shared" si="162"/>
        <v>199</v>
      </c>
      <c r="AC387" s="62">
        <f t="shared" si="163"/>
        <v>0.79600000000000004</v>
      </c>
      <c r="AD387" s="74">
        <f>AVERAGEIFS(Tracker!I:I, Tracker!E:E, 2, Tracker!G:G, "&lt;="&amp;Daily!C387, Tracker!J:J, "Y")</f>
        <v>25.984924623115578</v>
      </c>
      <c r="AE387" s="77">
        <f>COUNTIFS(Tracker!E:E, 2, Tracker!G:G, "&lt;="&amp;Daily!C387, Tracker!L:L, "N") / AA387</f>
        <v>0.61599999999999999</v>
      </c>
      <c r="AF387" s="48">
        <f t="shared" si="164"/>
        <v>42</v>
      </c>
      <c r="AG387" s="26">
        <f t="shared" si="165"/>
        <v>27</v>
      </c>
      <c r="AH387" s="62">
        <f t="shared" si="166"/>
        <v>0.6428571428571429</v>
      </c>
      <c r="AI387" s="74">
        <f>IFERROR(AVERAGEIFS(Tracker!I:I, Tracker!E:E, 3, Tracker!G:G, "&lt;="&amp;Daily!C387, Tracker!J:J, "Y"), 0)</f>
        <v>40.074074074074076</v>
      </c>
      <c r="AJ387" s="77">
        <f>IFERROR(COUNTIFS(Tracker!E:E, 3, Tracker!G:G, "&lt;="&amp;Daily!C387, Tracker!L:L, "N") / AF387,  0)</f>
        <v>0.35714285714285715</v>
      </c>
      <c r="AK387" s="48">
        <f t="shared" si="167"/>
        <v>391</v>
      </c>
      <c r="AL387" s="26">
        <f t="shared" si="168"/>
        <v>321</v>
      </c>
      <c r="AM387" s="62">
        <f t="shared" si="169"/>
        <v>0.82097186700767266</v>
      </c>
      <c r="AN387" s="74">
        <f>IFERROR(AVERAGEIFS(Tracker!I:I,  Tracker!G:G, "&lt;="&amp;Daily!C387, Tracker!J:J, "Y"), 0)</f>
        <v>23.140186915887849</v>
      </c>
      <c r="AO387" s="77">
        <f>IFERROR(COUNTIFS(Tracker!G:G, "&lt;="&amp;Daily!C387, Tracker!L:L, "N") / AK387,  0)</f>
        <v>0.63682864450127874</v>
      </c>
    </row>
    <row r="388" spans="1:41" hidden="1" x14ac:dyDescent="0.25">
      <c r="A388" s="119"/>
      <c r="B388" s="32">
        <f t="shared" si="153"/>
        <v>45603</v>
      </c>
      <c r="C388" s="27">
        <f t="shared" si="170"/>
        <v>45603</v>
      </c>
      <c r="D388" s="109" t="b">
        <f t="shared" ca="1" si="152"/>
        <v>0</v>
      </c>
      <c r="E388" s="51">
        <f t="shared" si="154"/>
        <v>0</v>
      </c>
      <c r="F388" s="48">
        <f>COUNTIFS(Tracker!G:G,Daily!C388, Tracker!J:J,"Y")</f>
        <v>0</v>
      </c>
      <c r="G388" s="26">
        <f>COUNTIFS(Tracker!G:G,Daily!C388, Tracker!J:J,"Y (with hints)")</f>
        <v>0</v>
      </c>
      <c r="H388" s="33">
        <f>COUNTIFS(Tracker!G:G,Daily!C388, Tracker!J:J,"N")</f>
        <v>0</v>
      </c>
      <c r="I388" s="54">
        <f t="shared" si="155"/>
        <v>0</v>
      </c>
      <c r="J388" s="26">
        <f>COUNTIFS(Tracker!G:G,Daily!C388, Tracker!J:J,"Y",Tracker!E:E,1)</f>
        <v>0</v>
      </c>
      <c r="K388" s="26">
        <f>COUNTIFS(Tracker!G:G,Daily!C388, Tracker!J:J,"Y (with hints)",Tracker!E:E,1)</f>
        <v>0</v>
      </c>
      <c r="L388" s="33">
        <f>COUNTIFS(Tracker!G:G,Daily!C388, Tracker!J:J,"N",Tracker!E:E,1)</f>
        <v>0</v>
      </c>
      <c r="M388" s="54">
        <f t="shared" si="156"/>
        <v>0</v>
      </c>
      <c r="N388" s="26">
        <f>COUNTIFS(Tracker!G:G,Daily!C388, Tracker!J:J,"Y",Tracker!E:E,2)</f>
        <v>0</v>
      </c>
      <c r="O388" s="26">
        <f>COUNTIFS(Tracker!G:G,Daily!C388, Tracker!J:J,"Y (with hints)",Tracker!E:E,2)</f>
        <v>0</v>
      </c>
      <c r="P388" s="33">
        <f>COUNTIFS(Tracker!G:G,Daily!C388, Tracker!J:J,"N",Tracker!E:E,2)</f>
        <v>0</v>
      </c>
      <c r="Q388" s="57">
        <f t="shared" si="157"/>
        <v>0</v>
      </c>
      <c r="R388" s="26">
        <f>COUNTIFS(Tracker!G:G,Daily!C388, Tracker!J:J,"Y",Tracker!E:E,3)</f>
        <v>0</v>
      </c>
      <c r="S388" s="26">
        <f>COUNTIFS(Tracker!G:G,Daily!C388, Tracker!J:J,"Y (with hints)",Tracker!E:E,3)</f>
        <v>0</v>
      </c>
      <c r="T388" s="33">
        <f>COUNTIFS(Tracker!G:G,Daily!C388, Tracker!J:J,"N",Tracker!E:E,3)</f>
        <v>0</v>
      </c>
      <c r="V388" s="48">
        <f t="shared" si="158"/>
        <v>99</v>
      </c>
      <c r="W388" s="26">
        <f t="shared" si="159"/>
        <v>95</v>
      </c>
      <c r="X388" s="62">
        <f t="shared" si="160"/>
        <v>0.95959595959595956</v>
      </c>
      <c r="Y388" s="74">
        <f>AVERAGEIFS(Tracker!I:I, Tracker!E:E, 1, Tracker!G:G, "&lt;="&amp;Daily!C388, Tracker!J:J, "Y")</f>
        <v>12.368421052631579</v>
      </c>
      <c r="Z388" s="77">
        <f>COUNTIFS(Tracker!E:E, 1, Tracker!G:G, "&lt;="&amp;Daily!C388, Tracker!L:L, "N") / V388</f>
        <v>0.80808080808080807</v>
      </c>
      <c r="AA388" s="48">
        <f t="shared" si="161"/>
        <v>250</v>
      </c>
      <c r="AB388" s="26">
        <f t="shared" si="162"/>
        <v>199</v>
      </c>
      <c r="AC388" s="62">
        <f t="shared" si="163"/>
        <v>0.79600000000000004</v>
      </c>
      <c r="AD388" s="74">
        <f>AVERAGEIFS(Tracker!I:I, Tracker!E:E, 2, Tracker!G:G, "&lt;="&amp;Daily!C388, Tracker!J:J, "Y")</f>
        <v>25.984924623115578</v>
      </c>
      <c r="AE388" s="77">
        <f>COUNTIFS(Tracker!E:E, 2, Tracker!G:G, "&lt;="&amp;Daily!C388, Tracker!L:L, "N") / AA388</f>
        <v>0.61599999999999999</v>
      </c>
      <c r="AF388" s="48">
        <f t="shared" si="164"/>
        <v>42</v>
      </c>
      <c r="AG388" s="26">
        <f t="shared" si="165"/>
        <v>27</v>
      </c>
      <c r="AH388" s="62">
        <f t="shared" si="166"/>
        <v>0.6428571428571429</v>
      </c>
      <c r="AI388" s="74">
        <f>IFERROR(AVERAGEIFS(Tracker!I:I, Tracker!E:E, 3, Tracker!G:G, "&lt;="&amp;Daily!C388, Tracker!J:J, "Y"), 0)</f>
        <v>40.074074074074076</v>
      </c>
      <c r="AJ388" s="77">
        <f>IFERROR(COUNTIFS(Tracker!E:E, 3, Tracker!G:G, "&lt;="&amp;Daily!C388, Tracker!L:L, "N") / AF388,  0)</f>
        <v>0.35714285714285715</v>
      </c>
      <c r="AK388" s="48">
        <f t="shared" si="167"/>
        <v>391</v>
      </c>
      <c r="AL388" s="26">
        <f t="shared" si="168"/>
        <v>321</v>
      </c>
      <c r="AM388" s="62">
        <f t="shared" si="169"/>
        <v>0.82097186700767266</v>
      </c>
      <c r="AN388" s="74">
        <f>IFERROR(AVERAGEIFS(Tracker!I:I,  Tracker!G:G, "&lt;="&amp;Daily!C388, Tracker!J:J, "Y"), 0)</f>
        <v>23.140186915887849</v>
      </c>
      <c r="AO388" s="77">
        <f>IFERROR(COUNTIFS(Tracker!G:G, "&lt;="&amp;Daily!C388, Tracker!L:L, "N") / AK388,  0)</f>
        <v>0.63682864450127874</v>
      </c>
    </row>
    <row r="389" spans="1:41" hidden="1" x14ac:dyDescent="0.25">
      <c r="A389" s="119"/>
      <c r="B389" s="32">
        <f t="shared" si="153"/>
        <v>45604</v>
      </c>
      <c r="C389" s="27">
        <f t="shared" si="170"/>
        <v>45604</v>
      </c>
      <c r="D389" s="109" t="b">
        <f t="shared" ref="D389:D440" ca="1" si="171">C389&lt;=TODAY()</f>
        <v>0</v>
      </c>
      <c r="E389" s="51">
        <f t="shared" si="154"/>
        <v>0</v>
      </c>
      <c r="F389" s="48">
        <f>COUNTIFS(Tracker!G:G,Daily!C389, Tracker!J:J,"Y")</f>
        <v>0</v>
      </c>
      <c r="G389" s="26">
        <f>COUNTIFS(Tracker!G:G,Daily!C389, Tracker!J:J,"Y (with hints)")</f>
        <v>0</v>
      </c>
      <c r="H389" s="33">
        <f>COUNTIFS(Tracker!G:G,Daily!C389, Tracker!J:J,"N")</f>
        <v>0</v>
      </c>
      <c r="I389" s="54">
        <f t="shared" si="155"/>
        <v>0</v>
      </c>
      <c r="J389" s="26">
        <f>COUNTIFS(Tracker!G:G,Daily!C389, Tracker!J:J,"Y",Tracker!E:E,1)</f>
        <v>0</v>
      </c>
      <c r="K389" s="26">
        <f>COUNTIFS(Tracker!G:G,Daily!C389, Tracker!J:J,"Y (with hints)",Tracker!E:E,1)</f>
        <v>0</v>
      </c>
      <c r="L389" s="33">
        <f>COUNTIFS(Tracker!G:G,Daily!C389, Tracker!J:J,"N",Tracker!E:E,1)</f>
        <v>0</v>
      </c>
      <c r="M389" s="54">
        <f t="shared" si="156"/>
        <v>0</v>
      </c>
      <c r="N389" s="26">
        <f>COUNTIFS(Tracker!G:G,Daily!C389, Tracker!J:J,"Y",Tracker!E:E,2)</f>
        <v>0</v>
      </c>
      <c r="O389" s="26">
        <f>COUNTIFS(Tracker!G:G,Daily!C389, Tracker!J:J,"Y (with hints)",Tracker!E:E,2)</f>
        <v>0</v>
      </c>
      <c r="P389" s="33">
        <f>COUNTIFS(Tracker!G:G,Daily!C389, Tracker!J:J,"N",Tracker!E:E,2)</f>
        <v>0</v>
      </c>
      <c r="Q389" s="57">
        <f t="shared" si="157"/>
        <v>0</v>
      </c>
      <c r="R389" s="26">
        <f>COUNTIFS(Tracker!G:G,Daily!C389, Tracker!J:J,"Y",Tracker!E:E,3)</f>
        <v>0</v>
      </c>
      <c r="S389" s="26">
        <f>COUNTIFS(Tracker!G:G,Daily!C389, Tracker!J:J,"Y (with hints)",Tracker!E:E,3)</f>
        <v>0</v>
      </c>
      <c r="T389" s="33">
        <f>COUNTIFS(Tracker!G:G,Daily!C389, Tracker!J:J,"N",Tracker!E:E,3)</f>
        <v>0</v>
      </c>
      <c r="V389" s="48">
        <f t="shared" si="158"/>
        <v>99</v>
      </c>
      <c r="W389" s="26">
        <f t="shared" si="159"/>
        <v>95</v>
      </c>
      <c r="X389" s="62">
        <f t="shared" si="160"/>
        <v>0.95959595959595956</v>
      </c>
      <c r="Y389" s="74">
        <f>AVERAGEIFS(Tracker!I:I, Tracker!E:E, 1, Tracker!G:G, "&lt;="&amp;Daily!C389, Tracker!J:J, "Y")</f>
        <v>12.368421052631579</v>
      </c>
      <c r="Z389" s="77">
        <f>COUNTIFS(Tracker!E:E, 1, Tracker!G:G, "&lt;="&amp;Daily!C389, Tracker!L:L, "N") / V389</f>
        <v>0.80808080808080807</v>
      </c>
      <c r="AA389" s="48">
        <f t="shared" si="161"/>
        <v>250</v>
      </c>
      <c r="AB389" s="26">
        <f t="shared" si="162"/>
        <v>199</v>
      </c>
      <c r="AC389" s="62">
        <f t="shared" si="163"/>
        <v>0.79600000000000004</v>
      </c>
      <c r="AD389" s="74">
        <f>AVERAGEIFS(Tracker!I:I, Tracker!E:E, 2, Tracker!G:G, "&lt;="&amp;Daily!C389, Tracker!J:J, "Y")</f>
        <v>25.984924623115578</v>
      </c>
      <c r="AE389" s="77">
        <f>COUNTIFS(Tracker!E:E, 2, Tracker!G:G, "&lt;="&amp;Daily!C389, Tracker!L:L, "N") / AA389</f>
        <v>0.61599999999999999</v>
      </c>
      <c r="AF389" s="48">
        <f t="shared" si="164"/>
        <v>42</v>
      </c>
      <c r="AG389" s="26">
        <f t="shared" si="165"/>
        <v>27</v>
      </c>
      <c r="AH389" s="62">
        <f t="shared" si="166"/>
        <v>0.6428571428571429</v>
      </c>
      <c r="AI389" s="74">
        <f>IFERROR(AVERAGEIFS(Tracker!I:I, Tracker!E:E, 3, Tracker!G:G, "&lt;="&amp;Daily!C389, Tracker!J:J, "Y"), 0)</f>
        <v>40.074074074074076</v>
      </c>
      <c r="AJ389" s="77">
        <f>IFERROR(COUNTIFS(Tracker!E:E, 3, Tracker!G:G, "&lt;="&amp;Daily!C389, Tracker!L:L, "N") / AF389,  0)</f>
        <v>0.35714285714285715</v>
      </c>
      <c r="AK389" s="48">
        <f t="shared" si="167"/>
        <v>391</v>
      </c>
      <c r="AL389" s="26">
        <f t="shared" si="168"/>
        <v>321</v>
      </c>
      <c r="AM389" s="62">
        <f t="shared" si="169"/>
        <v>0.82097186700767266</v>
      </c>
      <c r="AN389" s="74">
        <f>IFERROR(AVERAGEIFS(Tracker!I:I,  Tracker!G:G, "&lt;="&amp;Daily!C389, Tracker!J:J, "Y"), 0)</f>
        <v>23.140186915887849</v>
      </c>
      <c r="AO389" s="77">
        <f>IFERROR(COUNTIFS(Tracker!G:G, "&lt;="&amp;Daily!C389, Tracker!L:L, "N") / AK389,  0)</f>
        <v>0.63682864450127874</v>
      </c>
    </row>
    <row r="390" spans="1:41" hidden="1" x14ac:dyDescent="0.25">
      <c r="A390" s="119"/>
      <c r="B390" s="32">
        <f t="shared" si="153"/>
        <v>45605</v>
      </c>
      <c r="C390" s="27">
        <f t="shared" si="170"/>
        <v>45605</v>
      </c>
      <c r="D390" s="109" t="b">
        <f t="shared" ca="1" si="171"/>
        <v>0</v>
      </c>
      <c r="E390" s="51">
        <f t="shared" si="154"/>
        <v>0</v>
      </c>
      <c r="F390" s="48">
        <f>COUNTIFS(Tracker!G:G,Daily!C390, Tracker!J:J,"Y")</f>
        <v>0</v>
      </c>
      <c r="G390" s="26">
        <f>COUNTIFS(Tracker!G:G,Daily!C390, Tracker!J:J,"Y (with hints)")</f>
        <v>0</v>
      </c>
      <c r="H390" s="33">
        <f>COUNTIFS(Tracker!G:G,Daily!C390, Tracker!J:J,"N")</f>
        <v>0</v>
      </c>
      <c r="I390" s="54">
        <f t="shared" si="155"/>
        <v>0</v>
      </c>
      <c r="J390" s="26">
        <f>COUNTIFS(Tracker!G:G,Daily!C390, Tracker!J:J,"Y",Tracker!E:E,1)</f>
        <v>0</v>
      </c>
      <c r="K390" s="26">
        <f>COUNTIFS(Tracker!G:G,Daily!C390, Tracker!J:J,"Y (with hints)",Tracker!E:E,1)</f>
        <v>0</v>
      </c>
      <c r="L390" s="33">
        <f>COUNTIFS(Tracker!G:G,Daily!C390, Tracker!J:J,"N",Tracker!E:E,1)</f>
        <v>0</v>
      </c>
      <c r="M390" s="54">
        <f t="shared" si="156"/>
        <v>0</v>
      </c>
      <c r="N390" s="26">
        <f>COUNTIFS(Tracker!G:G,Daily!C390, Tracker!J:J,"Y",Tracker!E:E,2)</f>
        <v>0</v>
      </c>
      <c r="O390" s="26">
        <f>COUNTIFS(Tracker!G:G,Daily!C390, Tracker!J:J,"Y (with hints)",Tracker!E:E,2)</f>
        <v>0</v>
      </c>
      <c r="P390" s="33">
        <f>COUNTIFS(Tracker!G:G,Daily!C390, Tracker!J:J,"N",Tracker!E:E,2)</f>
        <v>0</v>
      </c>
      <c r="Q390" s="57">
        <f t="shared" si="157"/>
        <v>0</v>
      </c>
      <c r="R390" s="26">
        <f>COUNTIFS(Tracker!G:G,Daily!C390, Tracker!J:J,"Y",Tracker!E:E,3)</f>
        <v>0</v>
      </c>
      <c r="S390" s="26">
        <f>COUNTIFS(Tracker!G:G,Daily!C390, Tracker!J:J,"Y (with hints)",Tracker!E:E,3)</f>
        <v>0</v>
      </c>
      <c r="T390" s="33">
        <f>COUNTIFS(Tracker!G:G,Daily!C390, Tracker!J:J,"N",Tracker!E:E,3)</f>
        <v>0</v>
      </c>
      <c r="V390" s="48">
        <f t="shared" si="158"/>
        <v>99</v>
      </c>
      <c r="W390" s="26">
        <f t="shared" si="159"/>
        <v>95</v>
      </c>
      <c r="X390" s="62">
        <f t="shared" si="160"/>
        <v>0.95959595959595956</v>
      </c>
      <c r="Y390" s="74">
        <f>AVERAGEIFS(Tracker!I:I, Tracker!E:E, 1, Tracker!G:G, "&lt;="&amp;Daily!C390, Tracker!J:J, "Y")</f>
        <v>12.368421052631579</v>
      </c>
      <c r="Z390" s="77">
        <f>COUNTIFS(Tracker!E:E, 1, Tracker!G:G, "&lt;="&amp;Daily!C390, Tracker!L:L, "N") / V390</f>
        <v>0.80808080808080807</v>
      </c>
      <c r="AA390" s="48">
        <f t="shared" si="161"/>
        <v>250</v>
      </c>
      <c r="AB390" s="26">
        <f t="shared" si="162"/>
        <v>199</v>
      </c>
      <c r="AC390" s="62">
        <f t="shared" si="163"/>
        <v>0.79600000000000004</v>
      </c>
      <c r="AD390" s="74">
        <f>AVERAGEIFS(Tracker!I:I, Tracker!E:E, 2, Tracker!G:G, "&lt;="&amp;Daily!C390, Tracker!J:J, "Y")</f>
        <v>25.984924623115578</v>
      </c>
      <c r="AE390" s="77">
        <f>COUNTIFS(Tracker!E:E, 2, Tracker!G:G, "&lt;="&amp;Daily!C390, Tracker!L:L, "N") / AA390</f>
        <v>0.61599999999999999</v>
      </c>
      <c r="AF390" s="48">
        <f t="shared" si="164"/>
        <v>42</v>
      </c>
      <c r="AG390" s="26">
        <f t="shared" si="165"/>
        <v>27</v>
      </c>
      <c r="AH390" s="62">
        <f t="shared" si="166"/>
        <v>0.6428571428571429</v>
      </c>
      <c r="AI390" s="74">
        <f>IFERROR(AVERAGEIFS(Tracker!I:I, Tracker!E:E, 3, Tracker!G:G, "&lt;="&amp;Daily!C390, Tracker!J:J, "Y"), 0)</f>
        <v>40.074074074074076</v>
      </c>
      <c r="AJ390" s="77">
        <f>IFERROR(COUNTIFS(Tracker!E:E, 3, Tracker!G:G, "&lt;="&amp;Daily!C390, Tracker!L:L, "N") / AF390,  0)</f>
        <v>0.35714285714285715</v>
      </c>
      <c r="AK390" s="48">
        <f t="shared" si="167"/>
        <v>391</v>
      </c>
      <c r="AL390" s="26">
        <f t="shared" si="168"/>
        <v>321</v>
      </c>
      <c r="AM390" s="62">
        <f t="shared" si="169"/>
        <v>0.82097186700767266</v>
      </c>
      <c r="AN390" s="74">
        <f>IFERROR(AVERAGEIFS(Tracker!I:I,  Tracker!G:G, "&lt;="&amp;Daily!C390, Tracker!J:J, "Y"), 0)</f>
        <v>23.140186915887849</v>
      </c>
      <c r="AO390" s="77">
        <f>IFERROR(COUNTIFS(Tracker!G:G, "&lt;="&amp;Daily!C390, Tracker!L:L, "N") / AK390,  0)</f>
        <v>0.63682864450127874</v>
      </c>
    </row>
    <row r="391" spans="1:41" ht="15.75" hidden="1" thickBot="1" x14ac:dyDescent="0.3">
      <c r="A391" s="120"/>
      <c r="B391" s="34">
        <f t="shared" si="153"/>
        <v>45606</v>
      </c>
      <c r="C391" s="35">
        <f t="shared" si="170"/>
        <v>45606</v>
      </c>
      <c r="D391" s="110" t="b">
        <f t="shared" ca="1" si="171"/>
        <v>0</v>
      </c>
      <c r="E391" s="52">
        <f t="shared" si="154"/>
        <v>0</v>
      </c>
      <c r="F391" s="39">
        <f>COUNTIFS(Tracker!G:G,Daily!C391, Tracker!J:J,"Y")</f>
        <v>0</v>
      </c>
      <c r="G391" s="36">
        <f>COUNTIFS(Tracker!G:G,Daily!C391, Tracker!J:J,"Y (with hints)")</f>
        <v>0</v>
      </c>
      <c r="H391" s="37">
        <f>COUNTIFS(Tracker!G:G,Daily!C391, Tracker!J:J,"N")</f>
        <v>0</v>
      </c>
      <c r="I391" s="55">
        <f t="shared" si="155"/>
        <v>0</v>
      </c>
      <c r="J391" s="36">
        <f>COUNTIFS(Tracker!G:G,Daily!C391, Tracker!J:J,"Y",Tracker!E:E,1)</f>
        <v>0</v>
      </c>
      <c r="K391" s="36">
        <f>COUNTIFS(Tracker!G:G,Daily!C391, Tracker!J:J,"Y (with hints)",Tracker!E:E,1)</f>
        <v>0</v>
      </c>
      <c r="L391" s="37">
        <f>COUNTIFS(Tracker!G:G,Daily!C391, Tracker!J:J,"N",Tracker!E:E,1)</f>
        <v>0</v>
      </c>
      <c r="M391" s="55">
        <f t="shared" si="156"/>
        <v>0</v>
      </c>
      <c r="N391" s="36">
        <f>COUNTIFS(Tracker!G:G,Daily!C391, Tracker!J:J,"Y",Tracker!E:E,2)</f>
        <v>0</v>
      </c>
      <c r="O391" s="36">
        <f>COUNTIFS(Tracker!G:G,Daily!C391, Tracker!J:J,"Y (with hints)",Tracker!E:E,2)</f>
        <v>0</v>
      </c>
      <c r="P391" s="37">
        <f>COUNTIFS(Tracker!G:G,Daily!C391, Tracker!J:J,"N",Tracker!E:E,2)</f>
        <v>0</v>
      </c>
      <c r="Q391" s="58">
        <f t="shared" si="157"/>
        <v>0</v>
      </c>
      <c r="R391" s="36">
        <f>COUNTIFS(Tracker!G:G,Daily!C391, Tracker!J:J,"Y",Tracker!E:E,3)</f>
        <v>0</v>
      </c>
      <c r="S391" s="36">
        <f>COUNTIFS(Tracker!G:G,Daily!C391, Tracker!J:J,"Y (with hints)",Tracker!E:E,3)</f>
        <v>0</v>
      </c>
      <c r="T391" s="37">
        <f>COUNTIFS(Tracker!G:G,Daily!C391, Tracker!J:J,"N",Tracker!E:E,3)</f>
        <v>0</v>
      </c>
      <c r="V391" s="39">
        <f t="shared" si="158"/>
        <v>99</v>
      </c>
      <c r="W391" s="36">
        <f t="shared" si="159"/>
        <v>95</v>
      </c>
      <c r="X391" s="64">
        <f t="shared" si="160"/>
        <v>0.95959595959595956</v>
      </c>
      <c r="Y391" s="78">
        <f>AVERAGEIFS(Tracker!I:I, Tracker!E:E, 1, Tracker!G:G, "&lt;="&amp;Daily!C391, Tracker!J:J, "Y")</f>
        <v>12.368421052631579</v>
      </c>
      <c r="Z391" s="79">
        <f>COUNTIFS(Tracker!E:E, 1, Tracker!G:G, "&lt;="&amp;Daily!C391, Tracker!L:L, "N") / V391</f>
        <v>0.80808080808080807</v>
      </c>
      <c r="AA391" s="39">
        <f t="shared" si="161"/>
        <v>250</v>
      </c>
      <c r="AB391" s="36">
        <f t="shared" si="162"/>
        <v>199</v>
      </c>
      <c r="AC391" s="64">
        <f t="shared" si="163"/>
        <v>0.79600000000000004</v>
      </c>
      <c r="AD391" s="78">
        <f>AVERAGEIFS(Tracker!I:I, Tracker!E:E, 2, Tracker!G:G, "&lt;="&amp;Daily!C391, Tracker!J:J, "Y")</f>
        <v>25.984924623115578</v>
      </c>
      <c r="AE391" s="79">
        <f>COUNTIFS(Tracker!E:E, 2, Tracker!G:G, "&lt;="&amp;Daily!C391, Tracker!L:L, "N") / AA391</f>
        <v>0.61599999999999999</v>
      </c>
      <c r="AF391" s="39">
        <f t="shared" si="164"/>
        <v>42</v>
      </c>
      <c r="AG391" s="36">
        <f t="shared" si="165"/>
        <v>27</v>
      </c>
      <c r="AH391" s="64">
        <f t="shared" si="166"/>
        <v>0.6428571428571429</v>
      </c>
      <c r="AI391" s="78">
        <f>IFERROR(AVERAGEIFS(Tracker!I:I, Tracker!E:E, 3, Tracker!G:G, "&lt;="&amp;Daily!C391, Tracker!J:J, "Y"), 0)</f>
        <v>40.074074074074076</v>
      </c>
      <c r="AJ391" s="79">
        <f>IFERROR(COUNTIFS(Tracker!E:E, 3, Tracker!G:G, "&lt;="&amp;Daily!C391, Tracker!L:L, "N") / AF391,  0)</f>
        <v>0.35714285714285715</v>
      </c>
      <c r="AK391" s="39">
        <f t="shared" si="167"/>
        <v>391</v>
      </c>
      <c r="AL391" s="36">
        <f t="shared" si="168"/>
        <v>321</v>
      </c>
      <c r="AM391" s="64">
        <f t="shared" si="169"/>
        <v>0.82097186700767266</v>
      </c>
      <c r="AN391" s="78">
        <f>IFERROR(AVERAGEIFS(Tracker!I:I,  Tracker!G:G, "&lt;="&amp;Daily!C391, Tracker!J:J, "Y"), 0)</f>
        <v>23.140186915887849</v>
      </c>
      <c r="AO391" s="79">
        <f>IFERROR(COUNTIFS(Tracker!G:G, "&lt;="&amp;Daily!C391, Tracker!L:L, "N") / AK391,  0)</f>
        <v>0.63682864450127874</v>
      </c>
    </row>
    <row r="392" spans="1:41" hidden="1" x14ac:dyDescent="0.25">
      <c r="A392" s="118">
        <f>A385+1</f>
        <v>56</v>
      </c>
      <c r="B392" s="28">
        <f t="shared" si="153"/>
        <v>45607</v>
      </c>
      <c r="C392" s="29">
        <f t="shared" si="170"/>
        <v>45607</v>
      </c>
      <c r="D392" s="108" t="b">
        <f t="shared" ca="1" si="171"/>
        <v>0</v>
      </c>
      <c r="E392" s="50">
        <f t="shared" si="154"/>
        <v>0</v>
      </c>
      <c r="F392" s="38">
        <f>COUNTIFS(Tracker!G:G,Daily!C392, Tracker!J:J,"Y")</f>
        <v>0</v>
      </c>
      <c r="G392" s="30">
        <f>COUNTIFS(Tracker!G:G,Daily!C392, Tracker!J:J,"Y (with hints)")</f>
        <v>0</v>
      </c>
      <c r="H392" s="31">
        <f>COUNTIFS(Tracker!G:G,Daily!C392, Tracker!J:J,"N")</f>
        <v>0</v>
      </c>
      <c r="I392" s="53">
        <f t="shared" si="155"/>
        <v>0</v>
      </c>
      <c r="J392" s="30">
        <f>COUNTIFS(Tracker!G:G,Daily!C392, Tracker!J:J,"Y",Tracker!E:E,1)</f>
        <v>0</v>
      </c>
      <c r="K392" s="30">
        <f>COUNTIFS(Tracker!G:G,Daily!C392, Tracker!J:J,"Y (with hints)",Tracker!E:E,1)</f>
        <v>0</v>
      </c>
      <c r="L392" s="31">
        <f>COUNTIFS(Tracker!G:G,Daily!C392, Tracker!J:J,"N",Tracker!E:E,1)</f>
        <v>0</v>
      </c>
      <c r="M392" s="53">
        <f t="shared" si="156"/>
        <v>0</v>
      </c>
      <c r="N392" s="30">
        <f>COUNTIFS(Tracker!G:G,Daily!C392, Tracker!J:J,"Y",Tracker!E:E,2)</f>
        <v>0</v>
      </c>
      <c r="O392" s="30">
        <f>COUNTIFS(Tracker!G:G,Daily!C392, Tracker!J:J,"Y (with hints)",Tracker!E:E,2)</f>
        <v>0</v>
      </c>
      <c r="P392" s="31">
        <f>COUNTIFS(Tracker!G:G,Daily!C392, Tracker!J:J,"N",Tracker!E:E,2)</f>
        <v>0</v>
      </c>
      <c r="Q392" s="56">
        <f t="shared" si="157"/>
        <v>0</v>
      </c>
      <c r="R392" s="30">
        <f>COUNTIFS(Tracker!G:G,Daily!C392, Tracker!J:J,"Y",Tracker!E:E,3)</f>
        <v>0</v>
      </c>
      <c r="S392" s="30">
        <f>COUNTIFS(Tracker!G:G,Daily!C392, Tracker!J:J,"Y (with hints)",Tracker!E:E,3)</f>
        <v>0</v>
      </c>
      <c r="T392" s="31">
        <f>COUNTIFS(Tracker!G:G,Daily!C392, Tracker!J:J,"N",Tracker!E:E,3)</f>
        <v>0</v>
      </c>
      <c r="V392" s="38">
        <f t="shared" si="158"/>
        <v>99</v>
      </c>
      <c r="W392" s="30">
        <f t="shared" si="159"/>
        <v>95</v>
      </c>
      <c r="X392" s="73">
        <f t="shared" si="160"/>
        <v>0.95959595959595956</v>
      </c>
      <c r="Y392" s="75">
        <f>AVERAGEIFS(Tracker!I:I, Tracker!E:E, 1, Tracker!G:G, "&lt;="&amp;Daily!C392, Tracker!J:J, "Y")</f>
        <v>12.368421052631579</v>
      </c>
      <c r="Z392" s="76">
        <f>COUNTIFS(Tracker!E:E, 1, Tracker!G:G, "&lt;="&amp;Daily!C392, Tracker!L:L, "N") / V392</f>
        <v>0.80808080808080807</v>
      </c>
      <c r="AA392" s="38">
        <f t="shared" si="161"/>
        <v>250</v>
      </c>
      <c r="AB392" s="30">
        <f t="shared" si="162"/>
        <v>199</v>
      </c>
      <c r="AC392" s="73">
        <f t="shared" si="163"/>
        <v>0.79600000000000004</v>
      </c>
      <c r="AD392" s="75">
        <f>AVERAGEIFS(Tracker!I:I, Tracker!E:E, 2, Tracker!G:G, "&lt;="&amp;Daily!C392, Tracker!J:J, "Y")</f>
        <v>25.984924623115578</v>
      </c>
      <c r="AE392" s="76">
        <f>COUNTIFS(Tracker!E:E, 2, Tracker!G:G, "&lt;="&amp;Daily!C392, Tracker!L:L, "N") / AA392</f>
        <v>0.61599999999999999</v>
      </c>
      <c r="AF392" s="38">
        <f t="shared" si="164"/>
        <v>42</v>
      </c>
      <c r="AG392" s="30">
        <f t="shared" si="165"/>
        <v>27</v>
      </c>
      <c r="AH392" s="73">
        <f t="shared" si="166"/>
        <v>0.6428571428571429</v>
      </c>
      <c r="AI392" s="75">
        <f>IFERROR(AVERAGEIFS(Tracker!I:I, Tracker!E:E, 3, Tracker!G:G, "&lt;="&amp;Daily!C392, Tracker!J:J, "Y"), 0)</f>
        <v>40.074074074074076</v>
      </c>
      <c r="AJ392" s="76">
        <f>IFERROR(COUNTIFS(Tracker!E:E, 3, Tracker!G:G, "&lt;="&amp;Daily!C392, Tracker!L:L, "N") / AF392,  0)</f>
        <v>0.35714285714285715</v>
      </c>
      <c r="AK392" s="38">
        <f t="shared" si="167"/>
        <v>391</v>
      </c>
      <c r="AL392" s="30">
        <f t="shared" si="168"/>
        <v>321</v>
      </c>
      <c r="AM392" s="73">
        <f t="shared" si="169"/>
        <v>0.82097186700767266</v>
      </c>
      <c r="AN392" s="75">
        <f>IFERROR(AVERAGEIFS(Tracker!I:I,  Tracker!G:G, "&lt;="&amp;Daily!C392, Tracker!J:J, "Y"), 0)</f>
        <v>23.140186915887849</v>
      </c>
      <c r="AO392" s="76">
        <f>IFERROR(COUNTIFS(Tracker!G:G, "&lt;="&amp;Daily!C392, Tracker!L:L, "N") / AK392,  0)</f>
        <v>0.63682864450127874</v>
      </c>
    </row>
    <row r="393" spans="1:41" hidden="1" x14ac:dyDescent="0.25">
      <c r="A393" s="119"/>
      <c r="B393" s="32">
        <f t="shared" si="153"/>
        <v>45608</v>
      </c>
      <c r="C393" s="27">
        <f t="shared" si="170"/>
        <v>45608</v>
      </c>
      <c r="D393" s="109" t="b">
        <f t="shared" ca="1" si="171"/>
        <v>0</v>
      </c>
      <c r="E393" s="51">
        <f t="shared" si="154"/>
        <v>0</v>
      </c>
      <c r="F393" s="48">
        <f>COUNTIFS(Tracker!G:G,Daily!C393, Tracker!J:J,"Y")</f>
        <v>0</v>
      </c>
      <c r="G393" s="26">
        <f>COUNTIFS(Tracker!G:G,Daily!C393, Tracker!J:J,"Y (with hints)")</f>
        <v>0</v>
      </c>
      <c r="H393" s="33">
        <f>COUNTIFS(Tracker!G:G,Daily!C393, Tracker!J:J,"N")</f>
        <v>0</v>
      </c>
      <c r="I393" s="54">
        <f t="shared" si="155"/>
        <v>0</v>
      </c>
      <c r="J393" s="26">
        <f>COUNTIFS(Tracker!G:G,Daily!C393, Tracker!J:J,"Y",Tracker!E:E,1)</f>
        <v>0</v>
      </c>
      <c r="K393" s="26">
        <f>COUNTIFS(Tracker!G:G,Daily!C393, Tracker!J:J,"Y (with hints)",Tracker!E:E,1)</f>
        <v>0</v>
      </c>
      <c r="L393" s="33">
        <f>COUNTIFS(Tracker!G:G,Daily!C393, Tracker!J:J,"N",Tracker!E:E,1)</f>
        <v>0</v>
      </c>
      <c r="M393" s="54">
        <f t="shared" si="156"/>
        <v>0</v>
      </c>
      <c r="N393" s="26">
        <f>COUNTIFS(Tracker!G:G,Daily!C393, Tracker!J:J,"Y",Tracker!E:E,2)</f>
        <v>0</v>
      </c>
      <c r="O393" s="26">
        <f>COUNTIFS(Tracker!G:G,Daily!C393, Tracker!J:J,"Y (with hints)",Tracker!E:E,2)</f>
        <v>0</v>
      </c>
      <c r="P393" s="33">
        <f>COUNTIFS(Tracker!G:G,Daily!C393, Tracker!J:J,"N",Tracker!E:E,2)</f>
        <v>0</v>
      </c>
      <c r="Q393" s="57">
        <f t="shared" si="157"/>
        <v>0</v>
      </c>
      <c r="R393" s="26">
        <f>COUNTIFS(Tracker!G:G,Daily!C393, Tracker!J:J,"Y",Tracker!E:E,3)</f>
        <v>0</v>
      </c>
      <c r="S393" s="26">
        <f>COUNTIFS(Tracker!G:G,Daily!C393, Tracker!J:J,"Y (with hints)",Tracker!E:E,3)</f>
        <v>0</v>
      </c>
      <c r="T393" s="33">
        <f>COUNTIFS(Tracker!G:G,Daily!C393, Tracker!J:J,"N",Tracker!E:E,3)</f>
        <v>0</v>
      </c>
      <c r="V393" s="48">
        <f t="shared" si="158"/>
        <v>99</v>
      </c>
      <c r="W393" s="26">
        <f t="shared" si="159"/>
        <v>95</v>
      </c>
      <c r="X393" s="62">
        <f t="shared" si="160"/>
        <v>0.95959595959595956</v>
      </c>
      <c r="Y393" s="74">
        <f>AVERAGEIFS(Tracker!I:I, Tracker!E:E, 1, Tracker!G:G, "&lt;="&amp;Daily!C393, Tracker!J:J, "Y")</f>
        <v>12.368421052631579</v>
      </c>
      <c r="Z393" s="77">
        <f>COUNTIFS(Tracker!E:E, 1, Tracker!G:G, "&lt;="&amp;Daily!C393, Tracker!L:L, "N") / V393</f>
        <v>0.80808080808080807</v>
      </c>
      <c r="AA393" s="48">
        <f t="shared" si="161"/>
        <v>250</v>
      </c>
      <c r="AB393" s="26">
        <f t="shared" si="162"/>
        <v>199</v>
      </c>
      <c r="AC393" s="62">
        <f t="shared" si="163"/>
        <v>0.79600000000000004</v>
      </c>
      <c r="AD393" s="74">
        <f>AVERAGEIFS(Tracker!I:I, Tracker!E:E, 2, Tracker!G:G, "&lt;="&amp;Daily!C393, Tracker!J:J, "Y")</f>
        <v>25.984924623115578</v>
      </c>
      <c r="AE393" s="77">
        <f>COUNTIFS(Tracker!E:E, 2, Tracker!G:G, "&lt;="&amp;Daily!C393, Tracker!L:L, "N") / AA393</f>
        <v>0.61599999999999999</v>
      </c>
      <c r="AF393" s="48">
        <f t="shared" si="164"/>
        <v>42</v>
      </c>
      <c r="AG393" s="26">
        <f t="shared" si="165"/>
        <v>27</v>
      </c>
      <c r="AH393" s="62">
        <f t="shared" si="166"/>
        <v>0.6428571428571429</v>
      </c>
      <c r="AI393" s="74">
        <f>IFERROR(AVERAGEIFS(Tracker!I:I, Tracker!E:E, 3, Tracker!G:G, "&lt;="&amp;Daily!C393, Tracker!J:J, "Y"), 0)</f>
        <v>40.074074074074076</v>
      </c>
      <c r="AJ393" s="77">
        <f>IFERROR(COUNTIFS(Tracker!E:E, 3, Tracker!G:G, "&lt;="&amp;Daily!C393, Tracker!L:L, "N") / AF393,  0)</f>
        <v>0.35714285714285715</v>
      </c>
      <c r="AK393" s="48">
        <f t="shared" si="167"/>
        <v>391</v>
      </c>
      <c r="AL393" s="26">
        <f t="shared" si="168"/>
        <v>321</v>
      </c>
      <c r="AM393" s="62">
        <f t="shared" si="169"/>
        <v>0.82097186700767266</v>
      </c>
      <c r="AN393" s="74">
        <f>IFERROR(AVERAGEIFS(Tracker!I:I,  Tracker!G:G, "&lt;="&amp;Daily!C393, Tracker!J:J, "Y"), 0)</f>
        <v>23.140186915887849</v>
      </c>
      <c r="AO393" s="77">
        <f>IFERROR(COUNTIFS(Tracker!G:G, "&lt;="&amp;Daily!C393, Tracker!L:L, "N") / AK393,  0)</f>
        <v>0.63682864450127874</v>
      </c>
    </row>
    <row r="394" spans="1:41" hidden="1" x14ac:dyDescent="0.25">
      <c r="A394" s="119"/>
      <c r="B394" s="32">
        <f t="shared" si="153"/>
        <v>45609</v>
      </c>
      <c r="C394" s="27">
        <f t="shared" si="170"/>
        <v>45609</v>
      </c>
      <c r="D394" s="109" t="b">
        <f t="shared" ca="1" si="171"/>
        <v>0</v>
      </c>
      <c r="E394" s="51">
        <f t="shared" si="154"/>
        <v>0</v>
      </c>
      <c r="F394" s="48">
        <f>COUNTIFS(Tracker!G:G,Daily!C394, Tracker!J:J,"Y")</f>
        <v>0</v>
      </c>
      <c r="G394" s="26">
        <f>COUNTIFS(Tracker!G:G,Daily!C394, Tracker!J:J,"Y (with hints)")</f>
        <v>0</v>
      </c>
      <c r="H394" s="33">
        <f>COUNTIFS(Tracker!G:G,Daily!C394, Tracker!J:J,"N")</f>
        <v>0</v>
      </c>
      <c r="I394" s="54">
        <f t="shared" si="155"/>
        <v>0</v>
      </c>
      <c r="J394" s="26">
        <f>COUNTIFS(Tracker!G:G,Daily!C394, Tracker!J:J,"Y",Tracker!E:E,1)</f>
        <v>0</v>
      </c>
      <c r="K394" s="26">
        <f>COUNTIFS(Tracker!G:G,Daily!C394, Tracker!J:J,"Y (with hints)",Tracker!E:E,1)</f>
        <v>0</v>
      </c>
      <c r="L394" s="33">
        <f>COUNTIFS(Tracker!G:G,Daily!C394, Tracker!J:J,"N",Tracker!E:E,1)</f>
        <v>0</v>
      </c>
      <c r="M394" s="54">
        <f t="shared" si="156"/>
        <v>0</v>
      </c>
      <c r="N394" s="26">
        <f>COUNTIFS(Tracker!G:G,Daily!C394, Tracker!J:J,"Y",Tracker!E:E,2)</f>
        <v>0</v>
      </c>
      <c r="O394" s="26">
        <f>COUNTIFS(Tracker!G:G,Daily!C394, Tracker!J:J,"Y (with hints)",Tracker!E:E,2)</f>
        <v>0</v>
      </c>
      <c r="P394" s="33">
        <f>COUNTIFS(Tracker!G:G,Daily!C394, Tracker!J:J,"N",Tracker!E:E,2)</f>
        <v>0</v>
      </c>
      <c r="Q394" s="57">
        <f t="shared" si="157"/>
        <v>0</v>
      </c>
      <c r="R394" s="26">
        <f>COUNTIFS(Tracker!G:G,Daily!C394, Tracker!J:J,"Y",Tracker!E:E,3)</f>
        <v>0</v>
      </c>
      <c r="S394" s="26">
        <f>COUNTIFS(Tracker!G:G,Daily!C394, Tracker!J:J,"Y (with hints)",Tracker!E:E,3)</f>
        <v>0</v>
      </c>
      <c r="T394" s="33">
        <f>COUNTIFS(Tracker!G:G,Daily!C394, Tracker!J:J,"N",Tracker!E:E,3)</f>
        <v>0</v>
      </c>
      <c r="V394" s="48">
        <f t="shared" si="158"/>
        <v>99</v>
      </c>
      <c r="W394" s="26">
        <f t="shared" si="159"/>
        <v>95</v>
      </c>
      <c r="X394" s="62">
        <f t="shared" si="160"/>
        <v>0.95959595959595956</v>
      </c>
      <c r="Y394" s="74">
        <f>AVERAGEIFS(Tracker!I:I, Tracker!E:E, 1, Tracker!G:G, "&lt;="&amp;Daily!C394, Tracker!J:J, "Y")</f>
        <v>12.368421052631579</v>
      </c>
      <c r="Z394" s="77">
        <f>COUNTIFS(Tracker!E:E, 1, Tracker!G:G, "&lt;="&amp;Daily!C394, Tracker!L:L, "N") / V394</f>
        <v>0.80808080808080807</v>
      </c>
      <c r="AA394" s="48">
        <f t="shared" si="161"/>
        <v>250</v>
      </c>
      <c r="AB394" s="26">
        <f t="shared" si="162"/>
        <v>199</v>
      </c>
      <c r="AC394" s="62">
        <f t="shared" si="163"/>
        <v>0.79600000000000004</v>
      </c>
      <c r="AD394" s="74">
        <f>AVERAGEIFS(Tracker!I:I, Tracker!E:E, 2, Tracker!G:G, "&lt;="&amp;Daily!C394, Tracker!J:J, "Y")</f>
        <v>25.984924623115578</v>
      </c>
      <c r="AE394" s="77">
        <f>COUNTIFS(Tracker!E:E, 2, Tracker!G:G, "&lt;="&amp;Daily!C394, Tracker!L:L, "N") / AA394</f>
        <v>0.61599999999999999</v>
      </c>
      <c r="AF394" s="48">
        <f t="shared" si="164"/>
        <v>42</v>
      </c>
      <c r="AG394" s="26">
        <f t="shared" si="165"/>
        <v>27</v>
      </c>
      <c r="AH394" s="62">
        <f t="shared" si="166"/>
        <v>0.6428571428571429</v>
      </c>
      <c r="AI394" s="74">
        <f>IFERROR(AVERAGEIFS(Tracker!I:I, Tracker!E:E, 3, Tracker!G:G, "&lt;="&amp;Daily!C394, Tracker!J:J, "Y"), 0)</f>
        <v>40.074074074074076</v>
      </c>
      <c r="AJ394" s="77">
        <f>IFERROR(COUNTIFS(Tracker!E:E, 3, Tracker!G:G, "&lt;="&amp;Daily!C394, Tracker!L:L, "N") / AF394,  0)</f>
        <v>0.35714285714285715</v>
      </c>
      <c r="AK394" s="48">
        <f t="shared" si="167"/>
        <v>391</v>
      </c>
      <c r="AL394" s="26">
        <f t="shared" si="168"/>
        <v>321</v>
      </c>
      <c r="AM394" s="62">
        <f t="shared" si="169"/>
        <v>0.82097186700767266</v>
      </c>
      <c r="AN394" s="74">
        <f>IFERROR(AVERAGEIFS(Tracker!I:I,  Tracker!G:G, "&lt;="&amp;Daily!C394, Tracker!J:J, "Y"), 0)</f>
        <v>23.140186915887849</v>
      </c>
      <c r="AO394" s="77">
        <f>IFERROR(COUNTIFS(Tracker!G:G, "&lt;="&amp;Daily!C394, Tracker!L:L, "N") / AK394,  0)</f>
        <v>0.63682864450127874</v>
      </c>
    </row>
    <row r="395" spans="1:41" hidden="1" x14ac:dyDescent="0.25">
      <c r="A395" s="119"/>
      <c r="B395" s="32">
        <f t="shared" si="153"/>
        <v>45610</v>
      </c>
      <c r="C395" s="27">
        <f t="shared" si="170"/>
        <v>45610</v>
      </c>
      <c r="D395" s="109" t="b">
        <f t="shared" ca="1" si="171"/>
        <v>0</v>
      </c>
      <c r="E395" s="51">
        <f t="shared" si="154"/>
        <v>0</v>
      </c>
      <c r="F395" s="48">
        <f>COUNTIFS(Tracker!G:G,Daily!C395, Tracker!J:J,"Y")</f>
        <v>0</v>
      </c>
      <c r="G395" s="26">
        <f>COUNTIFS(Tracker!G:G,Daily!C395, Tracker!J:J,"Y (with hints)")</f>
        <v>0</v>
      </c>
      <c r="H395" s="33">
        <f>COUNTIFS(Tracker!G:G,Daily!C395, Tracker!J:J,"N")</f>
        <v>0</v>
      </c>
      <c r="I395" s="54">
        <f t="shared" si="155"/>
        <v>0</v>
      </c>
      <c r="J395" s="26">
        <f>COUNTIFS(Tracker!G:G,Daily!C395, Tracker!J:J,"Y",Tracker!E:E,1)</f>
        <v>0</v>
      </c>
      <c r="K395" s="26">
        <f>COUNTIFS(Tracker!G:G,Daily!C395, Tracker!J:J,"Y (with hints)",Tracker!E:E,1)</f>
        <v>0</v>
      </c>
      <c r="L395" s="33">
        <f>COUNTIFS(Tracker!G:G,Daily!C395, Tracker!J:J,"N",Tracker!E:E,1)</f>
        <v>0</v>
      </c>
      <c r="M395" s="54">
        <f t="shared" si="156"/>
        <v>0</v>
      </c>
      <c r="N395" s="26">
        <f>COUNTIFS(Tracker!G:G,Daily!C395, Tracker!J:J,"Y",Tracker!E:E,2)</f>
        <v>0</v>
      </c>
      <c r="O395" s="26">
        <f>COUNTIFS(Tracker!G:G,Daily!C395, Tracker!J:J,"Y (with hints)",Tracker!E:E,2)</f>
        <v>0</v>
      </c>
      <c r="P395" s="33">
        <f>COUNTIFS(Tracker!G:G,Daily!C395, Tracker!J:J,"N",Tracker!E:E,2)</f>
        <v>0</v>
      </c>
      <c r="Q395" s="57">
        <f t="shared" si="157"/>
        <v>0</v>
      </c>
      <c r="R395" s="26">
        <f>COUNTIFS(Tracker!G:G,Daily!C395, Tracker!J:J,"Y",Tracker!E:E,3)</f>
        <v>0</v>
      </c>
      <c r="S395" s="26">
        <f>COUNTIFS(Tracker!G:G,Daily!C395, Tracker!J:J,"Y (with hints)",Tracker!E:E,3)</f>
        <v>0</v>
      </c>
      <c r="T395" s="33">
        <f>COUNTIFS(Tracker!G:G,Daily!C395, Tracker!J:J,"N",Tracker!E:E,3)</f>
        <v>0</v>
      </c>
      <c r="V395" s="48">
        <f t="shared" si="158"/>
        <v>99</v>
      </c>
      <c r="W395" s="26">
        <f t="shared" si="159"/>
        <v>95</v>
      </c>
      <c r="X395" s="62">
        <f t="shared" si="160"/>
        <v>0.95959595959595956</v>
      </c>
      <c r="Y395" s="74">
        <f>AVERAGEIFS(Tracker!I:I, Tracker!E:E, 1, Tracker!G:G, "&lt;="&amp;Daily!C395, Tracker!J:J, "Y")</f>
        <v>12.368421052631579</v>
      </c>
      <c r="Z395" s="77">
        <f>COUNTIFS(Tracker!E:E, 1, Tracker!G:G, "&lt;="&amp;Daily!C395, Tracker!L:L, "N") / V395</f>
        <v>0.80808080808080807</v>
      </c>
      <c r="AA395" s="48">
        <f t="shared" si="161"/>
        <v>250</v>
      </c>
      <c r="AB395" s="26">
        <f t="shared" si="162"/>
        <v>199</v>
      </c>
      <c r="AC395" s="62">
        <f t="shared" si="163"/>
        <v>0.79600000000000004</v>
      </c>
      <c r="AD395" s="74">
        <f>AVERAGEIFS(Tracker!I:I, Tracker!E:E, 2, Tracker!G:G, "&lt;="&amp;Daily!C395, Tracker!J:J, "Y")</f>
        <v>25.984924623115578</v>
      </c>
      <c r="AE395" s="77">
        <f>COUNTIFS(Tracker!E:E, 2, Tracker!G:G, "&lt;="&amp;Daily!C395, Tracker!L:L, "N") / AA395</f>
        <v>0.61599999999999999</v>
      </c>
      <c r="AF395" s="48">
        <f t="shared" si="164"/>
        <v>42</v>
      </c>
      <c r="AG395" s="26">
        <f t="shared" si="165"/>
        <v>27</v>
      </c>
      <c r="AH395" s="62">
        <f t="shared" si="166"/>
        <v>0.6428571428571429</v>
      </c>
      <c r="AI395" s="74">
        <f>IFERROR(AVERAGEIFS(Tracker!I:I, Tracker!E:E, 3, Tracker!G:G, "&lt;="&amp;Daily!C395, Tracker!J:J, "Y"), 0)</f>
        <v>40.074074074074076</v>
      </c>
      <c r="AJ395" s="77">
        <f>IFERROR(COUNTIFS(Tracker!E:E, 3, Tracker!G:G, "&lt;="&amp;Daily!C395, Tracker!L:L, "N") / AF395,  0)</f>
        <v>0.35714285714285715</v>
      </c>
      <c r="AK395" s="48">
        <f t="shared" si="167"/>
        <v>391</v>
      </c>
      <c r="AL395" s="26">
        <f t="shared" si="168"/>
        <v>321</v>
      </c>
      <c r="AM395" s="62">
        <f t="shared" si="169"/>
        <v>0.82097186700767266</v>
      </c>
      <c r="AN395" s="74">
        <f>IFERROR(AVERAGEIFS(Tracker!I:I,  Tracker!G:G, "&lt;="&amp;Daily!C395, Tracker!J:J, "Y"), 0)</f>
        <v>23.140186915887849</v>
      </c>
      <c r="AO395" s="77">
        <f>IFERROR(COUNTIFS(Tracker!G:G, "&lt;="&amp;Daily!C395, Tracker!L:L, "N") / AK395,  0)</f>
        <v>0.63682864450127874</v>
      </c>
    </row>
    <row r="396" spans="1:41" hidden="1" x14ac:dyDescent="0.25">
      <c r="A396" s="119"/>
      <c r="B396" s="32">
        <f t="shared" ref="B396:B440" si="172">C396</f>
        <v>45611</v>
      </c>
      <c r="C396" s="27">
        <f t="shared" si="170"/>
        <v>45611</v>
      </c>
      <c r="D396" s="109" t="b">
        <f t="shared" ca="1" si="171"/>
        <v>0</v>
      </c>
      <c r="E396" s="51">
        <f t="shared" ref="E396:E440" si="173">SUM(F396:H396)</f>
        <v>0</v>
      </c>
      <c r="F396" s="48">
        <f>COUNTIFS(Tracker!G:G,Daily!C396, Tracker!J:J,"Y")</f>
        <v>0</v>
      </c>
      <c r="G396" s="26">
        <f>COUNTIFS(Tracker!G:G,Daily!C396, Tracker!J:J,"Y (with hints)")</f>
        <v>0</v>
      </c>
      <c r="H396" s="33">
        <f>COUNTIFS(Tracker!G:G,Daily!C396, Tracker!J:J,"N")</f>
        <v>0</v>
      </c>
      <c r="I396" s="54">
        <f t="shared" ref="I396:I440" si="174">SUM(J396:L396)</f>
        <v>0</v>
      </c>
      <c r="J396" s="26">
        <f>COUNTIFS(Tracker!G:G,Daily!C396, Tracker!J:J,"Y",Tracker!E:E,1)</f>
        <v>0</v>
      </c>
      <c r="K396" s="26">
        <f>COUNTIFS(Tracker!G:G,Daily!C396, Tracker!J:J,"Y (with hints)",Tracker!E:E,1)</f>
        <v>0</v>
      </c>
      <c r="L396" s="33">
        <f>COUNTIFS(Tracker!G:G,Daily!C396, Tracker!J:J,"N",Tracker!E:E,1)</f>
        <v>0</v>
      </c>
      <c r="M396" s="54">
        <f t="shared" ref="M396:M440" si="175">SUM(N396:P396)</f>
        <v>0</v>
      </c>
      <c r="N396" s="26">
        <f>COUNTIFS(Tracker!G:G,Daily!C396, Tracker!J:J,"Y",Tracker!E:E,2)</f>
        <v>0</v>
      </c>
      <c r="O396" s="26">
        <f>COUNTIFS(Tracker!G:G,Daily!C396, Tracker!J:J,"Y (with hints)",Tracker!E:E,2)</f>
        <v>0</v>
      </c>
      <c r="P396" s="33">
        <f>COUNTIFS(Tracker!G:G,Daily!C396, Tracker!J:J,"N",Tracker!E:E,2)</f>
        <v>0</v>
      </c>
      <c r="Q396" s="57">
        <f t="shared" ref="Q396:Q440" si="176">SUM(R396:T396)</f>
        <v>0</v>
      </c>
      <c r="R396" s="26">
        <f>COUNTIFS(Tracker!G:G,Daily!C396, Tracker!J:J,"Y",Tracker!E:E,3)</f>
        <v>0</v>
      </c>
      <c r="S396" s="26">
        <f>COUNTIFS(Tracker!G:G,Daily!C396, Tracker!J:J,"Y (with hints)",Tracker!E:E,3)</f>
        <v>0</v>
      </c>
      <c r="T396" s="33">
        <f>COUNTIFS(Tracker!G:G,Daily!C396, Tracker!J:J,"N",Tracker!E:E,3)</f>
        <v>0</v>
      </c>
      <c r="V396" s="48">
        <f t="shared" ref="V396:V440" si="177">V395+I396</f>
        <v>99</v>
      </c>
      <c r="W396" s="26">
        <f t="shared" ref="W396:W440" si="178">W395+J396</f>
        <v>95</v>
      </c>
      <c r="X396" s="62">
        <f t="shared" ref="X396:X440" si="179">W396/V396</f>
        <v>0.95959595959595956</v>
      </c>
      <c r="Y396" s="74">
        <f>AVERAGEIFS(Tracker!I:I, Tracker!E:E, 1, Tracker!G:G, "&lt;="&amp;Daily!C396, Tracker!J:J, "Y")</f>
        <v>12.368421052631579</v>
      </c>
      <c r="Z396" s="77">
        <f>COUNTIFS(Tracker!E:E, 1, Tracker!G:G, "&lt;="&amp;Daily!C396, Tracker!L:L, "N") / V396</f>
        <v>0.80808080808080807</v>
      </c>
      <c r="AA396" s="48">
        <f t="shared" ref="AA396:AA440" si="180">AA395+M396</f>
        <v>250</v>
      </c>
      <c r="AB396" s="26">
        <f t="shared" ref="AB396:AB440" si="181">AB395+N396</f>
        <v>199</v>
      </c>
      <c r="AC396" s="62">
        <f t="shared" ref="AC396:AC440" si="182">AB396/AA396</f>
        <v>0.79600000000000004</v>
      </c>
      <c r="AD396" s="74">
        <f>AVERAGEIFS(Tracker!I:I, Tracker!E:E, 2, Tracker!G:G, "&lt;="&amp;Daily!C396, Tracker!J:J, "Y")</f>
        <v>25.984924623115578</v>
      </c>
      <c r="AE396" s="77">
        <f>COUNTIFS(Tracker!E:E, 2, Tracker!G:G, "&lt;="&amp;Daily!C396, Tracker!L:L, "N") / AA396</f>
        <v>0.61599999999999999</v>
      </c>
      <c r="AF396" s="48">
        <f t="shared" ref="AF396:AF440" si="183">AF395+Q396</f>
        <v>42</v>
      </c>
      <c r="AG396" s="26">
        <f t="shared" ref="AG396:AG440" si="184">AG395+R396</f>
        <v>27</v>
      </c>
      <c r="AH396" s="62">
        <f t="shared" ref="AH396:AH440" si="185">IFERROR(AG396/AF396, 0)</f>
        <v>0.6428571428571429</v>
      </c>
      <c r="AI396" s="74">
        <f>IFERROR(AVERAGEIFS(Tracker!I:I, Tracker!E:E, 3, Tracker!G:G, "&lt;="&amp;Daily!C396, Tracker!J:J, "Y"), 0)</f>
        <v>40.074074074074076</v>
      </c>
      <c r="AJ396" s="77">
        <f>IFERROR(COUNTIFS(Tracker!E:E, 3, Tracker!G:G, "&lt;="&amp;Daily!C396, Tracker!L:L, "N") / AF396,  0)</f>
        <v>0.35714285714285715</v>
      </c>
      <c r="AK396" s="48">
        <f t="shared" ref="AK396:AK440" si="186">V396+AA396+AF396</f>
        <v>391</v>
      </c>
      <c r="AL396" s="26">
        <f t="shared" ref="AL396:AL440" si="187">W396+AB396+AG396</f>
        <v>321</v>
      </c>
      <c r="AM396" s="62">
        <f t="shared" ref="AM396:AM440" si="188">IFERROR(AL396/AK396, 0)</f>
        <v>0.82097186700767266</v>
      </c>
      <c r="AN396" s="74">
        <f>IFERROR(AVERAGEIFS(Tracker!I:I,  Tracker!G:G, "&lt;="&amp;Daily!C396, Tracker!J:J, "Y"), 0)</f>
        <v>23.140186915887849</v>
      </c>
      <c r="AO396" s="77">
        <f>IFERROR(COUNTIFS(Tracker!G:G, "&lt;="&amp;Daily!C396, Tracker!L:L, "N") / AK396,  0)</f>
        <v>0.63682864450127874</v>
      </c>
    </row>
    <row r="397" spans="1:41" hidden="1" x14ac:dyDescent="0.25">
      <c r="A397" s="119"/>
      <c r="B397" s="32">
        <f t="shared" si="172"/>
        <v>45612</v>
      </c>
      <c r="C397" s="27">
        <f t="shared" si="170"/>
        <v>45612</v>
      </c>
      <c r="D397" s="109" t="b">
        <f t="shared" ca="1" si="171"/>
        <v>0</v>
      </c>
      <c r="E397" s="51">
        <f t="shared" si="173"/>
        <v>0</v>
      </c>
      <c r="F397" s="48">
        <f>COUNTIFS(Tracker!G:G,Daily!C397, Tracker!J:J,"Y")</f>
        <v>0</v>
      </c>
      <c r="G397" s="26">
        <f>COUNTIFS(Tracker!G:G,Daily!C397, Tracker!J:J,"Y (with hints)")</f>
        <v>0</v>
      </c>
      <c r="H397" s="33">
        <f>COUNTIFS(Tracker!G:G,Daily!C397, Tracker!J:J,"N")</f>
        <v>0</v>
      </c>
      <c r="I397" s="54">
        <f t="shared" si="174"/>
        <v>0</v>
      </c>
      <c r="J397" s="26">
        <f>COUNTIFS(Tracker!G:G,Daily!C397, Tracker!J:J,"Y",Tracker!E:E,1)</f>
        <v>0</v>
      </c>
      <c r="K397" s="26">
        <f>COUNTIFS(Tracker!G:G,Daily!C397, Tracker!J:J,"Y (with hints)",Tracker!E:E,1)</f>
        <v>0</v>
      </c>
      <c r="L397" s="33">
        <f>COUNTIFS(Tracker!G:G,Daily!C397, Tracker!J:J,"N",Tracker!E:E,1)</f>
        <v>0</v>
      </c>
      <c r="M397" s="54">
        <f t="shared" si="175"/>
        <v>0</v>
      </c>
      <c r="N397" s="26">
        <f>COUNTIFS(Tracker!G:G,Daily!C397, Tracker!J:J,"Y",Tracker!E:E,2)</f>
        <v>0</v>
      </c>
      <c r="O397" s="26">
        <f>COUNTIFS(Tracker!G:G,Daily!C397, Tracker!J:J,"Y (with hints)",Tracker!E:E,2)</f>
        <v>0</v>
      </c>
      <c r="P397" s="33">
        <f>COUNTIFS(Tracker!G:G,Daily!C397, Tracker!J:J,"N",Tracker!E:E,2)</f>
        <v>0</v>
      </c>
      <c r="Q397" s="57">
        <f t="shared" si="176"/>
        <v>0</v>
      </c>
      <c r="R397" s="26">
        <f>COUNTIFS(Tracker!G:G,Daily!C397, Tracker!J:J,"Y",Tracker!E:E,3)</f>
        <v>0</v>
      </c>
      <c r="S397" s="26">
        <f>COUNTIFS(Tracker!G:G,Daily!C397, Tracker!J:J,"Y (with hints)",Tracker!E:E,3)</f>
        <v>0</v>
      </c>
      <c r="T397" s="33">
        <f>COUNTIFS(Tracker!G:G,Daily!C397, Tracker!J:J,"N",Tracker!E:E,3)</f>
        <v>0</v>
      </c>
      <c r="V397" s="48">
        <f t="shared" si="177"/>
        <v>99</v>
      </c>
      <c r="W397" s="26">
        <f t="shared" si="178"/>
        <v>95</v>
      </c>
      <c r="X397" s="62">
        <f t="shared" si="179"/>
        <v>0.95959595959595956</v>
      </c>
      <c r="Y397" s="74">
        <f>AVERAGEIFS(Tracker!I:I, Tracker!E:E, 1, Tracker!G:G, "&lt;="&amp;Daily!C397, Tracker!J:J, "Y")</f>
        <v>12.368421052631579</v>
      </c>
      <c r="Z397" s="77">
        <f>COUNTIFS(Tracker!E:E, 1, Tracker!G:G, "&lt;="&amp;Daily!C397, Tracker!L:L, "N") / V397</f>
        <v>0.80808080808080807</v>
      </c>
      <c r="AA397" s="48">
        <f t="shared" si="180"/>
        <v>250</v>
      </c>
      <c r="AB397" s="26">
        <f t="shared" si="181"/>
        <v>199</v>
      </c>
      <c r="AC397" s="62">
        <f t="shared" si="182"/>
        <v>0.79600000000000004</v>
      </c>
      <c r="AD397" s="74">
        <f>AVERAGEIFS(Tracker!I:I, Tracker!E:E, 2, Tracker!G:G, "&lt;="&amp;Daily!C397, Tracker!J:J, "Y")</f>
        <v>25.984924623115578</v>
      </c>
      <c r="AE397" s="77">
        <f>COUNTIFS(Tracker!E:E, 2, Tracker!G:G, "&lt;="&amp;Daily!C397, Tracker!L:L, "N") / AA397</f>
        <v>0.61599999999999999</v>
      </c>
      <c r="AF397" s="48">
        <f t="shared" si="183"/>
        <v>42</v>
      </c>
      <c r="AG397" s="26">
        <f t="shared" si="184"/>
        <v>27</v>
      </c>
      <c r="AH397" s="62">
        <f t="shared" si="185"/>
        <v>0.6428571428571429</v>
      </c>
      <c r="AI397" s="74">
        <f>IFERROR(AVERAGEIFS(Tracker!I:I, Tracker!E:E, 3, Tracker!G:G, "&lt;="&amp;Daily!C397, Tracker!J:J, "Y"), 0)</f>
        <v>40.074074074074076</v>
      </c>
      <c r="AJ397" s="77">
        <f>IFERROR(COUNTIFS(Tracker!E:E, 3, Tracker!G:G, "&lt;="&amp;Daily!C397, Tracker!L:L, "N") / AF397,  0)</f>
        <v>0.35714285714285715</v>
      </c>
      <c r="AK397" s="48">
        <f t="shared" si="186"/>
        <v>391</v>
      </c>
      <c r="AL397" s="26">
        <f t="shared" si="187"/>
        <v>321</v>
      </c>
      <c r="AM397" s="62">
        <f t="shared" si="188"/>
        <v>0.82097186700767266</v>
      </c>
      <c r="AN397" s="74">
        <f>IFERROR(AVERAGEIFS(Tracker!I:I,  Tracker!G:G, "&lt;="&amp;Daily!C397, Tracker!J:J, "Y"), 0)</f>
        <v>23.140186915887849</v>
      </c>
      <c r="AO397" s="77">
        <f>IFERROR(COUNTIFS(Tracker!G:G, "&lt;="&amp;Daily!C397, Tracker!L:L, "N") / AK397,  0)</f>
        <v>0.63682864450127874</v>
      </c>
    </row>
    <row r="398" spans="1:41" ht="15.75" hidden="1" thickBot="1" x14ac:dyDescent="0.3">
      <c r="A398" s="120"/>
      <c r="B398" s="34">
        <f t="shared" si="172"/>
        <v>45613</v>
      </c>
      <c r="C398" s="35">
        <f t="shared" si="170"/>
        <v>45613</v>
      </c>
      <c r="D398" s="110" t="b">
        <f t="shared" ca="1" si="171"/>
        <v>0</v>
      </c>
      <c r="E398" s="52">
        <f t="shared" si="173"/>
        <v>0</v>
      </c>
      <c r="F398" s="39">
        <f>COUNTIFS(Tracker!G:G,Daily!C398, Tracker!J:J,"Y")</f>
        <v>0</v>
      </c>
      <c r="G398" s="36">
        <f>COUNTIFS(Tracker!G:G,Daily!C398, Tracker!J:J,"Y (with hints)")</f>
        <v>0</v>
      </c>
      <c r="H398" s="37">
        <f>COUNTIFS(Tracker!G:G,Daily!C398, Tracker!J:J,"N")</f>
        <v>0</v>
      </c>
      <c r="I398" s="55">
        <f t="shared" si="174"/>
        <v>0</v>
      </c>
      <c r="J398" s="36">
        <f>COUNTIFS(Tracker!G:G,Daily!C398, Tracker!J:J,"Y",Tracker!E:E,1)</f>
        <v>0</v>
      </c>
      <c r="K398" s="36">
        <f>COUNTIFS(Tracker!G:G,Daily!C398, Tracker!J:J,"Y (with hints)",Tracker!E:E,1)</f>
        <v>0</v>
      </c>
      <c r="L398" s="37">
        <f>COUNTIFS(Tracker!G:G,Daily!C398, Tracker!J:J,"N",Tracker!E:E,1)</f>
        <v>0</v>
      </c>
      <c r="M398" s="55">
        <f t="shared" si="175"/>
        <v>0</v>
      </c>
      <c r="N398" s="36">
        <f>COUNTIFS(Tracker!G:G,Daily!C398, Tracker!J:J,"Y",Tracker!E:E,2)</f>
        <v>0</v>
      </c>
      <c r="O398" s="36">
        <f>COUNTIFS(Tracker!G:G,Daily!C398, Tracker!J:J,"Y (with hints)",Tracker!E:E,2)</f>
        <v>0</v>
      </c>
      <c r="P398" s="37">
        <f>COUNTIFS(Tracker!G:G,Daily!C398, Tracker!J:J,"N",Tracker!E:E,2)</f>
        <v>0</v>
      </c>
      <c r="Q398" s="58">
        <f t="shared" si="176"/>
        <v>0</v>
      </c>
      <c r="R398" s="36">
        <f>COUNTIFS(Tracker!G:G,Daily!C398, Tracker!J:J,"Y",Tracker!E:E,3)</f>
        <v>0</v>
      </c>
      <c r="S398" s="36">
        <f>COUNTIFS(Tracker!G:G,Daily!C398, Tracker!J:J,"Y (with hints)",Tracker!E:E,3)</f>
        <v>0</v>
      </c>
      <c r="T398" s="37">
        <f>COUNTIFS(Tracker!G:G,Daily!C398, Tracker!J:J,"N",Tracker!E:E,3)</f>
        <v>0</v>
      </c>
      <c r="V398" s="39">
        <f t="shared" si="177"/>
        <v>99</v>
      </c>
      <c r="W398" s="36">
        <f t="shared" si="178"/>
        <v>95</v>
      </c>
      <c r="X398" s="64">
        <f t="shared" si="179"/>
        <v>0.95959595959595956</v>
      </c>
      <c r="Y398" s="78">
        <f>AVERAGEIFS(Tracker!I:I, Tracker!E:E, 1, Tracker!G:G, "&lt;="&amp;Daily!C398, Tracker!J:J, "Y")</f>
        <v>12.368421052631579</v>
      </c>
      <c r="Z398" s="79">
        <f>COUNTIFS(Tracker!E:E, 1, Tracker!G:G, "&lt;="&amp;Daily!C398, Tracker!L:L, "N") / V398</f>
        <v>0.80808080808080807</v>
      </c>
      <c r="AA398" s="39">
        <f t="shared" si="180"/>
        <v>250</v>
      </c>
      <c r="AB398" s="36">
        <f t="shared" si="181"/>
        <v>199</v>
      </c>
      <c r="AC398" s="64">
        <f t="shared" si="182"/>
        <v>0.79600000000000004</v>
      </c>
      <c r="AD398" s="78">
        <f>AVERAGEIFS(Tracker!I:I, Tracker!E:E, 2, Tracker!G:G, "&lt;="&amp;Daily!C398, Tracker!J:J, "Y")</f>
        <v>25.984924623115578</v>
      </c>
      <c r="AE398" s="79">
        <f>COUNTIFS(Tracker!E:E, 2, Tracker!G:G, "&lt;="&amp;Daily!C398, Tracker!L:L, "N") / AA398</f>
        <v>0.61599999999999999</v>
      </c>
      <c r="AF398" s="39">
        <f t="shared" si="183"/>
        <v>42</v>
      </c>
      <c r="AG398" s="36">
        <f t="shared" si="184"/>
        <v>27</v>
      </c>
      <c r="AH398" s="64">
        <f t="shared" si="185"/>
        <v>0.6428571428571429</v>
      </c>
      <c r="AI398" s="78">
        <f>IFERROR(AVERAGEIFS(Tracker!I:I, Tracker!E:E, 3, Tracker!G:G, "&lt;="&amp;Daily!C398, Tracker!J:J, "Y"), 0)</f>
        <v>40.074074074074076</v>
      </c>
      <c r="AJ398" s="79">
        <f>IFERROR(COUNTIFS(Tracker!E:E, 3, Tracker!G:G, "&lt;="&amp;Daily!C398, Tracker!L:L, "N") / AF398,  0)</f>
        <v>0.35714285714285715</v>
      </c>
      <c r="AK398" s="39">
        <f t="shared" si="186"/>
        <v>391</v>
      </c>
      <c r="AL398" s="36">
        <f t="shared" si="187"/>
        <v>321</v>
      </c>
      <c r="AM398" s="64">
        <f t="shared" si="188"/>
        <v>0.82097186700767266</v>
      </c>
      <c r="AN398" s="78">
        <f>IFERROR(AVERAGEIFS(Tracker!I:I,  Tracker!G:G, "&lt;="&amp;Daily!C398, Tracker!J:J, "Y"), 0)</f>
        <v>23.140186915887849</v>
      </c>
      <c r="AO398" s="79">
        <f>IFERROR(COUNTIFS(Tracker!G:G, "&lt;="&amp;Daily!C398, Tracker!L:L, "N") / AK398,  0)</f>
        <v>0.63682864450127874</v>
      </c>
    </row>
    <row r="399" spans="1:41" hidden="1" x14ac:dyDescent="0.25">
      <c r="A399" s="118">
        <f>A392+1</f>
        <v>57</v>
      </c>
      <c r="B399" s="28">
        <f t="shared" si="172"/>
        <v>45614</v>
      </c>
      <c r="C399" s="29">
        <f t="shared" ref="C399:C440" si="189">C392+7</f>
        <v>45614</v>
      </c>
      <c r="D399" s="108" t="b">
        <f t="shared" ca="1" si="171"/>
        <v>0</v>
      </c>
      <c r="E399" s="50">
        <f t="shared" si="173"/>
        <v>0</v>
      </c>
      <c r="F399" s="38">
        <f>COUNTIFS(Tracker!G:G,Daily!C399, Tracker!J:J,"Y")</f>
        <v>0</v>
      </c>
      <c r="G399" s="30">
        <f>COUNTIFS(Tracker!G:G,Daily!C399, Tracker!J:J,"Y (with hints)")</f>
        <v>0</v>
      </c>
      <c r="H399" s="31">
        <f>COUNTIFS(Tracker!G:G,Daily!C399, Tracker!J:J,"N")</f>
        <v>0</v>
      </c>
      <c r="I399" s="53">
        <f t="shared" si="174"/>
        <v>0</v>
      </c>
      <c r="J399" s="30">
        <f>COUNTIFS(Tracker!G:G,Daily!C399, Tracker!J:J,"Y",Tracker!E:E,1)</f>
        <v>0</v>
      </c>
      <c r="K399" s="30">
        <f>COUNTIFS(Tracker!G:G,Daily!C399, Tracker!J:J,"Y (with hints)",Tracker!E:E,1)</f>
        <v>0</v>
      </c>
      <c r="L399" s="31">
        <f>COUNTIFS(Tracker!G:G,Daily!C399, Tracker!J:J,"N",Tracker!E:E,1)</f>
        <v>0</v>
      </c>
      <c r="M399" s="53">
        <f t="shared" si="175"/>
        <v>0</v>
      </c>
      <c r="N399" s="30">
        <f>COUNTIFS(Tracker!G:G,Daily!C399, Tracker!J:J,"Y",Tracker!E:E,2)</f>
        <v>0</v>
      </c>
      <c r="O399" s="30">
        <f>COUNTIFS(Tracker!G:G,Daily!C399, Tracker!J:J,"Y (with hints)",Tracker!E:E,2)</f>
        <v>0</v>
      </c>
      <c r="P399" s="31">
        <f>COUNTIFS(Tracker!G:G,Daily!C399, Tracker!J:J,"N",Tracker!E:E,2)</f>
        <v>0</v>
      </c>
      <c r="Q399" s="56">
        <f t="shared" si="176"/>
        <v>0</v>
      </c>
      <c r="R399" s="30">
        <f>COUNTIFS(Tracker!G:G,Daily!C399, Tracker!J:J,"Y",Tracker!E:E,3)</f>
        <v>0</v>
      </c>
      <c r="S399" s="30">
        <f>COUNTIFS(Tracker!G:G,Daily!C399, Tracker!J:J,"Y (with hints)",Tracker!E:E,3)</f>
        <v>0</v>
      </c>
      <c r="T399" s="31">
        <f>COUNTIFS(Tracker!G:G,Daily!C399, Tracker!J:J,"N",Tracker!E:E,3)</f>
        <v>0</v>
      </c>
      <c r="V399" s="38">
        <f t="shared" si="177"/>
        <v>99</v>
      </c>
      <c r="W399" s="30">
        <f t="shared" si="178"/>
        <v>95</v>
      </c>
      <c r="X399" s="73">
        <f t="shared" si="179"/>
        <v>0.95959595959595956</v>
      </c>
      <c r="Y399" s="75">
        <f>AVERAGEIFS(Tracker!I:I, Tracker!E:E, 1, Tracker!G:G, "&lt;="&amp;Daily!C399, Tracker!J:J, "Y")</f>
        <v>12.368421052631579</v>
      </c>
      <c r="Z399" s="76">
        <f>COUNTIFS(Tracker!E:E, 1, Tracker!G:G, "&lt;="&amp;Daily!C399, Tracker!L:L, "N") / V399</f>
        <v>0.80808080808080807</v>
      </c>
      <c r="AA399" s="38">
        <f t="shared" si="180"/>
        <v>250</v>
      </c>
      <c r="AB399" s="30">
        <f t="shared" si="181"/>
        <v>199</v>
      </c>
      <c r="AC399" s="73">
        <f t="shared" si="182"/>
        <v>0.79600000000000004</v>
      </c>
      <c r="AD399" s="75">
        <f>AVERAGEIFS(Tracker!I:I, Tracker!E:E, 2, Tracker!G:G, "&lt;="&amp;Daily!C399, Tracker!J:J, "Y")</f>
        <v>25.984924623115578</v>
      </c>
      <c r="AE399" s="76">
        <f>COUNTIFS(Tracker!E:E, 2, Tracker!G:G, "&lt;="&amp;Daily!C399, Tracker!L:L, "N") / AA399</f>
        <v>0.61599999999999999</v>
      </c>
      <c r="AF399" s="38">
        <f t="shared" si="183"/>
        <v>42</v>
      </c>
      <c r="AG399" s="30">
        <f t="shared" si="184"/>
        <v>27</v>
      </c>
      <c r="AH399" s="73">
        <f t="shared" si="185"/>
        <v>0.6428571428571429</v>
      </c>
      <c r="AI399" s="75">
        <f>IFERROR(AVERAGEIFS(Tracker!I:I, Tracker!E:E, 3, Tracker!G:G, "&lt;="&amp;Daily!C399, Tracker!J:J, "Y"), 0)</f>
        <v>40.074074074074076</v>
      </c>
      <c r="AJ399" s="76">
        <f>IFERROR(COUNTIFS(Tracker!E:E, 3, Tracker!G:G, "&lt;="&amp;Daily!C399, Tracker!L:L, "N") / AF399,  0)</f>
        <v>0.35714285714285715</v>
      </c>
      <c r="AK399" s="38">
        <f t="shared" si="186"/>
        <v>391</v>
      </c>
      <c r="AL399" s="30">
        <f t="shared" si="187"/>
        <v>321</v>
      </c>
      <c r="AM399" s="73">
        <f t="shared" si="188"/>
        <v>0.82097186700767266</v>
      </c>
      <c r="AN399" s="75">
        <f>IFERROR(AVERAGEIFS(Tracker!I:I,  Tracker!G:G, "&lt;="&amp;Daily!C399, Tracker!J:J, "Y"), 0)</f>
        <v>23.140186915887849</v>
      </c>
      <c r="AO399" s="76">
        <f>IFERROR(COUNTIFS(Tracker!G:G, "&lt;="&amp;Daily!C399, Tracker!L:L, "N") / AK399,  0)</f>
        <v>0.63682864450127874</v>
      </c>
    </row>
    <row r="400" spans="1:41" hidden="1" x14ac:dyDescent="0.25">
      <c r="A400" s="119"/>
      <c r="B400" s="32">
        <f t="shared" si="172"/>
        <v>45615</v>
      </c>
      <c r="C400" s="27">
        <f t="shared" si="189"/>
        <v>45615</v>
      </c>
      <c r="D400" s="109" t="b">
        <f t="shared" ca="1" si="171"/>
        <v>0</v>
      </c>
      <c r="E400" s="51">
        <f t="shared" si="173"/>
        <v>0</v>
      </c>
      <c r="F400" s="48">
        <f>COUNTIFS(Tracker!G:G,Daily!C400, Tracker!J:J,"Y")</f>
        <v>0</v>
      </c>
      <c r="G400" s="26">
        <f>COUNTIFS(Tracker!G:G,Daily!C400, Tracker!J:J,"Y (with hints)")</f>
        <v>0</v>
      </c>
      <c r="H400" s="33">
        <f>COUNTIFS(Tracker!G:G,Daily!C400, Tracker!J:J,"N")</f>
        <v>0</v>
      </c>
      <c r="I400" s="54">
        <f t="shared" si="174"/>
        <v>0</v>
      </c>
      <c r="J400" s="26">
        <f>COUNTIFS(Tracker!G:G,Daily!C400, Tracker!J:J,"Y",Tracker!E:E,1)</f>
        <v>0</v>
      </c>
      <c r="K400" s="26">
        <f>COUNTIFS(Tracker!G:G,Daily!C400, Tracker!J:J,"Y (with hints)",Tracker!E:E,1)</f>
        <v>0</v>
      </c>
      <c r="L400" s="33">
        <f>COUNTIFS(Tracker!G:G,Daily!C400, Tracker!J:J,"N",Tracker!E:E,1)</f>
        <v>0</v>
      </c>
      <c r="M400" s="54">
        <f t="shared" si="175"/>
        <v>0</v>
      </c>
      <c r="N400" s="26">
        <f>COUNTIFS(Tracker!G:G,Daily!C400, Tracker!J:J,"Y",Tracker!E:E,2)</f>
        <v>0</v>
      </c>
      <c r="O400" s="26">
        <f>COUNTIFS(Tracker!G:G,Daily!C400, Tracker!J:J,"Y (with hints)",Tracker!E:E,2)</f>
        <v>0</v>
      </c>
      <c r="P400" s="33">
        <f>COUNTIFS(Tracker!G:G,Daily!C400, Tracker!J:J,"N",Tracker!E:E,2)</f>
        <v>0</v>
      </c>
      <c r="Q400" s="57">
        <f t="shared" si="176"/>
        <v>0</v>
      </c>
      <c r="R400" s="26">
        <f>COUNTIFS(Tracker!G:G,Daily!C400, Tracker!J:J,"Y",Tracker!E:E,3)</f>
        <v>0</v>
      </c>
      <c r="S400" s="26">
        <f>COUNTIFS(Tracker!G:G,Daily!C400, Tracker!J:J,"Y (with hints)",Tracker!E:E,3)</f>
        <v>0</v>
      </c>
      <c r="T400" s="33">
        <f>COUNTIFS(Tracker!G:G,Daily!C400, Tracker!J:J,"N",Tracker!E:E,3)</f>
        <v>0</v>
      </c>
      <c r="V400" s="48">
        <f t="shared" si="177"/>
        <v>99</v>
      </c>
      <c r="W400" s="26">
        <f t="shared" si="178"/>
        <v>95</v>
      </c>
      <c r="X400" s="62">
        <f t="shared" si="179"/>
        <v>0.95959595959595956</v>
      </c>
      <c r="Y400" s="74">
        <f>AVERAGEIFS(Tracker!I:I, Tracker!E:E, 1, Tracker!G:G, "&lt;="&amp;Daily!C400, Tracker!J:J, "Y")</f>
        <v>12.368421052631579</v>
      </c>
      <c r="Z400" s="77">
        <f>COUNTIFS(Tracker!E:E, 1, Tracker!G:G, "&lt;="&amp;Daily!C400, Tracker!L:L, "N") / V400</f>
        <v>0.80808080808080807</v>
      </c>
      <c r="AA400" s="48">
        <f t="shared" si="180"/>
        <v>250</v>
      </c>
      <c r="AB400" s="26">
        <f t="shared" si="181"/>
        <v>199</v>
      </c>
      <c r="AC400" s="62">
        <f t="shared" si="182"/>
        <v>0.79600000000000004</v>
      </c>
      <c r="AD400" s="74">
        <f>AVERAGEIFS(Tracker!I:I, Tracker!E:E, 2, Tracker!G:G, "&lt;="&amp;Daily!C400, Tracker!J:J, "Y")</f>
        <v>25.984924623115578</v>
      </c>
      <c r="AE400" s="77">
        <f>COUNTIFS(Tracker!E:E, 2, Tracker!G:G, "&lt;="&amp;Daily!C400, Tracker!L:L, "N") / AA400</f>
        <v>0.61599999999999999</v>
      </c>
      <c r="AF400" s="48">
        <f t="shared" si="183"/>
        <v>42</v>
      </c>
      <c r="AG400" s="26">
        <f t="shared" si="184"/>
        <v>27</v>
      </c>
      <c r="AH400" s="62">
        <f t="shared" si="185"/>
        <v>0.6428571428571429</v>
      </c>
      <c r="AI400" s="74">
        <f>IFERROR(AVERAGEIFS(Tracker!I:I, Tracker!E:E, 3, Tracker!G:G, "&lt;="&amp;Daily!C400, Tracker!J:J, "Y"), 0)</f>
        <v>40.074074074074076</v>
      </c>
      <c r="AJ400" s="77">
        <f>IFERROR(COUNTIFS(Tracker!E:E, 3, Tracker!G:G, "&lt;="&amp;Daily!C400, Tracker!L:L, "N") / AF400,  0)</f>
        <v>0.35714285714285715</v>
      </c>
      <c r="AK400" s="48">
        <f t="shared" si="186"/>
        <v>391</v>
      </c>
      <c r="AL400" s="26">
        <f t="shared" si="187"/>
        <v>321</v>
      </c>
      <c r="AM400" s="62">
        <f t="shared" si="188"/>
        <v>0.82097186700767266</v>
      </c>
      <c r="AN400" s="74">
        <f>IFERROR(AVERAGEIFS(Tracker!I:I,  Tracker!G:G, "&lt;="&amp;Daily!C400, Tracker!J:J, "Y"), 0)</f>
        <v>23.140186915887849</v>
      </c>
      <c r="AO400" s="77">
        <f>IFERROR(COUNTIFS(Tracker!G:G, "&lt;="&amp;Daily!C400, Tracker!L:L, "N") / AK400,  0)</f>
        <v>0.63682864450127874</v>
      </c>
    </row>
    <row r="401" spans="1:41" hidden="1" x14ac:dyDescent="0.25">
      <c r="A401" s="119"/>
      <c r="B401" s="32">
        <f t="shared" si="172"/>
        <v>45616</v>
      </c>
      <c r="C401" s="27">
        <f t="shared" si="189"/>
        <v>45616</v>
      </c>
      <c r="D401" s="109" t="b">
        <f t="shared" ca="1" si="171"/>
        <v>0</v>
      </c>
      <c r="E401" s="51">
        <f t="shared" si="173"/>
        <v>0</v>
      </c>
      <c r="F401" s="48">
        <f>COUNTIFS(Tracker!G:G,Daily!C401, Tracker!J:J,"Y")</f>
        <v>0</v>
      </c>
      <c r="G401" s="26">
        <f>COUNTIFS(Tracker!G:G,Daily!C401, Tracker!J:J,"Y (with hints)")</f>
        <v>0</v>
      </c>
      <c r="H401" s="33">
        <f>COUNTIFS(Tracker!G:G,Daily!C401, Tracker!J:J,"N")</f>
        <v>0</v>
      </c>
      <c r="I401" s="54">
        <f t="shared" si="174"/>
        <v>0</v>
      </c>
      <c r="J401" s="26">
        <f>COUNTIFS(Tracker!G:G,Daily!C401, Tracker!J:J,"Y",Tracker!E:E,1)</f>
        <v>0</v>
      </c>
      <c r="K401" s="26">
        <f>COUNTIFS(Tracker!G:G,Daily!C401, Tracker!J:J,"Y (with hints)",Tracker!E:E,1)</f>
        <v>0</v>
      </c>
      <c r="L401" s="33">
        <f>COUNTIFS(Tracker!G:G,Daily!C401, Tracker!J:J,"N",Tracker!E:E,1)</f>
        <v>0</v>
      </c>
      <c r="M401" s="54">
        <f t="shared" si="175"/>
        <v>0</v>
      </c>
      <c r="N401" s="26">
        <f>COUNTIFS(Tracker!G:G,Daily!C401, Tracker!J:J,"Y",Tracker!E:E,2)</f>
        <v>0</v>
      </c>
      <c r="O401" s="26">
        <f>COUNTIFS(Tracker!G:G,Daily!C401, Tracker!J:J,"Y (with hints)",Tracker!E:E,2)</f>
        <v>0</v>
      </c>
      <c r="P401" s="33">
        <f>COUNTIFS(Tracker!G:G,Daily!C401, Tracker!J:J,"N",Tracker!E:E,2)</f>
        <v>0</v>
      </c>
      <c r="Q401" s="57">
        <f t="shared" si="176"/>
        <v>0</v>
      </c>
      <c r="R401" s="26">
        <f>COUNTIFS(Tracker!G:G,Daily!C401, Tracker!J:J,"Y",Tracker!E:E,3)</f>
        <v>0</v>
      </c>
      <c r="S401" s="26">
        <f>COUNTIFS(Tracker!G:G,Daily!C401, Tracker!J:J,"Y (with hints)",Tracker!E:E,3)</f>
        <v>0</v>
      </c>
      <c r="T401" s="33">
        <f>COUNTIFS(Tracker!G:G,Daily!C401, Tracker!J:J,"N",Tracker!E:E,3)</f>
        <v>0</v>
      </c>
      <c r="V401" s="48">
        <f t="shared" si="177"/>
        <v>99</v>
      </c>
      <c r="W401" s="26">
        <f t="shared" si="178"/>
        <v>95</v>
      </c>
      <c r="X401" s="62">
        <f t="shared" si="179"/>
        <v>0.95959595959595956</v>
      </c>
      <c r="Y401" s="74">
        <f>AVERAGEIFS(Tracker!I:I, Tracker!E:E, 1, Tracker!G:G, "&lt;="&amp;Daily!C401, Tracker!J:J, "Y")</f>
        <v>12.368421052631579</v>
      </c>
      <c r="Z401" s="77">
        <f>COUNTIFS(Tracker!E:E, 1, Tracker!G:G, "&lt;="&amp;Daily!C401, Tracker!L:L, "N") / V401</f>
        <v>0.80808080808080807</v>
      </c>
      <c r="AA401" s="48">
        <f t="shared" si="180"/>
        <v>250</v>
      </c>
      <c r="AB401" s="26">
        <f t="shared" si="181"/>
        <v>199</v>
      </c>
      <c r="AC401" s="62">
        <f t="shared" si="182"/>
        <v>0.79600000000000004</v>
      </c>
      <c r="AD401" s="74">
        <f>AVERAGEIFS(Tracker!I:I, Tracker!E:E, 2, Tracker!G:G, "&lt;="&amp;Daily!C401, Tracker!J:J, "Y")</f>
        <v>25.984924623115578</v>
      </c>
      <c r="AE401" s="77">
        <f>COUNTIFS(Tracker!E:E, 2, Tracker!G:G, "&lt;="&amp;Daily!C401, Tracker!L:L, "N") / AA401</f>
        <v>0.61599999999999999</v>
      </c>
      <c r="AF401" s="48">
        <f t="shared" si="183"/>
        <v>42</v>
      </c>
      <c r="AG401" s="26">
        <f t="shared" si="184"/>
        <v>27</v>
      </c>
      <c r="AH401" s="62">
        <f t="shared" si="185"/>
        <v>0.6428571428571429</v>
      </c>
      <c r="AI401" s="74">
        <f>IFERROR(AVERAGEIFS(Tracker!I:I, Tracker!E:E, 3, Tracker!G:G, "&lt;="&amp;Daily!C401, Tracker!J:J, "Y"), 0)</f>
        <v>40.074074074074076</v>
      </c>
      <c r="AJ401" s="77">
        <f>IFERROR(COUNTIFS(Tracker!E:E, 3, Tracker!G:G, "&lt;="&amp;Daily!C401, Tracker!L:L, "N") / AF401,  0)</f>
        <v>0.35714285714285715</v>
      </c>
      <c r="AK401" s="48">
        <f t="shared" si="186"/>
        <v>391</v>
      </c>
      <c r="AL401" s="26">
        <f t="shared" si="187"/>
        <v>321</v>
      </c>
      <c r="AM401" s="62">
        <f t="shared" si="188"/>
        <v>0.82097186700767266</v>
      </c>
      <c r="AN401" s="74">
        <f>IFERROR(AVERAGEIFS(Tracker!I:I,  Tracker!G:G, "&lt;="&amp;Daily!C401, Tracker!J:J, "Y"), 0)</f>
        <v>23.140186915887849</v>
      </c>
      <c r="AO401" s="77">
        <f>IFERROR(COUNTIFS(Tracker!G:G, "&lt;="&amp;Daily!C401, Tracker!L:L, "N") / AK401,  0)</f>
        <v>0.63682864450127874</v>
      </c>
    </row>
    <row r="402" spans="1:41" hidden="1" x14ac:dyDescent="0.25">
      <c r="A402" s="119"/>
      <c r="B402" s="32">
        <f t="shared" si="172"/>
        <v>45617</v>
      </c>
      <c r="C402" s="27">
        <f t="shared" si="189"/>
        <v>45617</v>
      </c>
      <c r="D402" s="109" t="b">
        <f t="shared" ca="1" si="171"/>
        <v>0</v>
      </c>
      <c r="E402" s="51">
        <f t="shared" si="173"/>
        <v>0</v>
      </c>
      <c r="F402" s="48">
        <f>COUNTIFS(Tracker!G:G,Daily!C402, Tracker!J:J,"Y")</f>
        <v>0</v>
      </c>
      <c r="G402" s="26">
        <f>COUNTIFS(Tracker!G:G,Daily!C402, Tracker!J:J,"Y (with hints)")</f>
        <v>0</v>
      </c>
      <c r="H402" s="33">
        <f>COUNTIFS(Tracker!G:G,Daily!C402, Tracker!J:J,"N")</f>
        <v>0</v>
      </c>
      <c r="I402" s="54">
        <f t="shared" si="174"/>
        <v>0</v>
      </c>
      <c r="J402" s="26">
        <f>COUNTIFS(Tracker!G:G,Daily!C402, Tracker!J:J,"Y",Tracker!E:E,1)</f>
        <v>0</v>
      </c>
      <c r="K402" s="26">
        <f>COUNTIFS(Tracker!G:G,Daily!C402, Tracker!J:J,"Y (with hints)",Tracker!E:E,1)</f>
        <v>0</v>
      </c>
      <c r="L402" s="33">
        <f>COUNTIFS(Tracker!G:G,Daily!C402, Tracker!J:J,"N",Tracker!E:E,1)</f>
        <v>0</v>
      </c>
      <c r="M402" s="54">
        <f t="shared" si="175"/>
        <v>0</v>
      </c>
      <c r="N402" s="26">
        <f>COUNTIFS(Tracker!G:G,Daily!C402, Tracker!J:J,"Y",Tracker!E:E,2)</f>
        <v>0</v>
      </c>
      <c r="O402" s="26">
        <f>COUNTIFS(Tracker!G:G,Daily!C402, Tracker!J:J,"Y (with hints)",Tracker!E:E,2)</f>
        <v>0</v>
      </c>
      <c r="P402" s="33">
        <f>COUNTIFS(Tracker!G:G,Daily!C402, Tracker!J:J,"N",Tracker!E:E,2)</f>
        <v>0</v>
      </c>
      <c r="Q402" s="57">
        <f t="shared" si="176"/>
        <v>0</v>
      </c>
      <c r="R402" s="26">
        <f>COUNTIFS(Tracker!G:G,Daily!C402, Tracker!J:J,"Y",Tracker!E:E,3)</f>
        <v>0</v>
      </c>
      <c r="S402" s="26">
        <f>COUNTIFS(Tracker!G:G,Daily!C402, Tracker!J:J,"Y (with hints)",Tracker!E:E,3)</f>
        <v>0</v>
      </c>
      <c r="T402" s="33">
        <f>COUNTIFS(Tracker!G:G,Daily!C402, Tracker!J:J,"N",Tracker!E:E,3)</f>
        <v>0</v>
      </c>
      <c r="V402" s="48">
        <f t="shared" si="177"/>
        <v>99</v>
      </c>
      <c r="W402" s="26">
        <f t="shared" si="178"/>
        <v>95</v>
      </c>
      <c r="X402" s="62">
        <f t="shared" si="179"/>
        <v>0.95959595959595956</v>
      </c>
      <c r="Y402" s="74">
        <f>AVERAGEIFS(Tracker!I:I, Tracker!E:E, 1, Tracker!G:G, "&lt;="&amp;Daily!C402, Tracker!J:J, "Y")</f>
        <v>12.368421052631579</v>
      </c>
      <c r="Z402" s="77">
        <f>COUNTIFS(Tracker!E:E, 1, Tracker!G:G, "&lt;="&amp;Daily!C402, Tracker!L:L, "N") / V402</f>
        <v>0.80808080808080807</v>
      </c>
      <c r="AA402" s="48">
        <f t="shared" si="180"/>
        <v>250</v>
      </c>
      <c r="AB402" s="26">
        <f t="shared" si="181"/>
        <v>199</v>
      </c>
      <c r="AC402" s="62">
        <f t="shared" si="182"/>
        <v>0.79600000000000004</v>
      </c>
      <c r="AD402" s="74">
        <f>AVERAGEIFS(Tracker!I:I, Tracker!E:E, 2, Tracker!G:G, "&lt;="&amp;Daily!C402, Tracker!J:J, "Y")</f>
        <v>25.984924623115578</v>
      </c>
      <c r="AE402" s="77">
        <f>COUNTIFS(Tracker!E:E, 2, Tracker!G:G, "&lt;="&amp;Daily!C402, Tracker!L:L, "N") / AA402</f>
        <v>0.61599999999999999</v>
      </c>
      <c r="AF402" s="48">
        <f t="shared" si="183"/>
        <v>42</v>
      </c>
      <c r="AG402" s="26">
        <f t="shared" si="184"/>
        <v>27</v>
      </c>
      <c r="AH402" s="62">
        <f t="shared" si="185"/>
        <v>0.6428571428571429</v>
      </c>
      <c r="AI402" s="74">
        <f>IFERROR(AVERAGEIFS(Tracker!I:I, Tracker!E:E, 3, Tracker!G:G, "&lt;="&amp;Daily!C402, Tracker!J:J, "Y"), 0)</f>
        <v>40.074074074074076</v>
      </c>
      <c r="AJ402" s="77">
        <f>IFERROR(COUNTIFS(Tracker!E:E, 3, Tracker!G:G, "&lt;="&amp;Daily!C402, Tracker!L:L, "N") / AF402,  0)</f>
        <v>0.35714285714285715</v>
      </c>
      <c r="AK402" s="48">
        <f t="shared" si="186"/>
        <v>391</v>
      </c>
      <c r="AL402" s="26">
        <f t="shared" si="187"/>
        <v>321</v>
      </c>
      <c r="AM402" s="62">
        <f t="shared" si="188"/>
        <v>0.82097186700767266</v>
      </c>
      <c r="AN402" s="74">
        <f>IFERROR(AVERAGEIFS(Tracker!I:I,  Tracker!G:G, "&lt;="&amp;Daily!C402, Tracker!J:J, "Y"), 0)</f>
        <v>23.140186915887849</v>
      </c>
      <c r="AO402" s="77">
        <f>IFERROR(COUNTIFS(Tracker!G:G, "&lt;="&amp;Daily!C402, Tracker!L:L, "N") / AK402,  0)</f>
        <v>0.63682864450127874</v>
      </c>
    </row>
    <row r="403" spans="1:41" hidden="1" x14ac:dyDescent="0.25">
      <c r="A403" s="119"/>
      <c r="B403" s="32">
        <f t="shared" si="172"/>
        <v>45618</v>
      </c>
      <c r="C403" s="27">
        <f t="shared" si="189"/>
        <v>45618</v>
      </c>
      <c r="D403" s="109" t="b">
        <f t="shared" ca="1" si="171"/>
        <v>0</v>
      </c>
      <c r="E403" s="51">
        <f t="shared" si="173"/>
        <v>0</v>
      </c>
      <c r="F403" s="48">
        <f>COUNTIFS(Tracker!G:G,Daily!C403, Tracker!J:J,"Y")</f>
        <v>0</v>
      </c>
      <c r="G403" s="26">
        <f>COUNTIFS(Tracker!G:G,Daily!C403, Tracker!J:J,"Y (with hints)")</f>
        <v>0</v>
      </c>
      <c r="H403" s="33">
        <f>COUNTIFS(Tracker!G:G,Daily!C403, Tracker!J:J,"N")</f>
        <v>0</v>
      </c>
      <c r="I403" s="54">
        <f t="shared" si="174"/>
        <v>0</v>
      </c>
      <c r="J403" s="26">
        <f>COUNTIFS(Tracker!G:G,Daily!C403, Tracker!J:J,"Y",Tracker!E:E,1)</f>
        <v>0</v>
      </c>
      <c r="K403" s="26">
        <f>COUNTIFS(Tracker!G:G,Daily!C403, Tracker!J:J,"Y (with hints)",Tracker!E:E,1)</f>
        <v>0</v>
      </c>
      <c r="L403" s="33">
        <f>COUNTIFS(Tracker!G:G,Daily!C403, Tracker!J:J,"N",Tracker!E:E,1)</f>
        <v>0</v>
      </c>
      <c r="M403" s="54">
        <f t="shared" si="175"/>
        <v>0</v>
      </c>
      <c r="N403" s="26">
        <f>COUNTIFS(Tracker!G:G,Daily!C403, Tracker!J:J,"Y",Tracker!E:E,2)</f>
        <v>0</v>
      </c>
      <c r="O403" s="26">
        <f>COUNTIFS(Tracker!G:G,Daily!C403, Tracker!J:J,"Y (with hints)",Tracker!E:E,2)</f>
        <v>0</v>
      </c>
      <c r="P403" s="33">
        <f>COUNTIFS(Tracker!G:G,Daily!C403, Tracker!J:J,"N",Tracker!E:E,2)</f>
        <v>0</v>
      </c>
      <c r="Q403" s="57">
        <f t="shared" si="176"/>
        <v>0</v>
      </c>
      <c r="R403" s="26">
        <f>COUNTIFS(Tracker!G:G,Daily!C403, Tracker!J:J,"Y",Tracker!E:E,3)</f>
        <v>0</v>
      </c>
      <c r="S403" s="26">
        <f>COUNTIFS(Tracker!G:G,Daily!C403, Tracker!J:J,"Y (with hints)",Tracker!E:E,3)</f>
        <v>0</v>
      </c>
      <c r="T403" s="33">
        <f>COUNTIFS(Tracker!G:G,Daily!C403, Tracker!J:J,"N",Tracker!E:E,3)</f>
        <v>0</v>
      </c>
      <c r="V403" s="48">
        <f t="shared" si="177"/>
        <v>99</v>
      </c>
      <c r="W403" s="26">
        <f t="shared" si="178"/>
        <v>95</v>
      </c>
      <c r="X403" s="62">
        <f t="shared" si="179"/>
        <v>0.95959595959595956</v>
      </c>
      <c r="Y403" s="74">
        <f>AVERAGEIFS(Tracker!I:I, Tracker!E:E, 1, Tracker!G:G, "&lt;="&amp;Daily!C403, Tracker!J:J, "Y")</f>
        <v>12.368421052631579</v>
      </c>
      <c r="Z403" s="77">
        <f>COUNTIFS(Tracker!E:E, 1, Tracker!G:G, "&lt;="&amp;Daily!C403, Tracker!L:L, "N") / V403</f>
        <v>0.80808080808080807</v>
      </c>
      <c r="AA403" s="48">
        <f t="shared" si="180"/>
        <v>250</v>
      </c>
      <c r="AB403" s="26">
        <f t="shared" si="181"/>
        <v>199</v>
      </c>
      <c r="AC403" s="62">
        <f t="shared" si="182"/>
        <v>0.79600000000000004</v>
      </c>
      <c r="AD403" s="74">
        <f>AVERAGEIFS(Tracker!I:I, Tracker!E:E, 2, Tracker!G:G, "&lt;="&amp;Daily!C403, Tracker!J:J, "Y")</f>
        <v>25.984924623115578</v>
      </c>
      <c r="AE403" s="77">
        <f>COUNTIFS(Tracker!E:E, 2, Tracker!G:G, "&lt;="&amp;Daily!C403, Tracker!L:L, "N") / AA403</f>
        <v>0.61599999999999999</v>
      </c>
      <c r="AF403" s="48">
        <f t="shared" si="183"/>
        <v>42</v>
      </c>
      <c r="AG403" s="26">
        <f t="shared" si="184"/>
        <v>27</v>
      </c>
      <c r="AH403" s="62">
        <f t="shared" si="185"/>
        <v>0.6428571428571429</v>
      </c>
      <c r="AI403" s="74">
        <f>IFERROR(AVERAGEIFS(Tracker!I:I, Tracker!E:E, 3, Tracker!G:G, "&lt;="&amp;Daily!C403, Tracker!J:J, "Y"), 0)</f>
        <v>40.074074074074076</v>
      </c>
      <c r="AJ403" s="77">
        <f>IFERROR(COUNTIFS(Tracker!E:E, 3, Tracker!G:G, "&lt;="&amp;Daily!C403, Tracker!L:L, "N") / AF403,  0)</f>
        <v>0.35714285714285715</v>
      </c>
      <c r="AK403" s="48">
        <f t="shared" si="186"/>
        <v>391</v>
      </c>
      <c r="AL403" s="26">
        <f t="shared" si="187"/>
        <v>321</v>
      </c>
      <c r="AM403" s="62">
        <f t="shared" si="188"/>
        <v>0.82097186700767266</v>
      </c>
      <c r="AN403" s="74">
        <f>IFERROR(AVERAGEIFS(Tracker!I:I,  Tracker!G:G, "&lt;="&amp;Daily!C403, Tracker!J:J, "Y"), 0)</f>
        <v>23.140186915887849</v>
      </c>
      <c r="AO403" s="77">
        <f>IFERROR(COUNTIFS(Tracker!G:G, "&lt;="&amp;Daily!C403, Tracker!L:L, "N") / AK403,  0)</f>
        <v>0.63682864450127874</v>
      </c>
    </row>
    <row r="404" spans="1:41" hidden="1" x14ac:dyDescent="0.25">
      <c r="A404" s="119"/>
      <c r="B404" s="32">
        <f t="shared" si="172"/>
        <v>45619</v>
      </c>
      <c r="C404" s="27">
        <f t="shared" si="189"/>
        <v>45619</v>
      </c>
      <c r="D404" s="109" t="b">
        <f t="shared" ca="1" si="171"/>
        <v>0</v>
      </c>
      <c r="E404" s="51">
        <f t="shared" si="173"/>
        <v>0</v>
      </c>
      <c r="F404" s="48">
        <f>COUNTIFS(Tracker!G:G,Daily!C404, Tracker!J:J,"Y")</f>
        <v>0</v>
      </c>
      <c r="G404" s="26">
        <f>COUNTIFS(Tracker!G:G,Daily!C404, Tracker!J:J,"Y (with hints)")</f>
        <v>0</v>
      </c>
      <c r="H404" s="33">
        <f>COUNTIFS(Tracker!G:G,Daily!C404, Tracker!J:J,"N")</f>
        <v>0</v>
      </c>
      <c r="I404" s="54">
        <f t="shared" si="174"/>
        <v>0</v>
      </c>
      <c r="J404" s="26">
        <f>COUNTIFS(Tracker!G:G,Daily!C404, Tracker!J:J,"Y",Tracker!E:E,1)</f>
        <v>0</v>
      </c>
      <c r="K404" s="26">
        <f>COUNTIFS(Tracker!G:G,Daily!C404, Tracker!J:J,"Y (with hints)",Tracker!E:E,1)</f>
        <v>0</v>
      </c>
      <c r="L404" s="33">
        <f>COUNTIFS(Tracker!G:G,Daily!C404, Tracker!J:J,"N",Tracker!E:E,1)</f>
        <v>0</v>
      </c>
      <c r="M404" s="54">
        <f t="shared" si="175"/>
        <v>0</v>
      </c>
      <c r="N404" s="26">
        <f>COUNTIFS(Tracker!G:G,Daily!C404, Tracker!J:J,"Y",Tracker!E:E,2)</f>
        <v>0</v>
      </c>
      <c r="O404" s="26">
        <f>COUNTIFS(Tracker!G:G,Daily!C404, Tracker!J:J,"Y (with hints)",Tracker!E:E,2)</f>
        <v>0</v>
      </c>
      <c r="P404" s="33">
        <f>COUNTIFS(Tracker!G:G,Daily!C404, Tracker!J:J,"N",Tracker!E:E,2)</f>
        <v>0</v>
      </c>
      <c r="Q404" s="57">
        <f t="shared" si="176"/>
        <v>0</v>
      </c>
      <c r="R404" s="26">
        <f>COUNTIFS(Tracker!G:G,Daily!C404, Tracker!J:J,"Y",Tracker!E:E,3)</f>
        <v>0</v>
      </c>
      <c r="S404" s="26">
        <f>COUNTIFS(Tracker!G:G,Daily!C404, Tracker!J:J,"Y (with hints)",Tracker!E:E,3)</f>
        <v>0</v>
      </c>
      <c r="T404" s="33">
        <f>COUNTIFS(Tracker!G:G,Daily!C404, Tracker!J:J,"N",Tracker!E:E,3)</f>
        <v>0</v>
      </c>
      <c r="V404" s="48">
        <f t="shared" si="177"/>
        <v>99</v>
      </c>
      <c r="W404" s="26">
        <f t="shared" si="178"/>
        <v>95</v>
      </c>
      <c r="X404" s="62">
        <f t="shared" si="179"/>
        <v>0.95959595959595956</v>
      </c>
      <c r="Y404" s="74">
        <f>AVERAGEIFS(Tracker!I:I, Tracker!E:E, 1, Tracker!G:G, "&lt;="&amp;Daily!C404, Tracker!J:J, "Y")</f>
        <v>12.368421052631579</v>
      </c>
      <c r="Z404" s="77">
        <f>COUNTIFS(Tracker!E:E, 1, Tracker!G:G, "&lt;="&amp;Daily!C404, Tracker!L:L, "N") / V404</f>
        <v>0.80808080808080807</v>
      </c>
      <c r="AA404" s="48">
        <f t="shared" si="180"/>
        <v>250</v>
      </c>
      <c r="AB404" s="26">
        <f t="shared" si="181"/>
        <v>199</v>
      </c>
      <c r="AC404" s="62">
        <f t="shared" si="182"/>
        <v>0.79600000000000004</v>
      </c>
      <c r="AD404" s="74">
        <f>AVERAGEIFS(Tracker!I:I, Tracker!E:E, 2, Tracker!G:G, "&lt;="&amp;Daily!C404, Tracker!J:J, "Y")</f>
        <v>25.984924623115578</v>
      </c>
      <c r="AE404" s="77">
        <f>COUNTIFS(Tracker!E:E, 2, Tracker!G:G, "&lt;="&amp;Daily!C404, Tracker!L:L, "N") / AA404</f>
        <v>0.61599999999999999</v>
      </c>
      <c r="AF404" s="48">
        <f t="shared" si="183"/>
        <v>42</v>
      </c>
      <c r="AG404" s="26">
        <f t="shared" si="184"/>
        <v>27</v>
      </c>
      <c r="AH404" s="62">
        <f t="shared" si="185"/>
        <v>0.6428571428571429</v>
      </c>
      <c r="AI404" s="74">
        <f>IFERROR(AVERAGEIFS(Tracker!I:I, Tracker!E:E, 3, Tracker!G:G, "&lt;="&amp;Daily!C404, Tracker!J:J, "Y"), 0)</f>
        <v>40.074074074074076</v>
      </c>
      <c r="AJ404" s="77">
        <f>IFERROR(COUNTIFS(Tracker!E:E, 3, Tracker!G:G, "&lt;="&amp;Daily!C404, Tracker!L:L, "N") / AF404,  0)</f>
        <v>0.35714285714285715</v>
      </c>
      <c r="AK404" s="48">
        <f t="shared" si="186"/>
        <v>391</v>
      </c>
      <c r="AL404" s="26">
        <f t="shared" si="187"/>
        <v>321</v>
      </c>
      <c r="AM404" s="62">
        <f t="shared" si="188"/>
        <v>0.82097186700767266</v>
      </c>
      <c r="AN404" s="74">
        <f>IFERROR(AVERAGEIFS(Tracker!I:I,  Tracker!G:G, "&lt;="&amp;Daily!C404, Tracker!J:J, "Y"), 0)</f>
        <v>23.140186915887849</v>
      </c>
      <c r="AO404" s="77">
        <f>IFERROR(COUNTIFS(Tracker!G:G, "&lt;="&amp;Daily!C404, Tracker!L:L, "N") / AK404,  0)</f>
        <v>0.63682864450127874</v>
      </c>
    </row>
    <row r="405" spans="1:41" ht="15.75" hidden="1" thickBot="1" x14ac:dyDescent="0.3">
      <c r="A405" s="120"/>
      <c r="B405" s="34">
        <f t="shared" si="172"/>
        <v>45620</v>
      </c>
      <c r="C405" s="35">
        <f t="shared" si="189"/>
        <v>45620</v>
      </c>
      <c r="D405" s="110" t="b">
        <f t="shared" ca="1" si="171"/>
        <v>0</v>
      </c>
      <c r="E405" s="52">
        <f t="shared" si="173"/>
        <v>0</v>
      </c>
      <c r="F405" s="39">
        <f>COUNTIFS(Tracker!G:G,Daily!C405, Tracker!J:J,"Y")</f>
        <v>0</v>
      </c>
      <c r="G405" s="36">
        <f>COUNTIFS(Tracker!G:G,Daily!C405, Tracker!J:J,"Y (with hints)")</f>
        <v>0</v>
      </c>
      <c r="H405" s="37">
        <f>COUNTIFS(Tracker!G:G,Daily!C405, Tracker!J:J,"N")</f>
        <v>0</v>
      </c>
      <c r="I405" s="55">
        <f t="shared" si="174"/>
        <v>0</v>
      </c>
      <c r="J405" s="36">
        <f>COUNTIFS(Tracker!G:G,Daily!C405, Tracker!J:J,"Y",Tracker!E:E,1)</f>
        <v>0</v>
      </c>
      <c r="K405" s="36">
        <f>COUNTIFS(Tracker!G:G,Daily!C405, Tracker!J:J,"Y (with hints)",Tracker!E:E,1)</f>
        <v>0</v>
      </c>
      <c r="L405" s="37">
        <f>COUNTIFS(Tracker!G:G,Daily!C405, Tracker!J:J,"N",Tracker!E:E,1)</f>
        <v>0</v>
      </c>
      <c r="M405" s="55">
        <f t="shared" si="175"/>
        <v>0</v>
      </c>
      <c r="N405" s="36">
        <f>COUNTIFS(Tracker!G:G,Daily!C405, Tracker!J:J,"Y",Tracker!E:E,2)</f>
        <v>0</v>
      </c>
      <c r="O405" s="36">
        <f>COUNTIFS(Tracker!G:G,Daily!C405, Tracker!J:J,"Y (with hints)",Tracker!E:E,2)</f>
        <v>0</v>
      </c>
      <c r="P405" s="37">
        <f>COUNTIFS(Tracker!G:G,Daily!C405, Tracker!J:J,"N",Tracker!E:E,2)</f>
        <v>0</v>
      </c>
      <c r="Q405" s="58">
        <f t="shared" si="176"/>
        <v>0</v>
      </c>
      <c r="R405" s="36">
        <f>COUNTIFS(Tracker!G:G,Daily!C405, Tracker!J:J,"Y",Tracker!E:E,3)</f>
        <v>0</v>
      </c>
      <c r="S405" s="36">
        <f>COUNTIFS(Tracker!G:G,Daily!C405, Tracker!J:J,"Y (with hints)",Tracker!E:E,3)</f>
        <v>0</v>
      </c>
      <c r="T405" s="37">
        <f>COUNTIFS(Tracker!G:G,Daily!C405, Tracker!J:J,"N",Tracker!E:E,3)</f>
        <v>0</v>
      </c>
      <c r="V405" s="39">
        <f t="shared" si="177"/>
        <v>99</v>
      </c>
      <c r="W405" s="36">
        <f t="shared" si="178"/>
        <v>95</v>
      </c>
      <c r="X405" s="64">
        <f t="shared" si="179"/>
        <v>0.95959595959595956</v>
      </c>
      <c r="Y405" s="78">
        <f>AVERAGEIFS(Tracker!I:I, Tracker!E:E, 1, Tracker!G:G, "&lt;="&amp;Daily!C405, Tracker!J:J, "Y")</f>
        <v>12.368421052631579</v>
      </c>
      <c r="Z405" s="79">
        <f>COUNTIFS(Tracker!E:E, 1, Tracker!G:G, "&lt;="&amp;Daily!C405, Tracker!L:L, "N") / V405</f>
        <v>0.80808080808080807</v>
      </c>
      <c r="AA405" s="39">
        <f t="shared" si="180"/>
        <v>250</v>
      </c>
      <c r="AB405" s="36">
        <f t="shared" si="181"/>
        <v>199</v>
      </c>
      <c r="AC405" s="64">
        <f t="shared" si="182"/>
        <v>0.79600000000000004</v>
      </c>
      <c r="AD405" s="78">
        <f>AVERAGEIFS(Tracker!I:I, Tracker!E:E, 2, Tracker!G:G, "&lt;="&amp;Daily!C405, Tracker!J:J, "Y")</f>
        <v>25.984924623115578</v>
      </c>
      <c r="AE405" s="79">
        <f>COUNTIFS(Tracker!E:E, 2, Tracker!G:G, "&lt;="&amp;Daily!C405, Tracker!L:L, "N") / AA405</f>
        <v>0.61599999999999999</v>
      </c>
      <c r="AF405" s="39">
        <f t="shared" si="183"/>
        <v>42</v>
      </c>
      <c r="AG405" s="36">
        <f t="shared" si="184"/>
        <v>27</v>
      </c>
      <c r="AH405" s="64">
        <f t="shared" si="185"/>
        <v>0.6428571428571429</v>
      </c>
      <c r="AI405" s="78">
        <f>IFERROR(AVERAGEIFS(Tracker!I:I, Tracker!E:E, 3, Tracker!G:G, "&lt;="&amp;Daily!C405, Tracker!J:J, "Y"), 0)</f>
        <v>40.074074074074076</v>
      </c>
      <c r="AJ405" s="79">
        <f>IFERROR(COUNTIFS(Tracker!E:E, 3, Tracker!G:G, "&lt;="&amp;Daily!C405, Tracker!L:L, "N") / AF405,  0)</f>
        <v>0.35714285714285715</v>
      </c>
      <c r="AK405" s="39">
        <f t="shared" si="186"/>
        <v>391</v>
      </c>
      <c r="AL405" s="36">
        <f t="shared" si="187"/>
        <v>321</v>
      </c>
      <c r="AM405" s="64">
        <f t="shared" si="188"/>
        <v>0.82097186700767266</v>
      </c>
      <c r="AN405" s="78">
        <f>IFERROR(AVERAGEIFS(Tracker!I:I,  Tracker!G:G, "&lt;="&amp;Daily!C405, Tracker!J:J, "Y"), 0)</f>
        <v>23.140186915887849</v>
      </c>
      <c r="AO405" s="79">
        <f>IFERROR(COUNTIFS(Tracker!G:G, "&lt;="&amp;Daily!C405, Tracker!L:L, "N") / AK405,  0)</f>
        <v>0.63682864450127874</v>
      </c>
    </row>
    <row r="406" spans="1:41" hidden="1" x14ac:dyDescent="0.25">
      <c r="A406" s="118">
        <f>A399+1</f>
        <v>58</v>
      </c>
      <c r="B406" s="28">
        <f t="shared" si="172"/>
        <v>45621</v>
      </c>
      <c r="C406" s="29">
        <f t="shared" si="189"/>
        <v>45621</v>
      </c>
      <c r="D406" s="108" t="b">
        <f t="shared" ca="1" si="171"/>
        <v>0</v>
      </c>
      <c r="E406" s="50">
        <f t="shared" si="173"/>
        <v>0</v>
      </c>
      <c r="F406" s="38">
        <f>COUNTIFS(Tracker!G:G,Daily!C406, Tracker!J:J,"Y")</f>
        <v>0</v>
      </c>
      <c r="G406" s="30">
        <f>COUNTIFS(Tracker!G:G,Daily!C406, Tracker!J:J,"Y (with hints)")</f>
        <v>0</v>
      </c>
      <c r="H406" s="31">
        <f>COUNTIFS(Tracker!G:G,Daily!C406, Tracker!J:J,"N")</f>
        <v>0</v>
      </c>
      <c r="I406" s="53">
        <f t="shared" si="174"/>
        <v>0</v>
      </c>
      <c r="J406" s="30">
        <f>COUNTIFS(Tracker!G:G,Daily!C406, Tracker!J:J,"Y",Tracker!E:E,1)</f>
        <v>0</v>
      </c>
      <c r="K406" s="30">
        <f>COUNTIFS(Tracker!G:G,Daily!C406, Tracker!J:J,"Y (with hints)",Tracker!E:E,1)</f>
        <v>0</v>
      </c>
      <c r="L406" s="31">
        <f>COUNTIFS(Tracker!G:G,Daily!C406, Tracker!J:J,"N",Tracker!E:E,1)</f>
        <v>0</v>
      </c>
      <c r="M406" s="53">
        <f t="shared" si="175"/>
        <v>0</v>
      </c>
      <c r="N406" s="30">
        <f>COUNTIFS(Tracker!G:G,Daily!C406, Tracker!J:J,"Y",Tracker!E:E,2)</f>
        <v>0</v>
      </c>
      <c r="O406" s="30">
        <f>COUNTIFS(Tracker!G:G,Daily!C406, Tracker!J:J,"Y (with hints)",Tracker!E:E,2)</f>
        <v>0</v>
      </c>
      <c r="P406" s="31">
        <f>COUNTIFS(Tracker!G:G,Daily!C406, Tracker!J:J,"N",Tracker!E:E,2)</f>
        <v>0</v>
      </c>
      <c r="Q406" s="56">
        <f t="shared" si="176"/>
        <v>0</v>
      </c>
      <c r="R406" s="30">
        <f>COUNTIFS(Tracker!G:G,Daily!C406, Tracker!J:J,"Y",Tracker!E:E,3)</f>
        <v>0</v>
      </c>
      <c r="S406" s="30">
        <f>COUNTIFS(Tracker!G:G,Daily!C406, Tracker!J:J,"Y (with hints)",Tracker!E:E,3)</f>
        <v>0</v>
      </c>
      <c r="T406" s="31">
        <f>COUNTIFS(Tracker!G:G,Daily!C406, Tracker!J:J,"N",Tracker!E:E,3)</f>
        <v>0</v>
      </c>
      <c r="V406" s="38">
        <f t="shared" si="177"/>
        <v>99</v>
      </c>
      <c r="W406" s="30">
        <f t="shared" si="178"/>
        <v>95</v>
      </c>
      <c r="X406" s="73">
        <f t="shared" si="179"/>
        <v>0.95959595959595956</v>
      </c>
      <c r="Y406" s="75">
        <f>AVERAGEIFS(Tracker!I:I, Tracker!E:E, 1, Tracker!G:G, "&lt;="&amp;Daily!C406, Tracker!J:J, "Y")</f>
        <v>12.368421052631579</v>
      </c>
      <c r="Z406" s="76">
        <f>COUNTIFS(Tracker!E:E, 1, Tracker!G:G, "&lt;="&amp;Daily!C406, Tracker!L:L, "N") / V406</f>
        <v>0.80808080808080807</v>
      </c>
      <c r="AA406" s="38">
        <f t="shared" si="180"/>
        <v>250</v>
      </c>
      <c r="AB406" s="30">
        <f t="shared" si="181"/>
        <v>199</v>
      </c>
      <c r="AC406" s="73">
        <f t="shared" si="182"/>
        <v>0.79600000000000004</v>
      </c>
      <c r="AD406" s="75">
        <f>AVERAGEIFS(Tracker!I:I, Tracker!E:E, 2, Tracker!G:G, "&lt;="&amp;Daily!C406, Tracker!J:J, "Y")</f>
        <v>25.984924623115578</v>
      </c>
      <c r="AE406" s="76">
        <f>COUNTIFS(Tracker!E:E, 2, Tracker!G:G, "&lt;="&amp;Daily!C406, Tracker!L:L, "N") / AA406</f>
        <v>0.61599999999999999</v>
      </c>
      <c r="AF406" s="38">
        <f t="shared" si="183"/>
        <v>42</v>
      </c>
      <c r="AG406" s="30">
        <f t="shared" si="184"/>
        <v>27</v>
      </c>
      <c r="AH406" s="73">
        <f t="shared" si="185"/>
        <v>0.6428571428571429</v>
      </c>
      <c r="AI406" s="75">
        <f>IFERROR(AVERAGEIFS(Tracker!I:I, Tracker!E:E, 3, Tracker!G:G, "&lt;="&amp;Daily!C406, Tracker!J:J, "Y"), 0)</f>
        <v>40.074074074074076</v>
      </c>
      <c r="AJ406" s="76">
        <f>IFERROR(COUNTIFS(Tracker!E:E, 3, Tracker!G:G, "&lt;="&amp;Daily!C406, Tracker!L:L, "N") / AF406,  0)</f>
        <v>0.35714285714285715</v>
      </c>
      <c r="AK406" s="38">
        <f t="shared" si="186"/>
        <v>391</v>
      </c>
      <c r="AL406" s="30">
        <f t="shared" si="187"/>
        <v>321</v>
      </c>
      <c r="AM406" s="73">
        <f t="shared" si="188"/>
        <v>0.82097186700767266</v>
      </c>
      <c r="AN406" s="75">
        <f>IFERROR(AVERAGEIFS(Tracker!I:I,  Tracker!G:G, "&lt;="&amp;Daily!C406, Tracker!J:J, "Y"), 0)</f>
        <v>23.140186915887849</v>
      </c>
      <c r="AO406" s="76">
        <f>IFERROR(COUNTIFS(Tracker!G:G, "&lt;="&amp;Daily!C406, Tracker!L:L, "N") / AK406,  0)</f>
        <v>0.63682864450127874</v>
      </c>
    </row>
    <row r="407" spans="1:41" hidden="1" x14ac:dyDescent="0.25">
      <c r="A407" s="119"/>
      <c r="B407" s="32">
        <f t="shared" si="172"/>
        <v>45622</v>
      </c>
      <c r="C407" s="27">
        <f t="shared" si="189"/>
        <v>45622</v>
      </c>
      <c r="D407" s="109" t="b">
        <f t="shared" ca="1" si="171"/>
        <v>0</v>
      </c>
      <c r="E407" s="51">
        <f t="shared" si="173"/>
        <v>0</v>
      </c>
      <c r="F407" s="48">
        <f>COUNTIFS(Tracker!G:G,Daily!C407, Tracker!J:J,"Y")</f>
        <v>0</v>
      </c>
      <c r="G407" s="26">
        <f>COUNTIFS(Tracker!G:G,Daily!C407, Tracker!J:J,"Y (with hints)")</f>
        <v>0</v>
      </c>
      <c r="H407" s="33">
        <f>COUNTIFS(Tracker!G:G,Daily!C407, Tracker!J:J,"N")</f>
        <v>0</v>
      </c>
      <c r="I407" s="54">
        <f t="shared" si="174"/>
        <v>0</v>
      </c>
      <c r="J407" s="26">
        <f>COUNTIFS(Tracker!G:G,Daily!C407, Tracker!J:J,"Y",Tracker!E:E,1)</f>
        <v>0</v>
      </c>
      <c r="K407" s="26">
        <f>COUNTIFS(Tracker!G:G,Daily!C407, Tracker!J:J,"Y (with hints)",Tracker!E:E,1)</f>
        <v>0</v>
      </c>
      <c r="L407" s="33">
        <f>COUNTIFS(Tracker!G:G,Daily!C407, Tracker!J:J,"N",Tracker!E:E,1)</f>
        <v>0</v>
      </c>
      <c r="M407" s="54">
        <f t="shared" si="175"/>
        <v>0</v>
      </c>
      <c r="N407" s="26">
        <f>COUNTIFS(Tracker!G:G,Daily!C407, Tracker!J:J,"Y",Tracker!E:E,2)</f>
        <v>0</v>
      </c>
      <c r="O407" s="26">
        <f>COUNTIFS(Tracker!G:G,Daily!C407, Tracker!J:J,"Y (with hints)",Tracker!E:E,2)</f>
        <v>0</v>
      </c>
      <c r="P407" s="33">
        <f>COUNTIFS(Tracker!G:G,Daily!C407, Tracker!J:J,"N",Tracker!E:E,2)</f>
        <v>0</v>
      </c>
      <c r="Q407" s="57">
        <f t="shared" si="176"/>
        <v>0</v>
      </c>
      <c r="R407" s="26">
        <f>COUNTIFS(Tracker!G:G,Daily!C407, Tracker!J:J,"Y",Tracker!E:E,3)</f>
        <v>0</v>
      </c>
      <c r="S407" s="26">
        <f>COUNTIFS(Tracker!G:G,Daily!C407, Tracker!J:J,"Y (with hints)",Tracker!E:E,3)</f>
        <v>0</v>
      </c>
      <c r="T407" s="33">
        <f>COUNTIFS(Tracker!G:G,Daily!C407, Tracker!J:J,"N",Tracker!E:E,3)</f>
        <v>0</v>
      </c>
      <c r="V407" s="48">
        <f t="shared" si="177"/>
        <v>99</v>
      </c>
      <c r="W407" s="26">
        <f t="shared" si="178"/>
        <v>95</v>
      </c>
      <c r="X407" s="62">
        <f t="shared" si="179"/>
        <v>0.95959595959595956</v>
      </c>
      <c r="Y407" s="74">
        <f>AVERAGEIFS(Tracker!I:I, Tracker!E:E, 1, Tracker!G:G, "&lt;="&amp;Daily!C407, Tracker!J:J, "Y")</f>
        <v>12.368421052631579</v>
      </c>
      <c r="Z407" s="77">
        <f>COUNTIFS(Tracker!E:E, 1, Tracker!G:G, "&lt;="&amp;Daily!C407, Tracker!L:L, "N") / V407</f>
        <v>0.80808080808080807</v>
      </c>
      <c r="AA407" s="48">
        <f t="shared" si="180"/>
        <v>250</v>
      </c>
      <c r="AB407" s="26">
        <f t="shared" si="181"/>
        <v>199</v>
      </c>
      <c r="AC407" s="62">
        <f t="shared" si="182"/>
        <v>0.79600000000000004</v>
      </c>
      <c r="AD407" s="74">
        <f>AVERAGEIFS(Tracker!I:I, Tracker!E:E, 2, Tracker!G:G, "&lt;="&amp;Daily!C407, Tracker!J:J, "Y")</f>
        <v>25.984924623115578</v>
      </c>
      <c r="AE407" s="77">
        <f>COUNTIFS(Tracker!E:E, 2, Tracker!G:G, "&lt;="&amp;Daily!C407, Tracker!L:L, "N") / AA407</f>
        <v>0.61599999999999999</v>
      </c>
      <c r="AF407" s="48">
        <f t="shared" si="183"/>
        <v>42</v>
      </c>
      <c r="AG407" s="26">
        <f t="shared" si="184"/>
        <v>27</v>
      </c>
      <c r="AH407" s="62">
        <f t="shared" si="185"/>
        <v>0.6428571428571429</v>
      </c>
      <c r="AI407" s="74">
        <f>IFERROR(AVERAGEIFS(Tracker!I:I, Tracker!E:E, 3, Tracker!G:G, "&lt;="&amp;Daily!C407, Tracker!J:J, "Y"), 0)</f>
        <v>40.074074074074076</v>
      </c>
      <c r="AJ407" s="77">
        <f>IFERROR(COUNTIFS(Tracker!E:E, 3, Tracker!G:G, "&lt;="&amp;Daily!C407, Tracker!L:L, "N") / AF407,  0)</f>
        <v>0.35714285714285715</v>
      </c>
      <c r="AK407" s="48">
        <f t="shared" si="186"/>
        <v>391</v>
      </c>
      <c r="AL407" s="26">
        <f t="shared" si="187"/>
        <v>321</v>
      </c>
      <c r="AM407" s="62">
        <f t="shared" si="188"/>
        <v>0.82097186700767266</v>
      </c>
      <c r="AN407" s="74">
        <f>IFERROR(AVERAGEIFS(Tracker!I:I,  Tracker!G:G, "&lt;="&amp;Daily!C407, Tracker!J:J, "Y"), 0)</f>
        <v>23.140186915887849</v>
      </c>
      <c r="AO407" s="77">
        <f>IFERROR(COUNTIFS(Tracker!G:G, "&lt;="&amp;Daily!C407, Tracker!L:L, "N") / AK407,  0)</f>
        <v>0.63682864450127874</v>
      </c>
    </row>
    <row r="408" spans="1:41" hidden="1" x14ac:dyDescent="0.25">
      <c r="A408" s="119"/>
      <c r="B408" s="32">
        <f t="shared" si="172"/>
        <v>45623</v>
      </c>
      <c r="C408" s="27">
        <f t="shared" si="189"/>
        <v>45623</v>
      </c>
      <c r="D408" s="109" t="b">
        <f t="shared" ca="1" si="171"/>
        <v>0</v>
      </c>
      <c r="E408" s="51">
        <f t="shared" si="173"/>
        <v>0</v>
      </c>
      <c r="F408" s="48">
        <f>COUNTIFS(Tracker!G:G,Daily!C408, Tracker!J:J,"Y")</f>
        <v>0</v>
      </c>
      <c r="G408" s="26">
        <f>COUNTIFS(Tracker!G:G,Daily!C408, Tracker!J:J,"Y (with hints)")</f>
        <v>0</v>
      </c>
      <c r="H408" s="33">
        <f>COUNTIFS(Tracker!G:G,Daily!C408, Tracker!J:J,"N")</f>
        <v>0</v>
      </c>
      <c r="I408" s="54">
        <f t="shared" si="174"/>
        <v>0</v>
      </c>
      <c r="J408" s="26">
        <f>COUNTIFS(Tracker!G:G,Daily!C408, Tracker!J:J,"Y",Tracker!E:E,1)</f>
        <v>0</v>
      </c>
      <c r="K408" s="26">
        <f>COUNTIFS(Tracker!G:G,Daily!C408, Tracker!J:J,"Y (with hints)",Tracker!E:E,1)</f>
        <v>0</v>
      </c>
      <c r="L408" s="33">
        <f>COUNTIFS(Tracker!G:G,Daily!C408, Tracker!J:J,"N",Tracker!E:E,1)</f>
        <v>0</v>
      </c>
      <c r="M408" s="54">
        <f t="shared" si="175"/>
        <v>0</v>
      </c>
      <c r="N408" s="26">
        <f>COUNTIFS(Tracker!G:G,Daily!C408, Tracker!J:J,"Y",Tracker!E:E,2)</f>
        <v>0</v>
      </c>
      <c r="O408" s="26">
        <f>COUNTIFS(Tracker!G:G,Daily!C408, Tracker!J:J,"Y (with hints)",Tracker!E:E,2)</f>
        <v>0</v>
      </c>
      <c r="P408" s="33">
        <f>COUNTIFS(Tracker!G:G,Daily!C408, Tracker!J:J,"N",Tracker!E:E,2)</f>
        <v>0</v>
      </c>
      <c r="Q408" s="57">
        <f t="shared" si="176"/>
        <v>0</v>
      </c>
      <c r="R408" s="26">
        <f>COUNTIFS(Tracker!G:G,Daily!C408, Tracker!J:J,"Y",Tracker!E:E,3)</f>
        <v>0</v>
      </c>
      <c r="S408" s="26">
        <f>COUNTIFS(Tracker!G:G,Daily!C408, Tracker!J:J,"Y (with hints)",Tracker!E:E,3)</f>
        <v>0</v>
      </c>
      <c r="T408" s="33">
        <f>COUNTIFS(Tracker!G:G,Daily!C408, Tracker!J:J,"N",Tracker!E:E,3)</f>
        <v>0</v>
      </c>
      <c r="V408" s="48">
        <f t="shared" si="177"/>
        <v>99</v>
      </c>
      <c r="W408" s="26">
        <f t="shared" si="178"/>
        <v>95</v>
      </c>
      <c r="X408" s="62">
        <f t="shared" si="179"/>
        <v>0.95959595959595956</v>
      </c>
      <c r="Y408" s="74">
        <f>AVERAGEIFS(Tracker!I:I, Tracker!E:E, 1, Tracker!G:G, "&lt;="&amp;Daily!C408, Tracker!J:J, "Y")</f>
        <v>12.368421052631579</v>
      </c>
      <c r="Z408" s="77">
        <f>COUNTIFS(Tracker!E:E, 1, Tracker!G:G, "&lt;="&amp;Daily!C408, Tracker!L:L, "N") / V408</f>
        <v>0.80808080808080807</v>
      </c>
      <c r="AA408" s="48">
        <f t="shared" si="180"/>
        <v>250</v>
      </c>
      <c r="AB408" s="26">
        <f t="shared" si="181"/>
        <v>199</v>
      </c>
      <c r="AC408" s="62">
        <f t="shared" si="182"/>
        <v>0.79600000000000004</v>
      </c>
      <c r="AD408" s="74">
        <f>AVERAGEIFS(Tracker!I:I, Tracker!E:E, 2, Tracker!G:G, "&lt;="&amp;Daily!C408, Tracker!J:J, "Y")</f>
        <v>25.984924623115578</v>
      </c>
      <c r="AE408" s="77">
        <f>COUNTIFS(Tracker!E:E, 2, Tracker!G:G, "&lt;="&amp;Daily!C408, Tracker!L:L, "N") / AA408</f>
        <v>0.61599999999999999</v>
      </c>
      <c r="AF408" s="48">
        <f t="shared" si="183"/>
        <v>42</v>
      </c>
      <c r="AG408" s="26">
        <f t="shared" si="184"/>
        <v>27</v>
      </c>
      <c r="AH408" s="62">
        <f t="shared" si="185"/>
        <v>0.6428571428571429</v>
      </c>
      <c r="AI408" s="74">
        <f>IFERROR(AVERAGEIFS(Tracker!I:I, Tracker!E:E, 3, Tracker!G:G, "&lt;="&amp;Daily!C408, Tracker!J:J, "Y"), 0)</f>
        <v>40.074074074074076</v>
      </c>
      <c r="AJ408" s="77">
        <f>IFERROR(COUNTIFS(Tracker!E:E, 3, Tracker!G:G, "&lt;="&amp;Daily!C408, Tracker!L:L, "N") / AF408,  0)</f>
        <v>0.35714285714285715</v>
      </c>
      <c r="AK408" s="48">
        <f t="shared" si="186"/>
        <v>391</v>
      </c>
      <c r="AL408" s="26">
        <f t="shared" si="187"/>
        <v>321</v>
      </c>
      <c r="AM408" s="62">
        <f t="shared" si="188"/>
        <v>0.82097186700767266</v>
      </c>
      <c r="AN408" s="74">
        <f>IFERROR(AVERAGEIFS(Tracker!I:I,  Tracker!G:G, "&lt;="&amp;Daily!C408, Tracker!J:J, "Y"), 0)</f>
        <v>23.140186915887849</v>
      </c>
      <c r="AO408" s="77">
        <f>IFERROR(COUNTIFS(Tracker!G:G, "&lt;="&amp;Daily!C408, Tracker!L:L, "N") / AK408,  0)</f>
        <v>0.63682864450127874</v>
      </c>
    </row>
    <row r="409" spans="1:41" hidden="1" x14ac:dyDescent="0.25">
      <c r="A409" s="119"/>
      <c r="B409" s="32">
        <f t="shared" si="172"/>
        <v>45624</v>
      </c>
      <c r="C409" s="27">
        <f t="shared" si="189"/>
        <v>45624</v>
      </c>
      <c r="D409" s="109" t="b">
        <f t="shared" ca="1" si="171"/>
        <v>0</v>
      </c>
      <c r="E409" s="51">
        <f t="shared" si="173"/>
        <v>0</v>
      </c>
      <c r="F409" s="48">
        <f>COUNTIFS(Tracker!G:G,Daily!C409, Tracker!J:J,"Y")</f>
        <v>0</v>
      </c>
      <c r="G409" s="26">
        <f>COUNTIFS(Tracker!G:G,Daily!C409, Tracker!J:J,"Y (with hints)")</f>
        <v>0</v>
      </c>
      <c r="H409" s="33">
        <f>COUNTIFS(Tracker!G:G,Daily!C409, Tracker!J:J,"N")</f>
        <v>0</v>
      </c>
      <c r="I409" s="54">
        <f t="shared" si="174"/>
        <v>0</v>
      </c>
      <c r="J409" s="26">
        <f>COUNTIFS(Tracker!G:G,Daily!C409, Tracker!J:J,"Y",Tracker!E:E,1)</f>
        <v>0</v>
      </c>
      <c r="K409" s="26">
        <f>COUNTIFS(Tracker!G:G,Daily!C409, Tracker!J:J,"Y (with hints)",Tracker!E:E,1)</f>
        <v>0</v>
      </c>
      <c r="L409" s="33">
        <f>COUNTIFS(Tracker!G:G,Daily!C409, Tracker!J:J,"N",Tracker!E:E,1)</f>
        <v>0</v>
      </c>
      <c r="M409" s="54">
        <f t="shared" si="175"/>
        <v>0</v>
      </c>
      <c r="N409" s="26">
        <f>COUNTIFS(Tracker!G:G,Daily!C409, Tracker!J:J,"Y",Tracker!E:E,2)</f>
        <v>0</v>
      </c>
      <c r="O409" s="26">
        <f>COUNTIFS(Tracker!G:G,Daily!C409, Tracker!J:J,"Y (with hints)",Tracker!E:E,2)</f>
        <v>0</v>
      </c>
      <c r="P409" s="33">
        <f>COUNTIFS(Tracker!G:G,Daily!C409, Tracker!J:J,"N",Tracker!E:E,2)</f>
        <v>0</v>
      </c>
      <c r="Q409" s="57">
        <f t="shared" si="176"/>
        <v>0</v>
      </c>
      <c r="R409" s="26">
        <f>COUNTIFS(Tracker!G:G,Daily!C409, Tracker!J:J,"Y",Tracker!E:E,3)</f>
        <v>0</v>
      </c>
      <c r="S409" s="26">
        <f>COUNTIFS(Tracker!G:G,Daily!C409, Tracker!J:J,"Y (with hints)",Tracker!E:E,3)</f>
        <v>0</v>
      </c>
      <c r="T409" s="33">
        <f>COUNTIFS(Tracker!G:G,Daily!C409, Tracker!J:J,"N",Tracker!E:E,3)</f>
        <v>0</v>
      </c>
      <c r="V409" s="48">
        <f t="shared" si="177"/>
        <v>99</v>
      </c>
      <c r="W409" s="26">
        <f t="shared" si="178"/>
        <v>95</v>
      </c>
      <c r="X409" s="62">
        <f t="shared" si="179"/>
        <v>0.95959595959595956</v>
      </c>
      <c r="Y409" s="74">
        <f>AVERAGEIFS(Tracker!I:I, Tracker!E:E, 1, Tracker!G:G, "&lt;="&amp;Daily!C409, Tracker!J:J, "Y")</f>
        <v>12.368421052631579</v>
      </c>
      <c r="Z409" s="77">
        <f>COUNTIFS(Tracker!E:E, 1, Tracker!G:G, "&lt;="&amp;Daily!C409, Tracker!L:L, "N") / V409</f>
        <v>0.80808080808080807</v>
      </c>
      <c r="AA409" s="48">
        <f t="shared" si="180"/>
        <v>250</v>
      </c>
      <c r="AB409" s="26">
        <f t="shared" si="181"/>
        <v>199</v>
      </c>
      <c r="AC409" s="62">
        <f t="shared" si="182"/>
        <v>0.79600000000000004</v>
      </c>
      <c r="AD409" s="74">
        <f>AVERAGEIFS(Tracker!I:I, Tracker!E:E, 2, Tracker!G:G, "&lt;="&amp;Daily!C409, Tracker!J:J, "Y")</f>
        <v>25.984924623115578</v>
      </c>
      <c r="AE409" s="77">
        <f>COUNTIFS(Tracker!E:E, 2, Tracker!G:G, "&lt;="&amp;Daily!C409, Tracker!L:L, "N") / AA409</f>
        <v>0.61599999999999999</v>
      </c>
      <c r="AF409" s="48">
        <f t="shared" si="183"/>
        <v>42</v>
      </c>
      <c r="AG409" s="26">
        <f t="shared" si="184"/>
        <v>27</v>
      </c>
      <c r="AH409" s="62">
        <f t="shared" si="185"/>
        <v>0.6428571428571429</v>
      </c>
      <c r="AI409" s="74">
        <f>IFERROR(AVERAGEIFS(Tracker!I:I, Tracker!E:E, 3, Tracker!G:G, "&lt;="&amp;Daily!C409, Tracker!J:J, "Y"), 0)</f>
        <v>40.074074074074076</v>
      </c>
      <c r="AJ409" s="77">
        <f>IFERROR(COUNTIFS(Tracker!E:E, 3, Tracker!G:G, "&lt;="&amp;Daily!C409, Tracker!L:L, "N") / AF409,  0)</f>
        <v>0.35714285714285715</v>
      </c>
      <c r="AK409" s="48">
        <f t="shared" si="186"/>
        <v>391</v>
      </c>
      <c r="AL409" s="26">
        <f t="shared" si="187"/>
        <v>321</v>
      </c>
      <c r="AM409" s="62">
        <f t="shared" si="188"/>
        <v>0.82097186700767266</v>
      </c>
      <c r="AN409" s="74">
        <f>IFERROR(AVERAGEIFS(Tracker!I:I,  Tracker!G:G, "&lt;="&amp;Daily!C409, Tracker!J:J, "Y"), 0)</f>
        <v>23.140186915887849</v>
      </c>
      <c r="AO409" s="77">
        <f>IFERROR(COUNTIFS(Tracker!G:G, "&lt;="&amp;Daily!C409, Tracker!L:L, "N") / AK409,  0)</f>
        <v>0.63682864450127874</v>
      </c>
    </row>
    <row r="410" spans="1:41" hidden="1" x14ac:dyDescent="0.25">
      <c r="A410" s="119"/>
      <c r="B410" s="32">
        <f t="shared" si="172"/>
        <v>45625</v>
      </c>
      <c r="C410" s="27">
        <f t="shared" si="189"/>
        <v>45625</v>
      </c>
      <c r="D410" s="109" t="b">
        <f t="shared" ca="1" si="171"/>
        <v>0</v>
      </c>
      <c r="E410" s="51">
        <f t="shared" si="173"/>
        <v>0</v>
      </c>
      <c r="F410" s="48">
        <f>COUNTIFS(Tracker!G:G,Daily!C410, Tracker!J:J,"Y")</f>
        <v>0</v>
      </c>
      <c r="G410" s="26">
        <f>COUNTIFS(Tracker!G:G,Daily!C410, Tracker!J:J,"Y (with hints)")</f>
        <v>0</v>
      </c>
      <c r="H410" s="33">
        <f>COUNTIFS(Tracker!G:G,Daily!C410, Tracker!J:J,"N")</f>
        <v>0</v>
      </c>
      <c r="I410" s="54">
        <f t="shared" si="174"/>
        <v>0</v>
      </c>
      <c r="J410" s="26">
        <f>COUNTIFS(Tracker!G:G,Daily!C410, Tracker!J:J,"Y",Tracker!E:E,1)</f>
        <v>0</v>
      </c>
      <c r="K410" s="26">
        <f>COUNTIFS(Tracker!G:G,Daily!C410, Tracker!J:J,"Y (with hints)",Tracker!E:E,1)</f>
        <v>0</v>
      </c>
      <c r="L410" s="33">
        <f>COUNTIFS(Tracker!G:G,Daily!C410, Tracker!J:J,"N",Tracker!E:E,1)</f>
        <v>0</v>
      </c>
      <c r="M410" s="54">
        <f t="shared" si="175"/>
        <v>0</v>
      </c>
      <c r="N410" s="26">
        <f>COUNTIFS(Tracker!G:G,Daily!C410, Tracker!J:J,"Y",Tracker!E:E,2)</f>
        <v>0</v>
      </c>
      <c r="O410" s="26">
        <f>COUNTIFS(Tracker!G:G,Daily!C410, Tracker!J:J,"Y (with hints)",Tracker!E:E,2)</f>
        <v>0</v>
      </c>
      <c r="P410" s="33">
        <f>COUNTIFS(Tracker!G:G,Daily!C410, Tracker!J:J,"N",Tracker!E:E,2)</f>
        <v>0</v>
      </c>
      <c r="Q410" s="57">
        <f t="shared" si="176"/>
        <v>0</v>
      </c>
      <c r="R410" s="26">
        <f>COUNTIFS(Tracker!G:G,Daily!C410, Tracker!J:J,"Y",Tracker!E:E,3)</f>
        <v>0</v>
      </c>
      <c r="S410" s="26">
        <f>COUNTIFS(Tracker!G:G,Daily!C410, Tracker!J:J,"Y (with hints)",Tracker!E:E,3)</f>
        <v>0</v>
      </c>
      <c r="T410" s="33">
        <f>COUNTIFS(Tracker!G:G,Daily!C410, Tracker!J:J,"N",Tracker!E:E,3)</f>
        <v>0</v>
      </c>
      <c r="V410" s="48">
        <f t="shared" si="177"/>
        <v>99</v>
      </c>
      <c r="W410" s="26">
        <f t="shared" si="178"/>
        <v>95</v>
      </c>
      <c r="X410" s="62">
        <f t="shared" si="179"/>
        <v>0.95959595959595956</v>
      </c>
      <c r="Y410" s="74">
        <f>AVERAGEIFS(Tracker!I:I, Tracker!E:E, 1, Tracker!G:G, "&lt;="&amp;Daily!C410, Tracker!J:J, "Y")</f>
        <v>12.368421052631579</v>
      </c>
      <c r="Z410" s="77">
        <f>COUNTIFS(Tracker!E:E, 1, Tracker!G:G, "&lt;="&amp;Daily!C410, Tracker!L:L, "N") / V410</f>
        <v>0.80808080808080807</v>
      </c>
      <c r="AA410" s="48">
        <f t="shared" si="180"/>
        <v>250</v>
      </c>
      <c r="AB410" s="26">
        <f t="shared" si="181"/>
        <v>199</v>
      </c>
      <c r="AC410" s="62">
        <f t="shared" si="182"/>
        <v>0.79600000000000004</v>
      </c>
      <c r="AD410" s="74">
        <f>AVERAGEIFS(Tracker!I:I, Tracker!E:E, 2, Tracker!G:G, "&lt;="&amp;Daily!C410, Tracker!J:J, "Y")</f>
        <v>25.984924623115578</v>
      </c>
      <c r="AE410" s="77">
        <f>COUNTIFS(Tracker!E:E, 2, Tracker!G:G, "&lt;="&amp;Daily!C410, Tracker!L:L, "N") / AA410</f>
        <v>0.61599999999999999</v>
      </c>
      <c r="AF410" s="48">
        <f t="shared" si="183"/>
        <v>42</v>
      </c>
      <c r="AG410" s="26">
        <f t="shared" si="184"/>
        <v>27</v>
      </c>
      <c r="AH410" s="62">
        <f t="shared" si="185"/>
        <v>0.6428571428571429</v>
      </c>
      <c r="AI410" s="74">
        <f>IFERROR(AVERAGEIFS(Tracker!I:I, Tracker!E:E, 3, Tracker!G:G, "&lt;="&amp;Daily!C410, Tracker!J:J, "Y"), 0)</f>
        <v>40.074074074074076</v>
      </c>
      <c r="AJ410" s="77">
        <f>IFERROR(COUNTIFS(Tracker!E:E, 3, Tracker!G:G, "&lt;="&amp;Daily!C410, Tracker!L:L, "N") / AF410,  0)</f>
        <v>0.35714285714285715</v>
      </c>
      <c r="AK410" s="48">
        <f t="shared" si="186"/>
        <v>391</v>
      </c>
      <c r="AL410" s="26">
        <f t="shared" si="187"/>
        <v>321</v>
      </c>
      <c r="AM410" s="62">
        <f t="shared" si="188"/>
        <v>0.82097186700767266</v>
      </c>
      <c r="AN410" s="74">
        <f>IFERROR(AVERAGEIFS(Tracker!I:I,  Tracker!G:G, "&lt;="&amp;Daily!C410, Tracker!J:J, "Y"), 0)</f>
        <v>23.140186915887849</v>
      </c>
      <c r="AO410" s="77">
        <f>IFERROR(COUNTIFS(Tracker!G:G, "&lt;="&amp;Daily!C410, Tracker!L:L, "N") / AK410,  0)</f>
        <v>0.63682864450127874</v>
      </c>
    </row>
    <row r="411" spans="1:41" hidden="1" x14ac:dyDescent="0.25">
      <c r="A411" s="119"/>
      <c r="B411" s="32">
        <f t="shared" si="172"/>
        <v>45626</v>
      </c>
      <c r="C411" s="27">
        <f t="shared" si="189"/>
        <v>45626</v>
      </c>
      <c r="D411" s="109" t="b">
        <f t="shared" ca="1" si="171"/>
        <v>0</v>
      </c>
      <c r="E411" s="51">
        <f t="shared" si="173"/>
        <v>0</v>
      </c>
      <c r="F411" s="48">
        <f>COUNTIFS(Tracker!G:G,Daily!C411, Tracker!J:J,"Y")</f>
        <v>0</v>
      </c>
      <c r="G411" s="26">
        <f>COUNTIFS(Tracker!G:G,Daily!C411, Tracker!J:J,"Y (with hints)")</f>
        <v>0</v>
      </c>
      <c r="H411" s="33">
        <f>COUNTIFS(Tracker!G:G,Daily!C411, Tracker!J:J,"N")</f>
        <v>0</v>
      </c>
      <c r="I411" s="54">
        <f t="shared" si="174"/>
        <v>0</v>
      </c>
      <c r="J411" s="26">
        <f>COUNTIFS(Tracker!G:G,Daily!C411, Tracker!J:J,"Y",Tracker!E:E,1)</f>
        <v>0</v>
      </c>
      <c r="K411" s="26">
        <f>COUNTIFS(Tracker!G:G,Daily!C411, Tracker!J:J,"Y (with hints)",Tracker!E:E,1)</f>
        <v>0</v>
      </c>
      <c r="L411" s="33">
        <f>COUNTIFS(Tracker!G:G,Daily!C411, Tracker!J:J,"N",Tracker!E:E,1)</f>
        <v>0</v>
      </c>
      <c r="M411" s="54">
        <f t="shared" si="175"/>
        <v>0</v>
      </c>
      <c r="N411" s="26">
        <f>COUNTIFS(Tracker!G:G,Daily!C411, Tracker!J:J,"Y",Tracker!E:E,2)</f>
        <v>0</v>
      </c>
      <c r="O411" s="26">
        <f>COUNTIFS(Tracker!G:G,Daily!C411, Tracker!J:J,"Y (with hints)",Tracker!E:E,2)</f>
        <v>0</v>
      </c>
      <c r="P411" s="33">
        <f>COUNTIFS(Tracker!G:G,Daily!C411, Tracker!J:J,"N",Tracker!E:E,2)</f>
        <v>0</v>
      </c>
      <c r="Q411" s="57">
        <f t="shared" si="176"/>
        <v>0</v>
      </c>
      <c r="R411" s="26">
        <f>COUNTIFS(Tracker!G:G,Daily!C411, Tracker!J:J,"Y",Tracker!E:E,3)</f>
        <v>0</v>
      </c>
      <c r="S411" s="26">
        <f>COUNTIFS(Tracker!G:G,Daily!C411, Tracker!J:J,"Y (with hints)",Tracker!E:E,3)</f>
        <v>0</v>
      </c>
      <c r="T411" s="33">
        <f>COUNTIFS(Tracker!G:G,Daily!C411, Tracker!J:J,"N",Tracker!E:E,3)</f>
        <v>0</v>
      </c>
      <c r="V411" s="48">
        <f t="shared" si="177"/>
        <v>99</v>
      </c>
      <c r="W411" s="26">
        <f t="shared" si="178"/>
        <v>95</v>
      </c>
      <c r="X411" s="62">
        <f t="shared" si="179"/>
        <v>0.95959595959595956</v>
      </c>
      <c r="Y411" s="74">
        <f>AVERAGEIFS(Tracker!I:I, Tracker!E:E, 1, Tracker!G:G, "&lt;="&amp;Daily!C411, Tracker!J:J, "Y")</f>
        <v>12.368421052631579</v>
      </c>
      <c r="Z411" s="77">
        <f>COUNTIFS(Tracker!E:E, 1, Tracker!G:G, "&lt;="&amp;Daily!C411, Tracker!L:L, "N") / V411</f>
        <v>0.80808080808080807</v>
      </c>
      <c r="AA411" s="48">
        <f t="shared" si="180"/>
        <v>250</v>
      </c>
      <c r="AB411" s="26">
        <f t="shared" si="181"/>
        <v>199</v>
      </c>
      <c r="AC411" s="62">
        <f t="shared" si="182"/>
        <v>0.79600000000000004</v>
      </c>
      <c r="AD411" s="74">
        <f>AVERAGEIFS(Tracker!I:I, Tracker!E:E, 2, Tracker!G:G, "&lt;="&amp;Daily!C411, Tracker!J:J, "Y")</f>
        <v>25.984924623115578</v>
      </c>
      <c r="AE411" s="77">
        <f>COUNTIFS(Tracker!E:E, 2, Tracker!G:G, "&lt;="&amp;Daily!C411, Tracker!L:L, "N") / AA411</f>
        <v>0.61599999999999999</v>
      </c>
      <c r="AF411" s="48">
        <f t="shared" si="183"/>
        <v>42</v>
      </c>
      <c r="AG411" s="26">
        <f t="shared" si="184"/>
        <v>27</v>
      </c>
      <c r="AH411" s="62">
        <f t="shared" si="185"/>
        <v>0.6428571428571429</v>
      </c>
      <c r="AI411" s="74">
        <f>IFERROR(AVERAGEIFS(Tracker!I:I, Tracker!E:E, 3, Tracker!G:G, "&lt;="&amp;Daily!C411, Tracker!J:J, "Y"), 0)</f>
        <v>40.074074074074076</v>
      </c>
      <c r="AJ411" s="77">
        <f>IFERROR(COUNTIFS(Tracker!E:E, 3, Tracker!G:G, "&lt;="&amp;Daily!C411, Tracker!L:L, "N") / AF411,  0)</f>
        <v>0.35714285714285715</v>
      </c>
      <c r="AK411" s="48">
        <f t="shared" si="186"/>
        <v>391</v>
      </c>
      <c r="AL411" s="26">
        <f t="shared" si="187"/>
        <v>321</v>
      </c>
      <c r="AM411" s="62">
        <f t="shared" si="188"/>
        <v>0.82097186700767266</v>
      </c>
      <c r="AN411" s="74">
        <f>IFERROR(AVERAGEIFS(Tracker!I:I,  Tracker!G:G, "&lt;="&amp;Daily!C411, Tracker!J:J, "Y"), 0)</f>
        <v>23.140186915887849</v>
      </c>
      <c r="AO411" s="77">
        <f>IFERROR(COUNTIFS(Tracker!G:G, "&lt;="&amp;Daily!C411, Tracker!L:L, "N") / AK411,  0)</f>
        <v>0.63682864450127874</v>
      </c>
    </row>
    <row r="412" spans="1:41" ht="15.75" hidden="1" thickBot="1" x14ac:dyDescent="0.3">
      <c r="A412" s="120"/>
      <c r="B412" s="34">
        <f t="shared" si="172"/>
        <v>45627</v>
      </c>
      <c r="C412" s="35">
        <f t="shared" si="189"/>
        <v>45627</v>
      </c>
      <c r="D412" s="110" t="b">
        <f t="shared" ca="1" si="171"/>
        <v>0</v>
      </c>
      <c r="E412" s="52">
        <f t="shared" si="173"/>
        <v>0</v>
      </c>
      <c r="F412" s="39">
        <f>COUNTIFS(Tracker!G:G,Daily!C412, Tracker!J:J,"Y")</f>
        <v>0</v>
      </c>
      <c r="G412" s="36">
        <f>COUNTIFS(Tracker!G:G,Daily!C412, Tracker!J:J,"Y (with hints)")</f>
        <v>0</v>
      </c>
      <c r="H412" s="37">
        <f>COUNTIFS(Tracker!G:G,Daily!C412, Tracker!J:J,"N")</f>
        <v>0</v>
      </c>
      <c r="I412" s="55">
        <f t="shared" si="174"/>
        <v>0</v>
      </c>
      <c r="J412" s="36">
        <f>COUNTIFS(Tracker!G:G,Daily!C412, Tracker!J:J,"Y",Tracker!E:E,1)</f>
        <v>0</v>
      </c>
      <c r="K412" s="36">
        <f>COUNTIFS(Tracker!G:G,Daily!C412, Tracker!J:J,"Y (with hints)",Tracker!E:E,1)</f>
        <v>0</v>
      </c>
      <c r="L412" s="37">
        <f>COUNTIFS(Tracker!G:G,Daily!C412, Tracker!J:J,"N",Tracker!E:E,1)</f>
        <v>0</v>
      </c>
      <c r="M412" s="55">
        <f t="shared" si="175"/>
        <v>0</v>
      </c>
      <c r="N412" s="36">
        <f>COUNTIFS(Tracker!G:G,Daily!C412, Tracker!J:J,"Y",Tracker!E:E,2)</f>
        <v>0</v>
      </c>
      <c r="O412" s="36">
        <f>COUNTIFS(Tracker!G:G,Daily!C412, Tracker!J:J,"Y (with hints)",Tracker!E:E,2)</f>
        <v>0</v>
      </c>
      <c r="P412" s="37">
        <f>COUNTIFS(Tracker!G:G,Daily!C412, Tracker!J:J,"N",Tracker!E:E,2)</f>
        <v>0</v>
      </c>
      <c r="Q412" s="58">
        <f t="shared" si="176"/>
        <v>0</v>
      </c>
      <c r="R412" s="36">
        <f>COUNTIFS(Tracker!G:G,Daily!C412, Tracker!J:J,"Y",Tracker!E:E,3)</f>
        <v>0</v>
      </c>
      <c r="S412" s="36">
        <f>COUNTIFS(Tracker!G:G,Daily!C412, Tracker!J:J,"Y (with hints)",Tracker!E:E,3)</f>
        <v>0</v>
      </c>
      <c r="T412" s="37">
        <f>COUNTIFS(Tracker!G:G,Daily!C412, Tracker!J:J,"N",Tracker!E:E,3)</f>
        <v>0</v>
      </c>
      <c r="V412" s="39">
        <f t="shared" si="177"/>
        <v>99</v>
      </c>
      <c r="W412" s="36">
        <f t="shared" si="178"/>
        <v>95</v>
      </c>
      <c r="X412" s="64">
        <f t="shared" si="179"/>
        <v>0.95959595959595956</v>
      </c>
      <c r="Y412" s="78">
        <f>AVERAGEIFS(Tracker!I:I, Tracker!E:E, 1, Tracker!G:G, "&lt;="&amp;Daily!C412, Tracker!J:J, "Y")</f>
        <v>12.368421052631579</v>
      </c>
      <c r="Z412" s="79">
        <f>COUNTIFS(Tracker!E:E, 1, Tracker!G:G, "&lt;="&amp;Daily!C412, Tracker!L:L, "N") / V412</f>
        <v>0.80808080808080807</v>
      </c>
      <c r="AA412" s="39">
        <f t="shared" si="180"/>
        <v>250</v>
      </c>
      <c r="AB412" s="36">
        <f t="shared" si="181"/>
        <v>199</v>
      </c>
      <c r="AC412" s="64">
        <f t="shared" si="182"/>
        <v>0.79600000000000004</v>
      </c>
      <c r="AD412" s="78">
        <f>AVERAGEIFS(Tracker!I:I, Tracker!E:E, 2, Tracker!G:G, "&lt;="&amp;Daily!C412, Tracker!J:J, "Y")</f>
        <v>25.984924623115578</v>
      </c>
      <c r="AE412" s="79">
        <f>COUNTIFS(Tracker!E:E, 2, Tracker!G:G, "&lt;="&amp;Daily!C412, Tracker!L:L, "N") / AA412</f>
        <v>0.61599999999999999</v>
      </c>
      <c r="AF412" s="39">
        <f t="shared" si="183"/>
        <v>42</v>
      </c>
      <c r="AG412" s="36">
        <f t="shared" si="184"/>
        <v>27</v>
      </c>
      <c r="AH412" s="64">
        <f t="shared" si="185"/>
        <v>0.6428571428571429</v>
      </c>
      <c r="AI412" s="78">
        <f>IFERROR(AVERAGEIFS(Tracker!I:I, Tracker!E:E, 3, Tracker!G:G, "&lt;="&amp;Daily!C412, Tracker!J:J, "Y"), 0)</f>
        <v>40.074074074074076</v>
      </c>
      <c r="AJ412" s="79">
        <f>IFERROR(COUNTIFS(Tracker!E:E, 3, Tracker!G:G, "&lt;="&amp;Daily!C412, Tracker!L:L, "N") / AF412,  0)</f>
        <v>0.35714285714285715</v>
      </c>
      <c r="AK412" s="39">
        <f t="shared" si="186"/>
        <v>391</v>
      </c>
      <c r="AL412" s="36">
        <f t="shared" si="187"/>
        <v>321</v>
      </c>
      <c r="AM412" s="64">
        <f t="shared" si="188"/>
        <v>0.82097186700767266</v>
      </c>
      <c r="AN412" s="78">
        <f>IFERROR(AVERAGEIFS(Tracker!I:I,  Tracker!G:G, "&lt;="&amp;Daily!C412, Tracker!J:J, "Y"), 0)</f>
        <v>23.140186915887849</v>
      </c>
      <c r="AO412" s="79">
        <f>IFERROR(COUNTIFS(Tracker!G:G, "&lt;="&amp;Daily!C412, Tracker!L:L, "N") / AK412,  0)</f>
        <v>0.63682864450127874</v>
      </c>
    </row>
    <row r="413" spans="1:41" hidden="1" x14ac:dyDescent="0.25">
      <c r="A413" s="118">
        <f>A406+1</f>
        <v>59</v>
      </c>
      <c r="B413" s="28">
        <f t="shared" si="172"/>
        <v>45628</v>
      </c>
      <c r="C413" s="29">
        <f t="shared" si="189"/>
        <v>45628</v>
      </c>
      <c r="D413" s="108" t="b">
        <f t="shared" ca="1" si="171"/>
        <v>0</v>
      </c>
      <c r="E413" s="50">
        <f t="shared" si="173"/>
        <v>0</v>
      </c>
      <c r="F413" s="38">
        <f>COUNTIFS(Tracker!G:G,Daily!C413, Tracker!J:J,"Y")</f>
        <v>0</v>
      </c>
      <c r="G413" s="30">
        <f>COUNTIFS(Tracker!G:G,Daily!C413, Tracker!J:J,"Y (with hints)")</f>
        <v>0</v>
      </c>
      <c r="H413" s="31">
        <f>COUNTIFS(Tracker!G:G,Daily!C413, Tracker!J:J,"N")</f>
        <v>0</v>
      </c>
      <c r="I413" s="53">
        <f t="shared" si="174"/>
        <v>0</v>
      </c>
      <c r="J413" s="30">
        <f>COUNTIFS(Tracker!G:G,Daily!C413, Tracker!J:J,"Y",Tracker!E:E,1)</f>
        <v>0</v>
      </c>
      <c r="K413" s="30">
        <f>COUNTIFS(Tracker!G:G,Daily!C413, Tracker!J:J,"Y (with hints)",Tracker!E:E,1)</f>
        <v>0</v>
      </c>
      <c r="L413" s="31">
        <f>COUNTIFS(Tracker!G:G,Daily!C413, Tracker!J:J,"N",Tracker!E:E,1)</f>
        <v>0</v>
      </c>
      <c r="M413" s="53">
        <f t="shared" si="175"/>
        <v>0</v>
      </c>
      <c r="N413" s="30">
        <f>COUNTIFS(Tracker!G:G,Daily!C413, Tracker!J:J,"Y",Tracker!E:E,2)</f>
        <v>0</v>
      </c>
      <c r="O413" s="30">
        <f>COUNTIFS(Tracker!G:G,Daily!C413, Tracker!J:J,"Y (with hints)",Tracker!E:E,2)</f>
        <v>0</v>
      </c>
      <c r="P413" s="31">
        <f>COUNTIFS(Tracker!G:G,Daily!C413, Tracker!J:J,"N",Tracker!E:E,2)</f>
        <v>0</v>
      </c>
      <c r="Q413" s="56">
        <f t="shared" si="176"/>
        <v>0</v>
      </c>
      <c r="R413" s="30">
        <f>COUNTIFS(Tracker!G:G,Daily!C413, Tracker!J:J,"Y",Tracker!E:E,3)</f>
        <v>0</v>
      </c>
      <c r="S413" s="30">
        <f>COUNTIFS(Tracker!G:G,Daily!C413, Tracker!J:J,"Y (with hints)",Tracker!E:E,3)</f>
        <v>0</v>
      </c>
      <c r="T413" s="31">
        <f>COUNTIFS(Tracker!G:G,Daily!C413, Tracker!J:J,"N",Tracker!E:E,3)</f>
        <v>0</v>
      </c>
      <c r="V413" s="38">
        <f t="shared" si="177"/>
        <v>99</v>
      </c>
      <c r="W413" s="30">
        <f t="shared" si="178"/>
        <v>95</v>
      </c>
      <c r="X413" s="73">
        <f t="shared" si="179"/>
        <v>0.95959595959595956</v>
      </c>
      <c r="Y413" s="75">
        <f>AVERAGEIFS(Tracker!I:I, Tracker!E:E, 1, Tracker!G:G, "&lt;="&amp;Daily!C413, Tracker!J:J, "Y")</f>
        <v>12.368421052631579</v>
      </c>
      <c r="Z413" s="76">
        <f>COUNTIFS(Tracker!E:E, 1, Tracker!G:G, "&lt;="&amp;Daily!C413, Tracker!L:L, "N") / V413</f>
        <v>0.80808080808080807</v>
      </c>
      <c r="AA413" s="38">
        <f t="shared" si="180"/>
        <v>250</v>
      </c>
      <c r="AB413" s="30">
        <f t="shared" si="181"/>
        <v>199</v>
      </c>
      <c r="AC413" s="73">
        <f t="shared" si="182"/>
        <v>0.79600000000000004</v>
      </c>
      <c r="AD413" s="75">
        <f>AVERAGEIFS(Tracker!I:I, Tracker!E:E, 2, Tracker!G:G, "&lt;="&amp;Daily!C413, Tracker!J:J, "Y")</f>
        <v>25.984924623115578</v>
      </c>
      <c r="AE413" s="76">
        <f>COUNTIFS(Tracker!E:E, 2, Tracker!G:G, "&lt;="&amp;Daily!C413, Tracker!L:L, "N") / AA413</f>
        <v>0.61599999999999999</v>
      </c>
      <c r="AF413" s="38">
        <f t="shared" si="183"/>
        <v>42</v>
      </c>
      <c r="AG413" s="30">
        <f t="shared" si="184"/>
        <v>27</v>
      </c>
      <c r="AH413" s="73">
        <f t="shared" si="185"/>
        <v>0.6428571428571429</v>
      </c>
      <c r="AI413" s="75">
        <f>IFERROR(AVERAGEIFS(Tracker!I:I, Tracker!E:E, 3, Tracker!G:G, "&lt;="&amp;Daily!C413, Tracker!J:J, "Y"), 0)</f>
        <v>40.074074074074076</v>
      </c>
      <c r="AJ413" s="76">
        <f>IFERROR(COUNTIFS(Tracker!E:E, 3, Tracker!G:G, "&lt;="&amp;Daily!C413, Tracker!L:L, "N") / AF413,  0)</f>
        <v>0.35714285714285715</v>
      </c>
      <c r="AK413" s="38">
        <f t="shared" si="186"/>
        <v>391</v>
      </c>
      <c r="AL413" s="30">
        <f t="shared" si="187"/>
        <v>321</v>
      </c>
      <c r="AM413" s="73">
        <f t="shared" si="188"/>
        <v>0.82097186700767266</v>
      </c>
      <c r="AN413" s="75">
        <f>IFERROR(AVERAGEIFS(Tracker!I:I,  Tracker!G:G, "&lt;="&amp;Daily!C413, Tracker!J:J, "Y"), 0)</f>
        <v>23.140186915887849</v>
      </c>
      <c r="AO413" s="76">
        <f>IFERROR(COUNTIFS(Tracker!G:G, "&lt;="&amp;Daily!C413, Tracker!L:L, "N") / AK413,  0)</f>
        <v>0.63682864450127874</v>
      </c>
    </row>
    <row r="414" spans="1:41" hidden="1" x14ac:dyDescent="0.25">
      <c r="A414" s="119"/>
      <c r="B414" s="32">
        <f t="shared" si="172"/>
        <v>45629</v>
      </c>
      <c r="C414" s="27">
        <f t="shared" si="189"/>
        <v>45629</v>
      </c>
      <c r="D414" s="109" t="b">
        <f t="shared" ca="1" si="171"/>
        <v>0</v>
      </c>
      <c r="E414" s="51">
        <f t="shared" si="173"/>
        <v>0</v>
      </c>
      <c r="F414" s="48">
        <f>COUNTIFS(Tracker!G:G,Daily!C414, Tracker!J:J,"Y")</f>
        <v>0</v>
      </c>
      <c r="G414" s="26">
        <f>COUNTIFS(Tracker!G:G,Daily!C414, Tracker!J:J,"Y (with hints)")</f>
        <v>0</v>
      </c>
      <c r="H414" s="33">
        <f>COUNTIFS(Tracker!G:G,Daily!C414, Tracker!J:J,"N")</f>
        <v>0</v>
      </c>
      <c r="I414" s="54">
        <f t="shared" si="174"/>
        <v>0</v>
      </c>
      <c r="J414" s="26">
        <f>COUNTIFS(Tracker!G:G,Daily!C414, Tracker!J:J,"Y",Tracker!E:E,1)</f>
        <v>0</v>
      </c>
      <c r="K414" s="26">
        <f>COUNTIFS(Tracker!G:G,Daily!C414, Tracker!J:J,"Y (with hints)",Tracker!E:E,1)</f>
        <v>0</v>
      </c>
      <c r="L414" s="33">
        <f>COUNTIFS(Tracker!G:G,Daily!C414, Tracker!J:J,"N",Tracker!E:E,1)</f>
        <v>0</v>
      </c>
      <c r="M414" s="54">
        <f t="shared" si="175"/>
        <v>0</v>
      </c>
      <c r="N414" s="26">
        <f>COUNTIFS(Tracker!G:G,Daily!C414, Tracker!J:J,"Y",Tracker!E:E,2)</f>
        <v>0</v>
      </c>
      <c r="O414" s="26">
        <f>COUNTIFS(Tracker!G:G,Daily!C414, Tracker!J:J,"Y (with hints)",Tracker!E:E,2)</f>
        <v>0</v>
      </c>
      <c r="P414" s="33">
        <f>COUNTIFS(Tracker!G:G,Daily!C414, Tracker!J:J,"N",Tracker!E:E,2)</f>
        <v>0</v>
      </c>
      <c r="Q414" s="57">
        <f t="shared" si="176"/>
        <v>0</v>
      </c>
      <c r="R414" s="26">
        <f>COUNTIFS(Tracker!G:G,Daily!C414, Tracker!J:J,"Y",Tracker!E:E,3)</f>
        <v>0</v>
      </c>
      <c r="S414" s="26">
        <f>COUNTIFS(Tracker!G:G,Daily!C414, Tracker!J:J,"Y (with hints)",Tracker!E:E,3)</f>
        <v>0</v>
      </c>
      <c r="T414" s="33">
        <f>COUNTIFS(Tracker!G:G,Daily!C414, Tracker!J:J,"N",Tracker!E:E,3)</f>
        <v>0</v>
      </c>
      <c r="V414" s="48">
        <f t="shared" si="177"/>
        <v>99</v>
      </c>
      <c r="W414" s="26">
        <f t="shared" si="178"/>
        <v>95</v>
      </c>
      <c r="X414" s="62">
        <f t="shared" si="179"/>
        <v>0.95959595959595956</v>
      </c>
      <c r="Y414" s="74">
        <f>AVERAGEIFS(Tracker!I:I, Tracker!E:E, 1, Tracker!G:G, "&lt;="&amp;Daily!C414, Tracker!J:J, "Y")</f>
        <v>12.368421052631579</v>
      </c>
      <c r="Z414" s="77">
        <f>COUNTIFS(Tracker!E:E, 1, Tracker!G:G, "&lt;="&amp;Daily!C414, Tracker!L:L, "N") / V414</f>
        <v>0.80808080808080807</v>
      </c>
      <c r="AA414" s="48">
        <f t="shared" si="180"/>
        <v>250</v>
      </c>
      <c r="AB414" s="26">
        <f t="shared" si="181"/>
        <v>199</v>
      </c>
      <c r="AC414" s="62">
        <f t="shared" si="182"/>
        <v>0.79600000000000004</v>
      </c>
      <c r="AD414" s="74">
        <f>AVERAGEIFS(Tracker!I:I, Tracker!E:E, 2, Tracker!G:G, "&lt;="&amp;Daily!C414, Tracker!J:J, "Y")</f>
        <v>25.984924623115578</v>
      </c>
      <c r="AE414" s="77">
        <f>COUNTIFS(Tracker!E:E, 2, Tracker!G:G, "&lt;="&amp;Daily!C414, Tracker!L:L, "N") / AA414</f>
        <v>0.61599999999999999</v>
      </c>
      <c r="AF414" s="48">
        <f t="shared" si="183"/>
        <v>42</v>
      </c>
      <c r="AG414" s="26">
        <f t="shared" si="184"/>
        <v>27</v>
      </c>
      <c r="AH414" s="62">
        <f t="shared" si="185"/>
        <v>0.6428571428571429</v>
      </c>
      <c r="AI414" s="74">
        <f>IFERROR(AVERAGEIFS(Tracker!I:I, Tracker!E:E, 3, Tracker!G:G, "&lt;="&amp;Daily!C414, Tracker!J:J, "Y"), 0)</f>
        <v>40.074074074074076</v>
      </c>
      <c r="AJ414" s="77">
        <f>IFERROR(COUNTIFS(Tracker!E:E, 3, Tracker!G:G, "&lt;="&amp;Daily!C414, Tracker!L:L, "N") / AF414,  0)</f>
        <v>0.35714285714285715</v>
      </c>
      <c r="AK414" s="48">
        <f t="shared" si="186"/>
        <v>391</v>
      </c>
      <c r="AL414" s="26">
        <f t="shared" si="187"/>
        <v>321</v>
      </c>
      <c r="AM414" s="62">
        <f t="shared" si="188"/>
        <v>0.82097186700767266</v>
      </c>
      <c r="AN414" s="74">
        <f>IFERROR(AVERAGEIFS(Tracker!I:I,  Tracker!G:G, "&lt;="&amp;Daily!C414, Tracker!J:J, "Y"), 0)</f>
        <v>23.140186915887849</v>
      </c>
      <c r="AO414" s="77">
        <f>IFERROR(COUNTIFS(Tracker!G:G, "&lt;="&amp;Daily!C414, Tracker!L:L, "N") / AK414,  0)</f>
        <v>0.63682864450127874</v>
      </c>
    </row>
    <row r="415" spans="1:41" hidden="1" x14ac:dyDescent="0.25">
      <c r="A415" s="119"/>
      <c r="B415" s="32">
        <f t="shared" si="172"/>
        <v>45630</v>
      </c>
      <c r="C415" s="27">
        <f t="shared" si="189"/>
        <v>45630</v>
      </c>
      <c r="D415" s="109" t="b">
        <f t="shared" ca="1" si="171"/>
        <v>0</v>
      </c>
      <c r="E415" s="51">
        <f t="shared" si="173"/>
        <v>0</v>
      </c>
      <c r="F415" s="48">
        <f>COUNTIFS(Tracker!G:G,Daily!C415, Tracker!J:J,"Y")</f>
        <v>0</v>
      </c>
      <c r="G415" s="26">
        <f>COUNTIFS(Tracker!G:G,Daily!C415, Tracker!J:J,"Y (with hints)")</f>
        <v>0</v>
      </c>
      <c r="H415" s="33">
        <f>COUNTIFS(Tracker!G:G,Daily!C415, Tracker!J:J,"N")</f>
        <v>0</v>
      </c>
      <c r="I415" s="54">
        <f t="shared" si="174"/>
        <v>0</v>
      </c>
      <c r="J415" s="26">
        <f>COUNTIFS(Tracker!G:G,Daily!C415, Tracker!J:J,"Y",Tracker!E:E,1)</f>
        <v>0</v>
      </c>
      <c r="K415" s="26">
        <f>COUNTIFS(Tracker!G:G,Daily!C415, Tracker!J:J,"Y (with hints)",Tracker!E:E,1)</f>
        <v>0</v>
      </c>
      <c r="L415" s="33">
        <f>COUNTIFS(Tracker!G:G,Daily!C415, Tracker!J:J,"N",Tracker!E:E,1)</f>
        <v>0</v>
      </c>
      <c r="M415" s="54">
        <f t="shared" si="175"/>
        <v>0</v>
      </c>
      <c r="N415" s="26">
        <f>COUNTIFS(Tracker!G:G,Daily!C415, Tracker!J:J,"Y",Tracker!E:E,2)</f>
        <v>0</v>
      </c>
      <c r="O415" s="26">
        <f>COUNTIFS(Tracker!G:G,Daily!C415, Tracker!J:J,"Y (with hints)",Tracker!E:E,2)</f>
        <v>0</v>
      </c>
      <c r="P415" s="33">
        <f>COUNTIFS(Tracker!G:G,Daily!C415, Tracker!J:J,"N",Tracker!E:E,2)</f>
        <v>0</v>
      </c>
      <c r="Q415" s="57">
        <f t="shared" si="176"/>
        <v>0</v>
      </c>
      <c r="R415" s="26">
        <f>COUNTIFS(Tracker!G:G,Daily!C415, Tracker!J:J,"Y",Tracker!E:E,3)</f>
        <v>0</v>
      </c>
      <c r="S415" s="26">
        <f>COUNTIFS(Tracker!G:G,Daily!C415, Tracker!J:J,"Y (with hints)",Tracker!E:E,3)</f>
        <v>0</v>
      </c>
      <c r="T415" s="33">
        <f>COUNTIFS(Tracker!G:G,Daily!C415, Tracker!J:J,"N",Tracker!E:E,3)</f>
        <v>0</v>
      </c>
      <c r="V415" s="48">
        <f t="shared" si="177"/>
        <v>99</v>
      </c>
      <c r="W415" s="26">
        <f t="shared" si="178"/>
        <v>95</v>
      </c>
      <c r="X415" s="62">
        <f t="shared" si="179"/>
        <v>0.95959595959595956</v>
      </c>
      <c r="Y415" s="74">
        <f>AVERAGEIFS(Tracker!I:I, Tracker!E:E, 1, Tracker!G:G, "&lt;="&amp;Daily!C415, Tracker!J:J, "Y")</f>
        <v>12.368421052631579</v>
      </c>
      <c r="Z415" s="77">
        <f>COUNTIFS(Tracker!E:E, 1, Tracker!G:G, "&lt;="&amp;Daily!C415, Tracker!L:L, "N") / V415</f>
        <v>0.80808080808080807</v>
      </c>
      <c r="AA415" s="48">
        <f t="shared" si="180"/>
        <v>250</v>
      </c>
      <c r="AB415" s="26">
        <f t="shared" si="181"/>
        <v>199</v>
      </c>
      <c r="AC415" s="62">
        <f t="shared" si="182"/>
        <v>0.79600000000000004</v>
      </c>
      <c r="AD415" s="74">
        <f>AVERAGEIFS(Tracker!I:I, Tracker!E:E, 2, Tracker!G:G, "&lt;="&amp;Daily!C415, Tracker!J:J, "Y")</f>
        <v>25.984924623115578</v>
      </c>
      <c r="AE415" s="77">
        <f>COUNTIFS(Tracker!E:E, 2, Tracker!G:G, "&lt;="&amp;Daily!C415, Tracker!L:L, "N") / AA415</f>
        <v>0.61599999999999999</v>
      </c>
      <c r="AF415" s="48">
        <f t="shared" si="183"/>
        <v>42</v>
      </c>
      <c r="AG415" s="26">
        <f t="shared" si="184"/>
        <v>27</v>
      </c>
      <c r="AH415" s="62">
        <f t="shared" si="185"/>
        <v>0.6428571428571429</v>
      </c>
      <c r="AI415" s="74">
        <f>IFERROR(AVERAGEIFS(Tracker!I:I, Tracker!E:E, 3, Tracker!G:G, "&lt;="&amp;Daily!C415, Tracker!J:J, "Y"), 0)</f>
        <v>40.074074074074076</v>
      </c>
      <c r="AJ415" s="77">
        <f>IFERROR(COUNTIFS(Tracker!E:E, 3, Tracker!G:G, "&lt;="&amp;Daily!C415, Tracker!L:L, "N") / AF415,  0)</f>
        <v>0.35714285714285715</v>
      </c>
      <c r="AK415" s="48">
        <f t="shared" si="186"/>
        <v>391</v>
      </c>
      <c r="AL415" s="26">
        <f t="shared" si="187"/>
        <v>321</v>
      </c>
      <c r="AM415" s="62">
        <f t="shared" si="188"/>
        <v>0.82097186700767266</v>
      </c>
      <c r="AN415" s="74">
        <f>IFERROR(AVERAGEIFS(Tracker!I:I,  Tracker!G:G, "&lt;="&amp;Daily!C415, Tracker!J:J, "Y"), 0)</f>
        <v>23.140186915887849</v>
      </c>
      <c r="AO415" s="77">
        <f>IFERROR(COUNTIFS(Tracker!G:G, "&lt;="&amp;Daily!C415, Tracker!L:L, "N") / AK415,  0)</f>
        <v>0.63682864450127874</v>
      </c>
    </row>
    <row r="416" spans="1:41" hidden="1" x14ac:dyDescent="0.25">
      <c r="A416" s="119"/>
      <c r="B416" s="32">
        <f t="shared" si="172"/>
        <v>45631</v>
      </c>
      <c r="C416" s="27">
        <f t="shared" si="189"/>
        <v>45631</v>
      </c>
      <c r="D416" s="109" t="b">
        <f t="shared" ca="1" si="171"/>
        <v>0</v>
      </c>
      <c r="E416" s="51">
        <f t="shared" si="173"/>
        <v>0</v>
      </c>
      <c r="F416" s="48">
        <f>COUNTIFS(Tracker!G:G,Daily!C416, Tracker!J:J,"Y")</f>
        <v>0</v>
      </c>
      <c r="G416" s="26">
        <f>COUNTIFS(Tracker!G:G,Daily!C416, Tracker!J:J,"Y (with hints)")</f>
        <v>0</v>
      </c>
      <c r="H416" s="33">
        <f>COUNTIFS(Tracker!G:G,Daily!C416, Tracker!J:J,"N")</f>
        <v>0</v>
      </c>
      <c r="I416" s="54">
        <f t="shared" si="174"/>
        <v>0</v>
      </c>
      <c r="J416" s="26">
        <f>COUNTIFS(Tracker!G:G,Daily!C416, Tracker!J:J,"Y",Tracker!E:E,1)</f>
        <v>0</v>
      </c>
      <c r="K416" s="26">
        <f>COUNTIFS(Tracker!G:G,Daily!C416, Tracker!J:J,"Y (with hints)",Tracker!E:E,1)</f>
        <v>0</v>
      </c>
      <c r="L416" s="33">
        <f>COUNTIFS(Tracker!G:G,Daily!C416, Tracker!J:J,"N",Tracker!E:E,1)</f>
        <v>0</v>
      </c>
      <c r="M416" s="54">
        <f t="shared" si="175"/>
        <v>0</v>
      </c>
      <c r="N416" s="26">
        <f>COUNTIFS(Tracker!G:G,Daily!C416, Tracker!J:J,"Y",Tracker!E:E,2)</f>
        <v>0</v>
      </c>
      <c r="O416" s="26">
        <f>COUNTIFS(Tracker!G:G,Daily!C416, Tracker!J:J,"Y (with hints)",Tracker!E:E,2)</f>
        <v>0</v>
      </c>
      <c r="P416" s="33">
        <f>COUNTIFS(Tracker!G:G,Daily!C416, Tracker!J:J,"N",Tracker!E:E,2)</f>
        <v>0</v>
      </c>
      <c r="Q416" s="57">
        <f t="shared" si="176"/>
        <v>0</v>
      </c>
      <c r="R416" s="26">
        <f>COUNTIFS(Tracker!G:G,Daily!C416, Tracker!J:J,"Y",Tracker!E:E,3)</f>
        <v>0</v>
      </c>
      <c r="S416" s="26">
        <f>COUNTIFS(Tracker!G:G,Daily!C416, Tracker!J:J,"Y (with hints)",Tracker!E:E,3)</f>
        <v>0</v>
      </c>
      <c r="T416" s="33">
        <f>COUNTIFS(Tracker!G:G,Daily!C416, Tracker!J:J,"N",Tracker!E:E,3)</f>
        <v>0</v>
      </c>
      <c r="V416" s="48">
        <f t="shared" si="177"/>
        <v>99</v>
      </c>
      <c r="W416" s="26">
        <f t="shared" si="178"/>
        <v>95</v>
      </c>
      <c r="X416" s="62">
        <f t="shared" si="179"/>
        <v>0.95959595959595956</v>
      </c>
      <c r="Y416" s="74">
        <f>AVERAGEIFS(Tracker!I:I, Tracker!E:E, 1, Tracker!G:G, "&lt;="&amp;Daily!C416, Tracker!J:J, "Y")</f>
        <v>12.368421052631579</v>
      </c>
      <c r="Z416" s="77">
        <f>COUNTIFS(Tracker!E:E, 1, Tracker!G:G, "&lt;="&amp;Daily!C416, Tracker!L:L, "N") / V416</f>
        <v>0.80808080808080807</v>
      </c>
      <c r="AA416" s="48">
        <f t="shared" si="180"/>
        <v>250</v>
      </c>
      <c r="AB416" s="26">
        <f t="shared" si="181"/>
        <v>199</v>
      </c>
      <c r="AC416" s="62">
        <f t="shared" si="182"/>
        <v>0.79600000000000004</v>
      </c>
      <c r="AD416" s="74">
        <f>AVERAGEIFS(Tracker!I:I, Tracker!E:E, 2, Tracker!G:G, "&lt;="&amp;Daily!C416, Tracker!J:J, "Y")</f>
        <v>25.984924623115578</v>
      </c>
      <c r="AE416" s="77">
        <f>COUNTIFS(Tracker!E:E, 2, Tracker!G:G, "&lt;="&amp;Daily!C416, Tracker!L:L, "N") / AA416</f>
        <v>0.61599999999999999</v>
      </c>
      <c r="AF416" s="48">
        <f t="shared" si="183"/>
        <v>42</v>
      </c>
      <c r="AG416" s="26">
        <f t="shared" si="184"/>
        <v>27</v>
      </c>
      <c r="AH416" s="62">
        <f t="shared" si="185"/>
        <v>0.6428571428571429</v>
      </c>
      <c r="AI416" s="74">
        <f>IFERROR(AVERAGEIFS(Tracker!I:I, Tracker!E:E, 3, Tracker!G:G, "&lt;="&amp;Daily!C416, Tracker!J:J, "Y"), 0)</f>
        <v>40.074074074074076</v>
      </c>
      <c r="AJ416" s="77">
        <f>IFERROR(COUNTIFS(Tracker!E:E, 3, Tracker!G:G, "&lt;="&amp;Daily!C416, Tracker!L:L, "N") / AF416,  0)</f>
        <v>0.35714285714285715</v>
      </c>
      <c r="AK416" s="48">
        <f t="shared" si="186"/>
        <v>391</v>
      </c>
      <c r="AL416" s="26">
        <f t="shared" si="187"/>
        <v>321</v>
      </c>
      <c r="AM416" s="62">
        <f t="shared" si="188"/>
        <v>0.82097186700767266</v>
      </c>
      <c r="AN416" s="74">
        <f>IFERROR(AVERAGEIFS(Tracker!I:I,  Tracker!G:G, "&lt;="&amp;Daily!C416, Tracker!J:J, "Y"), 0)</f>
        <v>23.140186915887849</v>
      </c>
      <c r="AO416" s="77">
        <f>IFERROR(COUNTIFS(Tracker!G:G, "&lt;="&amp;Daily!C416, Tracker!L:L, "N") / AK416,  0)</f>
        <v>0.63682864450127874</v>
      </c>
    </row>
    <row r="417" spans="1:41" hidden="1" x14ac:dyDescent="0.25">
      <c r="A417" s="119"/>
      <c r="B417" s="32">
        <f t="shared" si="172"/>
        <v>45632</v>
      </c>
      <c r="C417" s="27">
        <f t="shared" si="189"/>
        <v>45632</v>
      </c>
      <c r="D417" s="109" t="b">
        <f t="shared" ca="1" si="171"/>
        <v>0</v>
      </c>
      <c r="E417" s="51">
        <f t="shared" si="173"/>
        <v>0</v>
      </c>
      <c r="F417" s="48">
        <f>COUNTIFS(Tracker!G:G,Daily!C417, Tracker!J:J,"Y")</f>
        <v>0</v>
      </c>
      <c r="G417" s="26">
        <f>COUNTIFS(Tracker!G:G,Daily!C417, Tracker!J:J,"Y (with hints)")</f>
        <v>0</v>
      </c>
      <c r="H417" s="33">
        <f>COUNTIFS(Tracker!G:G,Daily!C417, Tracker!J:J,"N")</f>
        <v>0</v>
      </c>
      <c r="I417" s="54">
        <f t="shared" si="174"/>
        <v>0</v>
      </c>
      <c r="J417" s="26">
        <f>COUNTIFS(Tracker!G:G,Daily!C417, Tracker!J:J,"Y",Tracker!E:E,1)</f>
        <v>0</v>
      </c>
      <c r="K417" s="26">
        <f>COUNTIFS(Tracker!G:G,Daily!C417, Tracker!J:J,"Y (with hints)",Tracker!E:E,1)</f>
        <v>0</v>
      </c>
      <c r="L417" s="33">
        <f>COUNTIFS(Tracker!G:G,Daily!C417, Tracker!J:J,"N",Tracker!E:E,1)</f>
        <v>0</v>
      </c>
      <c r="M417" s="54">
        <f t="shared" si="175"/>
        <v>0</v>
      </c>
      <c r="N417" s="26">
        <f>COUNTIFS(Tracker!G:G,Daily!C417, Tracker!J:J,"Y",Tracker!E:E,2)</f>
        <v>0</v>
      </c>
      <c r="O417" s="26">
        <f>COUNTIFS(Tracker!G:G,Daily!C417, Tracker!J:J,"Y (with hints)",Tracker!E:E,2)</f>
        <v>0</v>
      </c>
      <c r="P417" s="33">
        <f>COUNTIFS(Tracker!G:G,Daily!C417, Tracker!J:J,"N",Tracker!E:E,2)</f>
        <v>0</v>
      </c>
      <c r="Q417" s="57">
        <f t="shared" si="176"/>
        <v>0</v>
      </c>
      <c r="R417" s="26">
        <f>COUNTIFS(Tracker!G:G,Daily!C417, Tracker!J:J,"Y",Tracker!E:E,3)</f>
        <v>0</v>
      </c>
      <c r="S417" s="26">
        <f>COUNTIFS(Tracker!G:G,Daily!C417, Tracker!J:J,"Y (with hints)",Tracker!E:E,3)</f>
        <v>0</v>
      </c>
      <c r="T417" s="33">
        <f>COUNTIFS(Tracker!G:G,Daily!C417, Tracker!J:J,"N",Tracker!E:E,3)</f>
        <v>0</v>
      </c>
      <c r="V417" s="48">
        <f t="shared" si="177"/>
        <v>99</v>
      </c>
      <c r="W417" s="26">
        <f t="shared" si="178"/>
        <v>95</v>
      </c>
      <c r="X417" s="62">
        <f t="shared" si="179"/>
        <v>0.95959595959595956</v>
      </c>
      <c r="Y417" s="74">
        <f>AVERAGEIFS(Tracker!I:I, Tracker!E:E, 1, Tracker!G:G, "&lt;="&amp;Daily!C417, Tracker!J:J, "Y")</f>
        <v>12.368421052631579</v>
      </c>
      <c r="Z417" s="77">
        <f>COUNTIFS(Tracker!E:E, 1, Tracker!G:G, "&lt;="&amp;Daily!C417, Tracker!L:L, "N") / V417</f>
        <v>0.80808080808080807</v>
      </c>
      <c r="AA417" s="48">
        <f t="shared" si="180"/>
        <v>250</v>
      </c>
      <c r="AB417" s="26">
        <f t="shared" si="181"/>
        <v>199</v>
      </c>
      <c r="AC417" s="62">
        <f t="shared" si="182"/>
        <v>0.79600000000000004</v>
      </c>
      <c r="AD417" s="74">
        <f>AVERAGEIFS(Tracker!I:I, Tracker!E:E, 2, Tracker!G:G, "&lt;="&amp;Daily!C417, Tracker!J:J, "Y")</f>
        <v>25.984924623115578</v>
      </c>
      <c r="AE417" s="77">
        <f>COUNTIFS(Tracker!E:E, 2, Tracker!G:G, "&lt;="&amp;Daily!C417, Tracker!L:L, "N") / AA417</f>
        <v>0.61599999999999999</v>
      </c>
      <c r="AF417" s="48">
        <f t="shared" si="183"/>
        <v>42</v>
      </c>
      <c r="AG417" s="26">
        <f t="shared" si="184"/>
        <v>27</v>
      </c>
      <c r="AH417" s="62">
        <f t="shared" si="185"/>
        <v>0.6428571428571429</v>
      </c>
      <c r="AI417" s="74">
        <f>IFERROR(AVERAGEIFS(Tracker!I:I, Tracker!E:E, 3, Tracker!G:G, "&lt;="&amp;Daily!C417, Tracker!J:J, "Y"), 0)</f>
        <v>40.074074074074076</v>
      </c>
      <c r="AJ417" s="77">
        <f>IFERROR(COUNTIFS(Tracker!E:E, 3, Tracker!G:G, "&lt;="&amp;Daily!C417, Tracker!L:L, "N") / AF417,  0)</f>
        <v>0.35714285714285715</v>
      </c>
      <c r="AK417" s="48">
        <f t="shared" si="186"/>
        <v>391</v>
      </c>
      <c r="AL417" s="26">
        <f t="shared" si="187"/>
        <v>321</v>
      </c>
      <c r="AM417" s="62">
        <f t="shared" si="188"/>
        <v>0.82097186700767266</v>
      </c>
      <c r="AN417" s="74">
        <f>IFERROR(AVERAGEIFS(Tracker!I:I,  Tracker!G:G, "&lt;="&amp;Daily!C417, Tracker!J:J, "Y"), 0)</f>
        <v>23.140186915887849</v>
      </c>
      <c r="AO417" s="77">
        <f>IFERROR(COUNTIFS(Tracker!G:G, "&lt;="&amp;Daily!C417, Tracker!L:L, "N") / AK417,  0)</f>
        <v>0.63682864450127874</v>
      </c>
    </row>
    <row r="418" spans="1:41" hidden="1" x14ac:dyDescent="0.25">
      <c r="A418" s="119"/>
      <c r="B418" s="32">
        <f t="shared" si="172"/>
        <v>45633</v>
      </c>
      <c r="C418" s="27">
        <f t="shared" si="189"/>
        <v>45633</v>
      </c>
      <c r="D418" s="109" t="b">
        <f t="shared" ca="1" si="171"/>
        <v>0</v>
      </c>
      <c r="E418" s="51">
        <f t="shared" si="173"/>
        <v>0</v>
      </c>
      <c r="F418" s="48">
        <f>COUNTIFS(Tracker!G:G,Daily!C418, Tracker!J:J,"Y")</f>
        <v>0</v>
      </c>
      <c r="G418" s="26">
        <f>COUNTIFS(Tracker!G:G,Daily!C418, Tracker!J:J,"Y (with hints)")</f>
        <v>0</v>
      </c>
      <c r="H418" s="33">
        <f>COUNTIFS(Tracker!G:G,Daily!C418, Tracker!J:J,"N")</f>
        <v>0</v>
      </c>
      <c r="I418" s="54">
        <f t="shared" si="174"/>
        <v>0</v>
      </c>
      <c r="J418" s="26">
        <f>COUNTIFS(Tracker!G:G,Daily!C418, Tracker!J:J,"Y",Tracker!E:E,1)</f>
        <v>0</v>
      </c>
      <c r="K418" s="26">
        <f>COUNTIFS(Tracker!G:G,Daily!C418, Tracker!J:J,"Y (with hints)",Tracker!E:E,1)</f>
        <v>0</v>
      </c>
      <c r="L418" s="33">
        <f>COUNTIFS(Tracker!G:G,Daily!C418, Tracker!J:J,"N",Tracker!E:E,1)</f>
        <v>0</v>
      </c>
      <c r="M418" s="54">
        <f t="shared" si="175"/>
        <v>0</v>
      </c>
      <c r="N418" s="26">
        <f>COUNTIFS(Tracker!G:G,Daily!C418, Tracker!J:J,"Y",Tracker!E:E,2)</f>
        <v>0</v>
      </c>
      <c r="O418" s="26">
        <f>COUNTIFS(Tracker!G:G,Daily!C418, Tracker!J:J,"Y (with hints)",Tracker!E:E,2)</f>
        <v>0</v>
      </c>
      <c r="P418" s="33">
        <f>COUNTIFS(Tracker!G:G,Daily!C418, Tracker!J:J,"N",Tracker!E:E,2)</f>
        <v>0</v>
      </c>
      <c r="Q418" s="57">
        <f t="shared" si="176"/>
        <v>0</v>
      </c>
      <c r="R418" s="26">
        <f>COUNTIFS(Tracker!G:G,Daily!C418, Tracker!J:J,"Y",Tracker!E:E,3)</f>
        <v>0</v>
      </c>
      <c r="S418" s="26">
        <f>COUNTIFS(Tracker!G:G,Daily!C418, Tracker!J:J,"Y (with hints)",Tracker!E:E,3)</f>
        <v>0</v>
      </c>
      <c r="T418" s="33">
        <f>COUNTIFS(Tracker!G:G,Daily!C418, Tracker!J:J,"N",Tracker!E:E,3)</f>
        <v>0</v>
      </c>
      <c r="V418" s="48">
        <f t="shared" si="177"/>
        <v>99</v>
      </c>
      <c r="W418" s="26">
        <f t="shared" si="178"/>
        <v>95</v>
      </c>
      <c r="X418" s="62">
        <f t="shared" si="179"/>
        <v>0.95959595959595956</v>
      </c>
      <c r="Y418" s="74">
        <f>AVERAGEIFS(Tracker!I:I, Tracker!E:E, 1, Tracker!G:G, "&lt;="&amp;Daily!C418, Tracker!J:J, "Y")</f>
        <v>12.368421052631579</v>
      </c>
      <c r="Z418" s="77">
        <f>COUNTIFS(Tracker!E:E, 1, Tracker!G:G, "&lt;="&amp;Daily!C418, Tracker!L:L, "N") / V418</f>
        <v>0.80808080808080807</v>
      </c>
      <c r="AA418" s="48">
        <f t="shared" si="180"/>
        <v>250</v>
      </c>
      <c r="AB418" s="26">
        <f t="shared" si="181"/>
        <v>199</v>
      </c>
      <c r="AC418" s="62">
        <f t="shared" si="182"/>
        <v>0.79600000000000004</v>
      </c>
      <c r="AD418" s="74">
        <f>AVERAGEIFS(Tracker!I:I, Tracker!E:E, 2, Tracker!G:G, "&lt;="&amp;Daily!C418, Tracker!J:J, "Y")</f>
        <v>25.984924623115578</v>
      </c>
      <c r="AE418" s="77">
        <f>COUNTIFS(Tracker!E:E, 2, Tracker!G:G, "&lt;="&amp;Daily!C418, Tracker!L:L, "N") / AA418</f>
        <v>0.61599999999999999</v>
      </c>
      <c r="AF418" s="48">
        <f t="shared" si="183"/>
        <v>42</v>
      </c>
      <c r="AG418" s="26">
        <f t="shared" si="184"/>
        <v>27</v>
      </c>
      <c r="AH418" s="62">
        <f t="shared" si="185"/>
        <v>0.6428571428571429</v>
      </c>
      <c r="AI418" s="74">
        <f>IFERROR(AVERAGEIFS(Tracker!I:I, Tracker!E:E, 3, Tracker!G:G, "&lt;="&amp;Daily!C418, Tracker!J:J, "Y"), 0)</f>
        <v>40.074074074074076</v>
      </c>
      <c r="AJ418" s="77">
        <f>IFERROR(COUNTIFS(Tracker!E:E, 3, Tracker!G:G, "&lt;="&amp;Daily!C418, Tracker!L:L, "N") / AF418,  0)</f>
        <v>0.35714285714285715</v>
      </c>
      <c r="AK418" s="48">
        <f t="shared" si="186"/>
        <v>391</v>
      </c>
      <c r="AL418" s="26">
        <f t="shared" si="187"/>
        <v>321</v>
      </c>
      <c r="AM418" s="62">
        <f t="shared" si="188"/>
        <v>0.82097186700767266</v>
      </c>
      <c r="AN418" s="74">
        <f>IFERROR(AVERAGEIFS(Tracker!I:I,  Tracker!G:G, "&lt;="&amp;Daily!C418, Tracker!J:J, "Y"), 0)</f>
        <v>23.140186915887849</v>
      </c>
      <c r="AO418" s="77">
        <f>IFERROR(COUNTIFS(Tracker!G:G, "&lt;="&amp;Daily!C418, Tracker!L:L, "N") / AK418,  0)</f>
        <v>0.63682864450127874</v>
      </c>
    </row>
    <row r="419" spans="1:41" ht="15.75" hidden="1" thickBot="1" x14ac:dyDescent="0.3">
      <c r="A419" s="120"/>
      <c r="B419" s="34">
        <f t="shared" si="172"/>
        <v>45634</v>
      </c>
      <c r="C419" s="35">
        <f t="shared" si="189"/>
        <v>45634</v>
      </c>
      <c r="D419" s="110" t="b">
        <f t="shared" ca="1" si="171"/>
        <v>0</v>
      </c>
      <c r="E419" s="52">
        <f t="shared" si="173"/>
        <v>0</v>
      </c>
      <c r="F419" s="39">
        <f>COUNTIFS(Tracker!G:G,Daily!C419, Tracker!J:J,"Y")</f>
        <v>0</v>
      </c>
      <c r="G419" s="36">
        <f>COUNTIFS(Tracker!G:G,Daily!C419, Tracker!J:J,"Y (with hints)")</f>
        <v>0</v>
      </c>
      <c r="H419" s="37">
        <f>COUNTIFS(Tracker!G:G,Daily!C419, Tracker!J:J,"N")</f>
        <v>0</v>
      </c>
      <c r="I419" s="55">
        <f t="shared" si="174"/>
        <v>0</v>
      </c>
      <c r="J419" s="36">
        <f>COUNTIFS(Tracker!G:G,Daily!C419, Tracker!J:J,"Y",Tracker!E:E,1)</f>
        <v>0</v>
      </c>
      <c r="K419" s="36">
        <f>COUNTIFS(Tracker!G:G,Daily!C419, Tracker!J:J,"Y (with hints)",Tracker!E:E,1)</f>
        <v>0</v>
      </c>
      <c r="L419" s="37">
        <f>COUNTIFS(Tracker!G:G,Daily!C419, Tracker!J:J,"N",Tracker!E:E,1)</f>
        <v>0</v>
      </c>
      <c r="M419" s="55">
        <f t="shared" si="175"/>
        <v>0</v>
      </c>
      <c r="N419" s="36">
        <f>COUNTIFS(Tracker!G:G,Daily!C419, Tracker!J:J,"Y",Tracker!E:E,2)</f>
        <v>0</v>
      </c>
      <c r="O419" s="36">
        <f>COUNTIFS(Tracker!G:G,Daily!C419, Tracker!J:J,"Y (with hints)",Tracker!E:E,2)</f>
        <v>0</v>
      </c>
      <c r="P419" s="37">
        <f>COUNTIFS(Tracker!G:G,Daily!C419, Tracker!J:J,"N",Tracker!E:E,2)</f>
        <v>0</v>
      </c>
      <c r="Q419" s="58">
        <f t="shared" si="176"/>
        <v>0</v>
      </c>
      <c r="R419" s="36">
        <f>COUNTIFS(Tracker!G:G,Daily!C419, Tracker!J:J,"Y",Tracker!E:E,3)</f>
        <v>0</v>
      </c>
      <c r="S419" s="36">
        <f>COUNTIFS(Tracker!G:G,Daily!C419, Tracker!J:J,"Y (with hints)",Tracker!E:E,3)</f>
        <v>0</v>
      </c>
      <c r="T419" s="37">
        <f>COUNTIFS(Tracker!G:G,Daily!C419, Tracker!J:J,"N",Tracker!E:E,3)</f>
        <v>0</v>
      </c>
      <c r="V419" s="39">
        <f t="shared" si="177"/>
        <v>99</v>
      </c>
      <c r="W419" s="36">
        <f t="shared" si="178"/>
        <v>95</v>
      </c>
      <c r="X419" s="64">
        <f t="shared" si="179"/>
        <v>0.95959595959595956</v>
      </c>
      <c r="Y419" s="78">
        <f>AVERAGEIFS(Tracker!I:I, Tracker!E:E, 1, Tracker!G:G, "&lt;="&amp;Daily!C419, Tracker!J:J, "Y")</f>
        <v>12.368421052631579</v>
      </c>
      <c r="Z419" s="79">
        <f>COUNTIFS(Tracker!E:E, 1, Tracker!G:G, "&lt;="&amp;Daily!C419, Tracker!L:L, "N") / V419</f>
        <v>0.80808080808080807</v>
      </c>
      <c r="AA419" s="39">
        <f t="shared" si="180"/>
        <v>250</v>
      </c>
      <c r="AB419" s="36">
        <f t="shared" si="181"/>
        <v>199</v>
      </c>
      <c r="AC419" s="64">
        <f t="shared" si="182"/>
        <v>0.79600000000000004</v>
      </c>
      <c r="AD419" s="78">
        <f>AVERAGEIFS(Tracker!I:I, Tracker!E:E, 2, Tracker!G:G, "&lt;="&amp;Daily!C419, Tracker!J:J, "Y")</f>
        <v>25.984924623115578</v>
      </c>
      <c r="AE419" s="79">
        <f>COUNTIFS(Tracker!E:E, 2, Tracker!G:G, "&lt;="&amp;Daily!C419, Tracker!L:L, "N") / AA419</f>
        <v>0.61599999999999999</v>
      </c>
      <c r="AF419" s="39">
        <f t="shared" si="183"/>
        <v>42</v>
      </c>
      <c r="AG419" s="36">
        <f t="shared" si="184"/>
        <v>27</v>
      </c>
      <c r="AH419" s="64">
        <f t="shared" si="185"/>
        <v>0.6428571428571429</v>
      </c>
      <c r="AI419" s="78">
        <f>IFERROR(AVERAGEIFS(Tracker!I:I, Tracker!E:E, 3, Tracker!G:G, "&lt;="&amp;Daily!C419, Tracker!J:J, "Y"), 0)</f>
        <v>40.074074074074076</v>
      </c>
      <c r="AJ419" s="79">
        <f>IFERROR(COUNTIFS(Tracker!E:E, 3, Tracker!G:G, "&lt;="&amp;Daily!C419, Tracker!L:L, "N") / AF419,  0)</f>
        <v>0.35714285714285715</v>
      </c>
      <c r="AK419" s="39">
        <f t="shared" si="186"/>
        <v>391</v>
      </c>
      <c r="AL419" s="36">
        <f t="shared" si="187"/>
        <v>321</v>
      </c>
      <c r="AM419" s="64">
        <f t="shared" si="188"/>
        <v>0.82097186700767266</v>
      </c>
      <c r="AN419" s="78">
        <f>IFERROR(AVERAGEIFS(Tracker!I:I,  Tracker!G:G, "&lt;="&amp;Daily!C419, Tracker!J:J, "Y"), 0)</f>
        <v>23.140186915887849</v>
      </c>
      <c r="AO419" s="79">
        <f>IFERROR(COUNTIFS(Tracker!G:G, "&lt;="&amp;Daily!C419, Tracker!L:L, "N") / AK419,  0)</f>
        <v>0.63682864450127874</v>
      </c>
    </row>
    <row r="420" spans="1:41" hidden="1" x14ac:dyDescent="0.25">
      <c r="A420" s="118">
        <f>A413+1</f>
        <v>60</v>
      </c>
      <c r="B420" s="28">
        <f t="shared" si="172"/>
        <v>45635</v>
      </c>
      <c r="C420" s="29">
        <f t="shared" si="189"/>
        <v>45635</v>
      </c>
      <c r="D420" s="108" t="b">
        <f t="shared" ca="1" si="171"/>
        <v>0</v>
      </c>
      <c r="E420" s="50">
        <f t="shared" si="173"/>
        <v>0</v>
      </c>
      <c r="F420" s="38">
        <f>COUNTIFS(Tracker!G:G,Daily!C420, Tracker!J:J,"Y")</f>
        <v>0</v>
      </c>
      <c r="G420" s="30">
        <f>COUNTIFS(Tracker!G:G,Daily!C420, Tracker!J:J,"Y (with hints)")</f>
        <v>0</v>
      </c>
      <c r="H420" s="31">
        <f>COUNTIFS(Tracker!G:G,Daily!C420, Tracker!J:J,"N")</f>
        <v>0</v>
      </c>
      <c r="I420" s="53">
        <f t="shared" si="174"/>
        <v>0</v>
      </c>
      <c r="J420" s="30">
        <f>COUNTIFS(Tracker!G:G,Daily!C420, Tracker!J:J,"Y",Tracker!E:E,1)</f>
        <v>0</v>
      </c>
      <c r="K420" s="30">
        <f>COUNTIFS(Tracker!G:G,Daily!C420, Tracker!J:J,"Y (with hints)",Tracker!E:E,1)</f>
        <v>0</v>
      </c>
      <c r="L420" s="31">
        <f>COUNTIFS(Tracker!G:G,Daily!C420, Tracker!J:J,"N",Tracker!E:E,1)</f>
        <v>0</v>
      </c>
      <c r="M420" s="53">
        <f t="shared" si="175"/>
        <v>0</v>
      </c>
      <c r="N420" s="30">
        <f>COUNTIFS(Tracker!G:G,Daily!C420, Tracker!J:J,"Y",Tracker!E:E,2)</f>
        <v>0</v>
      </c>
      <c r="O420" s="30">
        <f>COUNTIFS(Tracker!G:G,Daily!C420, Tracker!J:J,"Y (with hints)",Tracker!E:E,2)</f>
        <v>0</v>
      </c>
      <c r="P420" s="31">
        <f>COUNTIFS(Tracker!G:G,Daily!C420, Tracker!J:J,"N",Tracker!E:E,2)</f>
        <v>0</v>
      </c>
      <c r="Q420" s="56">
        <f t="shared" si="176"/>
        <v>0</v>
      </c>
      <c r="R420" s="30">
        <f>COUNTIFS(Tracker!G:G,Daily!C420, Tracker!J:J,"Y",Tracker!E:E,3)</f>
        <v>0</v>
      </c>
      <c r="S420" s="30">
        <f>COUNTIFS(Tracker!G:G,Daily!C420, Tracker!J:J,"Y (with hints)",Tracker!E:E,3)</f>
        <v>0</v>
      </c>
      <c r="T420" s="31">
        <f>COUNTIFS(Tracker!G:G,Daily!C420, Tracker!J:J,"N",Tracker!E:E,3)</f>
        <v>0</v>
      </c>
      <c r="V420" s="38">
        <f t="shared" si="177"/>
        <v>99</v>
      </c>
      <c r="W420" s="30">
        <f t="shared" si="178"/>
        <v>95</v>
      </c>
      <c r="X420" s="73">
        <f t="shared" si="179"/>
        <v>0.95959595959595956</v>
      </c>
      <c r="Y420" s="75">
        <f>AVERAGEIFS(Tracker!I:I, Tracker!E:E, 1, Tracker!G:G, "&lt;="&amp;Daily!C420, Tracker!J:J, "Y")</f>
        <v>12.368421052631579</v>
      </c>
      <c r="Z420" s="76">
        <f>COUNTIFS(Tracker!E:E, 1, Tracker!G:G, "&lt;="&amp;Daily!C420, Tracker!L:L, "N") / V420</f>
        <v>0.80808080808080807</v>
      </c>
      <c r="AA420" s="38">
        <f t="shared" si="180"/>
        <v>250</v>
      </c>
      <c r="AB420" s="30">
        <f t="shared" si="181"/>
        <v>199</v>
      </c>
      <c r="AC420" s="73">
        <f t="shared" si="182"/>
        <v>0.79600000000000004</v>
      </c>
      <c r="AD420" s="75">
        <f>AVERAGEIFS(Tracker!I:I, Tracker!E:E, 2, Tracker!G:G, "&lt;="&amp;Daily!C420, Tracker!J:J, "Y")</f>
        <v>25.984924623115578</v>
      </c>
      <c r="AE420" s="76">
        <f>COUNTIFS(Tracker!E:E, 2, Tracker!G:G, "&lt;="&amp;Daily!C420, Tracker!L:L, "N") / AA420</f>
        <v>0.61599999999999999</v>
      </c>
      <c r="AF420" s="38">
        <f t="shared" si="183"/>
        <v>42</v>
      </c>
      <c r="AG420" s="30">
        <f t="shared" si="184"/>
        <v>27</v>
      </c>
      <c r="AH420" s="73">
        <f t="shared" si="185"/>
        <v>0.6428571428571429</v>
      </c>
      <c r="AI420" s="75">
        <f>IFERROR(AVERAGEIFS(Tracker!I:I, Tracker!E:E, 3, Tracker!G:G, "&lt;="&amp;Daily!C420, Tracker!J:J, "Y"), 0)</f>
        <v>40.074074074074076</v>
      </c>
      <c r="AJ420" s="76">
        <f>IFERROR(COUNTIFS(Tracker!E:E, 3, Tracker!G:G, "&lt;="&amp;Daily!C420, Tracker!L:L, "N") / AF420,  0)</f>
        <v>0.35714285714285715</v>
      </c>
      <c r="AK420" s="38">
        <f t="shared" si="186"/>
        <v>391</v>
      </c>
      <c r="AL420" s="30">
        <f t="shared" si="187"/>
        <v>321</v>
      </c>
      <c r="AM420" s="73">
        <f t="shared" si="188"/>
        <v>0.82097186700767266</v>
      </c>
      <c r="AN420" s="75">
        <f>IFERROR(AVERAGEIFS(Tracker!I:I,  Tracker!G:G, "&lt;="&amp;Daily!C420, Tracker!J:J, "Y"), 0)</f>
        <v>23.140186915887849</v>
      </c>
      <c r="AO420" s="76">
        <f>IFERROR(COUNTIFS(Tracker!G:G, "&lt;="&amp;Daily!C420, Tracker!L:L, "N") / AK420,  0)</f>
        <v>0.63682864450127874</v>
      </c>
    </row>
    <row r="421" spans="1:41" hidden="1" x14ac:dyDescent="0.25">
      <c r="A421" s="119"/>
      <c r="B421" s="32">
        <f t="shared" si="172"/>
        <v>45636</v>
      </c>
      <c r="C421" s="27">
        <f t="shared" si="189"/>
        <v>45636</v>
      </c>
      <c r="D421" s="109" t="b">
        <f t="shared" ca="1" si="171"/>
        <v>0</v>
      </c>
      <c r="E421" s="51">
        <f t="shared" si="173"/>
        <v>0</v>
      </c>
      <c r="F421" s="48">
        <f>COUNTIFS(Tracker!G:G,Daily!C421, Tracker!J:J,"Y")</f>
        <v>0</v>
      </c>
      <c r="G421" s="26">
        <f>COUNTIFS(Tracker!G:G,Daily!C421, Tracker!J:J,"Y (with hints)")</f>
        <v>0</v>
      </c>
      <c r="H421" s="33">
        <f>COUNTIFS(Tracker!G:G,Daily!C421, Tracker!J:J,"N")</f>
        <v>0</v>
      </c>
      <c r="I421" s="54">
        <f t="shared" si="174"/>
        <v>0</v>
      </c>
      <c r="J421" s="26">
        <f>COUNTIFS(Tracker!G:G,Daily!C421, Tracker!J:J,"Y",Tracker!E:E,1)</f>
        <v>0</v>
      </c>
      <c r="K421" s="26">
        <f>COUNTIFS(Tracker!G:G,Daily!C421, Tracker!J:J,"Y (with hints)",Tracker!E:E,1)</f>
        <v>0</v>
      </c>
      <c r="L421" s="33">
        <f>COUNTIFS(Tracker!G:G,Daily!C421, Tracker!J:J,"N",Tracker!E:E,1)</f>
        <v>0</v>
      </c>
      <c r="M421" s="54">
        <f t="shared" si="175"/>
        <v>0</v>
      </c>
      <c r="N421" s="26">
        <f>COUNTIFS(Tracker!G:G,Daily!C421, Tracker!J:J,"Y",Tracker!E:E,2)</f>
        <v>0</v>
      </c>
      <c r="O421" s="26">
        <f>COUNTIFS(Tracker!G:G,Daily!C421, Tracker!J:J,"Y (with hints)",Tracker!E:E,2)</f>
        <v>0</v>
      </c>
      <c r="P421" s="33">
        <f>COUNTIFS(Tracker!G:G,Daily!C421, Tracker!J:J,"N",Tracker!E:E,2)</f>
        <v>0</v>
      </c>
      <c r="Q421" s="57">
        <f t="shared" si="176"/>
        <v>0</v>
      </c>
      <c r="R421" s="26">
        <f>COUNTIFS(Tracker!G:G,Daily!C421, Tracker!J:J,"Y",Tracker!E:E,3)</f>
        <v>0</v>
      </c>
      <c r="S421" s="26">
        <f>COUNTIFS(Tracker!G:G,Daily!C421, Tracker!J:J,"Y (with hints)",Tracker!E:E,3)</f>
        <v>0</v>
      </c>
      <c r="T421" s="33">
        <f>COUNTIFS(Tracker!G:G,Daily!C421, Tracker!J:J,"N",Tracker!E:E,3)</f>
        <v>0</v>
      </c>
      <c r="V421" s="48">
        <f t="shared" si="177"/>
        <v>99</v>
      </c>
      <c r="W421" s="26">
        <f t="shared" si="178"/>
        <v>95</v>
      </c>
      <c r="X421" s="62">
        <f t="shared" si="179"/>
        <v>0.95959595959595956</v>
      </c>
      <c r="Y421" s="74">
        <f>AVERAGEIFS(Tracker!I:I, Tracker!E:E, 1, Tracker!G:G, "&lt;="&amp;Daily!C421, Tracker!J:J, "Y")</f>
        <v>12.368421052631579</v>
      </c>
      <c r="Z421" s="77">
        <f>COUNTIFS(Tracker!E:E, 1, Tracker!G:G, "&lt;="&amp;Daily!C421, Tracker!L:L, "N") / V421</f>
        <v>0.80808080808080807</v>
      </c>
      <c r="AA421" s="48">
        <f t="shared" si="180"/>
        <v>250</v>
      </c>
      <c r="AB421" s="26">
        <f t="shared" si="181"/>
        <v>199</v>
      </c>
      <c r="AC421" s="62">
        <f t="shared" si="182"/>
        <v>0.79600000000000004</v>
      </c>
      <c r="AD421" s="74">
        <f>AVERAGEIFS(Tracker!I:I, Tracker!E:E, 2, Tracker!G:G, "&lt;="&amp;Daily!C421, Tracker!J:J, "Y")</f>
        <v>25.984924623115578</v>
      </c>
      <c r="AE421" s="77">
        <f>COUNTIFS(Tracker!E:E, 2, Tracker!G:G, "&lt;="&amp;Daily!C421, Tracker!L:L, "N") / AA421</f>
        <v>0.61599999999999999</v>
      </c>
      <c r="AF421" s="48">
        <f t="shared" si="183"/>
        <v>42</v>
      </c>
      <c r="AG421" s="26">
        <f t="shared" si="184"/>
        <v>27</v>
      </c>
      <c r="AH421" s="62">
        <f t="shared" si="185"/>
        <v>0.6428571428571429</v>
      </c>
      <c r="AI421" s="74">
        <f>IFERROR(AVERAGEIFS(Tracker!I:I, Tracker!E:E, 3, Tracker!G:G, "&lt;="&amp;Daily!C421, Tracker!J:J, "Y"), 0)</f>
        <v>40.074074074074076</v>
      </c>
      <c r="AJ421" s="77">
        <f>IFERROR(COUNTIFS(Tracker!E:E, 3, Tracker!G:G, "&lt;="&amp;Daily!C421, Tracker!L:L, "N") / AF421,  0)</f>
        <v>0.35714285714285715</v>
      </c>
      <c r="AK421" s="48">
        <f t="shared" si="186"/>
        <v>391</v>
      </c>
      <c r="AL421" s="26">
        <f t="shared" si="187"/>
        <v>321</v>
      </c>
      <c r="AM421" s="62">
        <f t="shared" si="188"/>
        <v>0.82097186700767266</v>
      </c>
      <c r="AN421" s="74">
        <f>IFERROR(AVERAGEIFS(Tracker!I:I,  Tracker!G:G, "&lt;="&amp;Daily!C421, Tracker!J:J, "Y"), 0)</f>
        <v>23.140186915887849</v>
      </c>
      <c r="AO421" s="77">
        <f>IFERROR(COUNTIFS(Tracker!G:G, "&lt;="&amp;Daily!C421, Tracker!L:L, "N") / AK421,  0)</f>
        <v>0.63682864450127874</v>
      </c>
    </row>
    <row r="422" spans="1:41" hidden="1" x14ac:dyDescent="0.25">
      <c r="A422" s="119"/>
      <c r="B422" s="32">
        <f t="shared" si="172"/>
        <v>45637</v>
      </c>
      <c r="C422" s="27">
        <f t="shared" si="189"/>
        <v>45637</v>
      </c>
      <c r="D422" s="109" t="b">
        <f t="shared" ca="1" si="171"/>
        <v>0</v>
      </c>
      <c r="E422" s="51">
        <f t="shared" si="173"/>
        <v>0</v>
      </c>
      <c r="F422" s="48">
        <f>COUNTIFS(Tracker!G:G,Daily!C422, Tracker!J:J,"Y")</f>
        <v>0</v>
      </c>
      <c r="G422" s="26">
        <f>COUNTIFS(Tracker!G:G,Daily!C422, Tracker!J:J,"Y (with hints)")</f>
        <v>0</v>
      </c>
      <c r="H422" s="33">
        <f>COUNTIFS(Tracker!G:G,Daily!C422, Tracker!J:J,"N")</f>
        <v>0</v>
      </c>
      <c r="I422" s="54">
        <f t="shared" si="174"/>
        <v>0</v>
      </c>
      <c r="J422" s="26">
        <f>COUNTIFS(Tracker!G:G,Daily!C422, Tracker!J:J,"Y",Tracker!E:E,1)</f>
        <v>0</v>
      </c>
      <c r="K422" s="26">
        <f>COUNTIFS(Tracker!G:G,Daily!C422, Tracker!J:J,"Y (with hints)",Tracker!E:E,1)</f>
        <v>0</v>
      </c>
      <c r="L422" s="33">
        <f>COUNTIFS(Tracker!G:G,Daily!C422, Tracker!J:J,"N",Tracker!E:E,1)</f>
        <v>0</v>
      </c>
      <c r="M422" s="54">
        <f t="shared" si="175"/>
        <v>0</v>
      </c>
      <c r="N422" s="26">
        <f>COUNTIFS(Tracker!G:G,Daily!C422, Tracker!J:J,"Y",Tracker!E:E,2)</f>
        <v>0</v>
      </c>
      <c r="O422" s="26">
        <f>COUNTIFS(Tracker!G:G,Daily!C422, Tracker!J:J,"Y (with hints)",Tracker!E:E,2)</f>
        <v>0</v>
      </c>
      <c r="P422" s="33">
        <f>COUNTIFS(Tracker!G:G,Daily!C422, Tracker!J:J,"N",Tracker!E:E,2)</f>
        <v>0</v>
      </c>
      <c r="Q422" s="57">
        <f t="shared" si="176"/>
        <v>0</v>
      </c>
      <c r="R422" s="26">
        <f>COUNTIFS(Tracker!G:G,Daily!C422, Tracker!J:J,"Y",Tracker!E:E,3)</f>
        <v>0</v>
      </c>
      <c r="S422" s="26">
        <f>COUNTIFS(Tracker!G:G,Daily!C422, Tracker!J:J,"Y (with hints)",Tracker!E:E,3)</f>
        <v>0</v>
      </c>
      <c r="T422" s="33">
        <f>COUNTIFS(Tracker!G:G,Daily!C422, Tracker!J:J,"N",Tracker!E:E,3)</f>
        <v>0</v>
      </c>
      <c r="V422" s="48">
        <f t="shared" si="177"/>
        <v>99</v>
      </c>
      <c r="W422" s="26">
        <f t="shared" si="178"/>
        <v>95</v>
      </c>
      <c r="X422" s="62">
        <f t="shared" si="179"/>
        <v>0.95959595959595956</v>
      </c>
      <c r="Y422" s="74">
        <f>AVERAGEIFS(Tracker!I:I, Tracker!E:E, 1, Tracker!G:G, "&lt;="&amp;Daily!C422, Tracker!J:J, "Y")</f>
        <v>12.368421052631579</v>
      </c>
      <c r="Z422" s="77">
        <f>COUNTIFS(Tracker!E:E, 1, Tracker!G:G, "&lt;="&amp;Daily!C422, Tracker!L:L, "N") / V422</f>
        <v>0.80808080808080807</v>
      </c>
      <c r="AA422" s="48">
        <f t="shared" si="180"/>
        <v>250</v>
      </c>
      <c r="AB422" s="26">
        <f t="shared" si="181"/>
        <v>199</v>
      </c>
      <c r="AC422" s="62">
        <f t="shared" si="182"/>
        <v>0.79600000000000004</v>
      </c>
      <c r="AD422" s="74">
        <f>AVERAGEIFS(Tracker!I:I, Tracker!E:E, 2, Tracker!G:G, "&lt;="&amp;Daily!C422, Tracker!J:J, "Y")</f>
        <v>25.984924623115578</v>
      </c>
      <c r="AE422" s="77">
        <f>COUNTIFS(Tracker!E:E, 2, Tracker!G:G, "&lt;="&amp;Daily!C422, Tracker!L:L, "N") / AA422</f>
        <v>0.61599999999999999</v>
      </c>
      <c r="AF422" s="48">
        <f t="shared" si="183"/>
        <v>42</v>
      </c>
      <c r="AG422" s="26">
        <f t="shared" si="184"/>
        <v>27</v>
      </c>
      <c r="AH422" s="62">
        <f t="shared" si="185"/>
        <v>0.6428571428571429</v>
      </c>
      <c r="AI422" s="74">
        <f>IFERROR(AVERAGEIFS(Tracker!I:I, Tracker!E:E, 3, Tracker!G:G, "&lt;="&amp;Daily!C422, Tracker!J:J, "Y"), 0)</f>
        <v>40.074074074074076</v>
      </c>
      <c r="AJ422" s="77">
        <f>IFERROR(COUNTIFS(Tracker!E:E, 3, Tracker!G:G, "&lt;="&amp;Daily!C422, Tracker!L:L, "N") / AF422,  0)</f>
        <v>0.35714285714285715</v>
      </c>
      <c r="AK422" s="48">
        <f t="shared" si="186"/>
        <v>391</v>
      </c>
      <c r="AL422" s="26">
        <f t="shared" si="187"/>
        <v>321</v>
      </c>
      <c r="AM422" s="62">
        <f t="shared" si="188"/>
        <v>0.82097186700767266</v>
      </c>
      <c r="AN422" s="74">
        <f>IFERROR(AVERAGEIFS(Tracker!I:I,  Tracker!G:G, "&lt;="&amp;Daily!C422, Tracker!J:J, "Y"), 0)</f>
        <v>23.140186915887849</v>
      </c>
      <c r="AO422" s="77">
        <f>IFERROR(COUNTIFS(Tracker!G:G, "&lt;="&amp;Daily!C422, Tracker!L:L, "N") / AK422,  0)</f>
        <v>0.63682864450127874</v>
      </c>
    </row>
    <row r="423" spans="1:41" hidden="1" x14ac:dyDescent="0.25">
      <c r="A423" s="119"/>
      <c r="B423" s="32">
        <f t="shared" si="172"/>
        <v>45638</v>
      </c>
      <c r="C423" s="27">
        <f t="shared" si="189"/>
        <v>45638</v>
      </c>
      <c r="D423" s="109" t="b">
        <f t="shared" ca="1" si="171"/>
        <v>0</v>
      </c>
      <c r="E423" s="51">
        <f t="shared" si="173"/>
        <v>0</v>
      </c>
      <c r="F423" s="48">
        <f>COUNTIFS(Tracker!G:G,Daily!C423, Tracker!J:J,"Y")</f>
        <v>0</v>
      </c>
      <c r="G423" s="26">
        <f>COUNTIFS(Tracker!G:G,Daily!C423, Tracker!J:J,"Y (with hints)")</f>
        <v>0</v>
      </c>
      <c r="H423" s="33">
        <f>COUNTIFS(Tracker!G:G,Daily!C423, Tracker!J:J,"N")</f>
        <v>0</v>
      </c>
      <c r="I423" s="54">
        <f t="shared" si="174"/>
        <v>0</v>
      </c>
      <c r="J423" s="26">
        <f>COUNTIFS(Tracker!G:G,Daily!C423, Tracker!J:J,"Y",Tracker!E:E,1)</f>
        <v>0</v>
      </c>
      <c r="K423" s="26">
        <f>COUNTIFS(Tracker!G:G,Daily!C423, Tracker!J:J,"Y (with hints)",Tracker!E:E,1)</f>
        <v>0</v>
      </c>
      <c r="L423" s="33">
        <f>COUNTIFS(Tracker!G:G,Daily!C423, Tracker!J:J,"N",Tracker!E:E,1)</f>
        <v>0</v>
      </c>
      <c r="M423" s="54">
        <f t="shared" si="175"/>
        <v>0</v>
      </c>
      <c r="N423" s="26">
        <f>COUNTIFS(Tracker!G:G,Daily!C423, Tracker!J:J,"Y",Tracker!E:E,2)</f>
        <v>0</v>
      </c>
      <c r="O423" s="26">
        <f>COUNTIFS(Tracker!G:G,Daily!C423, Tracker!J:J,"Y (with hints)",Tracker!E:E,2)</f>
        <v>0</v>
      </c>
      <c r="P423" s="33">
        <f>COUNTIFS(Tracker!G:G,Daily!C423, Tracker!J:J,"N",Tracker!E:E,2)</f>
        <v>0</v>
      </c>
      <c r="Q423" s="57">
        <f t="shared" si="176"/>
        <v>0</v>
      </c>
      <c r="R423" s="26">
        <f>COUNTIFS(Tracker!G:G,Daily!C423, Tracker!J:J,"Y",Tracker!E:E,3)</f>
        <v>0</v>
      </c>
      <c r="S423" s="26">
        <f>COUNTIFS(Tracker!G:G,Daily!C423, Tracker!J:J,"Y (with hints)",Tracker!E:E,3)</f>
        <v>0</v>
      </c>
      <c r="T423" s="33">
        <f>COUNTIFS(Tracker!G:G,Daily!C423, Tracker!J:J,"N",Tracker!E:E,3)</f>
        <v>0</v>
      </c>
      <c r="V423" s="48">
        <f t="shared" si="177"/>
        <v>99</v>
      </c>
      <c r="W423" s="26">
        <f t="shared" si="178"/>
        <v>95</v>
      </c>
      <c r="X423" s="62">
        <f t="shared" si="179"/>
        <v>0.95959595959595956</v>
      </c>
      <c r="Y423" s="74">
        <f>AVERAGEIFS(Tracker!I:I, Tracker!E:E, 1, Tracker!G:G, "&lt;="&amp;Daily!C423, Tracker!J:J, "Y")</f>
        <v>12.368421052631579</v>
      </c>
      <c r="Z423" s="77">
        <f>COUNTIFS(Tracker!E:E, 1, Tracker!G:G, "&lt;="&amp;Daily!C423, Tracker!L:L, "N") / V423</f>
        <v>0.80808080808080807</v>
      </c>
      <c r="AA423" s="48">
        <f t="shared" si="180"/>
        <v>250</v>
      </c>
      <c r="AB423" s="26">
        <f t="shared" si="181"/>
        <v>199</v>
      </c>
      <c r="AC423" s="62">
        <f t="shared" si="182"/>
        <v>0.79600000000000004</v>
      </c>
      <c r="AD423" s="74">
        <f>AVERAGEIFS(Tracker!I:I, Tracker!E:E, 2, Tracker!G:G, "&lt;="&amp;Daily!C423, Tracker!J:J, "Y")</f>
        <v>25.984924623115578</v>
      </c>
      <c r="AE423" s="77">
        <f>COUNTIFS(Tracker!E:E, 2, Tracker!G:G, "&lt;="&amp;Daily!C423, Tracker!L:L, "N") / AA423</f>
        <v>0.61599999999999999</v>
      </c>
      <c r="AF423" s="48">
        <f t="shared" si="183"/>
        <v>42</v>
      </c>
      <c r="AG423" s="26">
        <f t="shared" si="184"/>
        <v>27</v>
      </c>
      <c r="AH423" s="62">
        <f t="shared" si="185"/>
        <v>0.6428571428571429</v>
      </c>
      <c r="AI423" s="74">
        <f>IFERROR(AVERAGEIFS(Tracker!I:I, Tracker!E:E, 3, Tracker!G:G, "&lt;="&amp;Daily!C423, Tracker!J:J, "Y"), 0)</f>
        <v>40.074074074074076</v>
      </c>
      <c r="AJ423" s="77">
        <f>IFERROR(COUNTIFS(Tracker!E:E, 3, Tracker!G:G, "&lt;="&amp;Daily!C423, Tracker!L:L, "N") / AF423,  0)</f>
        <v>0.35714285714285715</v>
      </c>
      <c r="AK423" s="48">
        <f t="shared" si="186"/>
        <v>391</v>
      </c>
      <c r="AL423" s="26">
        <f t="shared" si="187"/>
        <v>321</v>
      </c>
      <c r="AM423" s="62">
        <f t="shared" si="188"/>
        <v>0.82097186700767266</v>
      </c>
      <c r="AN423" s="74">
        <f>IFERROR(AVERAGEIFS(Tracker!I:I,  Tracker!G:G, "&lt;="&amp;Daily!C423, Tracker!J:J, "Y"), 0)</f>
        <v>23.140186915887849</v>
      </c>
      <c r="AO423" s="77">
        <f>IFERROR(COUNTIFS(Tracker!G:G, "&lt;="&amp;Daily!C423, Tracker!L:L, "N") / AK423,  0)</f>
        <v>0.63682864450127874</v>
      </c>
    </row>
    <row r="424" spans="1:41" hidden="1" x14ac:dyDescent="0.25">
      <c r="A424" s="119"/>
      <c r="B424" s="32">
        <f t="shared" si="172"/>
        <v>45639</v>
      </c>
      <c r="C424" s="27">
        <f t="shared" si="189"/>
        <v>45639</v>
      </c>
      <c r="D424" s="109" t="b">
        <f t="shared" ca="1" si="171"/>
        <v>0</v>
      </c>
      <c r="E424" s="51">
        <f t="shared" si="173"/>
        <v>0</v>
      </c>
      <c r="F424" s="48">
        <f>COUNTIFS(Tracker!G:G,Daily!C424, Tracker!J:J,"Y")</f>
        <v>0</v>
      </c>
      <c r="G424" s="26">
        <f>COUNTIFS(Tracker!G:G,Daily!C424, Tracker!J:J,"Y (with hints)")</f>
        <v>0</v>
      </c>
      <c r="H424" s="33">
        <f>COUNTIFS(Tracker!G:G,Daily!C424, Tracker!J:J,"N")</f>
        <v>0</v>
      </c>
      <c r="I424" s="54">
        <f t="shared" si="174"/>
        <v>0</v>
      </c>
      <c r="J424" s="26">
        <f>COUNTIFS(Tracker!G:G,Daily!C424, Tracker!J:J,"Y",Tracker!E:E,1)</f>
        <v>0</v>
      </c>
      <c r="K424" s="26">
        <f>COUNTIFS(Tracker!G:G,Daily!C424, Tracker!J:J,"Y (with hints)",Tracker!E:E,1)</f>
        <v>0</v>
      </c>
      <c r="L424" s="33">
        <f>COUNTIFS(Tracker!G:G,Daily!C424, Tracker!J:J,"N",Tracker!E:E,1)</f>
        <v>0</v>
      </c>
      <c r="M424" s="54">
        <f t="shared" si="175"/>
        <v>0</v>
      </c>
      <c r="N424" s="26">
        <f>COUNTIFS(Tracker!G:G,Daily!C424, Tracker!J:J,"Y",Tracker!E:E,2)</f>
        <v>0</v>
      </c>
      <c r="O424" s="26">
        <f>COUNTIFS(Tracker!G:G,Daily!C424, Tracker!J:J,"Y (with hints)",Tracker!E:E,2)</f>
        <v>0</v>
      </c>
      <c r="P424" s="33">
        <f>COUNTIFS(Tracker!G:G,Daily!C424, Tracker!J:J,"N",Tracker!E:E,2)</f>
        <v>0</v>
      </c>
      <c r="Q424" s="57">
        <f t="shared" si="176"/>
        <v>0</v>
      </c>
      <c r="R424" s="26">
        <f>COUNTIFS(Tracker!G:G,Daily!C424, Tracker!J:J,"Y",Tracker!E:E,3)</f>
        <v>0</v>
      </c>
      <c r="S424" s="26">
        <f>COUNTIFS(Tracker!G:G,Daily!C424, Tracker!J:J,"Y (with hints)",Tracker!E:E,3)</f>
        <v>0</v>
      </c>
      <c r="T424" s="33">
        <f>COUNTIFS(Tracker!G:G,Daily!C424, Tracker!J:J,"N",Tracker!E:E,3)</f>
        <v>0</v>
      </c>
      <c r="V424" s="48">
        <f t="shared" si="177"/>
        <v>99</v>
      </c>
      <c r="W424" s="26">
        <f t="shared" si="178"/>
        <v>95</v>
      </c>
      <c r="X424" s="62">
        <f t="shared" si="179"/>
        <v>0.95959595959595956</v>
      </c>
      <c r="Y424" s="74">
        <f>AVERAGEIFS(Tracker!I:I, Tracker!E:E, 1, Tracker!G:G, "&lt;="&amp;Daily!C424, Tracker!J:J, "Y")</f>
        <v>12.368421052631579</v>
      </c>
      <c r="Z424" s="77">
        <f>COUNTIFS(Tracker!E:E, 1, Tracker!G:G, "&lt;="&amp;Daily!C424, Tracker!L:L, "N") / V424</f>
        <v>0.80808080808080807</v>
      </c>
      <c r="AA424" s="48">
        <f t="shared" si="180"/>
        <v>250</v>
      </c>
      <c r="AB424" s="26">
        <f t="shared" si="181"/>
        <v>199</v>
      </c>
      <c r="AC424" s="62">
        <f t="shared" si="182"/>
        <v>0.79600000000000004</v>
      </c>
      <c r="AD424" s="74">
        <f>AVERAGEIFS(Tracker!I:I, Tracker!E:E, 2, Tracker!G:G, "&lt;="&amp;Daily!C424, Tracker!J:J, "Y")</f>
        <v>25.984924623115578</v>
      </c>
      <c r="AE424" s="77">
        <f>COUNTIFS(Tracker!E:E, 2, Tracker!G:G, "&lt;="&amp;Daily!C424, Tracker!L:L, "N") / AA424</f>
        <v>0.61599999999999999</v>
      </c>
      <c r="AF424" s="48">
        <f t="shared" si="183"/>
        <v>42</v>
      </c>
      <c r="AG424" s="26">
        <f t="shared" si="184"/>
        <v>27</v>
      </c>
      <c r="AH424" s="62">
        <f t="shared" si="185"/>
        <v>0.6428571428571429</v>
      </c>
      <c r="AI424" s="74">
        <f>IFERROR(AVERAGEIFS(Tracker!I:I, Tracker!E:E, 3, Tracker!G:G, "&lt;="&amp;Daily!C424, Tracker!J:J, "Y"), 0)</f>
        <v>40.074074074074076</v>
      </c>
      <c r="AJ424" s="77">
        <f>IFERROR(COUNTIFS(Tracker!E:E, 3, Tracker!G:G, "&lt;="&amp;Daily!C424, Tracker!L:L, "N") / AF424,  0)</f>
        <v>0.35714285714285715</v>
      </c>
      <c r="AK424" s="48">
        <f t="shared" si="186"/>
        <v>391</v>
      </c>
      <c r="AL424" s="26">
        <f t="shared" si="187"/>
        <v>321</v>
      </c>
      <c r="AM424" s="62">
        <f t="shared" si="188"/>
        <v>0.82097186700767266</v>
      </c>
      <c r="AN424" s="74">
        <f>IFERROR(AVERAGEIFS(Tracker!I:I,  Tracker!G:G, "&lt;="&amp;Daily!C424, Tracker!J:J, "Y"), 0)</f>
        <v>23.140186915887849</v>
      </c>
      <c r="AO424" s="77">
        <f>IFERROR(COUNTIFS(Tracker!G:G, "&lt;="&amp;Daily!C424, Tracker!L:L, "N") / AK424,  0)</f>
        <v>0.63682864450127874</v>
      </c>
    </row>
    <row r="425" spans="1:41" hidden="1" x14ac:dyDescent="0.25">
      <c r="A425" s="119"/>
      <c r="B425" s="32">
        <f t="shared" si="172"/>
        <v>45640</v>
      </c>
      <c r="C425" s="27">
        <f t="shared" si="189"/>
        <v>45640</v>
      </c>
      <c r="D425" s="109" t="b">
        <f t="shared" ca="1" si="171"/>
        <v>0</v>
      </c>
      <c r="E425" s="51">
        <f t="shared" si="173"/>
        <v>0</v>
      </c>
      <c r="F425" s="48">
        <f>COUNTIFS(Tracker!G:G,Daily!C425, Tracker!J:J,"Y")</f>
        <v>0</v>
      </c>
      <c r="G425" s="26">
        <f>COUNTIFS(Tracker!G:G,Daily!C425, Tracker!J:J,"Y (with hints)")</f>
        <v>0</v>
      </c>
      <c r="H425" s="33">
        <f>COUNTIFS(Tracker!G:G,Daily!C425, Tracker!J:J,"N")</f>
        <v>0</v>
      </c>
      <c r="I425" s="54">
        <f t="shared" si="174"/>
        <v>0</v>
      </c>
      <c r="J425" s="26">
        <f>COUNTIFS(Tracker!G:G,Daily!C425, Tracker!J:J,"Y",Tracker!E:E,1)</f>
        <v>0</v>
      </c>
      <c r="K425" s="26">
        <f>COUNTIFS(Tracker!G:G,Daily!C425, Tracker!J:J,"Y (with hints)",Tracker!E:E,1)</f>
        <v>0</v>
      </c>
      <c r="L425" s="33">
        <f>COUNTIFS(Tracker!G:G,Daily!C425, Tracker!J:J,"N",Tracker!E:E,1)</f>
        <v>0</v>
      </c>
      <c r="M425" s="54">
        <f t="shared" si="175"/>
        <v>0</v>
      </c>
      <c r="N425" s="26">
        <f>COUNTIFS(Tracker!G:G,Daily!C425, Tracker!J:J,"Y",Tracker!E:E,2)</f>
        <v>0</v>
      </c>
      <c r="O425" s="26">
        <f>COUNTIFS(Tracker!G:G,Daily!C425, Tracker!J:J,"Y (with hints)",Tracker!E:E,2)</f>
        <v>0</v>
      </c>
      <c r="P425" s="33">
        <f>COUNTIFS(Tracker!G:G,Daily!C425, Tracker!J:J,"N",Tracker!E:E,2)</f>
        <v>0</v>
      </c>
      <c r="Q425" s="57">
        <f t="shared" si="176"/>
        <v>0</v>
      </c>
      <c r="R425" s="26">
        <f>COUNTIFS(Tracker!G:G,Daily!C425, Tracker!J:J,"Y",Tracker!E:E,3)</f>
        <v>0</v>
      </c>
      <c r="S425" s="26">
        <f>COUNTIFS(Tracker!G:G,Daily!C425, Tracker!J:J,"Y (with hints)",Tracker!E:E,3)</f>
        <v>0</v>
      </c>
      <c r="T425" s="33">
        <f>COUNTIFS(Tracker!G:G,Daily!C425, Tracker!J:J,"N",Tracker!E:E,3)</f>
        <v>0</v>
      </c>
      <c r="V425" s="48">
        <f t="shared" si="177"/>
        <v>99</v>
      </c>
      <c r="W425" s="26">
        <f t="shared" si="178"/>
        <v>95</v>
      </c>
      <c r="X425" s="62">
        <f t="shared" si="179"/>
        <v>0.95959595959595956</v>
      </c>
      <c r="Y425" s="74">
        <f>AVERAGEIFS(Tracker!I:I, Tracker!E:E, 1, Tracker!G:G, "&lt;="&amp;Daily!C425, Tracker!J:J, "Y")</f>
        <v>12.368421052631579</v>
      </c>
      <c r="Z425" s="77">
        <f>COUNTIFS(Tracker!E:E, 1, Tracker!G:G, "&lt;="&amp;Daily!C425, Tracker!L:L, "N") / V425</f>
        <v>0.80808080808080807</v>
      </c>
      <c r="AA425" s="48">
        <f t="shared" si="180"/>
        <v>250</v>
      </c>
      <c r="AB425" s="26">
        <f t="shared" si="181"/>
        <v>199</v>
      </c>
      <c r="AC425" s="62">
        <f t="shared" si="182"/>
        <v>0.79600000000000004</v>
      </c>
      <c r="AD425" s="74">
        <f>AVERAGEIFS(Tracker!I:I, Tracker!E:E, 2, Tracker!G:G, "&lt;="&amp;Daily!C425, Tracker!J:J, "Y")</f>
        <v>25.984924623115578</v>
      </c>
      <c r="AE425" s="77">
        <f>COUNTIFS(Tracker!E:E, 2, Tracker!G:G, "&lt;="&amp;Daily!C425, Tracker!L:L, "N") / AA425</f>
        <v>0.61599999999999999</v>
      </c>
      <c r="AF425" s="48">
        <f t="shared" si="183"/>
        <v>42</v>
      </c>
      <c r="AG425" s="26">
        <f t="shared" si="184"/>
        <v>27</v>
      </c>
      <c r="AH425" s="62">
        <f t="shared" si="185"/>
        <v>0.6428571428571429</v>
      </c>
      <c r="AI425" s="74">
        <f>IFERROR(AVERAGEIFS(Tracker!I:I, Tracker!E:E, 3, Tracker!G:G, "&lt;="&amp;Daily!C425, Tracker!J:J, "Y"), 0)</f>
        <v>40.074074074074076</v>
      </c>
      <c r="AJ425" s="77">
        <f>IFERROR(COUNTIFS(Tracker!E:E, 3, Tracker!G:G, "&lt;="&amp;Daily!C425, Tracker!L:L, "N") / AF425,  0)</f>
        <v>0.35714285714285715</v>
      </c>
      <c r="AK425" s="48">
        <f t="shared" si="186"/>
        <v>391</v>
      </c>
      <c r="AL425" s="26">
        <f t="shared" si="187"/>
        <v>321</v>
      </c>
      <c r="AM425" s="62">
        <f t="shared" si="188"/>
        <v>0.82097186700767266</v>
      </c>
      <c r="AN425" s="74">
        <f>IFERROR(AVERAGEIFS(Tracker!I:I,  Tracker!G:G, "&lt;="&amp;Daily!C425, Tracker!J:J, "Y"), 0)</f>
        <v>23.140186915887849</v>
      </c>
      <c r="AO425" s="77">
        <f>IFERROR(COUNTIFS(Tracker!G:G, "&lt;="&amp;Daily!C425, Tracker!L:L, "N") / AK425,  0)</f>
        <v>0.63682864450127874</v>
      </c>
    </row>
    <row r="426" spans="1:41" ht="15.75" hidden="1" thickBot="1" x14ac:dyDescent="0.3">
      <c r="A426" s="120"/>
      <c r="B426" s="34">
        <f t="shared" si="172"/>
        <v>45641</v>
      </c>
      <c r="C426" s="35">
        <f t="shared" si="189"/>
        <v>45641</v>
      </c>
      <c r="D426" s="110" t="b">
        <f t="shared" ca="1" si="171"/>
        <v>0</v>
      </c>
      <c r="E426" s="52">
        <f t="shared" si="173"/>
        <v>0</v>
      </c>
      <c r="F426" s="39">
        <f>COUNTIFS(Tracker!G:G,Daily!C426, Tracker!J:J,"Y")</f>
        <v>0</v>
      </c>
      <c r="G426" s="36">
        <f>COUNTIFS(Tracker!G:G,Daily!C426, Tracker!J:J,"Y (with hints)")</f>
        <v>0</v>
      </c>
      <c r="H426" s="37">
        <f>COUNTIFS(Tracker!G:G,Daily!C426, Tracker!J:J,"N")</f>
        <v>0</v>
      </c>
      <c r="I426" s="55">
        <f t="shared" si="174"/>
        <v>0</v>
      </c>
      <c r="J426" s="36">
        <f>COUNTIFS(Tracker!G:G,Daily!C426, Tracker!J:J,"Y",Tracker!E:E,1)</f>
        <v>0</v>
      </c>
      <c r="K426" s="36">
        <f>COUNTIFS(Tracker!G:G,Daily!C426, Tracker!J:J,"Y (with hints)",Tracker!E:E,1)</f>
        <v>0</v>
      </c>
      <c r="L426" s="37">
        <f>COUNTIFS(Tracker!G:G,Daily!C426, Tracker!J:J,"N",Tracker!E:E,1)</f>
        <v>0</v>
      </c>
      <c r="M426" s="55">
        <f t="shared" si="175"/>
        <v>0</v>
      </c>
      <c r="N426" s="36">
        <f>COUNTIFS(Tracker!G:G,Daily!C426, Tracker!J:J,"Y",Tracker!E:E,2)</f>
        <v>0</v>
      </c>
      <c r="O426" s="36">
        <f>COUNTIFS(Tracker!G:G,Daily!C426, Tracker!J:J,"Y (with hints)",Tracker!E:E,2)</f>
        <v>0</v>
      </c>
      <c r="P426" s="37">
        <f>COUNTIFS(Tracker!G:G,Daily!C426, Tracker!J:J,"N",Tracker!E:E,2)</f>
        <v>0</v>
      </c>
      <c r="Q426" s="58">
        <f t="shared" si="176"/>
        <v>0</v>
      </c>
      <c r="R426" s="36">
        <f>COUNTIFS(Tracker!G:G,Daily!C426, Tracker!J:J,"Y",Tracker!E:E,3)</f>
        <v>0</v>
      </c>
      <c r="S426" s="36">
        <f>COUNTIFS(Tracker!G:G,Daily!C426, Tracker!J:J,"Y (with hints)",Tracker!E:E,3)</f>
        <v>0</v>
      </c>
      <c r="T426" s="37">
        <f>COUNTIFS(Tracker!G:G,Daily!C426, Tracker!J:J,"N",Tracker!E:E,3)</f>
        <v>0</v>
      </c>
      <c r="V426" s="39">
        <f t="shared" si="177"/>
        <v>99</v>
      </c>
      <c r="W426" s="36">
        <f t="shared" si="178"/>
        <v>95</v>
      </c>
      <c r="X426" s="64">
        <f t="shared" si="179"/>
        <v>0.95959595959595956</v>
      </c>
      <c r="Y426" s="78">
        <f>AVERAGEIFS(Tracker!I:I, Tracker!E:E, 1, Tracker!G:G, "&lt;="&amp;Daily!C426, Tracker!J:J, "Y")</f>
        <v>12.368421052631579</v>
      </c>
      <c r="Z426" s="79">
        <f>COUNTIFS(Tracker!E:E, 1, Tracker!G:G, "&lt;="&amp;Daily!C426, Tracker!L:L, "N") / V426</f>
        <v>0.80808080808080807</v>
      </c>
      <c r="AA426" s="39">
        <f t="shared" si="180"/>
        <v>250</v>
      </c>
      <c r="AB426" s="36">
        <f t="shared" si="181"/>
        <v>199</v>
      </c>
      <c r="AC426" s="64">
        <f t="shared" si="182"/>
        <v>0.79600000000000004</v>
      </c>
      <c r="AD426" s="78">
        <f>AVERAGEIFS(Tracker!I:I, Tracker!E:E, 2, Tracker!G:G, "&lt;="&amp;Daily!C426, Tracker!J:J, "Y")</f>
        <v>25.984924623115578</v>
      </c>
      <c r="AE426" s="79">
        <f>COUNTIFS(Tracker!E:E, 2, Tracker!G:G, "&lt;="&amp;Daily!C426, Tracker!L:L, "N") / AA426</f>
        <v>0.61599999999999999</v>
      </c>
      <c r="AF426" s="39">
        <f t="shared" si="183"/>
        <v>42</v>
      </c>
      <c r="AG426" s="36">
        <f t="shared" si="184"/>
        <v>27</v>
      </c>
      <c r="AH426" s="64">
        <f t="shared" si="185"/>
        <v>0.6428571428571429</v>
      </c>
      <c r="AI426" s="78">
        <f>IFERROR(AVERAGEIFS(Tracker!I:I, Tracker!E:E, 3, Tracker!G:G, "&lt;="&amp;Daily!C426, Tracker!J:J, "Y"), 0)</f>
        <v>40.074074074074076</v>
      </c>
      <c r="AJ426" s="79">
        <f>IFERROR(COUNTIFS(Tracker!E:E, 3, Tracker!G:G, "&lt;="&amp;Daily!C426, Tracker!L:L, "N") / AF426,  0)</f>
        <v>0.35714285714285715</v>
      </c>
      <c r="AK426" s="39">
        <f t="shared" si="186"/>
        <v>391</v>
      </c>
      <c r="AL426" s="36">
        <f t="shared" si="187"/>
        <v>321</v>
      </c>
      <c r="AM426" s="64">
        <f t="shared" si="188"/>
        <v>0.82097186700767266</v>
      </c>
      <c r="AN426" s="78">
        <f>IFERROR(AVERAGEIFS(Tracker!I:I,  Tracker!G:G, "&lt;="&amp;Daily!C426, Tracker!J:J, "Y"), 0)</f>
        <v>23.140186915887849</v>
      </c>
      <c r="AO426" s="79">
        <f>IFERROR(COUNTIFS(Tracker!G:G, "&lt;="&amp;Daily!C426, Tracker!L:L, "N") / AK426,  0)</f>
        <v>0.63682864450127874</v>
      </c>
    </row>
    <row r="427" spans="1:41" hidden="1" x14ac:dyDescent="0.25">
      <c r="A427" s="118">
        <f>A420+1</f>
        <v>61</v>
      </c>
      <c r="B427" s="28">
        <f t="shared" si="172"/>
        <v>45642</v>
      </c>
      <c r="C427" s="29">
        <f t="shared" si="189"/>
        <v>45642</v>
      </c>
      <c r="D427" s="108" t="b">
        <f t="shared" ca="1" si="171"/>
        <v>0</v>
      </c>
      <c r="E427" s="50">
        <f t="shared" si="173"/>
        <v>0</v>
      </c>
      <c r="F427" s="38">
        <f>COUNTIFS(Tracker!G:G,Daily!C427, Tracker!J:J,"Y")</f>
        <v>0</v>
      </c>
      <c r="G427" s="30">
        <f>COUNTIFS(Tracker!G:G,Daily!C427, Tracker!J:J,"Y (with hints)")</f>
        <v>0</v>
      </c>
      <c r="H427" s="31">
        <f>COUNTIFS(Tracker!G:G,Daily!C427, Tracker!J:J,"N")</f>
        <v>0</v>
      </c>
      <c r="I427" s="53">
        <f t="shared" si="174"/>
        <v>0</v>
      </c>
      <c r="J427" s="30">
        <f>COUNTIFS(Tracker!G:G,Daily!C427, Tracker!J:J,"Y",Tracker!E:E,1)</f>
        <v>0</v>
      </c>
      <c r="K427" s="30">
        <f>COUNTIFS(Tracker!G:G,Daily!C427, Tracker!J:J,"Y (with hints)",Tracker!E:E,1)</f>
        <v>0</v>
      </c>
      <c r="L427" s="31">
        <f>COUNTIFS(Tracker!G:G,Daily!C427, Tracker!J:J,"N",Tracker!E:E,1)</f>
        <v>0</v>
      </c>
      <c r="M427" s="53">
        <f t="shared" si="175"/>
        <v>0</v>
      </c>
      <c r="N427" s="30">
        <f>COUNTIFS(Tracker!G:G,Daily!C427, Tracker!J:J,"Y",Tracker!E:E,2)</f>
        <v>0</v>
      </c>
      <c r="O427" s="30">
        <f>COUNTIFS(Tracker!G:G,Daily!C427, Tracker!J:J,"Y (with hints)",Tracker!E:E,2)</f>
        <v>0</v>
      </c>
      <c r="P427" s="31">
        <f>COUNTIFS(Tracker!G:G,Daily!C427, Tracker!J:J,"N",Tracker!E:E,2)</f>
        <v>0</v>
      </c>
      <c r="Q427" s="56">
        <f t="shared" si="176"/>
        <v>0</v>
      </c>
      <c r="R427" s="30">
        <f>COUNTIFS(Tracker!G:G,Daily!C427, Tracker!J:J,"Y",Tracker!E:E,3)</f>
        <v>0</v>
      </c>
      <c r="S427" s="30">
        <f>COUNTIFS(Tracker!G:G,Daily!C427, Tracker!J:J,"Y (with hints)",Tracker!E:E,3)</f>
        <v>0</v>
      </c>
      <c r="T427" s="31">
        <f>COUNTIFS(Tracker!G:G,Daily!C427, Tracker!J:J,"N",Tracker!E:E,3)</f>
        <v>0</v>
      </c>
      <c r="V427" s="38">
        <f t="shared" si="177"/>
        <v>99</v>
      </c>
      <c r="W427" s="30">
        <f t="shared" si="178"/>
        <v>95</v>
      </c>
      <c r="X427" s="73">
        <f t="shared" si="179"/>
        <v>0.95959595959595956</v>
      </c>
      <c r="Y427" s="75">
        <f>AVERAGEIFS(Tracker!I:I, Tracker!E:E, 1, Tracker!G:G, "&lt;="&amp;Daily!C427, Tracker!J:J, "Y")</f>
        <v>12.368421052631579</v>
      </c>
      <c r="Z427" s="76">
        <f>COUNTIFS(Tracker!E:E, 1, Tracker!G:G, "&lt;="&amp;Daily!C427, Tracker!L:L, "N") / V427</f>
        <v>0.80808080808080807</v>
      </c>
      <c r="AA427" s="38">
        <f t="shared" si="180"/>
        <v>250</v>
      </c>
      <c r="AB427" s="30">
        <f t="shared" si="181"/>
        <v>199</v>
      </c>
      <c r="AC427" s="73">
        <f t="shared" si="182"/>
        <v>0.79600000000000004</v>
      </c>
      <c r="AD427" s="75">
        <f>AVERAGEIFS(Tracker!I:I, Tracker!E:E, 2, Tracker!G:G, "&lt;="&amp;Daily!C427, Tracker!J:J, "Y")</f>
        <v>25.984924623115578</v>
      </c>
      <c r="AE427" s="76">
        <f>COUNTIFS(Tracker!E:E, 2, Tracker!G:G, "&lt;="&amp;Daily!C427, Tracker!L:L, "N") / AA427</f>
        <v>0.61599999999999999</v>
      </c>
      <c r="AF427" s="38">
        <f t="shared" si="183"/>
        <v>42</v>
      </c>
      <c r="AG427" s="30">
        <f t="shared" si="184"/>
        <v>27</v>
      </c>
      <c r="AH427" s="73">
        <f t="shared" si="185"/>
        <v>0.6428571428571429</v>
      </c>
      <c r="AI427" s="75">
        <f>IFERROR(AVERAGEIFS(Tracker!I:I, Tracker!E:E, 3, Tracker!G:G, "&lt;="&amp;Daily!C427, Tracker!J:J, "Y"), 0)</f>
        <v>40.074074074074076</v>
      </c>
      <c r="AJ427" s="76">
        <f>IFERROR(COUNTIFS(Tracker!E:E, 3, Tracker!G:G, "&lt;="&amp;Daily!C427, Tracker!L:L, "N") / AF427,  0)</f>
        <v>0.35714285714285715</v>
      </c>
      <c r="AK427" s="38">
        <f t="shared" si="186"/>
        <v>391</v>
      </c>
      <c r="AL427" s="30">
        <f t="shared" si="187"/>
        <v>321</v>
      </c>
      <c r="AM427" s="73">
        <f t="shared" si="188"/>
        <v>0.82097186700767266</v>
      </c>
      <c r="AN427" s="75">
        <f>IFERROR(AVERAGEIFS(Tracker!I:I,  Tracker!G:G, "&lt;="&amp;Daily!C427, Tracker!J:J, "Y"), 0)</f>
        <v>23.140186915887849</v>
      </c>
      <c r="AO427" s="76">
        <f>IFERROR(COUNTIFS(Tracker!G:G, "&lt;="&amp;Daily!C427, Tracker!L:L, "N") / AK427,  0)</f>
        <v>0.63682864450127874</v>
      </c>
    </row>
    <row r="428" spans="1:41" hidden="1" x14ac:dyDescent="0.25">
      <c r="A428" s="119"/>
      <c r="B428" s="32">
        <f t="shared" si="172"/>
        <v>45643</v>
      </c>
      <c r="C428" s="27">
        <f t="shared" si="189"/>
        <v>45643</v>
      </c>
      <c r="D428" s="109" t="b">
        <f t="shared" ca="1" si="171"/>
        <v>0</v>
      </c>
      <c r="E428" s="51">
        <f t="shared" si="173"/>
        <v>0</v>
      </c>
      <c r="F428" s="48">
        <f>COUNTIFS(Tracker!G:G,Daily!C428, Tracker!J:J,"Y")</f>
        <v>0</v>
      </c>
      <c r="G428" s="26">
        <f>COUNTIFS(Tracker!G:G,Daily!C428, Tracker!J:J,"Y (with hints)")</f>
        <v>0</v>
      </c>
      <c r="H428" s="33">
        <f>COUNTIFS(Tracker!G:G,Daily!C428, Tracker!J:J,"N")</f>
        <v>0</v>
      </c>
      <c r="I428" s="54">
        <f t="shared" si="174"/>
        <v>0</v>
      </c>
      <c r="J428" s="26">
        <f>COUNTIFS(Tracker!G:G,Daily!C428, Tracker!J:J,"Y",Tracker!E:E,1)</f>
        <v>0</v>
      </c>
      <c r="K428" s="26">
        <f>COUNTIFS(Tracker!G:G,Daily!C428, Tracker!J:J,"Y (with hints)",Tracker!E:E,1)</f>
        <v>0</v>
      </c>
      <c r="L428" s="33">
        <f>COUNTIFS(Tracker!G:G,Daily!C428, Tracker!J:J,"N",Tracker!E:E,1)</f>
        <v>0</v>
      </c>
      <c r="M428" s="54">
        <f t="shared" si="175"/>
        <v>0</v>
      </c>
      <c r="N428" s="26">
        <f>COUNTIFS(Tracker!G:G,Daily!C428, Tracker!J:J,"Y",Tracker!E:E,2)</f>
        <v>0</v>
      </c>
      <c r="O428" s="26">
        <f>COUNTIFS(Tracker!G:G,Daily!C428, Tracker!J:J,"Y (with hints)",Tracker!E:E,2)</f>
        <v>0</v>
      </c>
      <c r="P428" s="33">
        <f>COUNTIFS(Tracker!G:G,Daily!C428, Tracker!J:J,"N",Tracker!E:E,2)</f>
        <v>0</v>
      </c>
      <c r="Q428" s="57">
        <f t="shared" si="176"/>
        <v>0</v>
      </c>
      <c r="R428" s="26">
        <f>COUNTIFS(Tracker!G:G,Daily!C428, Tracker!J:J,"Y",Tracker!E:E,3)</f>
        <v>0</v>
      </c>
      <c r="S428" s="26">
        <f>COUNTIFS(Tracker!G:G,Daily!C428, Tracker!J:J,"Y (with hints)",Tracker!E:E,3)</f>
        <v>0</v>
      </c>
      <c r="T428" s="33">
        <f>COUNTIFS(Tracker!G:G,Daily!C428, Tracker!J:J,"N",Tracker!E:E,3)</f>
        <v>0</v>
      </c>
      <c r="V428" s="48">
        <f t="shared" si="177"/>
        <v>99</v>
      </c>
      <c r="W428" s="26">
        <f t="shared" si="178"/>
        <v>95</v>
      </c>
      <c r="X428" s="62">
        <f t="shared" si="179"/>
        <v>0.95959595959595956</v>
      </c>
      <c r="Y428" s="74">
        <f>AVERAGEIFS(Tracker!I:I, Tracker!E:E, 1, Tracker!G:G, "&lt;="&amp;Daily!C428, Tracker!J:J, "Y")</f>
        <v>12.368421052631579</v>
      </c>
      <c r="Z428" s="77">
        <f>COUNTIFS(Tracker!E:E, 1, Tracker!G:G, "&lt;="&amp;Daily!C428, Tracker!L:L, "N") / V428</f>
        <v>0.80808080808080807</v>
      </c>
      <c r="AA428" s="48">
        <f t="shared" si="180"/>
        <v>250</v>
      </c>
      <c r="AB428" s="26">
        <f t="shared" si="181"/>
        <v>199</v>
      </c>
      <c r="AC428" s="62">
        <f t="shared" si="182"/>
        <v>0.79600000000000004</v>
      </c>
      <c r="AD428" s="74">
        <f>AVERAGEIFS(Tracker!I:I, Tracker!E:E, 2, Tracker!G:G, "&lt;="&amp;Daily!C428, Tracker!J:J, "Y")</f>
        <v>25.984924623115578</v>
      </c>
      <c r="AE428" s="77">
        <f>COUNTIFS(Tracker!E:E, 2, Tracker!G:G, "&lt;="&amp;Daily!C428, Tracker!L:L, "N") / AA428</f>
        <v>0.61599999999999999</v>
      </c>
      <c r="AF428" s="48">
        <f t="shared" si="183"/>
        <v>42</v>
      </c>
      <c r="AG428" s="26">
        <f t="shared" si="184"/>
        <v>27</v>
      </c>
      <c r="AH428" s="62">
        <f t="shared" si="185"/>
        <v>0.6428571428571429</v>
      </c>
      <c r="AI428" s="74">
        <f>IFERROR(AVERAGEIFS(Tracker!I:I, Tracker!E:E, 3, Tracker!G:G, "&lt;="&amp;Daily!C428, Tracker!J:J, "Y"), 0)</f>
        <v>40.074074074074076</v>
      </c>
      <c r="AJ428" s="77">
        <f>IFERROR(COUNTIFS(Tracker!E:E, 3, Tracker!G:G, "&lt;="&amp;Daily!C428, Tracker!L:L, "N") / AF428,  0)</f>
        <v>0.35714285714285715</v>
      </c>
      <c r="AK428" s="48">
        <f t="shared" si="186"/>
        <v>391</v>
      </c>
      <c r="AL428" s="26">
        <f t="shared" si="187"/>
        <v>321</v>
      </c>
      <c r="AM428" s="62">
        <f t="shared" si="188"/>
        <v>0.82097186700767266</v>
      </c>
      <c r="AN428" s="74">
        <f>IFERROR(AVERAGEIFS(Tracker!I:I,  Tracker!G:G, "&lt;="&amp;Daily!C428, Tracker!J:J, "Y"), 0)</f>
        <v>23.140186915887849</v>
      </c>
      <c r="AO428" s="77">
        <f>IFERROR(COUNTIFS(Tracker!G:G, "&lt;="&amp;Daily!C428, Tracker!L:L, "N") / AK428,  0)</f>
        <v>0.63682864450127874</v>
      </c>
    </row>
    <row r="429" spans="1:41" hidden="1" x14ac:dyDescent="0.25">
      <c r="A429" s="119"/>
      <c r="B429" s="32">
        <f t="shared" si="172"/>
        <v>45644</v>
      </c>
      <c r="C429" s="27">
        <f t="shared" si="189"/>
        <v>45644</v>
      </c>
      <c r="D429" s="109" t="b">
        <f t="shared" ca="1" si="171"/>
        <v>0</v>
      </c>
      <c r="E429" s="51">
        <f t="shared" si="173"/>
        <v>0</v>
      </c>
      <c r="F429" s="48">
        <f>COUNTIFS(Tracker!G:G,Daily!C429, Tracker!J:J,"Y")</f>
        <v>0</v>
      </c>
      <c r="G429" s="26">
        <f>COUNTIFS(Tracker!G:G,Daily!C429, Tracker!J:J,"Y (with hints)")</f>
        <v>0</v>
      </c>
      <c r="H429" s="33">
        <f>COUNTIFS(Tracker!G:G,Daily!C429, Tracker!J:J,"N")</f>
        <v>0</v>
      </c>
      <c r="I429" s="54">
        <f t="shared" si="174"/>
        <v>0</v>
      </c>
      <c r="J429" s="26">
        <f>COUNTIFS(Tracker!G:G,Daily!C429, Tracker!J:J,"Y",Tracker!E:E,1)</f>
        <v>0</v>
      </c>
      <c r="K429" s="26">
        <f>COUNTIFS(Tracker!G:G,Daily!C429, Tracker!J:J,"Y (with hints)",Tracker!E:E,1)</f>
        <v>0</v>
      </c>
      <c r="L429" s="33">
        <f>COUNTIFS(Tracker!G:G,Daily!C429, Tracker!J:J,"N",Tracker!E:E,1)</f>
        <v>0</v>
      </c>
      <c r="M429" s="54">
        <f t="shared" si="175"/>
        <v>0</v>
      </c>
      <c r="N429" s="26">
        <f>COUNTIFS(Tracker!G:G,Daily!C429, Tracker!J:J,"Y",Tracker!E:E,2)</f>
        <v>0</v>
      </c>
      <c r="O429" s="26">
        <f>COUNTIFS(Tracker!G:G,Daily!C429, Tracker!J:J,"Y (with hints)",Tracker!E:E,2)</f>
        <v>0</v>
      </c>
      <c r="P429" s="33">
        <f>COUNTIFS(Tracker!G:G,Daily!C429, Tracker!J:J,"N",Tracker!E:E,2)</f>
        <v>0</v>
      </c>
      <c r="Q429" s="57">
        <f t="shared" si="176"/>
        <v>0</v>
      </c>
      <c r="R429" s="26">
        <f>COUNTIFS(Tracker!G:G,Daily!C429, Tracker!J:J,"Y",Tracker!E:E,3)</f>
        <v>0</v>
      </c>
      <c r="S429" s="26">
        <f>COUNTIFS(Tracker!G:G,Daily!C429, Tracker!J:J,"Y (with hints)",Tracker!E:E,3)</f>
        <v>0</v>
      </c>
      <c r="T429" s="33">
        <f>COUNTIFS(Tracker!G:G,Daily!C429, Tracker!J:J,"N",Tracker!E:E,3)</f>
        <v>0</v>
      </c>
      <c r="V429" s="48">
        <f t="shared" si="177"/>
        <v>99</v>
      </c>
      <c r="W429" s="26">
        <f t="shared" si="178"/>
        <v>95</v>
      </c>
      <c r="X429" s="62">
        <f t="shared" si="179"/>
        <v>0.95959595959595956</v>
      </c>
      <c r="Y429" s="74">
        <f>AVERAGEIFS(Tracker!I:I, Tracker!E:E, 1, Tracker!G:G, "&lt;="&amp;Daily!C429, Tracker!J:J, "Y")</f>
        <v>12.368421052631579</v>
      </c>
      <c r="Z429" s="77">
        <f>COUNTIFS(Tracker!E:E, 1, Tracker!G:G, "&lt;="&amp;Daily!C429, Tracker!L:L, "N") / V429</f>
        <v>0.80808080808080807</v>
      </c>
      <c r="AA429" s="48">
        <f t="shared" si="180"/>
        <v>250</v>
      </c>
      <c r="AB429" s="26">
        <f t="shared" si="181"/>
        <v>199</v>
      </c>
      <c r="AC429" s="62">
        <f t="shared" si="182"/>
        <v>0.79600000000000004</v>
      </c>
      <c r="AD429" s="74">
        <f>AVERAGEIFS(Tracker!I:I, Tracker!E:E, 2, Tracker!G:G, "&lt;="&amp;Daily!C429, Tracker!J:J, "Y")</f>
        <v>25.984924623115578</v>
      </c>
      <c r="AE429" s="77">
        <f>COUNTIFS(Tracker!E:E, 2, Tracker!G:G, "&lt;="&amp;Daily!C429, Tracker!L:L, "N") / AA429</f>
        <v>0.61599999999999999</v>
      </c>
      <c r="AF429" s="48">
        <f t="shared" si="183"/>
        <v>42</v>
      </c>
      <c r="AG429" s="26">
        <f t="shared" si="184"/>
        <v>27</v>
      </c>
      <c r="AH429" s="62">
        <f t="shared" si="185"/>
        <v>0.6428571428571429</v>
      </c>
      <c r="AI429" s="74">
        <f>IFERROR(AVERAGEIFS(Tracker!I:I, Tracker!E:E, 3, Tracker!G:G, "&lt;="&amp;Daily!C429, Tracker!J:J, "Y"), 0)</f>
        <v>40.074074074074076</v>
      </c>
      <c r="AJ429" s="77">
        <f>IFERROR(COUNTIFS(Tracker!E:E, 3, Tracker!G:G, "&lt;="&amp;Daily!C429, Tracker!L:L, "N") / AF429,  0)</f>
        <v>0.35714285714285715</v>
      </c>
      <c r="AK429" s="48">
        <f t="shared" si="186"/>
        <v>391</v>
      </c>
      <c r="AL429" s="26">
        <f t="shared" si="187"/>
        <v>321</v>
      </c>
      <c r="AM429" s="62">
        <f t="shared" si="188"/>
        <v>0.82097186700767266</v>
      </c>
      <c r="AN429" s="74">
        <f>IFERROR(AVERAGEIFS(Tracker!I:I,  Tracker!G:G, "&lt;="&amp;Daily!C429, Tracker!J:J, "Y"), 0)</f>
        <v>23.140186915887849</v>
      </c>
      <c r="AO429" s="77">
        <f>IFERROR(COUNTIFS(Tracker!G:G, "&lt;="&amp;Daily!C429, Tracker!L:L, "N") / AK429,  0)</f>
        <v>0.63682864450127874</v>
      </c>
    </row>
    <row r="430" spans="1:41" hidden="1" x14ac:dyDescent="0.25">
      <c r="A430" s="119"/>
      <c r="B430" s="32">
        <f t="shared" si="172"/>
        <v>45645</v>
      </c>
      <c r="C430" s="27">
        <f t="shared" si="189"/>
        <v>45645</v>
      </c>
      <c r="D430" s="109" t="b">
        <f t="shared" ca="1" si="171"/>
        <v>0</v>
      </c>
      <c r="E430" s="51">
        <f t="shared" si="173"/>
        <v>0</v>
      </c>
      <c r="F430" s="48">
        <f>COUNTIFS(Tracker!G:G,Daily!C430, Tracker!J:J,"Y")</f>
        <v>0</v>
      </c>
      <c r="G430" s="26">
        <f>COUNTIFS(Tracker!G:G,Daily!C430, Tracker!J:J,"Y (with hints)")</f>
        <v>0</v>
      </c>
      <c r="H430" s="33">
        <f>COUNTIFS(Tracker!G:G,Daily!C430, Tracker!J:J,"N")</f>
        <v>0</v>
      </c>
      <c r="I430" s="54">
        <f t="shared" si="174"/>
        <v>0</v>
      </c>
      <c r="J430" s="26">
        <f>COUNTIFS(Tracker!G:G,Daily!C430, Tracker!J:J,"Y",Tracker!E:E,1)</f>
        <v>0</v>
      </c>
      <c r="K430" s="26">
        <f>COUNTIFS(Tracker!G:G,Daily!C430, Tracker!J:J,"Y (with hints)",Tracker!E:E,1)</f>
        <v>0</v>
      </c>
      <c r="L430" s="33">
        <f>COUNTIFS(Tracker!G:G,Daily!C430, Tracker!J:J,"N",Tracker!E:E,1)</f>
        <v>0</v>
      </c>
      <c r="M430" s="54">
        <f t="shared" si="175"/>
        <v>0</v>
      </c>
      <c r="N430" s="26">
        <f>COUNTIFS(Tracker!G:G,Daily!C430, Tracker!J:J,"Y",Tracker!E:E,2)</f>
        <v>0</v>
      </c>
      <c r="O430" s="26">
        <f>COUNTIFS(Tracker!G:G,Daily!C430, Tracker!J:J,"Y (with hints)",Tracker!E:E,2)</f>
        <v>0</v>
      </c>
      <c r="P430" s="33">
        <f>COUNTIFS(Tracker!G:G,Daily!C430, Tracker!J:J,"N",Tracker!E:E,2)</f>
        <v>0</v>
      </c>
      <c r="Q430" s="57">
        <f t="shared" si="176"/>
        <v>0</v>
      </c>
      <c r="R430" s="26">
        <f>COUNTIFS(Tracker!G:G,Daily!C430, Tracker!J:J,"Y",Tracker!E:E,3)</f>
        <v>0</v>
      </c>
      <c r="S430" s="26">
        <f>COUNTIFS(Tracker!G:G,Daily!C430, Tracker!J:J,"Y (with hints)",Tracker!E:E,3)</f>
        <v>0</v>
      </c>
      <c r="T430" s="33">
        <f>COUNTIFS(Tracker!G:G,Daily!C430, Tracker!J:J,"N",Tracker!E:E,3)</f>
        <v>0</v>
      </c>
      <c r="V430" s="48">
        <f t="shared" si="177"/>
        <v>99</v>
      </c>
      <c r="W430" s="26">
        <f t="shared" si="178"/>
        <v>95</v>
      </c>
      <c r="X430" s="62">
        <f t="shared" si="179"/>
        <v>0.95959595959595956</v>
      </c>
      <c r="Y430" s="74">
        <f>AVERAGEIFS(Tracker!I:I, Tracker!E:E, 1, Tracker!G:G, "&lt;="&amp;Daily!C430, Tracker!J:J, "Y")</f>
        <v>12.368421052631579</v>
      </c>
      <c r="Z430" s="77">
        <f>COUNTIFS(Tracker!E:E, 1, Tracker!G:G, "&lt;="&amp;Daily!C430, Tracker!L:L, "N") / V430</f>
        <v>0.80808080808080807</v>
      </c>
      <c r="AA430" s="48">
        <f t="shared" si="180"/>
        <v>250</v>
      </c>
      <c r="AB430" s="26">
        <f t="shared" si="181"/>
        <v>199</v>
      </c>
      <c r="AC430" s="62">
        <f t="shared" si="182"/>
        <v>0.79600000000000004</v>
      </c>
      <c r="AD430" s="74">
        <f>AVERAGEIFS(Tracker!I:I, Tracker!E:E, 2, Tracker!G:G, "&lt;="&amp;Daily!C430, Tracker!J:J, "Y")</f>
        <v>25.984924623115578</v>
      </c>
      <c r="AE430" s="77">
        <f>COUNTIFS(Tracker!E:E, 2, Tracker!G:G, "&lt;="&amp;Daily!C430, Tracker!L:L, "N") / AA430</f>
        <v>0.61599999999999999</v>
      </c>
      <c r="AF430" s="48">
        <f t="shared" si="183"/>
        <v>42</v>
      </c>
      <c r="AG430" s="26">
        <f t="shared" si="184"/>
        <v>27</v>
      </c>
      <c r="AH430" s="62">
        <f t="shared" si="185"/>
        <v>0.6428571428571429</v>
      </c>
      <c r="AI430" s="74">
        <f>IFERROR(AVERAGEIFS(Tracker!I:I, Tracker!E:E, 3, Tracker!G:G, "&lt;="&amp;Daily!C430, Tracker!J:J, "Y"), 0)</f>
        <v>40.074074074074076</v>
      </c>
      <c r="AJ430" s="77">
        <f>IFERROR(COUNTIFS(Tracker!E:E, 3, Tracker!G:G, "&lt;="&amp;Daily!C430, Tracker!L:L, "N") / AF430,  0)</f>
        <v>0.35714285714285715</v>
      </c>
      <c r="AK430" s="48">
        <f t="shared" si="186"/>
        <v>391</v>
      </c>
      <c r="AL430" s="26">
        <f t="shared" si="187"/>
        <v>321</v>
      </c>
      <c r="AM430" s="62">
        <f t="shared" si="188"/>
        <v>0.82097186700767266</v>
      </c>
      <c r="AN430" s="74">
        <f>IFERROR(AVERAGEIFS(Tracker!I:I,  Tracker!G:G, "&lt;="&amp;Daily!C430, Tracker!J:J, "Y"), 0)</f>
        <v>23.140186915887849</v>
      </c>
      <c r="AO430" s="77">
        <f>IFERROR(COUNTIFS(Tracker!G:G, "&lt;="&amp;Daily!C430, Tracker!L:L, "N") / AK430,  0)</f>
        <v>0.63682864450127874</v>
      </c>
    </row>
    <row r="431" spans="1:41" hidden="1" x14ac:dyDescent="0.25">
      <c r="A431" s="119"/>
      <c r="B431" s="32">
        <f t="shared" si="172"/>
        <v>45646</v>
      </c>
      <c r="C431" s="27">
        <f t="shared" si="189"/>
        <v>45646</v>
      </c>
      <c r="D431" s="109" t="b">
        <f t="shared" ca="1" si="171"/>
        <v>0</v>
      </c>
      <c r="E431" s="51">
        <f t="shared" si="173"/>
        <v>0</v>
      </c>
      <c r="F431" s="48">
        <f>COUNTIFS(Tracker!G:G,Daily!C431, Tracker!J:J,"Y")</f>
        <v>0</v>
      </c>
      <c r="G431" s="26">
        <f>COUNTIFS(Tracker!G:G,Daily!C431, Tracker!J:J,"Y (with hints)")</f>
        <v>0</v>
      </c>
      <c r="H431" s="33">
        <f>COUNTIFS(Tracker!G:G,Daily!C431, Tracker!J:J,"N")</f>
        <v>0</v>
      </c>
      <c r="I431" s="54">
        <f t="shared" si="174"/>
        <v>0</v>
      </c>
      <c r="J431" s="26">
        <f>COUNTIFS(Tracker!G:G,Daily!C431, Tracker!J:J,"Y",Tracker!E:E,1)</f>
        <v>0</v>
      </c>
      <c r="K431" s="26">
        <f>COUNTIFS(Tracker!G:G,Daily!C431, Tracker!J:J,"Y (with hints)",Tracker!E:E,1)</f>
        <v>0</v>
      </c>
      <c r="L431" s="33">
        <f>COUNTIFS(Tracker!G:G,Daily!C431, Tracker!J:J,"N",Tracker!E:E,1)</f>
        <v>0</v>
      </c>
      <c r="M431" s="54">
        <f t="shared" si="175"/>
        <v>0</v>
      </c>
      <c r="N431" s="26">
        <f>COUNTIFS(Tracker!G:G,Daily!C431, Tracker!J:J,"Y",Tracker!E:E,2)</f>
        <v>0</v>
      </c>
      <c r="O431" s="26">
        <f>COUNTIFS(Tracker!G:G,Daily!C431, Tracker!J:J,"Y (with hints)",Tracker!E:E,2)</f>
        <v>0</v>
      </c>
      <c r="P431" s="33">
        <f>COUNTIFS(Tracker!G:G,Daily!C431, Tracker!J:J,"N",Tracker!E:E,2)</f>
        <v>0</v>
      </c>
      <c r="Q431" s="57">
        <f t="shared" si="176"/>
        <v>0</v>
      </c>
      <c r="R431" s="26">
        <f>COUNTIFS(Tracker!G:G,Daily!C431, Tracker!J:J,"Y",Tracker!E:E,3)</f>
        <v>0</v>
      </c>
      <c r="S431" s="26">
        <f>COUNTIFS(Tracker!G:G,Daily!C431, Tracker!J:J,"Y (with hints)",Tracker!E:E,3)</f>
        <v>0</v>
      </c>
      <c r="T431" s="33">
        <f>COUNTIFS(Tracker!G:G,Daily!C431, Tracker!J:J,"N",Tracker!E:E,3)</f>
        <v>0</v>
      </c>
      <c r="V431" s="48">
        <f t="shared" si="177"/>
        <v>99</v>
      </c>
      <c r="W431" s="26">
        <f t="shared" si="178"/>
        <v>95</v>
      </c>
      <c r="X431" s="62">
        <f t="shared" si="179"/>
        <v>0.95959595959595956</v>
      </c>
      <c r="Y431" s="74">
        <f>AVERAGEIFS(Tracker!I:I, Tracker!E:E, 1, Tracker!G:G, "&lt;="&amp;Daily!C431, Tracker!J:J, "Y")</f>
        <v>12.368421052631579</v>
      </c>
      <c r="Z431" s="77">
        <f>COUNTIFS(Tracker!E:E, 1, Tracker!G:G, "&lt;="&amp;Daily!C431, Tracker!L:L, "N") / V431</f>
        <v>0.80808080808080807</v>
      </c>
      <c r="AA431" s="48">
        <f t="shared" si="180"/>
        <v>250</v>
      </c>
      <c r="AB431" s="26">
        <f t="shared" si="181"/>
        <v>199</v>
      </c>
      <c r="AC431" s="62">
        <f t="shared" si="182"/>
        <v>0.79600000000000004</v>
      </c>
      <c r="AD431" s="74">
        <f>AVERAGEIFS(Tracker!I:I, Tracker!E:E, 2, Tracker!G:G, "&lt;="&amp;Daily!C431, Tracker!J:J, "Y")</f>
        <v>25.984924623115578</v>
      </c>
      <c r="AE431" s="77">
        <f>COUNTIFS(Tracker!E:E, 2, Tracker!G:G, "&lt;="&amp;Daily!C431, Tracker!L:L, "N") / AA431</f>
        <v>0.61599999999999999</v>
      </c>
      <c r="AF431" s="48">
        <f t="shared" si="183"/>
        <v>42</v>
      </c>
      <c r="AG431" s="26">
        <f t="shared" si="184"/>
        <v>27</v>
      </c>
      <c r="AH431" s="62">
        <f t="shared" si="185"/>
        <v>0.6428571428571429</v>
      </c>
      <c r="AI431" s="74">
        <f>IFERROR(AVERAGEIFS(Tracker!I:I, Tracker!E:E, 3, Tracker!G:G, "&lt;="&amp;Daily!C431, Tracker!J:J, "Y"), 0)</f>
        <v>40.074074074074076</v>
      </c>
      <c r="AJ431" s="77">
        <f>IFERROR(COUNTIFS(Tracker!E:E, 3, Tracker!G:G, "&lt;="&amp;Daily!C431, Tracker!L:L, "N") / AF431,  0)</f>
        <v>0.35714285714285715</v>
      </c>
      <c r="AK431" s="48">
        <f t="shared" si="186"/>
        <v>391</v>
      </c>
      <c r="AL431" s="26">
        <f t="shared" si="187"/>
        <v>321</v>
      </c>
      <c r="AM431" s="62">
        <f t="shared" si="188"/>
        <v>0.82097186700767266</v>
      </c>
      <c r="AN431" s="74">
        <f>IFERROR(AVERAGEIFS(Tracker!I:I,  Tracker!G:G, "&lt;="&amp;Daily!C431, Tracker!J:J, "Y"), 0)</f>
        <v>23.140186915887849</v>
      </c>
      <c r="AO431" s="77">
        <f>IFERROR(COUNTIFS(Tracker!G:G, "&lt;="&amp;Daily!C431, Tracker!L:L, "N") / AK431,  0)</f>
        <v>0.63682864450127874</v>
      </c>
    </row>
    <row r="432" spans="1:41" hidden="1" x14ac:dyDescent="0.25">
      <c r="A432" s="119"/>
      <c r="B432" s="32">
        <f t="shared" si="172"/>
        <v>45647</v>
      </c>
      <c r="C432" s="27">
        <f t="shared" si="189"/>
        <v>45647</v>
      </c>
      <c r="D432" s="109" t="b">
        <f t="shared" ca="1" si="171"/>
        <v>0</v>
      </c>
      <c r="E432" s="51">
        <f t="shared" si="173"/>
        <v>0</v>
      </c>
      <c r="F432" s="48">
        <f>COUNTIFS(Tracker!G:G,Daily!C432, Tracker!J:J,"Y")</f>
        <v>0</v>
      </c>
      <c r="G432" s="26">
        <f>COUNTIFS(Tracker!G:G,Daily!C432, Tracker!J:J,"Y (with hints)")</f>
        <v>0</v>
      </c>
      <c r="H432" s="33">
        <f>COUNTIFS(Tracker!G:G,Daily!C432, Tracker!J:J,"N")</f>
        <v>0</v>
      </c>
      <c r="I432" s="54">
        <f t="shared" si="174"/>
        <v>0</v>
      </c>
      <c r="J432" s="26">
        <f>COUNTIFS(Tracker!G:G,Daily!C432, Tracker!J:J,"Y",Tracker!E:E,1)</f>
        <v>0</v>
      </c>
      <c r="K432" s="26">
        <f>COUNTIFS(Tracker!G:G,Daily!C432, Tracker!J:J,"Y (with hints)",Tracker!E:E,1)</f>
        <v>0</v>
      </c>
      <c r="L432" s="33">
        <f>COUNTIFS(Tracker!G:G,Daily!C432, Tracker!J:J,"N",Tracker!E:E,1)</f>
        <v>0</v>
      </c>
      <c r="M432" s="54">
        <f t="shared" si="175"/>
        <v>0</v>
      </c>
      <c r="N432" s="26">
        <f>COUNTIFS(Tracker!G:G,Daily!C432, Tracker!J:J,"Y",Tracker!E:E,2)</f>
        <v>0</v>
      </c>
      <c r="O432" s="26">
        <f>COUNTIFS(Tracker!G:G,Daily!C432, Tracker!J:J,"Y (with hints)",Tracker!E:E,2)</f>
        <v>0</v>
      </c>
      <c r="P432" s="33">
        <f>COUNTIFS(Tracker!G:G,Daily!C432, Tracker!J:J,"N",Tracker!E:E,2)</f>
        <v>0</v>
      </c>
      <c r="Q432" s="57">
        <f t="shared" si="176"/>
        <v>0</v>
      </c>
      <c r="R432" s="26">
        <f>COUNTIFS(Tracker!G:G,Daily!C432, Tracker!J:J,"Y",Tracker!E:E,3)</f>
        <v>0</v>
      </c>
      <c r="S432" s="26">
        <f>COUNTIFS(Tracker!G:G,Daily!C432, Tracker!J:J,"Y (with hints)",Tracker!E:E,3)</f>
        <v>0</v>
      </c>
      <c r="T432" s="33">
        <f>COUNTIFS(Tracker!G:G,Daily!C432, Tracker!J:J,"N",Tracker!E:E,3)</f>
        <v>0</v>
      </c>
      <c r="V432" s="48">
        <f t="shared" si="177"/>
        <v>99</v>
      </c>
      <c r="W432" s="26">
        <f t="shared" si="178"/>
        <v>95</v>
      </c>
      <c r="X432" s="62">
        <f t="shared" si="179"/>
        <v>0.95959595959595956</v>
      </c>
      <c r="Y432" s="74">
        <f>AVERAGEIFS(Tracker!I:I, Tracker!E:E, 1, Tracker!G:G, "&lt;="&amp;Daily!C432, Tracker!J:J, "Y")</f>
        <v>12.368421052631579</v>
      </c>
      <c r="Z432" s="77">
        <f>COUNTIFS(Tracker!E:E, 1, Tracker!G:G, "&lt;="&amp;Daily!C432, Tracker!L:L, "N") / V432</f>
        <v>0.80808080808080807</v>
      </c>
      <c r="AA432" s="48">
        <f t="shared" si="180"/>
        <v>250</v>
      </c>
      <c r="AB432" s="26">
        <f t="shared" si="181"/>
        <v>199</v>
      </c>
      <c r="AC432" s="62">
        <f t="shared" si="182"/>
        <v>0.79600000000000004</v>
      </c>
      <c r="AD432" s="74">
        <f>AVERAGEIFS(Tracker!I:I, Tracker!E:E, 2, Tracker!G:G, "&lt;="&amp;Daily!C432, Tracker!J:J, "Y")</f>
        <v>25.984924623115578</v>
      </c>
      <c r="AE432" s="77">
        <f>COUNTIFS(Tracker!E:E, 2, Tracker!G:G, "&lt;="&amp;Daily!C432, Tracker!L:L, "N") / AA432</f>
        <v>0.61599999999999999</v>
      </c>
      <c r="AF432" s="48">
        <f t="shared" si="183"/>
        <v>42</v>
      </c>
      <c r="AG432" s="26">
        <f t="shared" si="184"/>
        <v>27</v>
      </c>
      <c r="AH432" s="62">
        <f t="shared" si="185"/>
        <v>0.6428571428571429</v>
      </c>
      <c r="AI432" s="74">
        <f>IFERROR(AVERAGEIFS(Tracker!I:I, Tracker!E:E, 3, Tracker!G:G, "&lt;="&amp;Daily!C432, Tracker!J:J, "Y"), 0)</f>
        <v>40.074074074074076</v>
      </c>
      <c r="AJ432" s="77">
        <f>IFERROR(COUNTIFS(Tracker!E:E, 3, Tracker!G:G, "&lt;="&amp;Daily!C432, Tracker!L:L, "N") / AF432,  0)</f>
        <v>0.35714285714285715</v>
      </c>
      <c r="AK432" s="48">
        <f t="shared" si="186"/>
        <v>391</v>
      </c>
      <c r="AL432" s="26">
        <f t="shared" si="187"/>
        <v>321</v>
      </c>
      <c r="AM432" s="62">
        <f t="shared" si="188"/>
        <v>0.82097186700767266</v>
      </c>
      <c r="AN432" s="74">
        <f>IFERROR(AVERAGEIFS(Tracker!I:I,  Tracker!G:G, "&lt;="&amp;Daily!C432, Tracker!J:J, "Y"), 0)</f>
        <v>23.140186915887849</v>
      </c>
      <c r="AO432" s="77">
        <f>IFERROR(COUNTIFS(Tracker!G:G, "&lt;="&amp;Daily!C432, Tracker!L:L, "N") / AK432,  0)</f>
        <v>0.63682864450127874</v>
      </c>
    </row>
    <row r="433" spans="1:41" ht="15.75" hidden="1" thickBot="1" x14ac:dyDescent="0.3">
      <c r="A433" s="120"/>
      <c r="B433" s="34">
        <f t="shared" si="172"/>
        <v>45648</v>
      </c>
      <c r="C433" s="35">
        <f t="shared" si="189"/>
        <v>45648</v>
      </c>
      <c r="D433" s="110" t="b">
        <f t="shared" ca="1" si="171"/>
        <v>0</v>
      </c>
      <c r="E433" s="52">
        <f t="shared" si="173"/>
        <v>0</v>
      </c>
      <c r="F433" s="39">
        <f>COUNTIFS(Tracker!G:G,Daily!C433, Tracker!J:J,"Y")</f>
        <v>0</v>
      </c>
      <c r="G433" s="36">
        <f>COUNTIFS(Tracker!G:G,Daily!C433, Tracker!J:J,"Y (with hints)")</f>
        <v>0</v>
      </c>
      <c r="H433" s="37">
        <f>COUNTIFS(Tracker!G:G,Daily!C433, Tracker!J:J,"N")</f>
        <v>0</v>
      </c>
      <c r="I433" s="55">
        <f t="shared" si="174"/>
        <v>0</v>
      </c>
      <c r="J433" s="36">
        <f>COUNTIFS(Tracker!G:G,Daily!C433, Tracker!J:J,"Y",Tracker!E:E,1)</f>
        <v>0</v>
      </c>
      <c r="K433" s="36">
        <f>COUNTIFS(Tracker!G:G,Daily!C433, Tracker!J:J,"Y (with hints)",Tracker!E:E,1)</f>
        <v>0</v>
      </c>
      <c r="L433" s="37">
        <f>COUNTIFS(Tracker!G:G,Daily!C433, Tracker!J:J,"N",Tracker!E:E,1)</f>
        <v>0</v>
      </c>
      <c r="M433" s="55">
        <f t="shared" si="175"/>
        <v>0</v>
      </c>
      <c r="N433" s="36">
        <f>COUNTIFS(Tracker!G:G,Daily!C433, Tracker!J:J,"Y",Tracker!E:E,2)</f>
        <v>0</v>
      </c>
      <c r="O433" s="36">
        <f>COUNTIFS(Tracker!G:G,Daily!C433, Tracker!J:J,"Y (with hints)",Tracker!E:E,2)</f>
        <v>0</v>
      </c>
      <c r="P433" s="37">
        <f>COUNTIFS(Tracker!G:G,Daily!C433, Tracker!J:J,"N",Tracker!E:E,2)</f>
        <v>0</v>
      </c>
      <c r="Q433" s="58">
        <f t="shared" si="176"/>
        <v>0</v>
      </c>
      <c r="R433" s="36">
        <f>COUNTIFS(Tracker!G:G,Daily!C433, Tracker!J:J,"Y",Tracker!E:E,3)</f>
        <v>0</v>
      </c>
      <c r="S433" s="36">
        <f>COUNTIFS(Tracker!G:G,Daily!C433, Tracker!J:J,"Y (with hints)",Tracker!E:E,3)</f>
        <v>0</v>
      </c>
      <c r="T433" s="37">
        <f>COUNTIFS(Tracker!G:G,Daily!C433, Tracker!J:J,"N",Tracker!E:E,3)</f>
        <v>0</v>
      </c>
      <c r="V433" s="39">
        <f t="shared" si="177"/>
        <v>99</v>
      </c>
      <c r="W433" s="36">
        <f t="shared" si="178"/>
        <v>95</v>
      </c>
      <c r="X433" s="64">
        <f t="shared" si="179"/>
        <v>0.95959595959595956</v>
      </c>
      <c r="Y433" s="78">
        <f>AVERAGEIFS(Tracker!I:I, Tracker!E:E, 1, Tracker!G:G, "&lt;="&amp;Daily!C433, Tracker!J:J, "Y")</f>
        <v>12.368421052631579</v>
      </c>
      <c r="Z433" s="79">
        <f>COUNTIFS(Tracker!E:E, 1, Tracker!G:G, "&lt;="&amp;Daily!C433, Tracker!L:L, "N") / V433</f>
        <v>0.80808080808080807</v>
      </c>
      <c r="AA433" s="39">
        <f t="shared" si="180"/>
        <v>250</v>
      </c>
      <c r="AB433" s="36">
        <f t="shared" si="181"/>
        <v>199</v>
      </c>
      <c r="AC433" s="64">
        <f t="shared" si="182"/>
        <v>0.79600000000000004</v>
      </c>
      <c r="AD433" s="78">
        <f>AVERAGEIFS(Tracker!I:I, Tracker!E:E, 2, Tracker!G:G, "&lt;="&amp;Daily!C433, Tracker!J:J, "Y")</f>
        <v>25.984924623115578</v>
      </c>
      <c r="AE433" s="79">
        <f>COUNTIFS(Tracker!E:E, 2, Tracker!G:G, "&lt;="&amp;Daily!C433, Tracker!L:L, "N") / AA433</f>
        <v>0.61599999999999999</v>
      </c>
      <c r="AF433" s="39">
        <f t="shared" si="183"/>
        <v>42</v>
      </c>
      <c r="AG433" s="36">
        <f t="shared" si="184"/>
        <v>27</v>
      </c>
      <c r="AH433" s="64">
        <f t="shared" si="185"/>
        <v>0.6428571428571429</v>
      </c>
      <c r="AI433" s="78">
        <f>IFERROR(AVERAGEIFS(Tracker!I:I, Tracker!E:E, 3, Tracker!G:G, "&lt;="&amp;Daily!C433, Tracker!J:J, "Y"), 0)</f>
        <v>40.074074074074076</v>
      </c>
      <c r="AJ433" s="79">
        <f>IFERROR(COUNTIFS(Tracker!E:E, 3, Tracker!G:G, "&lt;="&amp;Daily!C433, Tracker!L:L, "N") / AF433,  0)</f>
        <v>0.35714285714285715</v>
      </c>
      <c r="AK433" s="39">
        <f t="shared" si="186"/>
        <v>391</v>
      </c>
      <c r="AL433" s="36">
        <f t="shared" si="187"/>
        <v>321</v>
      </c>
      <c r="AM433" s="64">
        <f t="shared" si="188"/>
        <v>0.82097186700767266</v>
      </c>
      <c r="AN433" s="78">
        <f>IFERROR(AVERAGEIFS(Tracker!I:I,  Tracker!G:G, "&lt;="&amp;Daily!C433, Tracker!J:J, "Y"), 0)</f>
        <v>23.140186915887849</v>
      </c>
      <c r="AO433" s="79">
        <f>IFERROR(COUNTIFS(Tracker!G:G, "&lt;="&amp;Daily!C433, Tracker!L:L, "N") / AK433,  0)</f>
        <v>0.63682864450127874</v>
      </c>
    </row>
    <row r="434" spans="1:41" hidden="1" x14ac:dyDescent="0.25">
      <c r="A434" s="118">
        <f>A427+1</f>
        <v>62</v>
      </c>
      <c r="B434" s="28">
        <f t="shared" si="172"/>
        <v>45649</v>
      </c>
      <c r="C434" s="29">
        <f t="shared" si="189"/>
        <v>45649</v>
      </c>
      <c r="D434" s="108" t="b">
        <f t="shared" ca="1" si="171"/>
        <v>0</v>
      </c>
      <c r="E434" s="50">
        <f t="shared" si="173"/>
        <v>0</v>
      </c>
      <c r="F434" s="38">
        <f>COUNTIFS(Tracker!G:G,Daily!C434, Tracker!J:J,"Y")</f>
        <v>0</v>
      </c>
      <c r="G434" s="30">
        <f>COUNTIFS(Tracker!G:G,Daily!C434, Tracker!J:J,"Y (with hints)")</f>
        <v>0</v>
      </c>
      <c r="H434" s="31">
        <f>COUNTIFS(Tracker!G:G,Daily!C434, Tracker!J:J,"N")</f>
        <v>0</v>
      </c>
      <c r="I434" s="53">
        <f t="shared" si="174"/>
        <v>0</v>
      </c>
      <c r="J434" s="30">
        <f>COUNTIFS(Tracker!G:G,Daily!C434, Tracker!J:J,"Y",Tracker!E:E,1)</f>
        <v>0</v>
      </c>
      <c r="K434" s="30">
        <f>COUNTIFS(Tracker!G:G,Daily!C434, Tracker!J:J,"Y (with hints)",Tracker!E:E,1)</f>
        <v>0</v>
      </c>
      <c r="L434" s="31">
        <f>COUNTIFS(Tracker!G:G,Daily!C434, Tracker!J:J,"N",Tracker!E:E,1)</f>
        <v>0</v>
      </c>
      <c r="M434" s="53">
        <f t="shared" si="175"/>
        <v>0</v>
      </c>
      <c r="N434" s="30">
        <f>COUNTIFS(Tracker!G:G,Daily!C434, Tracker!J:J,"Y",Tracker!E:E,2)</f>
        <v>0</v>
      </c>
      <c r="O434" s="30">
        <f>COUNTIFS(Tracker!G:G,Daily!C434, Tracker!J:J,"Y (with hints)",Tracker!E:E,2)</f>
        <v>0</v>
      </c>
      <c r="P434" s="31">
        <f>COUNTIFS(Tracker!G:G,Daily!C434, Tracker!J:J,"N",Tracker!E:E,2)</f>
        <v>0</v>
      </c>
      <c r="Q434" s="56">
        <f t="shared" si="176"/>
        <v>0</v>
      </c>
      <c r="R434" s="30">
        <f>COUNTIFS(Tracker!G:G,Daily!C434, Tracker!J:J,"Y",Tracker!E:E,3)</f>
        <v>0</v>
      </c>
      <c r="S434" s="30">
        <f>COUNTIFS(Tracker!G:G,Daily!C434, Tracker!J:J,"Y (with hints)",Tracker!E:E,3)</f>
        <v>0</v>
      </c>
      <c r="T434" s="31">
        <f>COUNTIFS(Tracker!G:G,Daily!C434, Tracker!J:J,"N",Tracker!E:E,3)</f>
        <v>0</v>
      </c>
      <c r="V434" s="38">
        <f t="shared" si="177"/>
        <v>99</v>
      </c>
      <c r="W434" s="30">
        <f t="shared" si="178"/>
        <v>95</v>
      </c>
      <c r="X434" s="73">
        <f t="shared" si="179"/>
        <v>0.95959595959595956</v>
      </c>
      <c r="Y434" s="75">
        <f>AVERAGEIFS(Tracker!I:I, Tracker!E:E, 1, Tracker!G:G, "&lt;="&amp;Daily!C434, Tracker!J:J, "Y")</f>
        <v>12.368421052631579</v>
      </c>
      <c r="Z434" s="76">
        <f>COUNTIFS(Tracker!E:E, 1, Tracker!G:G, "&lt;="&amp;Daily!C434, Tracker!L:L, "N") / V434</f>
        <v>0.80808080808080807</v>
      </c>
      <c r="AA434" s="38">
        <f t="shared" si="180"/>
        <v>250</v>
      </c>
      <c r="AB434" s="30">
        <f t="shared" si="181"/>
        <v>199</v>
      </c>
      <c r="AC434" s="73">
        <f t="shared" si="182"/>
        <v>0.79600000000000004</v>
      </c>
      <c r="AD434" s="75">
        <f>AVERAGEIFS(Tracker!I:I, Tracker!E:E, 2, Tracker!G:G, "&lt;="&amp;Daily!C434, Tracker!J:J, "Y")</f>
        <v>25.984924623115578</v>
      </c>
      <c r="AE434" s="76">
        <f>COUNTIFS(Tracker!E:E, 2, Tracker!G:G, "&lt;="&amp;Daily!C434, Tracker!L:L, "N") / AA434</f>
        <v>0.61599999999999999</v>
      </c>
      <c r="AF434" s="38">
        <f t="shared" si="183"/>
        <v>42</v>
      </c>
      <c r="AG434" s="30">
        <f t="shared" si="184"/>
        <v>27</v>
      </c>
      <c r="AH434" s="73">
        <f t="shared" si="185"/>
        <v>0.6428571428571429</v>
      </c>
      <c r="AI434" s="75">
        <f>IFERROR(AVERAGEIFS(Tracker!I:I, Tracker!E:E, 3, Tracker!G:G, "&lt;="&amp;Daily!C434, Tracker!J:J, "Y"), 0)</f>
        <v>40.074074074074076</v>
      </c>
      <c r="AJ434" s="76">
        <f>IFERROR(COUNTIFS(Tracker!E:E, 3, Tracker!G:G, "&lt;="&amp;Daily!C434, Tracker!L:L, "N") / AF434,  0)</f>
        <v>0.35714285714285715</v>
      </c>
      <c r="AK434" s="38">
        <f t="shared" si="186"/>
        <v>391</v>
      </c>
      <c r="AL434" s="30">
        <f t="shared" si="187"/>
        <v>321</v>
      </c>
      <c r="AM434" s="73">
        <f t="shared" si="188"/>
        <v>0.82097186700767266</v>
      </c>
      <c r="AN434" s="75">
        <f>IFERROR(AVERAGEIFS(Tracker!I:I,  Tracker!G:G, "&lt;="&amp;Daily!C434, Tracker!J:J, "Y"), 0)</f>
        <v>23.140186915887849</v>
      </c>
      <c r="AO434" s="76">
        <f>IFERROR(COUNTIFS(Tracker!G:G, "&lt;="&amp;Daily!C434, Tracker!L:L, "N") / AK434,  0)</f>
        <v>0.63682864450127874</v>
      </c>
    </row>
    <row r="435" spans="1:41" hidden="1" x14ac:dyDescent="0.25">
      <c r="A435" s="119"/>
      <c r="B435" s="32">
        <f t="shared" si="172"/>
        <v>45650</v>
      </c>
      <c r="C435" s="27">
        <f t="shared" si="189"/>
        <v>45650</v>
      </c>
      <c r="D435" s="109" t="b">
        <f t="shared" ca="1" si="171"/>
        <v>0</v>
      </c>
      <c r="E435" s="51">
        <f t="shared" si="173"/>
        <v>0</v>
      </c>
      <c r="F435" s="48">
        <f>COUNTIFS(Tracker!G:G,Daily!C435, Tracker!J:J,"Y")</f>
        <v>0</v>
      </c>
      <c r="G435" s="26">
        <f>COUNTIFS(Tracker!G:G,Daily!C435, Tracker!J:J,"Y (with hints)")</f>
        <v>0</v>
      </c>
      <c r="H435" s="33">
        <f>COUNTIFS(Tracker!G:G,Daily!C435, Tracker!J:J,"N")</f>
        <v>0</v>
      </c>
      <c r="I435" s="54">
        <f t="shared" si="174"/>
        <v>0</v>
      </c>
      <c r="J435" s="26">
        <f>COUNTIFS(Tracker!G:G,Daily!C435, Tracker!J:J,"Y",Tracker!E:E,1)</f>
        <v>0</v>
      </c>
      <c r="K435" s="26">
        <f>COUNTIFS(Tracker!G:G,Daily!C435, Tracker!J:J,"Y (with hints)",Tracker!E:E,1)</f>
        <v>0</v>
      </c>
      <c r="L435" s="33">
        <f>COUNTIFS(Tracker!G:G,Daily!C435, Tracker!J:J,"N",Tracker!E:E,1)</f>
        <v>0</v>
      </c>
      <c r="M435" s="54">
        <f t="shared" si="175"/>
        <v>0</v>
      </c>
      <c r="N435" s="26">
        <f>COUNTIFS(Tracker!G:G,Daily!C435, Tracker!J:J,"Y",Tracker!E:E,2)</f>
        <v>0</v>
      </c>
      <c r="O435" s="26">
        <f>COUNTIFS(Tracker!G:G,Daily!C435, Tracker!J:J,"Y (with hints)",Tracker!E:E,2)</f>
        <v>0</v>
      </c>
      <c r="P435" s="33">
        <f>COUNTIFS(Tracker!G:G,Daily!C435, Tracker!J:J,"N",Tracker!E:E,2)</f>
        <v>0</v>
      </c>
      <c r="Q435" s="57">
        <f t="shared" si="176"/>
        <v>0</v>
      </c>
      <c r="R435" s="26">
        <f>COUNTIFS(Tracker!G:G,Daily!C435, Tracker!J:J,"Y",Tracker!E:E,3)</f>
        <v>0</v>
      </c>
      <c r="S435" s="26">
        <f>COUNTIFS(Tracker!G:G,Daily!C435, Tracker!J:J,"Y (with hints)",Tracker!E:E,3)</f>
        <v>0</v>
      </c>
      <c r="T435" s="33">
        <f>COUNTIFS(Tracker!G:G,Daily!C435, Tracker!J:J,"N",Tracker!E:E,3)</f>
        <v>0</v>
      </c>
      <c r="V435" s="48">
        <f t="shared" si="177"/>
        <v>99</v>
      </c>
      <c r="W435" s="26">
        <f t="shared" si="178"/>
        <v>95</v>
      </c>
      <c r="X435" s="62">
        <f t="shared" si="179"/>
        <v>0.95959595959595956</v>
      </c>
      <c r="Y435" s="74">
        <f>AVERAGEIFS(Tracker!I:I, Tracker!E:E, 1, Tracker!G:G, "&lt;="&amp;Daily!C435, Tracker!J:J, "Y")</f>
        <v>12.368421052631579</v>
      </c>
      <c r="Z435" s="77">
        <f>COUNTIFS(Tracker!E:E, 1, Tracker!G:G, "&lt;="&amp;Daily!C435, Tracker!L:L, "N") / V435</f>
        <v>0.80808080808080807</v>
      </c>
      <c r="AA435" s="48">
        <f t="shared" si="180"/>
        <v>250</v>
      </c>
      <c r="AB435" s="26">
        <f t="shared" si="181"/>
        <v>199</v>
      </c>
      <c r="AC435" s="62">
        <f t="shared" si="182"/>
        <v>0.79600000000000004</v>
      </c>
      <c r="AD435" s="74">
        <f>AVERAGEIFS(Tracker!I:I, Tracker!E:E, 2, Tracker!G:G, "&lt;="&amp;Daily!C435, Tracker!J:J, "Y")</f>
        <v>25.984924623115578</v>
      </c>
      <c r="AE435" s="77">
        <f>COUNTIFS(Tracker!E:E, 2, Tracker!G:G, "&lt;="&amp;Daily!C435, Tracker!L:L, "N") / AA435</f>
        <v>0.61599999999999999</v>
      </c>
      <c r="AF435" s="48">
        <f t="shared" si="183"/>
        <v>42</v>
      </c>
      <c r="AG435" s="26">
        <f t="shared" si="184"/>
        <v>27</v>
      </c>
      <c r="AH435" s="62">
        <f t="shared" si="185"/>
        <v>0.6428571428571429</v>
      </c>
      <c r="AI435" s="74">
        <f>IFERROR(AVERAGEIFS(Tracker!I:I, Tracker!E:E, 3, Tracker!G:G, "&lt;="&amp;Daily!C435, Tracker!J:J, "Y"), 0)</f>
        <v>40.074074074074076</v>
      </c>
      <c r="AJ435" s="77">
        <f>IFERROR(COUNTIFS(Tracker!E:E, 3, Tracker!G:G, "&lt;="&amp;Daily!C435, Tracker!L:L, "N") / AF435,  0)</f>
        <v>0.35714285714285715</v>
      </c>
      <c r="AK435" s="48">
        <f t="shared" si="186"/>
        <v>391</v>
      </c>
      <c r="AL435" s="26">
        <f t="shared" si="187"/>
        <v>321</v>
      </c>
      <c r="AM435" s="62">
        <f t="shared" si="188"/>
        <v>0.82097186700767266</v>
      </c>
      <c r="AN435" s="74">
        <f>IFERROR(AVERAGEIFS(Tracker!I:I,  Tracker!G:G, "&lt;="&amp;Daily!C435, Tracker!J:J, "Y"), 0)</f>
        <v>23.140186915887849</v>
      </c>
      <c r="AO435" s="77">
        <f>IFERROR(COUNTIFS(Tracker!G:G, "&lt;="&amp;Daily!C435, Tracker!L:L, "N") / AK435,  0)</f>
        <v>0.63682864450127874</v>
      </c>
    </row>
    <row r="436" spans="1:41" hidden="1" x14ac:dyDescent="0.25">
      <c r="A436" s="119"/>
      <c r="B436" s="32">
        <f t="shared" si="172"/>
        <v>45651</v>
      </c>
      <c r="C436" s="27">
        <f t="shared" si="189"/>
        <v>45651</v>
      </c>
      <c r="D436" s="109" t="b">
        <f t="shared" ca="1" si="171"/>
        <v>0</v>
      </c>
      <c r="E436" s="51">
        <f t="shared" si="173"/>
        <v>0</v>
      </c>
      <c r="F436" s="48">
        <f>COUNTIFS(Tracker!G:G,Daily!C436, Tracker!J:J,"Y")</f>
        <v>0</v>
      </c>
      <c r="G436" s="26">
        <f>COUNTIFS(Tracker!G:G,Daily!C436, Tracker!J:J,"Y (with hints)")</f>
        <v>0</v>
      </c>
      <c r="H436" s="33">
        <f>COUNTIFS(Tracker!G:G,Daily!C436, Tracker!J:J,"N")</f>
        <v>0</v>
      </c>
      <c r="I436" s="54">
        <f t="shared" si="174"/>
        <v>0</v>
      </c>
      <c r="J436" s="26">
        <f>COUNTIFS(Tracker!G:G,Daily!C436, Tracker!J:J,"Y",Tracker!E:E,1)</f>
        <v>0</v>
      </c>
      <c r="K436" s="26">
        <f>COUNTIFS(Tracker!G:G,Daily!C436, Tracker!J:J,"Y (with hints)",Tracker!E:E,1)</f>
        <v>0</v>
      </c>
      <c r="L436" s="33">
        <f>COUNTIFS(Tracker!G:G,Daily!C436, Tracker!J:J,"N",Tracker!E:E,1)</f>
        <v>0</v>
      </c>
      <c r="M436" s="54">
        <f t="shared" si="175"/>
        <v>0</v>
      </c>
      <c r="N436" s="26">
        <f>COUNTIFS(Tracker!G:G,Daily!C436, Tracker!J:J,"Y",Tracker!E:E,2)</f>
        <v>0</v>
      </c>
      <c r="O436" s="26">
        <f>COUNTIFS(Tracker!G:G,Daily!C436, Tracker!J:J,"Y (with hints)",Tracker!E:E,2)</f>
        <v>0</v>
      </c>
      <c r="P436" s="33">
        <f>COUNTIFS(Tracker!G:G,Daily!C436, Tracker!J:J,"N",Tracker!E:E,2)</f>
        <v>0</v>
      </c>
      <c r="Q436" s="57">
        <f t="shared" si="176"/>
        <v>0</v>
      </c>
      <c r="R436" s="26">
        <f>COUNTIFS(Tracker!G:G,Daily!C436, Tracker!J:J,"Y",Tracker!E:E,3)</f>
        <v>0</v>
      </c>
      <c r="S436" s="26">
        <f>COUNTIFS(Tracker!G:G,Daily!C436, Tracker!J:J,"Y (with hints)",Tracker!E:E,3)</f>
        <v>0</v>
      </c>
      <c r="T436" s="33">
        <f>COUNTIFS(Tracker!G:G,Daily!C436, Tracker!J:J,"N",Tracker!E:E,3)</f>
        <v>0</v>
      </c>
      <c r="V436" s="48">
        <f t="shared" si="177"/>
        <v>99</v>
      </c>
      <c r="W436" s="26">
        <f t="shared" si="178"/>
        <v>95</v>
      </c>
      <c r="X436" s="62">
        <f t="shared" si="179"/>
        <v>0.95959595959595956</v>
      </c>
      <c r="Y436" s="74">
        <f>AVERAGEIFS(Tracker!I:I, Tracker!E:E, 1, Tracker!G:G, "&lt;="&amp;Daily!C436, Tracker!J:J, "Y")</f>
        <v>12.368421052631579</v>
      </c>
      <c r="Z436" s="77">
        <f>COUNTIFS(Tracker!E:E, 1, Tracker!G:G, "&lt;="&amp;Daily!C436, Tracker!L:L, "N") / V436</f>
        <v>0.80808080808080807</v>
      </c>
      <c r="AA436" s="48">
        <f t="shared" si="180"/>
        <v>250</v>
      </c>
      <c r="AB436" s="26">
        <f t="shared" si="181"/>
        <v>199</v>
      </c>
      <c r="AC436" s="62">
        <f t="shared" si="182"/>
        <v>0.79600000000000004</v>
      </c>
      <c r="AD436" s="74">
        <f>AVERAGEIFS(Tracker!I:I, Tracker!E:E, 2, Tracker!G:G, "&lt;="&amp;Daily!C436, Tracker!J:J, "Y")</f>
        <v>25.984924623115578</v>
      </c>
      <c r="AE436" s="77">
        <f>COUNTIFS(Tracker!E:E, 2, Tracker!G:G, "&lt;="&amp;Daily!C436, Tracker!L:L, "N") / AA436</f>
        <v>0.61599999999999999</v>
      </c>
      <c r="AF436" s="48">
        <f t="shared" si="183"/>
        <v>42</v>
      </c>
      <c r="AG436" s="26">
        <f t="shared" si="184"/>
        <v>27</v>
      </c>
      <c r="AH436" s="62">
        <f t="shared" si="185"/>
        <v>0.6428571428571429</v>
      </c>
      <c r="AI436" s="74">
        <f>IFERROR(AVERAGEIFS(Tracker!I:I, Tracker!E:E, 3, Tracker!G:G, "&lt;="&amp;Daily!C436, Tracker!J:J, "Y"), 0)</f>
        <v>40.074074074074076</v>
      </c>
      <c r="AJ436" s="77">
        <f>IFERROR(COUNTIFS(Tracker!E:E, 3, Tracker!G:G, "&lt;="&amp;Daily!C436, Tracker!L:L, "N") / AF436,  0)</f>
        <v>0.35714285714285715</v>
      </c>
      <c r="AK436" s="48">
        <f t="shared" si="186"/>
        <v>391</v>
      </c>
      <c r="AL436" s="26">
        <f t="shared" si="187"/>
        <v>321</v>
      </c>
      <c r="AM436" s="62">
        <f t="shared" si="188"/>
        <v>0.82097186700767266</v>
      </c>
      <c r="AN436" s="74">
        <f>IFERROR(AVERAGEIFS(Tracker!I:I,  Tracker!G:G, "&lt;="&amp;Daily!C436, Tracker!J:J, "Y"), 0)</f>
        <v>23.140186915887849</v>
      </c>
      <c r="AO436" s="77">
        <f>IFERROR(COUNTIFS(Tracker!G:G, "&lt;="&amp;Daily!C436, Tracker!L:L, "N") / AK436,  0)</f>
        <v>0.63682864450127874</v>
      </c>
    </row>
    <row r="437" spans="1:41" hidden="1" x14ac:dyDescent="0.25">
      <c r="A437" s="119"/>
      <c r="B437" s="32">
        <f t="shared" si="172"/>
        <v>45652</v>
      </c>
      <c r="C437" s="27">
        <f t="shared" si="189"/>
        <v>45652</v>
      </c>
      <c r="D437" s="109" t="b">
        <f t="shared" ca="1" si="171"/>
        <v>0</v>
      </c>
      <c r="E437" s="51">
        <f t="shared" si="173"/>
        <v>0</v>
      </c>
      <c r="F437" s="48">
        <f>COUNTIFS(Tracker!G:G,Daily!C437, Tracker!J:J,"Y")</f>
        <v>0</v>
      </c>
      <c r="G437" s="26">
        <f>COUNTIFS(Tracker!G:G,Daily!C437, Tracker!J:J,"Y (with hints)")</f>
        <v>0</v>
      </c>
      <c r="H437" s="33">
        <f>COUNTIFS(Tracker!G:G,Daily!C437, Tracker!J:J,"N")</f>
        <v>0</v>
      </c>
      <c r="I437" s="54">
        <f t="shared" si="174"/>
        <v>0</v>
      </c>
      <c r="J437" s="26">
        <f>COUNTIFS(Tracker!G:G,Daily!C437, Tracker!J:J,"Y",Tracker!E:E,1)</f>
        <v>0</v>
      </c>
      <c r="K437" s="26">
        <f>COUNTIFS(Tracker!G:G,Daily!C437, Tracker!J:J,"Y (with hints)",Tracker!E:E,1)</f>
        <v>0</v>
      </c>
      <c r="L437" s="33">
        <f>COUNTIFS(Tracker!G:G,Daily!C437, Tracker!J:J,"N",Tracker!E:E,1)</f>
        <v>0</v>
      </c>
      <c r="M437" s="54">
        <f t="shared" si="175"/>
        <v>0</v>
      </c>
      <c r="N437" s="26">
        <f>COUNTIFS(Tracker!G:G,Daily!C437, Tracker!J:J,"Y",Tracker!E:E,2)</f>
        <v>0</v>
      </c>
      <c r="O437" s="26">
        <f>COUNTIFS(Tracker!G:G,Daily!C437, Tracker!J:J,"Y (with hints)",Tracker!E:E,2)</f>
        <v>0</v>
      </c>
      <c r="P437" s="33">
        <f>COUNTIFS(Tracker!G:G,Daily!C437, Tracker!J:J,"N",Tracker!E:E,2)</f>
        <v>0</v>
      </c>
      <c r="Q437" s="57">
        <f t="shared" si="176"/>
        <v>0</v>
      </c>
      <c r="R437" s="26">
        <f>COUNTIFS(Tracker!G:G,Daily!C437, Tracker!J:J,"Y",Tracker!E:E,3)</f>
        <v>0</v>
      </c>
      <c r="S437" s="26">
        <f>COUNTIFS(Tracker!G:G,Daily!C437, Tracker!J:J,"Y (with hints)",Tracker!E:E,3)</f>
        <v>0</v>
      </c>
      <c r="T437" s="33">
        <f>COUNTIFS(Tracker!G:G,Daily!C437, Tracker!J:J,"N",Tracker!E:E,3)</f>
        <v>0</v>
      </c>
      <c r="V437" s="48">
        <f t="shared" si="177"/>
        <v>99</v>
      </c>
      <c r="W437" s="26">
        <f t="shared" si="178"/>
        <v>95</v>
      </c>
      <c r="X437" s="62">
        <f t="shared" si="179"/>
        <v>0.95959595959595956</v>
      </c>
      <c r="Y437" s="74">
        <f>AVERAGEIFS(Tracker!I:I, Tracker!E:E, 1, Tracker!G:G, "&lt;="&amp;Daily!C437, Tracker!J:J, "Y")</f>
        <v>12.368421052631579</v>
      </c>
      <c r="Z437" s="77">
        <f>COUNTIFS(Tracker!E:E, 1, Tracker!G:G, "&lt;="&amp;Daily!C437, Tracker!L:L, "N") / V437</f>
        <v>0.80808080808080807</v>
      </c>
      <c r="AA437" s="48">
        <f t="shared" si="180"/>
        <v>250</v>
      </c>
      <c r="AB437" s="26">
        <f t="shared" si="181"/>
        <v>199</v>
      </c>
      <c r="AC437" s="62">
        <f t="shared" si="182"/>
        <v>0.79600000000000004</v>
      </c>
      <c r="AD437" s="74">
        <f>AVERAGEIFS(Tracker!I:I, Tracker!E:E, 2, Tracker!G:G, "&lt;="&amp;Daily!C437, Tracker!J:J, "Y")</f>
        <v>25.984924623115578</v>
      </c>
      <c r="AE437" s="77">
        <f>COUNTIFS(Tracker!E:E, 2, Tracker!G:G, "&lt;="&amp;Daily!C437, Tracker!L:L, "N") / AA437</f>
        <v>0.61599999999999999</v>
      </c>
      <c r="AF437" s="48">
        <f t="shared" si="183"/>
        <v>42</v>
      </c>
      <c r="AG437" s="26">
        <f t="shared" si="184"/>
        <v>27</v>
      </c>
      <c r="AH437" s="62">
        <f t="shared" si="185"/>
        <v>0.6428571428571429</v>
      </c>
      <c r="AI437" s="74">
        <f>IFERROR(AVERAGEIFS(Tracker!I:I, Tracker!E:E, 3, Tracker!G:G, "&lt;="&amp;Daily!C437, Tracker!J:J, "Y"), 0)</f>
        <v>40.074074074074076</v>
      </c>
      <c r="AJ437" s="77">
        <f>IFERROR(COUNTIFS(Tracker!E:E, 3, Tracker!G:G, "&lt;="&amp;Daily!C437, Tracker!L:L, "N") / AF437,  0)</f>
        <v>0.35714285714285715</v>
      </c>
      <c r="AK437" s="48">
        <f t="shared" si="186"/>
        <v>391</v>
      </c>
      <c r="AL437" s="26">
        <f t="shared" si="187"/>
        <v>321</v>
      </c>
      <c r="AM437" s="62">
        <f t="shared" si="188"/>
        <v>0.82097186700767266</v>
      </c>
      <c r="AN437" s="74">
        <f>IFERROR(AVERAGEIFS(Tracker!I:I,  Tracker!G:G, "&lt;="&amp;Daily!C437, Tracker!J:J, "Y"), 0)</f>
        <v>23.140186915887849</v>
      </c>
      <c r="AO437" s="77">
        <f>IFERROR(COUNTIFS(Tracker!G:G, "&lt;="&amp;Daily!C437, Tracker!L:L, "N") / AK437,  0)</f>
        <v>0.63682864450127874</v>
      </c>
    </row>
    <row r="438" spans="1:41" hidden="1" x14ac:dyDescent="0.25">
      <c r="A438" s="119"/>
      <c r="B438" s="32">
        <f t="shared" si="172"/>
        <v>45653</v>
      </c>
      <c r="C438" s="27">
        <f t="shared" si="189"/>
        <v>45653</v>
      </c>
      <c r="D438" s="109" t="b">
        <f t="shared" ca="1" si="171"/>
        <v>0</v>
      </c>
      <c r="E438" s="51">
        <f t="shared" si="173"/>
        <v>0</v>
      </c>
      <c r="F438" s="48">
        <f>COUNTIFS(Tracker!G:G,Daily!C438, Tracker!J:J,"Y")</f>
        <v>0</v>
      </c>
      <c r="G438" s="26">
        <f>COUNTIFS(Tracker!G:G,Daily!C438, Tracker!J:J,"Y (with hints)")</f>
        <v>0</v>
      </c>
      <c r="H438" s="33">
        <f>COUNTIFS(Tracker!G:G,Daily!C438, Tracker!J:J,"N")</f>
        <v>0</v>
      </c>
      <c r="I438" s="54">
        <f t="shared" si="174"/>
        <v>0</v>
      </c>
      <c r="J438" s="26">
        <f>COUNTIFS(Tracker!G:G,Daily!C438, Tracker!J:J,"Y",Tracker!E:E,1)</f>
        <v>0</v>
      </c>
      <c r="K438" s="26">
        <f>COUNTIFS(Tracker!G:G,Daily!C438, Tracker!J:J,"Y (with hints)",Tracker!E:E,1)</f>
        <v>0</v>
      </c>
      <c r="L438" s="33">
        <f>COUNTIFS(Tracker!G:G,Daily!C438, Tracker!J:J,"N",Tracker!E:E,1)</f>
        <v>0</v>
      </c>
      <c r="M438" s="54">
        <f t="shared" si="175"/>
        <v>0</v>
      </c>
      <c r="N438" s="26">
        <f>COUNTIFS(Tracker!G:G,Daily!C438, Tracker!J:J,"Y",Tracker!E:E,2)</f>
        <v>0</v>
      </c>
      <c r="O438" s="26">
        <f>COUNTIFS(Tracker!G:G,Daily!C438, Tracker!J:J,"Y (with hints)",Tracker!E:E,2)</f>
        <v>0</v>
      </c>
      <c r="P438" s="33">
        <f>COUNTIFS(Tracker!G:G,Daily!C438, Tracker!J:J,"N",Tracker!E:E,2)</f>
        <v>0</v>
      </c>
      <c r="Q438" s="57">
        <f t="shared" si="176"/>
        <v>0</v>
      </c>
      <c r="R438" s="26">
        <f>COUNTIFS(Tracker!G:G,Daily!C438, Tracker!J:J,"Y",Tracker!E:E,3)</f>
        <v>0</v>
      </c>
      <c r="S438" s="26">
        <f>COUNTIFS(Tracker!G:G,Daily!C438, Tracker!J:J,"Y (with hints)",Tracker!E:E,3)</f>
        <v>0</v>
      </c>
      <c r="T438" s="33">
        <f>COUNTIFS(Tracker!G:G,Daily!C438, Tracker!J:J,"N",Tracker!E:E,3)</f>
        <v>0</v>
      </c>
      <c r="V438" s="48">
        <f t="shared" si="177"/>
        <v>99</v>
      </c>
      <c r="W438" s="26">
        <f t="shared" si="178"/>
        <v>95</v>
      </c>
      <c r="X438" s="62">
        <f t="shared" si="179"/>
        <v>0.95959595959595956</v>
      </c>
      <c r="Y438" s="74">
        <f>AVERAGEIFS(Tracker!I:I, Tracker!E:E, 1, Tracker!G:G, "&lt;="&amp;Daily!C438, Tracker!J:J, "Y")</f>
        <v>12.368421052631579</v>
      </c>
      <c r="Z438" s="77">
        <f>COUNTIFS(Tracker!E:E, 1, Tracker!G:G, "&lt;="&amp;Daily!C438, Tracker!L:L, "N") / V438</f>
        <v>0.80808080808080807</v>
      </c>
      <c r="AA438" s="48">
        <f t="shared" si="180"/>
        <v>250</v>
      </c>
      <c r="AB438" s="26">
        <f t="shared" si="181"/>
        <v>199</v>
      </c>
      <c r="AC438" s="62">
        <f t="shared" si="182"/>
        <v>0.79600000000000004</v>
      </c>
      <c r="AD438" s="74">
        <f>AVERAGEIFS(Tracker!I:I, Tracker!E:E, 2, Tracker!G:G, "&lt;="&amp;Daily!C438, Tracker!J:J, "Y")</f>
        <v>25.984924623115578</v>
      </c>
      <c r="AE438" s="77">
        <f>COUNTIFS(Tracker!E:E, 2, Tracker!G:G, "&lt;="&amp;Daily!C438, Tracker!L:L, "N") / AA438</f>
        <v>0.61599999999999999</v>
      </c>
      <c r="AF438" s="48">
        <f t="shared" si="183"/>
        <v>42</v>
      </c>
      <c r="AG438" s="26">
        <f t="shared" si="184"/>
        <v>27</v>
      </c>
      <c r="AH438" s="62">
        <f t="shared" si="185"/>
        <v>0.6428571428571429</v>
      </c>
      <c r="AI438" s="74">
        <f>IFERROR(AVERAGEIFS(Tracker!I:I, Tracker!E:E, 3, Tracker!G:G, "&lt;="&amp;Daily!C438, Tracker!J:J, "Y"), 0)</f>
        <v>40.074074074074076</v>
      </c>
      <c r="AJ438" s="77">
        <f>IFERROR(COUNTIFS(Tracker!E:E, 3, Tracker!G:G, "&lt;="&amp;Daily!C438, Tracker!L:L, "N") / AF438,  0)</f>
        <v>0.35714285714285715</v>
      </c>
      <c r="AK438" s="48">
        <f t="shared" si="186"/>
        <v>391</v>
      </c>
      <c r="AL438" s="26">
        <f t="shared" si="187"/>
        <v>321</v>
      </c>
      <c r="AM438" s="62">
        <f t="shared" si="188"/>
        <v>0.82097186700767266</v>
      </c>
      <c r="AN438" s="74">
        <f>IFERROR(AVERAGEIFS(Tracker!I:I,  Tracker!G:G, "&lt;="&amp;Daily!C438, Tracker!J:J, "Y"), 0)</f>
        <v>23.140186915887849</v>
      </c>
      <c r="AO438" s="77">
        <f>IFERROR(COUNTIFS(Tracker!G:G, "&lt;="&amp;Daily!C438, Tracker!L:L, "N") / AK438,  0)</f>
        <v>0.63682864450127874</v>
      </c>
    </row>
    <row r="439" spans="1:41" hidden="1" x14ac:dyDescent="0.25">
      <c r="A439" s="119"/>
      <c r="B439" s="32">
        <f t="shared" si="172"/>
        <v>45654</v>
      </c>
      <c r="C439" s="27">
        <f t="shared" si="189"/>
        <v>45654</v>
      </c>
      <c r="D439" s="109" t="b">
        <f t="shared" ca="1" si="171"/>
        <v>0</v>
      </c>
      <c r="E439" s="51">
        <f t="shared" si="173"/>
        <v>0</v>
      </c>
      <c r="F439" s="48">
        <f>COUNTIFS(Tracker!G:G,Daily!C439, Tracker!J:J,"Y")</f>
        <v>0</v>
      </c>
      <c r="G439" s="26">
        <f>COUNTIFS(Tracker!G:G,Daily!C439, Tracker!J:J,"Y (with hints)")</f>
        <v>0</v>
      </c>
      <c r="H439" s="33">
        <f>COUNTIFS(Tracker!G:G,Daily!C439, Tracker!J:J,"N")</f>
        <v>0</v>
      </c>
      <c r="I439" s="54">
        <f t="shared" si="174"/>
        <v>0</v>
      </c>
      <c r="J439" s="26">
        <f>COUNTIFS(Tracker!G:G,Daily!C439, Tracker!J:J,"Y",Tracker!E:E,1)</f>
        <v>0</v>
      </c>
      <c r="K439" s="26">
        <f>COUNTIFS(Tracker!G:G,Daily!C439, Tracker!J:J,"Y (with hints)",Tracker!E:E,1)</f>
        <v>0</v>
      </c>
      <c r="L439" s="33">
        <f>COUNTIFS(Tracker!G:G,Daily!C439, Tracker!J:J,"N",Tracker!E:E,1)</f>
        <v>0</v>
      </c>
      <c r="M439" s="54">
        <f t="shared" si="175"/>
        <v>0</v>
      </c>
      <c r="N439" s="26">
        <f>COUNTIFS(Tracker!G:G,Daily!C439, Tracker!J:J,"Y",Tracker!E:E,2)</f>
        <v>0</v>
      </c>
      <c r="O439" s="26">
        <f>COUNTIFS(Tracker!G:G,Daily!C439, Tracker!J:J,"Y (with hints)",Tracker!E:E,2)</f>
        <v>0</v>
      </c>
      <c r="P439" s="33">
        <f>COUNTIFS(Tracker!G:G,Daily!C439, Tracker!J:J,"N",Tracker!E:E,2)</f>
        <v>0</v>
      </c>
      <c r="Q439" s="57">
        <f t="shared" si="176"/>
        <v>0</v>
      </c>
      <c r="R439" s="26">
        <f>COUNTIFS(Tracker!G:G,Daily!C439, Tracker!J:J,"Y",Tracker!E:E,3)</f>
        <v>0</v>
      </c>
      <c r="S439" s="26">
        <f>COUNTIFS(Tracker!G:G,Daily!C439, Tracker!J:J,"Y (with hints)",Tracker!E:E,3)</f>
        <v>0</v>
      </c>
      <c r="T439" s="33">
        <f>COUNTIFS(Tracker!G:G,Daily!C439, Tracker!J:J,"N",Tracker!E:E,3)</f>
        <v>0</v>
      </c>
      <c r="V439" s="48">
        <f t="shared" si="177"/>
        <v>99</v>
      </c>
      <c r="W439" s="26">
        <f t="shared" si="178"/>
        <v>95</v>
      </c>
      <c r="X439" s="62">
        <f t="shared" si="179"/>
        <v>0.95959595959595956</v>
      </c>
      <c r="Y439" s="74">
        <f>AVERAGEIFS(Tracker!I:I, Tracker!E:E, 1, Tracker!G:G, "&lt;="&amp;Daily!C439, Tracker!J:J, "Y")</f>
        <v>12.368421052631579</v>
      </c>
      <c r="Z439" s="77">
        <f>COUNTIFS(Tracker!E:E, 1, Tracker!G:G, "&lt;="&amp;Daily!C439, Tracker!L:L, "N") / V439</f>
        <v>0.80808080808080807</v>
      </c>
      <c r="AA439" s="48">
        <f t="shared" si="180"/>
        <v>250</v>
      </c>
      <c r="AB439" s="26">
        <f t="shared" si="181"/>
        <v>199</v>
      </c>
      <c r="AC439" s="62">
        <f t="shared" si="182"/>
        <v>0.79600000000000004</v>
      </c>
      <c r="AD439" s="74">
        <f>AVERAGEIFS(Tracker!I:I, Tracker!E:E, 2, Tracker!G:G, "&lt;="&amp;Daily!C439, Tracker!J:J, "Y")</f>
        <v>25.984924623115578</v>
      </c>
      <c r="AE439" s="77">
        <f>COUNTIFS(Tracker!E:E, 2, Tracker!G:G, "&lt;="&amp;Daily!C439, Tracker!L:L, "N") / AA439</f>
        <v>0.61599999999999999</v>
      </c>
      <c r="AF439" s="48">
        <f t="shared" si="183"/>
        <v>42</v>
      </c>
      <c r="AG439" s="26">
        <f t="shared" si="184"/>
        <v>27</v>
      </c>
      <c r="AH439" s="62">
        <f t="shared" si="185"/>
        <v>0.6428571428571429</v>
      </c>
      <c r="AI439" s="74">
        <f>IFERROR(AVERAGEIFS(Tracker!I:I, Tracker!E:E, 3, Tracker!G:G, "&lt;="&amp;Daily!C439, Tracker!J:J, "Y"), 0)</f>
        <v>40.074074074074076</v>
      </c>
      <c r="AJ439" s="77">
        <f>IFERROR(COUNTIFS(Tracker!E:E, 3, Tracker!G:G, "&lt;="&amp;Daily!C439, Tracker!L:L, "N") / AF439,  0)</f>
        <v>0.35714285714285715</v>
      </c>
      <c r="AK439" s="48">
        <f t="shared" si="186"/>
        <v>391</v>
      </c>
      <c r="AL439" s="26">
        <f t="shared" si="187"/>
        <v>321</v>
      </c>
      <c r="AM439" s="62">
        <f t="shared" si="188"/>
        <v>0.82097186700767266</v>
      </c>
      <c r="AN439" s="74">
        <f>IFERROR(AVERAGEIFS(Tracker!I:I,  Tracker!G:G, "&lt;="&amp;Daily!C439, Tracker!J:J, "Y"), 0)</f>
        <v>23.140186915887849</v>
      </c>
      <c r="AO439" s="77">
        <f>IFERROR(COUNTIFS(Tracker!G:G, "&lt;="&amp;Daily!C439, Tracker!L:L, "N") / AK439,  0)</f>
        <v>0.63682864450127874</v>
      </c>
    </row>
    <row r="440" spans="1:41" ht="15.75" hidden="1" thickBot="1" x14ac:dyDescent="0.3">
      <c r="A440" s="120"/>
      <c r="B440" s="34">
        <f t="shared" si="172"/>
        <v>45655</v>
      </c>
      <c r="C440" s="35">
        <f t="shared" si="189"/>
        <v>45655</v>
      </c>
      <c r="D440" s="110" t="b">
        <f t="shared" ca="1" si="171"/>
        <v>0</v>
      </c>
      <c r="E440" s="52">
        <f t="shared" si="173"/>
        <v>0</v>
      </c>
      <c r="F440" s="39">
        <f>COUNTIFS(Tracker!G:G,Daily!C440, Tracker!J:J,"Y")</f>
        <v>0</v>
      </c>
      <c r="G440" s="36">
        <f>COUNTIFS(Tracker!G:G,Daily!C440, Tracker!J:J,"Y (with hints)")</f>
        <v>0</v>
      </c>
      <c r="H440" s="37">
        <f>COUNTIFS(Tracker!G:G,Daily!C440, Tracker!J:J,"N")</f>
        <v>0</v>
      </c>
      <c r="I440" s="55">
        <f t="shared" si="174"/>
        <v>0</v>
      </c>
      <c r="J440" s="36">
        <f>COUNTIFS(Tracker!G:G,Daily!C440, Tracker!J:J,"Y",Tracker!E:E,1)</f>
        <v>0</v>
      </c>
      <c r="K440" s="36">
        <f>COUNTIFS(Tracker!G:G,Daily!C440, Tracker!J:J,"Y (with hints)",Tracker!E:E,1)</f>
        <v>0</v>
      </c>
      <c r="L440" s="37">
        <f>COUNTIFS(Tracker!G:G,Daily!C440, Tracker!J:J,"N",Tracker!E:E,1)</f>
        <v>0</v>
      </c>
      <c r="M440" s="55">
        <f t="shared" si="175"/>
        <v>0</v>
      </c>
      <c r="N440" s="36">
        <f>COUNTIFS(Tracker!G:G,Daily!C440, Tracker!J:J,"Y",Tracker!E:E,2)</f>
        <v>0</v>
      </c>
      <c r="O440" s="36">
        <f>COUNTIFS(Tracker!G:G,Daily!C440, Tracker!J:J,"Y (with hints)",Tracker!E:E,2)</f>
        <v>0</v>
      </c>
      <c r="P440" s="37">
        <f>COUNTIFS(Tracker!G:G,Daily!C440, Tracker!J:J,"N",Tracker!E:E,2)</f>
        <v>0</v>
      </c>
      <c r="Q440" s="58">
        <f t="shared" si="176"/>
        <v>0</v>
      </c>
      <c r="R440" s="36">
        <f>COUNTIFS(Tracker!G:G,Daily!C440, Tracker!J:J,"Y",Tracker!E:E,3)</f>
        <v>0</v>
      </c>
      <c r="S440" s="36">
        <f>COUNTIFS(Tracker!G:G,Daily!C440, Tracker!J:J,"Y (with hints)",Tracker!E:E,3)</f>
        <v>0</v>
      </c>
      <c r="T440" s="37">
        <f>COUNTIFS(Tracker!G:G,Daily!C440, Tracker!J:J,"N",Tracker!E:E,3)</f>
        <v>0</v>
      </c>
      <c r="V440" s="39">
        <f t="shared" si="177"/>
        <v>99</v>
      </c>
      <c r="W440" s="36">
        <f t="shared" si="178"/>
        <v>95</v>
      </c>
      <c r="X440" s="64">
        <f t="shared" si="179"/>
        <v>0.95959595959595956</v>
      </c>
      <c r="Y440" s="78">
        <f>AVERAGEIFS(Tracker!I:I, Tracker!E:E, 1, Tracker!G:G, "&lt;="&amp;Daily!C440, Tracker!J:J, "Y")</f>
        <v>12.368421052631579</v>
      </c>
      <c r="Z440" s="79">
        <f>COUNTIFS(Tracker!E:E, 1, Tracker!G:G, "&lt;="&amp;Daily!C440, Tracker!L:L, "N") / V440</f>
        <v>0.80808080808080807</v>
      </c>
      <c r="AA440" s="39">
        <f t="shared" si="180"/>
        <v>250</v>
      </c>
      <c r="AB440" s="36">
        <f t="shared" si="181"/>
        <v>199</v>
      </c>
      <c r="AC440" s="64">
        <f t="shared" si="182"/>
        <v>0.79600000000000004</v>
      </c>
      <c r="AD440" s="78">
        <f>AVERAGEIFS(Tracker!I:I, Tracker!E:E, 2, Tracker!G:G, "&lt;="&amp;Daily!C440, Tracker!J:J, "Y")</f>
        <v>25.984924623115578</v>
      </c>
      <c r="AE440" s="79">
        <f>COUNTIFS(Tracker!E:E, 2, Tracker!G:G, "&lt;="&amp;Daily!C440, Tracker!L:L, "N") / AA440</f>
        <v>0.61599999999999999</v>
      </c>
      <c r="AF440" s="39">
        <f t="shared" si="183"/>
        <v>42</v>
      </c>
      <c r="AG440" s="36">
        <f t="shared" si="184"/>
        <v>27</v>
      </c>
      <c r="AH440" s="64">
        <f t="shared" si="185"/>
        <v>0.6428571428571429</v>
      </c>
      <c r="AI440" s="78">
        <f>IFERROR(AVERAGEIFS(Tracker!I:I, Tracker!E:E, 3, Tracker!G:G, "&lt;="&amp;Daily!C440, Tracker!J:J, "Y"), 0)</f>
        <v>40.074074074074076</v>
      </c>
      <c r="AJ440" s="79">
        <f>IFERROR(COUNTIFS(Tracker!E:E, 3, Tracker!G:G, "&lt;="&amp;Daily!C440, Tracker!L:L, "N") / AF440,  0)</f>
        <v>0.35714285714285715</v>
      </c>
      <c r="AK440" s="39">
        <f t="shared" si="186"/>
        <v>391</v>
      </c>
      <c r="AL440" s="36">
        <f t="shared" si="187"/>
        <v>321</v>
      </c>
      <c r="AM440" s="64">
        <f t="shared" si="188"/>
        <v>0.82097186700767266</v>
      </c>
      <c r="AN440" s="78">
        <f>IFERROR(AVERAGEIFS(Tracker!I:I,  Tracker!G:G, "&lt;="&amp;Daily!C440, Tracker!J:J, "Y"), 0)</f>
        <v>23.140186915887849</v>
      </c>
      <c r="AO440" s="79">
        <f>IFERROR(COUNTIFS(Tracker!G:G, "&lt;="&amp;Daily!C440, Tracker!L:L, "N") / AK440,  0)</f>
        <v>0.63682864450127874</v>
      </c>
    </row>
  </sheetData>
  <autoFilter ref="A3:AO440" xr:uid="{1FFCA198-0495-4E5A-8944-A8B1CD7F7CD6}">
    <filterColumn colId="3">
      <filters>
        <filter val="TRUE"/>
      </filters>
    </filterColumn>
  </autoFilter>
  <mergeCells count="71">
    <mergeCell ref="A413:A419"/>
    <mergeCell ref="A420:A426"/>
    <mergeCell ref="A427:A433"/>
    <mergeCell ref="A434:A440"/>
    <mergeCell ref="A378:A384"/>
    <mergeCell ref="A385:A391"/>
    <mergeCell ref="A392:A398"/>
    <mergeCell ref="A399:A405"/>
    <mergeCell ref="A406:A412"/>
    <mergeCell ref="A343:A349"/>
    <mergeCell ref="A350:A356"/>
    <mergeCell ref="A357:A363"/>
    <mergeCell ref="A364:A370"/>
    <mergeCell ref="A371:A377"/>
    <mergeCell ref="A308:A314"/>
    <mergeCell ref="A315:A321"/>
    <mergeCell ref="A322:A328"/>
    <mergeCell ref="A329:A335"/>
    <mergeCell ref="A336:A342"/>
    <mergeCell ref="A273:A279"/>
    <mergeCell ref="A280:A286"/>
    <mergeCell ref="A287:A293"/>
    <mergeCell ref="A294:A300"/>
    <mergeCell ref="A301:A307"/>
    <mergeCell ref="A238:A244"/>
    <mergeCell ref="A245:A251"/>
    <mergeCell ref="A252:A258"/>
    <mergeCell ref="A259:A265"/>
    <mergeCell ref="A266:A272"/>
    <mergeCell ref="A203:A209"/>
    <mergeCell ref="A210:A216"/>
    <mergeCell ref="A217:A223"/>
    <mergeCell ref="A224:A230"/>
    <mergeCell ref="A231:A237"/>
    <mergeCell ref="A168:A174"/>
    <mergeCell ref="A175:A181"/>
    <mergeCell ref="A182:A188"/>
    <mergeCell ref="A189:A195"/>
    <mergeCell ref="A196:A202"/>
    <mergeCell ref="A133:A139"/>
    <mergeCell ref="A140:A146"/>
    <mergeCell ref="A147:A153"/>
    <mergeCell ref="A154:A160"/>
    <mergeCell ref="A161:A167"/>
    <mergeCell ref="I2:L2"/>
    <mergeCell ref="M2:P2"/>
    <mergeCell ref="Q2:T2"/>
    <mergeCell ref="A112:A118"/>
    <mergeCell ref="A119:A125"/>
    <mergeCell ref="A126:A132"/>
    <mergeCell ref="A70:A76"/>
    <mergeCell ref="A77:A83"/>
    <mergeCell ref="A84:A90"/>
    <mergeCell ref="A91:A97"/>
    <mergeCell ref="A98:A104"/>
    <mergeCell ref="V2:Z2"/>
    <mergeCell ref="AA2:AE2"/>
    <mergeCell ref="AF2:AJ2"/>
    <mergeCell ref="AK2:AO2"/>
    <mergeCell ref="A105:A111"/>
    <mergeCell ref="A35:A41"/>
    <mergeCell ref="A42:A48"/>
    <mergeCell ref="A49:A55"/>
    <mergeCell ref="A56:A62"/>
    <mergeCell ref="A63:A69"/>
    <mergeCell ref="A7:A13"/>
    <mergeCell ref="A4:A6"/>
    <mergeCell ref="A14:A20"/>
    <mergeCell ref="A21:A27"/>
    <mergeCell ref="A28:A34"/>
    <mergeCell ref="F2:H2"/>
  </mergeCells>
  <conditionalFormatting sqref="C1:D1048576">
    <cfRule type="cellIs" dxfId="6" priority="1" operator="equal">
      <formula>TODAY()</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67071-9046-4C16-9935-23CAF32BFA45}">
  <sheetPr codeName="Sheet4" filterMode="1"/>
  <dimension ref="A17:H79"/>
  <sheetViews>
    <sheetView showGridLines="0" topLeftCell="A16" workbookViewId="0">
      <selection activeCell="D65" sqref="D65"/>
    </sheetView>
  </sheetViews>
  <sheetFormatPr defaultColWidth="8.85546875" defaultRowHeight="15" x14ac:dyDescent="0.25"/>
  <cols>
    <col min="1" max="1" width="11.140625" customWidth="1"/>
    <col min="2" max="3" width="11.140625" hidden="1" customWidth="1"/>
    <col min="4" max="6" width="11.140625" customWidth="1"/>
  </cols>
  <sheetData>
    <row r="17" spans="1:8" x14ac:dyDescent="0.25">
      <c r="A17" s="59" t="s">
        <v>8028</v>
      </c>
      <c r="B17" s="90"/>
      <c r="C17" s="90"/>
      <c r="D17" s="59" t="s">
        <v>8006</v>
      </c>
      <c r="E17" s="59" t="s">
        <v>10</v>
      </c>
      <c r="F17" s="59" t="s">
        <v>14</v>
      </c>
      <c r="G17" s="59" t="s">
        <v>45</v>
      </c>
      <c r="H17" s="59" t="s">
        <v>8030</v>
      </c>
    </row>
    <row r="18" spans="1:8" x14ac:dyDescent="0.25">
      <c r="A18" s="26">
        <v>1</v>
      </c>
      <c r="B18" s="113">
        <v>45222</v>
      </c>
      <c r="C18" s="90" t="b">
        <f t="shared" ref="C18:C64" ca="1" si="0">TODAY()&gt;=B18</f>
        <v>1</v>
      </c>
      <c r="D18" s="26">
        <f>SUM(Daily!E7:E13)</f>
        <v>30</v>
      </c>
      <c r="E18" s="26">
        <f>SUM(Daily!I7:I13)</f>
        <v>19</v>
      </c>
      <c r="F18" s="26">
        <f>SUM(Daily!M7:M13)</f>
        <v>11</v>
      </c>
      <c r="G18" s="26">
        <f>SUM(Daily!Q7:Q13)</f>
        <v>0</v>
      </c>
      <c r="H18" s="63">
        <f>(E18*Stats!$E$2+Weekly!F18*Stats!$E$3+Weekly!G18*Stats!$E$4)/60</f>
        <v>8.6805695142378561</v>
      </c>
    </row>
    <row r="19" spans="1:8" x14ac:dyDescent="0.25">
      <c r="A19" s="26">
        <v>2</v>
      </c>
      <c r="B19" s="113">
        <v>45229</v>
      </c>
      <c r="C19" s="90" t="b">
        <f t="shared" ca="1" si="0"/>
        <v>1</v>
      </c>
      <c r="D19" s="26">
        <f ca="1">SUM(OFFSET(Daily!E$7,(A19-1)*7,0, 7))</f>
        <v>23</v>
      </c>
      <c r="E19" s="26">
        <f ca="1">SUM(OFFSET(Daily!I$7,(A19-1)*7,0, 7))</f>
        <v>7</v>
      </c>
      <c r="F19" s="26">
        <f ca="1">SUM(OFFSET(Daily!M$7,(A19-1)*7,0, 7))</f>
        <v>16</v>
      </c>
      <c r="G19" s="26">
        <f ca="1">SUM(OFFSET(Daily!Q$7,(A19-1)*7,0, 7))</f>
        <v>0</v>
      </c>
      <c r="H19" s="63">
        <f ca="1">(E19*Stats!$E$2+Weekly!F19*Stats!$E$3+Weekly!G19*Stats!$E$4)/60</f>
        <v>8.372295688971171</v>
      </c>
    </row>
    <row r="20" spans="1:8" x14ac:dyDescent="0.25">
      <c r="A20" s="26">
        <v>3</v>
      </c>
      <c r="B20" s="113">
        <v>45236</v>
      </c>
      <c r="C20" s="90" t="b">
        <f t="shared" ca="1" si="0"/>
        <v>1</v>
      </c>
      <c r="D20" s="26">
        <f ca="1">SUM(OFFSET(Daily!E$7,(A20-1)*7,0, 7))</f>
        <v>20</v>
      </c>
      <c r="E20" s="26">
        <f ca="1">SUM(OFFSET(Daily!I$7,(A20-1)*7,0, 7))</f>
        <v>8</v>
      </c>
      <c r="F20" s="26">
        <f ca="1">SUM(OFFSET(Daily!M$7,(A20-1)*7,0, 7))</f>
        <v>8</v>
      </c>
      <c r="G20" s="26">
        <f ca="1">SUM(OFFSET(Daily!Q$7,(A20-1)*7,0, 7))</f>
        <v>4</v>
      </c>
      <c r="H20" s="63">
        <f ca="1">(E20*Stats!$E$2+Weekly!F20*Stats!$E$3+Weekly!G20*Stats!$E$4)/60</f>
        <v>7.7853843617045593</v>
      </c>
    </row>
    <row r="21" spans="1:8" x14ac:dyDescent="0.25">
      <c r="A21" s="26">
        <v>4</v>
      </c>
      <c r="B21" s="113">
        <v>45243</v>
      </c>
      <c r="C21" s="90" t="b">
        <f t="shared" ca="1" si="0"/>
        <v>1</v>
      </c>
      <c r="D21" s="26">
        <f ca="1">SUM(OFFSET(Daily!E$7,(A21-1)*7,0, 7))</f>
        <v>9</v>
      </c>
      <c r="E21" s="26">
        <f ca="1">SUM(OFFSET(Daily!I$7,(A21-1)*7,0, 7))</f>
        <v>6</v>
      </c>
      <c r="F21" s="26">
        <f ca="1">SUM(OFFSET(Daily!M$7,(A21-1)*7,0, 7))</f>
        <v>3</v>
      </c>
      <c r="G21" s="26">
        <f ca="1">SUM(OFFSET(Daily!Q$7,(A21-1)*7,0, 7))</f>
        <v>0</v>
      </c>
      <c r="H21" s="63">
        <f ca="1">(E21*Stats!$E$2+Weekly!F21*Stats!$E$3+Weekly!G21*Stats!$E$4)/60</f>
        <v>2.5360883364189371</v>
      </c>
    </row>
    <row r="22" spans="1:8" x14ac:dyDescent="0.25">
      <c r="A22" s="26">
        <v>5</v>
      </c>
      <c r="B22" s="113">
        <v>45250</v>
      </c>
      <c r="C22" s="90" t="b">
        <f t="shared" ca="1" si="0"/>
        <v>1</v>
      </c>
      <c r="D22" s="26">
        <f ca="1">SUM(OFFSET(Daily!E$7,(A22-1)*7,0, 7))</f>
        <v>17</v>
      </c>
      <c r="E22" s="26">
        <f ca="1">SUM(OFFSET(Daily!I$7,(A22-1)*7,0, 7))</f>
        <v>4</v>
      </c>
      <c r="F22" s="26">
        <f ca="1">SUM(OFFSET(Daily!M$7,(A22-1)*7,0, 7))</f>
        <v>12</v>
      </c>
      <c r="G22" s="26">
        <f ca="1">SUM(OFFSET(Daily!Q$7,(A22-1)*7,0, 7))</f>
        <v>1</v>
      </c>
      <c r="H22" s="63">
        <f ca="1">(E22*Stats!$E$2+Weekly!F22*Stats!$E$3+Weekly!G22*Stats!$E$4)/60</f>
        <v>6.6894475626997885</v>
      </c>
    </row>
    <row r="23" spans="1:8" x14ac:dyDescent="0.25">
      <c r="A23" s="26">
        <v>6</v>
      </c>
      <c r="B23" s="113">
        <v>45257</v>
      </c>
      <c r="C23" s="90" t="b">
        <f t="shared" ca="1" si="0"/>
        <v>1</v>
      </c>
      <c r="D23" s="26">
        <f ca="1">SUM(OFFSET(Daily!E$7,(A23-1)*7,0, 7))</f>
        <v>15</v>
      </c>
      <c r="E23" s="26">
        <f ca="1">SUM(OFFSET(Daily!I$7,(A23-1)*7,0, 7))</f>
        <v>7</v>
      </c>
      <c r="F23" s="26">
        <f ca="1">SUM(OFFSET(Daily!M$7,(A23-1)*7,0, 7))</f>
        <v>6</v>
      </c>
      <c r="G23" s="26">
        <f ca="1">SUM(OFFSET(Daily!Q$7,(A23-1)*7,0, 7))</f>
        <v>2</v>
      </c>
      <c r="H23" s="63">
        <f ca="1">(E23*Stats!$E$2+Weekly!F23*Stats!$E$3+Weekly!G23*Stats!$E$4)/60</f>
        <v>5.3772773875877116</v>
      </c>
    </row>
    <row r="24" spans="1:8" x14ac:dyDescent="0.25">
      <c r="A24" s="26">
        <v>7</v>
      </c>
      <c r="B24" s="113">
        <v>45264</v>
      </c>
      <c r="C24" s="90" t="b">
        <f t="shared" ca="1" si="0"/>
        <v>1</v>
      </c>
      <c r="D24" s="26">
        <f ca="1">SUM(OFFSET(Daily!E$7,(A24-1)*7,0, 7))</f>
        <v>11</v>
      </c>
      <c r="E24" s="26">
        <f ca="1">SUM(OFFSET(Daily!I$7,(A24-1)*7,0, 7))</f>
        <v>3</v>
      </c>
      <c r="F24" s="26">
        <f ca="1">SUM(OFFSET(Daily!M$7,(A24-1)*7,0, 7))</f>
        <v>6</v>
      </c>
      <c r="G24" s="26">
        <f ca="1">SUM(OFFSET(Daily!Q$7,(A24-1)*7,0, 7))</f>
        <v>2</v>
      </c>
      <c r="H24" s="63">
        <f ca="1">(E24*Stats!$E$2+Weekly!F24*Stats!$E$3+Weekly!G24*Stats!$E$4)/60</f>
        <v>4.5527159840789393</v>
      </c>
    </row>
    <row r="25" spans="1:8" x14ac:dyDescent="0.25">
      <c r="A25" s="26">
        <v>8</v>
      </c>
      <c r="B25" s="113">
        <v>45271</v>
      </c>
      <c r="C25" s="90" t="b">
        <f t="shared" ca="1" si="0"/>
        <v>1</v>
      </c>
      <c r="D25" s="26">
        <f ca="1">SUM(OFFSET(Daily!E$7,(A25-1)*7,0, 7))</f>
        <v>18</v>
      </c>
      <c r="E25" s="26">
        <f ca="1">SUM(OFFSET(Daily!I$7,(A25-1)*7,0, 7))</f>
        <v>1</v>
      </c>
      <c r="F25" s="26">
        <f ca="1">SUM(OFFSET(Daily!M$7,(A25-1)*7,0, 7))</f>
        <v>15</v>
      </c>
      <c r="G25" s="26">
        <f ca="1">SUM(OFFSET(Daily!Q$7,(A25-1)*7,0, 7))</f>
        <v>2</v>
      </c>
      <c r="H25" s="63">
        <f ca="1">(E25*Stats!$E$2+Weekly!F25*Stats!$E$3+Weekly!G25*Stats!$E$4)/60</f>
        <v>8.0381739757918886</v>
      </c>
    </row>
    <row r="26" spans="1:8" x14ac:dyDescent="0.25">
      <c r="A26" s="26">
        <v>9</v>
      </c>
      <c r="B26" s="113">
        <v>45278</v>
      </c>
      <c r="C26" s="90" t="b">
        <f t="shared" ca="1" si="0"/>
        <v>1</v>
      </c>
      <c r="D26" s="26">
        <f ca="1">SUM(OFFSET(Daily!E$7,(A26-1)*7,0, 7))</f>
        <v>30</v>
      </c>
      <c r="E26" s="26">
        <f ca="1">SUM(OFFSET(Daily!I$7,(A26-1)*7,0, 7))</f>
        <v>3</v>
      </c>
      <c r="F26" s="26">
        <f ca="1">SUM(OFFSET(Daily!M$7,(A26-1)*7,0, 7))</f>
        <v>20</v>
      </c>
      <c r="G26" s="26">
        <f ca="1">SUM(OFFSET(Daily!Q$7,(A26-1)*7,0, 7))</f>
        <v>7</v>
      </c>
      <c r="H26" s="63">
        <f ca="1">(E26*Stats!$E$2+Weekly!F26*Stats!$E$3+Weekly!G26*Stats!$E$4)/60</f>
        <v>13.955371235645414</v>
      </c>
    </row>
    <row r="27" spans="1:8" x14ac:dyDescent="0.25">
      <c r="A27" s="26">
        <v>10</v>
      </c>
      <c r="B27" s="113">
        <v>45285</v>
      </c>
      <c r="C27" s="90" t="b">
        <f t="shared" ca="1" si="0"/>
        <v>1</v>
      </c>
      <c r="D27" s="26">
        <f ca="1">SUM(OFFSET(Daily!E$7,(A27-1)*7,0, 7))</f>
        <v>1</v>
      </c>
      <c r="E27" s="26">
        <f ca="1">SUM(OFFSET(Daily!I$7,(A27-1)*7,0, 7))</f>
        <v>1</v>
      </c>
      <c r="F27" s="26">
        <f ca="1">SUM(OFFSET(Daily!M$7,(A27-1)*7,0, 7))</f>
        <v>0</v>
      </c>
      <c r="G27" s="26">
        <f ca="1">SUM(OFFSET(Daily!Q$7,(A27-1)*7,0, 7))</f>
        <v>0</v>
      </c>
      <c r="H27" s="63">
        <f ca="1">(E27*Stats!$E$2+Weekly!F27*Stats!$E$3+Weekly!G27*Stats!$E$4)/60</f>
        <v>0.20614035087719298</v>
      </c>
    </row>
    <row r="28" spans="1:8" x14ac:dyDescent="0.25">
      <c r="A28" s="26">
        <v>11</v>
      </c>
      <c r="B28" s="113">
        <v>45292</v>
      </c>
      <c r="C28" s="90" t="b">
        <f t="shared" ca="1" si="0"/>
        <v>1</v>
      </c>
      <c r="D28" s="26">
        <f ca="1">SUM(OFFSET(Daily!E$7,(A28-1)*7,0, 7))</f>
        <v>16</v>
      </c>
      <c r="E28" s="26">
        <f ca="1">SUM(OFFSET(Daily!I$7,(A28-1)*7,0, 7))</f>
        <v>5</v>
      </c>
      <c r="F28" s="26">
        <f ca="1">SUM(OFFSET(Daily!M$7,(A28-1)*7,0, 7))</f>
        <v>10</v>
      </c>
      <c r="G28" s="26">
        <f ca="1">SUM(OFFSET(Daily!Q$7,(A28-1)*7,0, 7))</f>
        <v>1</v>
      </c>
      <c r="H28" s="63">
        <f ca="1">(E28*Stats!$E$2+Weekly!F28*Stats!$E$3+Weekly!G28*Stats!$E$4)/60</f>
        <v>6.0294237594731301</v>
      </c>
    </row>
    <row r="29" spans="1:8" x14ac:dyDescent="0.25">
      <c r="A29" s="26">
        <v>12</v>
      </c>
      <c r="B29" s="113">
        <v>45299</v>
      </c>
      <c r="C29" s="90" t="b">
        <f t="shared" ca="1" si="0"/>
        <v>1</v>
      </c>
      <c r="D29" s="26">
        <f ca="1">SUM(OFFSET(Daily!E$7,(A29-1)*7,0, 7))</f>
        <v>17</v>
      </c>
      <c r="E29" s="26">
        <f ca="1">SUM(OFFSET(Daily!I$7,(A29-1)*7,0, 7))</f>
        <v>6</v>
      </c>
      <c r="F29" s="26">
        <f ca="1">SUM(OFFSET(Daily!M$7,(A29-1)*7,0, 7))</f>
        <v>6</v>
      </c>
      <c r="G29" s="26">
        <f ca="1">SUM(OFFSET(Daily!Q$7,(A29-1)*7,0, 7))</f>
        <v>5</v>
      </c>
      <c r="H29" s="63">
        <f ca="1">(E29*Stats!$E$2+Weekly!F29*Stats!$E$3+Weekly!G29*Stats!$E$4)/60</f>
        <v>7.174840740414222</v>
      </c>
    </row>
    <row r="30" spans="1:8" x14ac:dyDescent="0.25">
      <c r="A30" s="26">
        <v>13</v>
      </c>
      <c r="B30" s="113">
        <v>45306</v>
      </c>
      <c r="C30" s="90" t="b">
        <f t="shared" ca="1" si="0"/>
        <v>1</v>
      </c>
      <c r="D30" s="26">
        <f ca="1">SUM(OFFSET(Daily!E$7,(A30-1)*7,0, 7))</f>
        <v>22</v>
      </c>
      <c r="E30" s="26">
        <f ca="1">SUM(OFFSET(Daily!I$7,(A30-1)*7,0, 7))</f>
        <v>6</v>
      </c>
      <c r="F30" s="26">
        <f ca="1">SUM(OFFSET(Daily!M$7,(A30-1)*7,0, 7))</f>
        <v>11</v>
      </c>
      <c r="G30" s="26">
        <f ca="1">SUM(OFFSET(Daily!Q$7,(A30-1)*7,0, 7))</f>
        <v>5</v>
      </c>
      <c r="H30" s="63">
        <f ca="1">(E30*Stats!$E$2+Weekly!F30*Stats!$E$3+Weekly!G30*Stats!$E$4)/60</f>
        <v>9.3402511256738538</v>
      </c>
    </row>
    <row r="31" spans="1:8" x14ac:dyDescent="0.25">
      <c r="A31" s="26">
        <v>14</v>
      </c>
      <c r="B31" s="113">
        <v>45313</v>
      </c>
      <c r="C31" s="90" t="b">
        <f t="shared" ca="1" si="0"/>
        <v>1</v>
      </c>
      <c r="D31" s="26">
        <f ca="1">SUM(OFFSET(Daily!E$7,(A31-1)*7,0, 7))</f>
        <v>17</v>
      </c>
      <c r="E31" s="26">
        <f ca="1">SUM(OFFSET(Daily!I$7,(A31-1)*7,0, 7))</f>
        <v>2</v>
      </c>
      <c r="F31" s="26">
        <f ca="1">SUM(OFFSET(Daily!M$7,(A31-1)*7,0, 7))</f>
        <v>11</v>
      </c>
      <c r="G31" s="26">
        <f ca="1">SUM(OFFSET(Daily!Q$7,(A31-1)*7,0, 7))</f>
        <v>4</v>
      </c>
      <c r="H31" s="63">
        <f ca="1">(E31*Stats!$E$2+Weekly!F31*Stats!$E$3+Weekly!G31*Stats!$E$4)/60</f>
        <v>7.8477884875971808</v>
      </c>
    </row>
    <row r="32" spans="1:8" x14ac:dyDescent="0.25">
      <c r="A32" s="26">
        <v>15</v>
      </c>
      <c r="B32" s="113">
        <v>45320</v>
      </c>
      <c r="C32" s="90" t="b">
        <f t="shared" ca="1" si="0"/>
        <v>1</v>
      </c>
      <c r="D32" s="26">
        <f ca="1">SUM(OFFSET(Daily!E$7,(A32-1)*7,0, 7))</f>
        <v>22</v>
      </c>
      <c r="E32" s="26">
        <f ca="1">SUM(OFFSET(Daily!I$7,(A32-1)*7,0, 7))</f>
        <v>5</v>
      </c>
      <c r="F32" s="26">
        <f ca="1">SUM(OFFSET(Daily!M$7,(A32-1)*7,0, 7))</f>
        <v>13</v>
      </c>
      <c r="G32" s="26">
        <f ca="1">SUM(OFFSET(Daily!Q$7,(A32-1)*7,0, 7))</f>
        <v>4</v>
      </c>
      <c r="H32" s="63">
        <f ca="1">(E32*Stats!$E$2+Weekly!F32*Stats!$E$3+Weekly!G32*Stats!$E$4)/60</f>
        <v>9.3323736943326114</v>
      </c>
    </row>
    <row r="33" spans="1:8" x14ac:dyDescent="0.25">
      <c r="A33" s="26">
        <v>16</v>
      </c>
      <c r="B33" s="113">
        <v>45327</v>
      </c>
      <c r="C33" s="90" t="b">
        <f t="shared" ca="1" si="0"/>
        <v>1</v>
      </c>
      <c r="D33" s="26">
        <f ca="1">SUM(OFFSET(Daily!E$7,(A33-1)*7,0, 7))</f>
        <v>19</v>
      </c>
      <c r="E33" s="26">
        <f ca="1">SUM(OFFSET(Daily!I$7,(A33-1)*7,0, 7))</f>
        <v>4</v>
      </c>
      <c r="F33" s="26">
        <f ca="1">SUM(OFFSET(Daily!M$7,(A33-1)*7,0, 7))</f>
        <v>10</v>
      </c>
      <c r="G33" s="26">
        <f ca="1">SUM(OFFSET(Daily!Q$7,(A33-1)*7,0, 7))</f>
        <v>5</v>
      </c>
      <c r="H33" s="63">
        <f ca="1">(E33*Stats!$E$2+Weekly!F33*Stats!$E$3+Weekly!G33*Stats!$E$4)/60</f>
        <v>8.4948883468675422</v>
      </c>
    </row>
    <row r="34" spans="1:8" x14ac:dyDescent="0.25">
      <c r="A34" s="26">
        <v>17</v>
      </c>
      <c r="B34" s="113">
        <v>45334</v>
      </c>
      <c r="C34" s="90" t="b">
        <f t="shared" ca="1" si="0"/>
        <v>1</v>
      </c>
      <c r="D34" s="26">
        <f ca="1">SUM(OFFSET(Daily!E$7,(A34-1)*7,0, 7))</f>
        <v>13</v>
      </c>
      <c r="E34" s="26">
        <f ca="1">SUM(OFFSET(Daily!I$7,(A34-1)*7,0, 7))</f>
        <v>0</v>
      </c>
      <c r="F34" s="26">
        <f ca="1">SUM(OFFSET(Daily!M$7,(A34-1)*7,0, 7))</f>
        <v>13</v>
      </c>
      <c r="G34" s="26">
        <f ca="1">SUM(OFFSET(Daily!Q$7,(A34-1)*7,0, 7))</f>
        <v>0</v>
      </c>
      <c r="H34" s="63">
        <f ca="1">(E34*Stats!$E$2+Weekly!F34*Stats!$E$3+Weekly!G34*Stats!$E$4)/60</f>
        <v>5.6300670016750418</v>
      </c>
    </row>
    <row r="35" spans="1:8" x14ac:dyDescent="0.25">
      <c r="A35" s="26">
        <v>18</v>
      </c>
      <c r="B35" s="113">
        <v>45341</v>
      </c>
      <c r="C35" s="90" t="b">
        <f t="shared" ca="1" si="0"/>
        <v>1</v>
      </c>
      <c r="D35" s="26">
        <f ca="1">SUM(OFFSET(Daily!E$7,(A35-1)*7,0, 7))</f>
        <v>15</v>
      </c>
      <c r="E35" s="26">
        <f ca="1">SUM(OFFSET(Daily!I$7,(A35-1)*7,0, 7))</f>
        <v>0</v>
      </c>
      <c r="F35" s="26">
        <f ca="1">SUM(OFFSET(Daily!M$7,(A35-1)*7,0, 7))</f>
        <v>15</v>
      </c>
      <c r="G35" s="26">
        <f ca="1">SUM(OFFSET(Daily!Q$7,(A35-1)*7,0, 7))</f>
        <v>0</v>
      </c>
      <c r="H35" s="63">
        <f ca="1">(E35*Stats!$E$2+Weekly!F35*Stats!$E$3+Weekly!G35*Stats!$E$4)/60</f>
        <v>6.4962311557788945</v>
      </c>
    </row>
    <row r="36" spans="1:8" x14ac:dyDescent="0.25">
      <c r="A36" s="26">
        <v>19</v>
      </c>
      <c r="B36" s="113">
        <v>45348</v>
      </c>
      <c r="C36" s="90" t="b">
        <f t="shared" ca="1" si="0"/>
        <v>1</v>
      </c>
      <c r="D36" s="26">
        <f ca="1">SUM(OFFSET(Daily!E$7,(A36-1)*7,0, 7))</f>
        <v>0</v>
      </c>
      <c r="E36" s="26">
        <f ca="1">SUM(OFFSET(Daily!I$7,(A36-1)*7,0, 7))</f>
        <v>0</v>
      </c>
      <c r="F36" s="26">
        <f ca="1">SUM(OFFSET(Daily!M$7,(A36-1)*7,0, 7))</f>
        <v>0</v>
      </c>
      <c r="G36" s="26">
        <f ca="1">SUM(OFFSET(Daily!Q$7,(A36-1)*7,0, 7))</f>
        <v>0</v>
      </c>
      <c r="H36" s="63">
        <f ca="1">(E36*Stats!$E$2+Weekly!F36*Stats!$E$3+Weekly!G36*Stats!$E$4)/60</f>
        <v>0</v>
      </c>
    </row>
    <row r="37" spans="1:8" x14ac:dyDescent="0.25">
      <c r="A37" s="26">
        <v>20</v>
      </c>
      <c r="B37" s="113">
        <v>45355</v>
      </c>
      <c r="C37" s="90" t="b">
        <f t="shared" ca="1" si="0"/>
        <v>1</v>
      </c>
      <c r="D37" s="26">
        <f ca="1">SUM(OFFSET(Daily!E$7,(A37-1)*7,0, 7))</f>
        <v>0</v>
      </c>
      <c r="E37" s="26">
        <f ca="1">SUM(OFFSET(Daily!I$7,(A37-1)*7,0, 7))</f>
        <v>0</v>
      </c>
      <c r="F37" s="26">
        <f ca="1">SUM(OFFSET(Daily!M$7,(A37-1)*7,0, 7))</f>
        <v>0</v>
      </c>
      <c r="G37" s="26">
        <f ca="1">SUM(OFFSET(Daily!Q$7,(A37-1)*7,0, 7))</f>
        <v>0</v>
      </c>
      <c r="H37" s="63">
        <f ca="1">(E37*Stats!$E$2+Weekly!F37*Stats!$E$3+Weekly!G37*Stats!$E$4)/60</f>
        <v>0</v>
      </c>
    </row>
    <row r="38" spans="1:8" x14ac:dyDescent="0.25">
      <c r="A38" s="26">
        <v>21</v>
      </c>
      <c r="B38" s="113">
        <v>45362</v>
      </c>
      <c r="C38" s="90" t="b">
        <f t="shared" ca="1" si="0"/>
        <v>1</v>
      </c>
      <c r="D38" s="26">
        <f ca="1">SUM(OFFSET(Daily!E$7,(A38-1)*7,0, 7))</f>
        <v>4</v>
      </c>
      <c r="E38" s="26">
        <f ca="1">SUM(OFFSET(Daily!I$7,(A38-1)*7,0, 7))</f>
        <v>0</v>
      </c>
      <c r="F38" s="26">
        <f ca="1">SUM(OFFSET(Daily!M$7,(A38-1)*7,0, 7))</f>
        <v>4</v>
      </c>
      <c r="G38" s="26">
        <f ca="1">SUM(OFFSET(Daily!Q$7,(A38-1)*7,0, 7))</f>
        <v>0</v>
      </c>
      <c r="H38" s="63">
        <f ca="1">(E38*Stats!$E$2+Weekly!F38*Stats!$E$3+Weekly!G38*Stats!$E$4)/60</f>
        <v>1.7323283082077052</v>
      </c>
    </row>
    <row r="39" spans="1:8" x14ac:dyDescent="0.25">
      <c r="A39" s="26">
        <v>22</v>
      </c>
      <c r="B39" s="113">
        <v>45369</v>
      </c>
      <c r="C39" s="90" t="b">
        <f t="shared" ca="1" si="0"/>
        <v>1</v>
      </c>
      <c r="D39" s="26">
        <f ca="1">SUM(OFFSET(Daily!E$7,(A39-1)*7,0, 7))</f>
        <v>0</v>
      </c>
      <c r="E39" s="26">
        <f ca="1">SUM(OFFSET(Daily!I$7,(A39-1)*7,0, 7))</f>
        <v>0</v>
      </c>
      <c r="F39" s="26">
        <f ca="1">SUM(OFFSET(Daily!M$7,(A39-1)*7,0, 7))</f>
        <v>0</v>
      </c>
      <c r="G39" s="26">
        <f ca="1">SUM(OFFSET(Daily!Q$7,(A39-1)*7,0, 7))</f>
        <v>0</v>
      </c>
      <c r="H39" s="63">
        <f ca="1">(E39*Stats!$E$2+Weekly!F39*Stats!$E$3+Weekly!G39*Stats!$E$4)/60</f>
        <v>0</v>
      </c>
    </row>
    <row r="40" spans="1:8" x14ac:dyDescent="0.25">
      <c r="A40" s="26">
        <v>23</v>
      </c>
      <c r="B40" s="113">
        <v>45376</v>
      </c>
      <c r="C40" s="90" t="b">
        <f t="shared" ca="1" si="0"/>
        <v>1</v>
      </c>
      <c r="D40" s="26">
        <f ca="1">SUM(OFFSET(Daily!E$7,(A40-1)*7,0, 7))</f>
        <v>0</v>
      </c>
      <c r="E40" s="26">
        <f ca="1">SUM(OFFSET(Daily!I$7,(A40-1)*7,0, 7))</f>
        <v>0</v>
      </c>
      <c r="F40" s="26">
        <f ca="1">SUM(OFFSET(Daily!M$7,(A40-1)*7,0, 7))</f>
        <v>0</v>
      </c>
      <c r="G40" s="26">
        <f ca="1">SUM(OFFSET(Daily!Q$7,(A40-1)*7,0, 7))</f>
        <v>0</v>
      </c>
      <c r="H40" s="63">
        <f ca="1">(E40*Stats!$E$2+Weekly!F40*Stats!$E$3+Weekly!G40*Stats!$E$4)/60</f>
        <v>0</v>
      </c>
    </row>
    <row r="41" spans="1:8" x14ac:dyDescent="0.25">
      <c r="A41" s="26">
        <v>24</v>
      </c>
      <c r="B41" s="113">
        <v>45383</v>
      </c>
      <c r="C41" s="90" t="b">
        <f t="shared" ca="1" si="0"/>
        <v>1</v>
      </c>
      <c r="D41" s="26">
        <f ca="1">SUM(OFFSET(Daily!E$7,(A41-1)*7,0, 7))</f>
        <v>5</v>
      </c>
      <c r="E41" s="26">
        <f ca="1">SUM(OFFSET(Daily!I$7,(A41-1)*7,0, 7))</f>
        <v>2</v>
      </c>
      <c r="F41" s="26">
        <f ca="1">SUM(OFFSET(Daily!M$7,(A41-1)*7,0, 7))</f>
        <v>3</v>
      </c>
      <c r="G41" s="26">
        <f ca="1">SUM(OFFSET(Daily!Q$7,(A41-1)*7,0, 7))</f>
        <v>0</v>
      </c>
      <c r="H41" s="63">
        <f ca="1">(E41*Stats!$E$2+Weekly!F41*Stats!$E$3+Weekly!G41*Stats!$E$4)/60</f>
        <v>1.711526932910165</v>
      </c>
    </row>
    <row r="42" spans="1:8" x14ac:dyDescent="0.25">
      <c r="A42" s="26">
        <v>25</v>
      </c>
      <c r="B42" s="113">
        <v>45390</v>
      </c>
      <c r="C42" s="90" t="b">
        <f t="shared" ca="1" si="0"/>
        <v>1</v>
      </c>
      <c r="D42" s="26">
        <f ca="1">SUM(OFFSET(Daily!E$7,(A42-1)*7,0, 7))</f>
        <v>0</v>
      </c>
      <c r="E42" s="26">
        <f ca="1">SUM(OFFSET(Daily!I$7,(A42-1)*7,0, 7))</f>
        <v>0</v>
      </c>
      <c r="F42" s="26">
        <f ca="1">SUM(OFFSET(Daily!M$7,(A42-1)*7,0, 7))</f>
        <v>0</v>
      </c>
      <c r="G42" s="26">
        <f ca="1">SUM(OFFSET(Daily!Q$7,(A42-1)*7,0, 7))</f>
        <v>0</v>
      </c>
      <c r="H42" s="63">
        <f ca="1">(E42*Stats!$E$2+Weekly!F42*Stats!$E$3+Weekly!G42*Stats!$E$4)/60</f>
        <v>0</v>
      </c>
    </row>
    <row r="43" spans="1:8" x14ac:dyDescent="0.25">
      <c r="A43" s="26">
        <v>26</v>
      </c>
      <c r="B43" s="113">
        <v>45397</v>
      </c>
      <c r="C43" s="90" t="b">
        <f t="shared" ca="1" si="0"/>
        <v>1</v>
      </c>
      <c r="D43" s="26">
        <f ca="1">SUM(OFFSET(Daily!E$7,(A43-1)*7,0, 7))</f>
        <v>0</v>
      </c>
      <c r="E43" s="26">
        <f ca="1">SUM(OFFSET(Daily!I$7,(A43-1)*7,0, 7))</f>
        <v>0</v>
      </c>
      <c r="F43" s="26">
        <f ca="1">SUM(OFFSET(Daily!M$7,(A43-1)*7,0, 7))</f>
        <v>0</v>
      </c>
      <c r="G43" s="26">
        <f ca="1">SUM(OFFSET(Daily!Q$7,(A43-1)*7,0, 7))</f>
        <v>0</v>
      </c>
      <c r="H43" s="63">
        <f ca="1">(E43*Stats!$E$2+Weekly!F43*Stats!$E$3+Weekly!G43*Stats!$E$4)/60</f>
        <v>0</v>
      </c>
    </row>
    <row r="44" spans="1:8" x14ac:dyDescent="0.25">
      <c r="A44" s="26">
        <v>27</v>
      </c>
      <c r="B44" s="113">
        <v>45404</v>
      </c>
      <c r="C44" s="90" t="b">
        <f t="shared" ca="1" si="0"/>
        <v>1</v>
      </c>
      <c r="D44" s="26">
        <f ca="1">SUM(OFFSET(Daily!E$7,(A44-1)*7,0, 7))</f>
        <v>0</v>
      </c>
      <c r="E44" s="26">
        <f ca="1">SUM(OFFSET(Daily!I$7,(A44-1)*7,0, 7))</f>
        <v>0</v>
      </c>
      <c r="F44" s="26">
        <f ca="1">SUM(OFFSET(Daily!M$7,(A44-1)*7,0, 7))</f>
        <v>0</v>
      </c>
      <c r="G44" s="26">
        <f ca="1">SUM(OFFSET(Daily!Q$7,(A44-1)*7,0, 7))</f>
        <v>0</v>
      </c>
      <c r="H44" s="63">
        <f ca="1">(E44*Stats!$E$2+Weekly!F44*Stats!$E$3+Weekly!G44*Stats!$E$4)/60</f>
        <v>0</v>
      </c>
    </row>
    <row r="45" spans="1:8" x14ac:dyDescent="0.25">
      <c r="A45" s="26">
        <v>28</v>
      </c>
      <c r="B45" s="113">
        <v>45411</v>
      </c>
      <c r="C45" s="90" t="b">
        <f t="shared" ca="1" si="0"/>
        <v>1</v>
      </c>
      <c r="D45" s="26">
        <f ca="1">SUM(OFFSET(Daily!E$7,(A45-1)*7,0, 7))</f>
        <v>1</v>
      </c>
      <c r="E45" s="26">
        <f ca="1">SUM(OFFSET(Daily!I$7,(A45-1)*7,0, 7))</f>
        <v>0</v>
      </c>
      <c r="F45" s="26">
        <f ca="1">SUM(OFFSET(Daily!M$7,(A45-1)*7,0, 7))</f>
        <v>1</v>
      </c>
      <c r="G45" s="26">
        <f ca="1">SUM(OFFSET(Daily!Q$7,(A45-1)*7,0, 7))</f>
        <v>0</v>
      </c>
      <c r="H45" s="63">
        <f ca="1">(E45*Stats!$E$2+Weekly!F45*Stats!$E$3+Weekly!G45*Stats!$E$4)/60</f>
        <v>0.43308207705192631</v>
      </c>
    </row>
    <row r="46" spans="1:8" x14ac:dyDescent="0.25">
      <c r="A46" s="26">
        <v>29</v>
      </c>
      <c r="B46" s="113">
        <v>45418</v>
      </c>
      <c r="C46" s="90" t="b">
        <f t="shared" ca="1" si="0"/>
        <v>1</v>
      </c>
      <c r="D46" s="26">
        <f ca="1">SUM(OFFSET(Daily!E$7,(A46-1)*7,0, 7))</f>
        <v>0</v>
      </c>
      <c r="E46" s="26">
        <f ca="1">SUM(OFFSET(Daily!I$7,(A46-1)*7,0, 7))</f>
        <v>0</v>
      </c>
      <c r="F46" s="26">
        <f ca="1">SUM(OFFSET(Daily!M$7,(A46-1)*7,0, 7))</f>
        <v>0</v>
      </c>
      <c r="G46" s="26">
        <f ca="1">SUM(OFFSET(Daily!Q$7,(A46-1)*7,0, 7))</f>
        <v>0</v>
      </c>
      <c r="H46" s="63">
        <f ca="1">(E46*Stats!$E$2+Weekly!F46*Stats!$E$3+Weekly!G46*Stats!$E$4)/60</f>
        <v>0</v>
      </c>
    </row>
    <row r="47" spans="1:8" x14ac:dyDescent="0.25">
      <c r="A47" s="26">
        <v>30</v>
      </c>
      <c r="B47" s="113">
        <v>45425</v>
      </c>
      <c r="C47" s="90" t="b">
        <f t="shared" ca="1" si="0"/>
        <v>1</v>
      </c>
      <c r="D47" s="26">
        <f ca="1">SUM(OFFSET(Daily!E$7,(A47-1)*7,0, 7))</f>
        <v>0</v>
      </c>
      <c r="E47" s="26">
        <f ca="1">SUM(OFFSET(Daily!I$7,(A47-1)*7,0, 7))</f>
        <v>0</v>
      </c>
      <c r="F47" s="26">
        <f ca="1">SUM(OFFSET(Daily!M$7,(A47-1)*7,0, 7))</f>
        <v>0</v>
      </c>
      <c r="G47" s="26">
        <f ca="1">SUM(OFFSET(Daily!Q$7,(A47-1)*7,0, 7))</f>
        <v>0</v>
      </c>
      <c r="H47" s="63">
        <f ca="1">(E47*Stats!$E$2+Weekly!F47*Stats!$E$3+Weekly!G47*Stats!$E$4)/60</f>
        <v>0</v>
      </c>
    </row>
    <row r="48" spans="1:8" x14ac:dyDescent="0.25">
      <c r="A48" s="26">
        <v>31</v>
      </c>
      <c r="B48" s="113">
        <v>45432</v>
      </c>
      <c r="C48" s="90" t="b">
        <f t="shared" ca="1" si="0"/>
        <v>1</v>
      </c>
      <c r="D48" s="26">
        <f ca="1">SUM(OFFSET(Daily!E$7,(A48-1)*7,0, 7))</f>
        <v>0</v>
      </c>
      <c r="E48" s="26">
        <f ca="1">SUM(OFFSET(Daily!I$7,(A48-1)*7,0, 7))</f>
        <v>0</v>
      </c>
      <c r="F48" s="26">
        <f ca="1">SUM(OFFSET(Daily!M$7,(A48-1)*7,0, 7))</f>
        <v>0</v>
      </c>
      <c r="G48" s="26">
        <f ca="1">SUM(OFFSET(Daily!Q$7,(A48-1)*7,0, 7))</f>
        <v>0</v>
      </c>
      <c r="H48" s="63">
        <f ca="1">(E48*Stats!$E$2+Weekly!F48*Stats!$E$3+Weekly!G48*Stats!$E$4)/60</f>
        <v>0</v>
      </c>
    </row>
    <row r="49" spans="1:8" x14ac:dyDescent="0.25">
      <c r="A49" s="26">
        <v>32</v>
      </c>
      <c r="B49" s="113">
        <v>45439</v>
      </c>
      <c r="C49" s="90" t="b">
        <f t="shared" ca="1" si="0"/>
        <v>1</v>
      </c>
      <c r="D49" s="26">
        <f ca="1">SUM(OFFSET(Daily!E$7,(A49-1)*7,0, 7))</f>
        <v>3</v>
      </c>
      <c r="E49" s="26">
        <f ca="1">SUM(OFFSET(Daily!I$7,(A49-1)*7,0, 7))</f>
        <v>2</v>
      </c>
      <c r="F49" s="26">
        <f ca="1">SUM(OFFSET(Daily!M$7,(A49-1)*7,0, 7))</f>
        <v>1</v>
      </c>
      <c r="G49" s="26">
        <f ca="1">SUM(OFFSET(Daily!Q$7,(A49-1)*7,0, 7))</f>
        <v>0</v>
      </c>
      <c r="H49" s="63">
        <f ca="1">(E49*Stats!$E$2+Weekly!F49*Stats!$E$3+Weekly!G49*Stats!$E$4)/60</f>
        <v>0.84536277880631228</v>
      </c>
    </row>
    <row r="50" spans="1:8" x14ac:dyDescent="0.25">
      <c r="A50" s="26">
        <v>33</v>
      </c>
      <c r="B50" s="113">
        <v>45446</v>
      </c>
      <c r="C50" s="90" t="b">
        <f t="shared" ca="1" si="0"/>
        <v>1</v>
      </c>
      <c r="D50" s="26">
        <f ca="1">SUM(OFFSET(Daily!E$7,(A50-1)*7,0, 7))</f>
        <v>6</v>
      </c>
      <c r="E50" s="26">
        <f ca="1">SUM(OFFSET(Daily!I$7,(A50-1)*7,0, 7))</f>
        <v>1</v>
      </c>
      <c r="F50" s="26">
        <f ca="1">SUM(OFFSET(Daily!M$7,(A50-1)*7,0, 7))</f>
        <v>5</v>
      </c>
      <c r="G50" s="26">
        <f ca="1">SUM(OFFSET(Daily!Q$7,(A50-1)*7,0, 7))</f>
        <v>0</v>
      </c>
      <c r="H50" s="63">
        <f ca="1">(E50*Stats!$E$2+Weekly!F50*Stats!$E$3+Weekly!G50*Stats!$E$4)/60</f>
        <v>2.3715507361368249</v>
      </c>
    </row>
    <row r="51" spans="1:8" x14ac:dyDescent="0.25">
      <c r="A51" s="26">
        <v>34</v>
      </c>
      <c r="B51" s="113">
        <v>45453</v>
      </c>
      <c r="C51" s="90" t="b">
        <f t="shared" ca="1" si="0"/>
        <v>1</v>
      </c>
      <c r="D51" s="26">
        <f ca="1">SUM(OFFSET(Daily!E$7,(A51-1)*7,0, 7))</f>
        <v>5</v>
      </c>
      <c r="E51" s="26">
        <f ca="1">SUM(OFFSET(Daily!I$7,(A51-1)*7,0, 7))</f>
        <v>0</v>
      </c>
      <c r="F51" s="26">
        <f ca="1">SUM(OFFSET(Daily!M$7,(A51-1)*7,0, 7))</f>
        <v>5</v>
      </c>
      <c r="G51" s="26">
        <f ca="1">SUM(OFFSET(Daily!Q$7,(A51-1)*7,0, 7))</f>
        <v>0</v>
      </c>
      <c r="H51" s="63">
        <f ca="1">(E51*Stats!$E$2+Weekly!F51*Stats!$E$3+Weekly!G51*Stats!$E$4)/60</f>
        <v>2.1654103852596318</v>
      </c>
    </row>
    <row r="52" spans="1:8" x14ac:dyDescent="0.25">
      <c r="A52" s="26">
        <v>35</v>
      </c>
      <c r="B52" s="113">
        <v>45460</v>
      </c>
      <c r="C52" s="90" t="b">
        <f t="shared" ca="1" si="0"/>
        <v>1</v>
      </c>
      <c r="D52" s="26">
        <f ca="1">SUM(OFFSET(Daily!E$7,(A52-1)*7,0, 7))</f>
        <v>4</v>
      </c>
      <c r="E52" s="26">
        <f ca="1">SUM(OFFSET(Daily!I$7,(A52-1)*7,0, 7))</f>
        <v>0</v>
      </c>
      <c r="F52" s="26">
        <f ca="1">SUM(OFFSET(Daily!M$7,(A52-1)*7,0, 7))</f>
        <v>4</v>
      </c>
      <c r="G52" s="26">
        <f ca="1">SUM(OFFSET(Daily!Q$7,(A52-1)*7,0, 7))</f>
        <v>0</v>
      </c>
      <c r="H52" s="63">
        <f ca="1">(E52*Stats!$E$2+Weekly!F52*Stats!$E$3+Weekly!G52*Stats!$E$4)/60</f>
        <v>1.7323283082077052</v>
      </c>
    </row>
    <row r="53" spans="1:8" x14ac:dyDescent="0.25">
      <c r="A53" s="26">
        <v>36</v>
      </c>
      <c r="B53" s="113">
        <v>45467</v>
      </c>
      <c r="C53" s="90" t="b">
        <f t="shared" ca="1" si="0"/>
        <v>1</v>
      </c>
      <c r="D53" s="26">
        <f ca="1">SUM(OFFSET(Daily!E$7,(A53-1)*7,0, 7))</f>
        <v>4</v>
      </c>
      <c r="E53" s="26">
        <f ca="1">SUM(OFFSET(Daily!I$7,(A53-1)*7,0, 7))</f>
        <v>0</v>
      </c>
      <c r="F53" s="26">
        <f ca="1">SUM(OFFSET(Daily!M$7,(A53-1)*7,0, 7))</f>
        <v>4</v>
      </c>
      <c r="G53" s="26">
        <f ca="1">SUM(OFFSET(Daily!Q$7,(A53-1)*7,0, 7))</f>
        <v>0</v>
      </c>
      <c r="H53" s="63">
        <f ca="1">(E53*Stats!$E$2+Weekly!F53*Stats!$E$3+Weekly!G53*Stats!$E$4)/60</f>
        <v>1.7323283082077052</v>
      </c>
    </row>
    <row r="54" spans="1:8" x14ac:dyDescent="0.25">
      <c r="A54" s="26">
        <v>37</v>
      </c>
      <c r="B54" s="113">
        <v>45474</v>
      </c>
      <c r="C54" s="90" t="b">
        <f t="shared" ca="1" si="0"/>
        <v>1</v>
      </c>
      <c r="D54" s="26">
        <f ca="1">SUM(OFFSET(Daily!E$7,(A54-1)*7,0, 7))</f>
        <v>7</v>
      </c>
      <c r="E54" s="26">
        <f ca="1">SUM(OFFSET(Daily!I$7,(A54-1)*7,0, 7))</f>
        <v>0</v>
      </c>
      <c r="F54" s="26">
        <f ca="1">SUM(OFFSET(Daily!M$7,(A54-1)*7,0, 7))</f>
        <v>7</v>
      </c>
      <c r="G54" s="26">
        <f ca="1">SUM(OFFSET(Daily!Q$7,(A54-1)*7,0, 7))</f>
        <v>0</v>
      </c>
      <c r="H54" s="63">
        <f ca="1">(E54*Stats!$E$2+Weekly!F54*Stats!$E$3+Weekly!G54*Stats!$E$4)/60</f>
        <v>3.0315745393634841</v>
      </c>
    </row>
    <row r="55" spans="1:8" x14ac:dyDescent="0.25">
      <c r="A55" s="26">
        <v>38</v>
      </c>
      <c r="B55" s="113">
        <v>45481</v>
      </c>
      <c r="C55" s="90" t="b">
        <f t="shared" ca="1" si="0"/>
        <v>1</v>
      </c>
      <c r="D55" s="26">
        <f ca="1">SUM(OFFSET(Daily!E$7,(A55-1)*7,0, 7))</f>
        <v>9</v>
      </c>
      <c r="E55" s="26">
        <f ca="1">SUM(OFFSET(Daily!I$7,(A55-1)*7,0, 7))</f>
        <v>0</v>
      </c>
      <c r="F55" s="26">
        <f ca="1">SUM(OFFSET(Daily!M$7,(A55-1)*7,0, 7))</f>
        <v>9</v>
      </c>
      <c r="G55" s="26">
        <f ca="1">SUM(OFFSET(Daily!Q$7,(A55-1)*7,0, 7))</f>
        <v>0</v>
      </c>
      <c r="H55" s="63">
        <f ca="1">(E55*Stats!$E$2+Weekly!F55*Stats!$E$3+Weekly!G55*Stats!$E$4)/60</f>
        <v>3.8977386934673368</v>
      </c>
    </row>
    <row r="56" spans="1:8" x14ac:dyDescent="0.25">
      <c r="A56" s="26">
        <v>39</v>
      </c>
      <c r="B56" s="113">
        <v>45488</v>
      </c>
      <c r="C56" s="90" t="b">
        <f t="shared" ca="1" si="0"/>
        <v>1</v>
      </c>
      <c r="D56" s="26">
        <f ca="1">SUM(OFFSET(Daily!E$7,(A56-1)*7,0, 7))</f>
        <v>2</v>
      </c>
      <c r="E56" s="26">
        <f ca="1">SUM(OFFSET(Daily!I$7,(A56-1)*7,0, 7))</f>
        <v>0</v>
      </c>
      <c r="F56" s="26">
        <f ca="1">SUM(OFFSET(Daily!M$7,(A56-1)*7,0, 7))</f>
        <v>2</v>
      </c>
      <c r="G56" s="26">
        <f ca="1">SUM(OFFSET(Daily!Q$7,(A56-1)*7,0, 7))</f>
        <v>0</v>
      </c>
      <c r="H56" s="63">
        <f ca="1">(E56*Stats!$E$2+Weekly!F56*Stats!$E$3+Weekly!G56*Stats!$E$4)/60</f>
        <v>0.86616415410385261</v>
      </c>
    </row>
    <row r="57" spans="1:8" x14ac:dyDescent="0.25">
      <c r="A57" s="26">
        <v>40</v>
      </c>
      <c r="B57" s="113">
        <v>45495</v>
      </c>
      <c r="C57" s="90" t="b">
        <f t="shared" ca="1" si="0"/>
        <v>1</v>
      </c>
      <c r="D57" s="26">
        <f ca="1">SUM(OFFSET(Daily!E$7,(A57-1)*7,0, 7))</f>
        <v>0</v>
      </c>
      <c r="E57" s="26">
        <f ca="1">SUM(OFFSET(Daily!I$7,(A57-1)*7,0, 7))</f>
        <v>0</v>
      </c>
      <c r="F57" s="26">
        <f ca="1">SUM(OFFSET(Daily!M$7,(A57-1)*7,0, 7))</f>
        <v>0</v>
      </c>
      <c r="G57" s="26">
        <f ca="1">SUM(OFFSET(Daily!Q$7,(A57-1)*7,0, 7))</f>
        <v>0</v>
      </c>
      <c r="H57" s="63">
        <f ca="1">(E57*Stats!$E$2+Weekly!F57*Stats!$E$3+Weekly!G57*Stats!$E$4)/60</f>
        <v>0</v>
      </c>
    </row>
    <row r="58" spans="1:8" x14ac:dyDescent="0.25">
      <c r="A58" s="26">
        <v>41</v>
      </c>
      <c r="B58" s="113">
        <v>45502</v>
      </c>
      <c r="C58" s="90" t="b">
        <f t="shared" ca="1" si="0"/>
        <v>1</v>
      </c>
      <c r="D58" s="26">
        <f ca="1">SUM(OFFSET(Daily!E$7,(A58-1)*7,0, 7))</f>
        <v>0</v>
      </c>
      <c r="E58" s="26">
        <f ca="1">SUM(OFFSET(Daily!I$7,(A58-1)*7,0, 7))</f>
        <v>0</v>
      </c>
      <c r="F58" s="26">
        <f ca="1">SUM(OFFSET(Daily!M$7,(A58-1)*7,0, 7))</f>
        <v>0</v>
      </c>
      <c r="G58" s="26">
        <f ca="1">SUM(OFFSET(Daily!Q$7,(A58-1)*7,0, 7))</f>
        <v>0</v>
      </c>
      <c r="H58" s="63">
        <f ca="1">(E58*Stats!$E$2+Weekly!F58*Stats!$E$3+Weekly!G58*Stats!$E$4)/60</f>
        <v>0</v>
      </c>
    </row>
    <row r="59" spans="1:8" x14ac:dyDescent="0.25">
      <c r="A59" s="26">
        <v>42</v>
      </c>
      <c r="B59" s="113">
        <v>45509</v>
      </c>
      <c r="C59" s="90" t="b">
        <f t="shared" ca="1" si="0"/>
        <v>1</v>
      </c>
      <c r="D59" s="26">
        <f ca="1">SUM(OFFSET(Daily!E$7,(A59-1)*7,0, 7))</f>
        <v>0</v>
      </c>
      <c r="E59" s="26">
        <f ca="1">SUM(OFFSET(Daily!I$7,(A59-1)*7,0, 7))</f>
        <v>0</v>
      </c>
      <c r="F59" s="26">
        <f ca="1">SUM(OFFSET(Daily!M$7,(A59-1)*7,0, 7))</f>
        <v>0</v>
      </c>
      <c r="G59" s="26">
        <f ca="1">SUM(OFFSET(Daily!Q$7,(A59-1)*7,0, 7))</f>
        <v>0</v>
      </c>
      <c r="H59" s="63">
        <f ca="1">(E59*Stats!$E$2+Weekly!F59*Stats!$E$3+Weekly!G59*Stats!$E$4)/60</f>
        <v>0</v>
      </c>
    </row>
    <row r="60" spans="1:8" x14ac:dyDescent="0.25">
      <c r="A60" s="26">
        <v>43</v>
      </c>
      <c r="B60" s="113">
        <v>45516</v>
      </c>
      <c r="C60" s="90" t="b">
        <f t="shared" ca="1" si="0"/>
        <v>1</v>
      </c>
      <c r="D60" s="26">
        <f ca="1">SUM(OFFSET(Daily!E$7,(A60-1)*7,0, 7))</f>
        <v>0</v>
      </c>
      <c r="E60" s="26">
        <f ca="1">SUM(OFFSET(Daily!I$7,(A60-1)*7,0, 7))</f>
        <v>0</v>
      </c>
      <c r="F60" s="26">
        <f ca="1">SUM(OFFSET(Daily!M$7,(A60-1)*7,0, 7))</f>
        <v>0</v>
      </c>
      <c r="G60" s="26">
        <f ca="1">SUM(OFFSET(Daily!Q$7,(A60-1)*7,0, 7))</f>
        <v>0</v>
      </c>
      <c r="H60" s="63">
        <f ca="1">(E60*Stats!$E$2+Weekly!F60*Stats!$E$3+Weekly!G60*Stats!$E$4)/60</f>
        <v>0</v>
      </c>
    </row>
    <row r="61" spans="1:8" x14ac:dyDescent="0.25">
      <c r="A61" s="26">
        <v>44</v>
      </c>
      <c r="B61" s="113">
        <v>45523</v>
      </c>
      <c r="C61" s="90" t="b">
        <f t="shared" ca="1" si="0"/>
        <v>1</v>
      </c>
      <c r="D61" s="26">
        <f ca="1">SUM(OFFSET(Daily!E$7,(A61-1)*7,0, 7))</f>
        <v>0</v>
      </c>
      <c r="E61" s="26">
        <f ca="1">SUM(OFFSET(Daily!I$7,(A61-1)*7,0, 7))</f>
        <v>0</v>
      </c>
      <c r="F61" s="26">
        <f ca="1">SUM(OFFSET(Daily!M$7,(A61-1)*7,0, 7))</f>
        <v>0</v>
      </c>
      <c r="G61" s="26">
        <f ca="1">SUM(OFFSET(Daily!Q$7,(A61-1)*7,0, 7))</f>
        <v>0</v>
      </c>
      <c r="H61" s="63">
        <f ca="1">(E61*Stats!$E$2+Weekly!F61*Stats!$E$3+Weekly!G61*Stats!$E$4)/60</f>
        <v>0</v>
      </c>
    </row>
    <row r="62" spans="1:8" x14ac:dyDescent="0.25">
      <c r="A62" s="105">
        <v>45</v>
      </c>
      <c r="B62" s="113">
        <v>45530</v>
      </c>
      <c r="C62" s="90" t="b">
        <f t="shared" ca="1" si="0"/>
        <v>1</v>
      </c>
      <c r="D62" s="105">
        <f ca="1">SUM(OFFSET(Daily!E$7,(A62-1)*7,0, 7))</f>
        <v>3</v>
      </c>
      <c r="E62" s="105">
        <f ca="1">SUM(OFFSET(Daily!I$7,(A62-1)*7,0, 7))</f>
        <v>0</v>
      </c>
      <c r="F62" s="105">
        <f ca="1">SUM(OFFSET(Daily!M$7,(A62-1)*7,0, 7))</f>
        <v>3</v>
      </c>
      <c r="G62" s="105">
        <f ca="1">SUM(OFFSET(Daily!Q$7,(A62-1)*7,0, 7))</f>
        <v>0</v>
      </c>
      <c r="H62" s="63">
        <f ca="1">(E62*Stats!$E$2+Weekly!F62*Stats!$E$3+Weekly!G62*Stats!$E$4)/60</f>
        <v>1.2992462311557789</v>
      </c>
    </row>
    <row r="63" spans="1:8" x14ac:dyDescent="0.25">
      <c r="A63" s="105">
        <v>46</v>
      </c>
      <c r="B63" s="113">
        <v>45537</v>
      </c>
      <c r="C63" s="90" t="b">
        <f t="shared" ca="1" si="0"/>
        <v>1</v>
      </c>
      <c r="D63" s="105">
        <f ca="1">SUM(OFFSET(Daily!E$7,(A63-1)*7,0, 7))</f>
        <v>6</v>
      </c>
      <c r="E63" s="105">
        <f ca="1">SUM(OFFSET(Daily!I$7,(A63-1)*7,0, 7))</f>
        <v>2</v>
      </c>
      <c r="F63" s="105">
        <f ca="1">SUM(OFFSET(Daily!M$7,(A63-1)*7,0, 7))</f>
        <v>4</v>
      </c>
      <c r="G63" s="105">
        <f ca="1">SUM(OFFSET(Daily!Q$7,(A63-1)*7,0, 7))</f>
        <v>0</v>
      </c>
      <c r="H63" s="63">
        <f ca="1">(E63*Stats!$E$2+Weekly!F63*Stats!$E$3+Weekly!G63*Stats!$E$4)/60</f>
        <v>2.1446090099620911</v>
      </c>
    </row>
    <row r="64" spans="1:8" x14ac:dyDescent="0.25">
      <c r="A64" s="105">
        <v>47</v>
      </c>
      <c r="B64" s="113">
        <v>45544</v>
      </c>
      <c r="C64" s="90" t="b">
        <f t="shared" ca="1" si="0"/>
        <v>1</v>
      </c>
      <c r="D64" s="105">
        <f ca="1">SUM(OFFSET(Daily!E$7,(A64-1)*7,0, 7))</f>
        <v>0</v>
      </c>
      <c r="E64" s="105">
        <f ca="1">SUM(OFFSET(Daily!I$7,(A64-1)*7,0, 7))</f>
        <v>0</v>
      </c>
      <c r="F64" s="105">
        <f ca="1">SUM(OFFSET(Daily!M$7,(A64-1)*7,0, 7))</f>
        <v>0</v>
      </c>
      <c r="G64" s="105">
        <f ca="1">SUM(OFFSET(Daily!Q$7,(A64-1)*7,0, 7))</f>
        <v>0</v>
      </c>
      <c r="H64" s="63">
        <f ca="1">(E64*Stats!$E$2+Weekly!F64*Stats!$E$3+Weekly!G64*Stats!$E$4)/60</f>
        <v>0</v>
      </c>
    </row>
    <row r="65" spans="1:8" x14ac:dyDescent="0.25">
      <c r="A65" s="105">
        <v>48</v>
      </c>
      <c r="B65" s="114">
        <v>45551</v>
      </c>
      <c r="C65" s="90" t="b">
        <f ca="1">TODAY()&gt;=B65</f>
        <v>1</v>
      </c>
      <c r="D65" s="105">
        <f ca="1">SUM(OFFSET(Daily!E$7,(A65-1)*7,0, 7))</f>
        <v>3</v>
      </c>
      <c r="E65" s="105">
        <f ca="1">SUM(OFFSET(Daily!I$7,(A65-1)*7,0, 7))</f>
        <v>1</v>
      </c>
      <c r="F65" s="105">
        <f ca="1">SUM(OFFSET(Daily!M$7,(A65-1)*7,0, 7))</f>
        <v>2</v>
      </c>
      <c r="G65" s="105">
        <f ca="1">SUM(OFFSET(Daily!Q$7,(A65-1)*7,0, 7))</f>
        <v>0</v>
      </c>
      <c r="H65" s="63">
        <f ca="1">(E65*Stats!$E$2+Weekly!F65*Stats!$E$3+Weekly!G65*Stats!$E$4)/60</f>
        <v>1.0723045049810456</v>
      </c>
    </row>
    <row r="66" spans="1:8" hidden="1" x14ac:dyDescent="0.25">
      <c r="A66" s="105">
        <v>49</v>
      </c>
      <c r="B66" s="113">
        <v>45558</v>
      </c>
      <c r="C66" s="90" t="b">
        <f t="shared" ref="C66:C79" ca="1" si="1">TODAY()&gt;=B66</f>
        <v>1</v>
      </c>
      <c r="D66" s="105">
        <f ca="1">SUM(OFFSET(Daily!E$7,(A66-1)*7,0, 7))</f>
        <v>0</v>
      </c>
      <c r="E66" s="105">
        <f ca="1">SUM(OFFSET(Daily!I$7,(A66-1)*7,0, 7))</f>
        <v>0</v>
      </c>
      <c r="F66" s="105">
        <f ca="1">SUM(OFFSET(Daily!M$7,(A66-1)*7,0, 7))</f>
        <v>0</v>
      </c>
      <c r="G66" s="105">
        <f ca="1">SUM(OFFSET(Daily!Q$7,(A66-1)*7,0, 7))</f>
        <v>0</v>
      </c>
      <c r="H66" s="63">
        <f ca="1">(E66*Stats!$E$2+Weekly!F66*Stats!$E$3+Weekly!G66*Stats!$E$4)/60</f>
        <v>0</v>
      </c>
    </row>
    <row r="67" spans="1:8" hidden="1" x14ac:dyDescent="0.25">
      <c r="A67" s="105">
        <v>50</v>
      </c>
      <c r="B67" s="114">
        <v>45565</v>
      </c>
      <c r="C67" s="90" t="b">
        <f t="shared" ca="1" si="1"/>
        <v>1</v>
      </c>
      <c r="D67" s="105">
        <f ca="1">SUM(OFFSET(Daily!E$7,(A67-1)*7,0, 7))</f>
        <v>0</v>
      </c>
      <c r="E67" s="105">
        <f ca="1">SUM(OFFSET(Daily!I$7,(A67-1)*7,0, 7))</f>
        <v>0</v>
      </c>
      <c r="F67" s="105">
        <f ca="1">SUM(OFFSET(Daily!M$7,(A67-1)*7,0, 7))</f>
        <v>0</v>
      </c>
      <c r="G67" s="105">
        <f ca="1">SUM(OFFSET(Daily!Q$7,(A67-1)*7,0, 7))</f>
        <v>0</v>
      </c>
      <c r="H67" s="63">
        <f ca="1">(E67*Stats!$E$2+Weekly!F67*Stats!$E$3+Weekly!G67*Stats!$E$4)/60</f>
        <v>0</v>
      </c>
    </row>
    <row r="68" spans="1:8" hidden="1" x14ac:dyDescent="0.25">
      <c r="A68" s="105">
        <v>51</v>
      </c>
      <c r="B68" s="113">
        <v>45572</v>
      </c>
      <c r="C68" s="90" t="b">
        <f t="shared" ca="1" si="1"/>
        <v>1</v>
      </c>
      <c r="D68" s="105">
        <f ca="1">SUM(OFFSET(Daily!E$7,(A68-1)*7,0, 7))</f>
        <v>0</v>
      </c>
      <c r="E68" s="105">
        <f ca="1">SUM(OFFSET(Daily!I$7,(A68-1)*7,0, 7))</f>
        <v>0</v>
      </c>
      <c r="F68" s="105">
        <f ca="1">SUM(OFFSET(Daily!M$7,(A68-1)*7,0, 7))</f>
        <v>0</v>
      </c>
      <c r="G68" s="105">
        <f ca="1">SUM(OFFSET(Daily!Q$7,(A68-1)*7,0, 7))</f>
        <v>0</v>
      </c>
      <c r="H68" s="63">
        <f ca="1">(E68*Stats!$E$2+Weekly!F68*Stats!$E$3+Weekly!G68*Stats!$E$4)/60</f>
        <v>0</v>
      </c>
    </row>
    <row r="69" spans="1:8" hidden="1" x14ac:dyDescent="0.25">
      <c r="A69" s="105">
        <v>52</v>
      </c>
      <c r="B69" s="114">
        <v>45579</v>
      </c>
      <c r="C69" s="90" t="b">
        <f t="shared" ca="1" si="1"/>
        <v>1</v>
      </c>
      <c r="D69" s="105">
        <f ca="1">SUM(OFFSET(Daily!E$7,(A69-1)*7,0, 7))</f>
        <v>8</v>
      </c>
      <c r="E69" s="105">
        <f ca="1">SUM(OFFSET(Daily!I$7,(A69-1)*7,0, 7))</f>
        <v>1</v>
      </c>
      <c r="F69" s="105">
        <f ca="1">SUM(OFFSET(Daily!M$7,(A69-1)*7,0, 7))</f>
        <v>7</v>
      </c>
      <c r="G69" s="105">
        <f ca="1">SUM(OFFSET(Daily!Q$7,(A69-1)*7,0, 7))</f>
        <v>0</v>
      </c>
      <c r="H69" s="63">
        <f ca="1">(E69*Stats!$E$2+Weekly!F69*Stats!$E$3+Weekly!G69*Stats!$E$4)/60</f>
        <v>3.2377148902406772</v>
      </c>
    </row>
    <row r="70" spans="1:8" hidden="1" x14ac:dyDescent="0.25">
      <c r="A70" s="105">
        <v>53</v>
      </c>
      <c r="B70" s="113">
        <v>45586</v>
      </c>
      <c r="C70" s="90" t="b">
        <f t="shared" ca="1" si="1"/>
        <v>1</v>
      </c>
      <c r="D70" s="105">
        <f ca="1">SUM(OFFSET(Daily!E$7,(A70-1)*7,0, 7))</f>
        <v>0</v>
      </c>
      <c r="E70" s="105">
        <f ca="1">SUM(OFFSET(Daily!I$7,(A70-1)*7,0, 7))</f>
        <v>0</v>
      </c>
      <c r="F70" s="105">
        <f ca="1">SUM(OFFSET(Daily!M$7,(A70-1)*7,0, 7))</f>
        <v>0</v>
      </c>
      <c r="G70" s="105">
        <f ca="1">SUM(OFFSET(Daily!Q$7,(A70-1)*7,0, 7))</f>
        <v>0</v>
      </c>
      <c r="H70" s="63">
        <f ca="1">(E70*Stats!$E$2+Weekly!F70*Stats!$E$3+Weekly!G70*Stats!$E$4)/60</f>
        <v>0</v>
      </c>
    </row>
    <row r="71" spans="1:8" hidden="1" x14ac:dyDescent="0.25">
      <c r="A71" s="105">
        <v>54</v>
      </c>
      <c r="B71" s="114">
        <v>45593</v>
      </c>
      <c r="C71" s="90" t="b">
        <f t="shared" ca="1" si="1"/>
        <v>1</v>
      </c>
      <c r="D71" s="105">
        <f ca="1">SUM(OFFSET(Daily!E$7,(A71-1)*7,0, 7))</f>
        <v>0</v>
      </c>
      <c r="E71" s="105">
        <f ca="1">SUM(OFFSET(Daily!I$7,(A71-1)*7,0, 7))</f>
        <v>0</v>
      </c>
      <c r="F71" s="105">
        <f ca="1">SUM(OFFSET(Daily!M$7,(A71-1)*7,0, 7))</f>
        <v>0</v>
      </c>
      <c r="G71" s="105">
        <f ca="1">SUM(OFFSET(Daily!Q$7,(A71-1)*7,0, 7))</f>
        <v>0</v>
      </c>
      <c r="H71" s="63">
        <f ca="1">(E71*Stats!$E$2+Weekly!F71*Stats!$E$3+Weekly!G71*Stats!$E$4)/60</f>
        <v>0</v>
      </c>
    </row>
    <row r="72" spans="1:8" hidden="1" x14ac:dyDescent="0.25">
      <c r="A72" s="105">
        <v>55</v>
      </c>
      <c r="B72" s="113">
        <v>45600</v>
      </c>
      <c r="C72" s="90" t="b">
        <f t="shared" ca="1" si="1"/>
        <v>1</v>
      </c>
      <c r="D72" s="105">
        <f ca="1">SUM(OFFSET(Daily!E$7,(A72-1)*7,0, 7))</f>
        <v>3</v>
      </c>
      <c r="E72" s="105">
        <f ca="1">SUM(OFFSET(Daily!I$7,(A72-1)*7,0, 7))</f>
        <v>1</v>
      </c>
      <c r="F72" s="105">
        <f ca="1">SUM(OFFSET(Daily!M$7,(A72-1)*7,0, 7))</f>
        <v>2</v>
      </c>
      <c r="G72" s="105">
        <f ca="1">SUM(OFFSET(Daily!Q$7,(A72-1)*7,0, 7))</f>
        <v>0</v>
      </c>
      <c r="H72" s="63">
        <f ca="1">(E72*Stats!$E$2+Weekly!F72*Stats!$E$3+Weekly!G72*Stats!$E$4)/60</f>
        <v>1.0723045049810456</v>
      </c>
    </row>
    <row r="73" spans="1:8" hidden="1" x14ac:dyDescent="0.25">
      <c r="A73" s="105">
        <v>56</v>
      </c>
      <c r="B73" s="114">
        <v>45607</v>
      </c>
      <c r="C73" s="90" t="b">
        <f t="shared" ca="1" si="1"/>
        <v>0</v>
      </c>
      <c r="D73" s="105">
        <f ca="1">SUM(OFFSET(Daily!E$7,(A73-1)*7,0, 7))</f>
        <v>0</v>
      </c>
      <c r="E73" s="105">
        <f ca="1">SUM(OFFSET(Daily!I$7,(A73-1)*7,0, 7))</f>
        <v>0</v>
      </c>
      <c r="F73" s="105">
        <f ca="1">SUM(OFFSET(Daily!M$7,(A73-1)*7,0, 7))</f>
        <v>0</v>
      </c>
      <c r="G73" s="105">
        <f ca="1">SUM(OFFSET(Daily!Q$7,(A73-1)*7,0, 7))</f>
        <v>0</v>
      </c>
      <c r="H73" s="63">
        <f ca="1">(E73*Stats!$E$2+Weekly!F73*Stats!$E$3+Weekly!G73*Stats!$E$4)/60</f>
        <v>0</v>
      </c>
    </row>
    <row r="74" spans="1:8" hidden="1" x14ac:dyDescent="0.25">
      <c r="A74" s="105">
        <v>57</v>
      </c>
      <c r="B74" s="113">
        <v>45614</v>
      </c>
      <c r="C74" s="90" t="b">
        <f t="shared" ca="1" si="1"/>
        <v>0</v>
      </c>
      <c r="D74" s="105">
        <f ca="1">SUM(OFFSET(Daily!E$7,(A74-1)*7,0, 7))</f>
        <v>0</v>
      </c>
      <c r="E74" s="105">
        <f ca="1">SUM(OFFSET(Daily!I$7,(A74-1)*7,0, 7))</f>
        <v>0</v>
      </c>
      <c r="F74" s="105">
        <f ca="1">SUM(OFFSET(Daily!M$7,(A74-1)*7,0, 7))</f>
        <v>0</v>
      </c>
      <c r="G74" s="105">
        <f ca="1">SUM(OFFSET(Daily!Q$7,(A74-1)*7,0, 7))</f>
        <v>0</v>
      </c>
      <c r="H74" s="63">
        <f ca="1">(E74*Stats!$E$2+Weekly!F74*Stats!$E$3+Weekly!G74*Stats!$E$4)/60</f>
        <v>0</v>
      </c>
    </row>
    <row r="75" spans="1:8" hidden="1" x14ac:dyDescent="0.25">
      <c r="A75" s="105">
        <v>58</v>
      </c>
      <c r="B75" s="114">
        <v>45621</v>
      </c>
      <c r="C75" s="90" t="b">
        <f t="shared" ca="1" si="1"/>
        <v>0</v>
      </c>
      <c r="D75" s="105">
        <f ca="1">SUM(OFFSET(Daily!E$7,(A75-1)*7,0, 7))</f>
        <v>0</v>
      </c>
      <c r="E75" s="105">
        <f ca="1">SUM(OFFSET(Daily!I$7,(A75-1)*7,0, 7))</f>
        <v>0</v>
      </c>
      <c r="F75" s="105">
        <f ca="1">SUM(OFFSET(Daily!M$7,(A75-1)*7,0, 7))</f>
        <v>0</v>
      </c>
      <c r="G75" s="105">
        <f ca="1">SUM(OFFSET(Daily!Q$7,(A75-1)*7,0, 7))</f>
        <v>0</v>
      </c>
      <c r="H75" s="63">
        <f ca="1">(E75*Stats!$E$2+Weekly!F75*Stats!$E$3+Weekly!G75*Stats!$E$4)/60</f>
        <v>0</v>
      </c>
    </row>
    <row r="76" spans="1:8" hidden="1" x14ac:dyDescent="0.25">
      <c r="A76" s="105">
        <v>59</v>
      </c>
      <c r="B76" s="113">
        <v>45628</v>
      </c>
      <c r="C76" s="90" t="b">
        <f t="shared" ca="1" si="1"/>
        <v>0</v>
      </c>
      <c r="D76" s="105">
        <f ca="1">SUM(OFFSET(Daily!E$7,(A76-1)*7,0, 7))</f>
        <v>0</v>
      </c>
      <c r="E76" s="105">
        <f ca="1">SUM(OFFSET(Daily!I$7,(A76-1)*7,0, 7))</f>
        <v>0</v>
      </c>
      <c r="F76" s="105">
        <f ca="1">SUM(OFFSET(Daily!M$7,(A76-1)*7,0, 7))</f>
        <v>0</v>
      </c>
      <c r="G76" s="105">
        <f ca="1">SUM(OFFSET(Daily!Q$7,(A76-1)*7,0, 7))</f>
        <v>0</v>
      </c>
      <c r="H76" s="63">
        <f ca="1">(E76*Stats!$E$2+Weekly!F76*Stats!$E$3+Weekly!G76*Stats!$E$4)/60</f>
        <v>0</v>
      </c>
    </row>
    <row r="77" spans="1:8" hidden="1" x14ac:dyDescent="0.25">
      <c r="A77" s="105">
        <v>60</v>
      </c>
      <c r="B77" s="114">
        <v>45635</v>
      </c>
      <c r="C77" s="90" t="b">
        <f t="shared" ca="1" si="1"/>
        <v>0</v>
      </c>
      <c r="D77" s="105">
        <f ca="1">SUM(OFFSET(Daily!E$7,(A77-1)*7,0, 7))</f>
        <v>0</v>
      </c>
      <c r="E77" s="105">
        <f ca="1">SUM(OFFSET(Daily!I$7,(A77-1)*7,0, 7))</f>
        <v>0</v>
      </c>
      <c r="F77" s="105">
        <f ca="1">SUM(OFFSET(Daily!M$7,(A77-1)*7,0, 7))</f>
        <v>0</v>
      </c>
      <c r="G77" s="105">
        <f ca="1">SUM(OFFSET(Daily!Q$7,(A77-1)*7,0, 7))</f>
        <v>0</v>
      </c>
      <c r="H77" s="63">
        <f ca="1">(E77*Stats!$E$2+Weekly!F77*Stats!$E$3+Weekly!G77*Stats!$E$4)/60</f>
        <v>0</v>
      </c>
    </row>
    <row r="78" spans="1:8" hidden="1" x14ac:dyDescent="0.25">
      <c r="A78" s="105">
        <v>61</v>
      </c>
      <c r="B78" s="113">
        <v>45642</v>
      </c>
      <c r="C78" s="90" t="b">
        <f t="shared" ca="1" si="1"/>
        <v>0</v>
      </c>
      <c r="D78" s="105">
        <f ca="1">SUM(OFFSET(Daily!E$7,(A78-1)*7,0, 7))</f>
        <v>0</v>
      </c>
      <c r="E78" s="105">
        <f ca="1">SUM(OFFSET(Daily!I$7,(A78-1)*7,0, 7))</f>
        <v>0</v>
      </c>
      <c r="F78" s="105">
        <f ca="1">SUM(OFFSET(Daily!M$7,(A78-1)*7,0, 7))</f>
        <v>0</v>
      </c>
      <c r="G78" s="105">
        <f ca="1">SUM(OFFSET(Daily!Q$7,(A78-1)*7,0, 7))</f>
        <v>0</v>
      </c>
      <c r="H78" s="63">
        <f ca="1">(E78*Stats!$E$2+Weekly!F78*Stats!$E$3+Weekly!G78*Stats!$E$4)/60</f>
        <v>0</v>
      </c>
    </row>
    <row r="79" spans="1:8" hidden="1" x14ac:dyDescent="0.25">
      <c r="A79" s="105">
        <v>62</v>
      </c>
      <c r="B79" s="114">
        <v>45649</v>
      </c>
      <c r="C79" s="90" t="b">
        <f t="shared" ca="1" si="1"/>
        <v>0</v>
      </c>
      <c r="D79" s="105">
        <f ca="1">SUM(OFFSET(Daily!E$7,(A79-1)*7,0, 7))</f>
        <v>0</v>
      </c>
      <c r="E79" s="105">
        <f ca="1">SUM(OFFSET(Daily!I$7,(A79-1)*7,0, 7))</f>
        <v>0</v>
      </c>
      <c r="F79" s="105">
        <f ca="1">SUM(OFFSET(Daily!M$7,(A79-1)*7,0, 7))</f>
        <v>0</v>
      </c>
      <c r="G79" s="105">
        <f ca="1">SUM(OFFSET(Daily!Q$7,(A79-1)*7,0, 7))</f>
        <v>0</v>
      </c>
      <c r="H79" s="63">
        <f ca="1">(E79*Stats!$E$2+Weekly!F79*Stats!$E$3+Weekly!G79*Stats!$E$4)/60</f>
        <v>0</v>
      </c>
    </row>
  </sheetData>
  <autoFilter ref="A17:F79" xr:uid="{C0667071-9046-4C16-9935-23CAF32BFA45}">
    <filterColumn colId="2">
      <filters>
        <filter val="TRUE"/>
      </filters>
    </filterColumn>
  </autoFilter>
  <conditionalFormatting sqref="B65 B67 B69 B71 B73 B75 B77 B79">
    <cfRule type="cellIs" dxfId="5" priority="1" operator="equal">
      <formula>TODAY()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BF951-B345-486B-AD27-42376B11E8DA}">
  <sheetPr codeName="Sheet5"/>
  <dimension ref="A1:J13"/>
  <sheetViews>
    <sheetView showGridLines="0" zoomScaleNormal="100" workbookViewId="0">
      <selection activeCell="M3" sqref="M3"/>
    </sheetView>
  </sheetViews>
  <sheetFormatPr defaultColWidth="8.85546875" defaultRowHeight="15" x14ac:dyDescent="0.25"/>
  <cols>
    <col min="1" max="1" width="12.85546875" style="25" customWidth="1"/>
    <col min="2" max="2" width="13.85546875" style="25" bestFit="1" customWidth="1"/>
    <col min="3" max="3" width="13.85546875" customWidth="1"/>
    <col min="4" max="4" width="16.85546875" customWidth="1"/>
    <col min="5" max="5" width="17" bestFit="1" customWidth="1"/>
    <col min="6" max="6" width="11.7109375" customWidth="1"/>
  </cols>
  <sheetData>
    <row r="1" spans="1:10" x14ac:dyDescent="0.25">
      <c r="A1" s="61"/>
      <c r="B1" s="59" t="s">
        <v>8022</v>
      </c>
      <c r="C1" s="59" t="s">
        <v>8023</v>
      </c>
      <c r="D1" s="59" t="s">
        <v>8026</v>
      </c>
      <c r="E1" s="59" t="s">
        <v>8027</v>
      </c>
      <c r="F1" s="59" t="s">
        <v>8024</v>
      </c>
    </row>
    <row r="2" spans="1:10" x14ac:dyDescent="0.25">
      <c r="A2" s="61" t="s">
        <v>10</v>
      </c>
      <c r="B2" s="26">
        <f>COUNTIFS(Tracker!E:E, 1, Tracker!I:I, "&gt;0")</f>
        <v>99</v>
      </c>
      <c r="C2" s="26">
        <f>COUNTIFS(Tracker!E:E, 1, Tracker!L:L, "Y") + COUNTIFS(Tracker!E:E, 1, Tracker!L:L, "Maybe")</f>
        <v>17</v>
      </c>
      <c r="D2" s="62">
        <f>COUNTIFS(Tracker!E:E, 1, Tracker!J:J, "Y")/B2</f>
        <v>0.95959595959595956</v>
      </c>
      <c r="E2" s="63">
        <f>AVERAGEIFS(Tracker!I:I, Tracker!E:E, 1, Tracker!J:J, "Y")</f>
        <v>12.368421052631579</v>
      </c>
      <c r="F2" s="62">
        <f>(B2-C2)/B2</f>
        <v>0.82828282828282829</v>
      </c>
      <c r="J2" s="87"/>
    </row>
    <row r="3" spans="1:10" x14ac:dyDescent="0.25">
      <c r="A3" s="61" t="s">
        <v>14</v>
      </c>
      <c r="B3" s="26">
        <f>COUNTIFS(Tracker!E:E, 2, Tracker!I:I, "&gt;0")</f>
        <v>250</v>
      </c>
      <c r="C3" s="26">
        <f>COUNTIFS(Tracker!E:E, 2, Tracker!L:L, "Y") + COUNTIFS(Tracker!E:E, 2, Tracker!L:L, "Maybe")</f>
        <v>95</v>
      </c>
      <c r="D3" s="62">
        <f>COUNTIFS(Tracker!E:E, 2, Tracker!J:J, "Y")/B3</f>
        <v>0.79600000000000004</v>
      </c>
      <c r="E3" s="63">
        <f>AVERAGEIFS(Tracker!I:I, Tracker!E:E, 2, Tracker!J:J, "Y")</f>
        <v>25.984924623115578</v>
      </c>
      <c r="F3" s="62">
        <f>(B3-C3)/B3</f>
        <v>0.62</v>
      </c>
      <c r="J3" s="87"/>
    </row>
    <row r="4" spans="1:10" x14ac:dyDescent="0.25">
      <c r="A4" s="61" t="s">
        <v>45</v>
      </c>
      <c r="B4" s="26">
        <f>COUNTIFS(Tracker!E:E, 3, Tracker!I:I, "&gt;0")</f>
        <v>42</v>
      </c>
      <c r="C4" s="26">
        <f>COUNTIFS(Tracker!E:E, 3, Tracker!L:L, "Y") + COUNTIFS(Tracker!E:E, 3, Tracker!L:L, "Maybe")</f>
        <v>27</v>
      </c>
      <c r="D4" s="62">
        <f>COUNTIFS(Tracker!E:E, 3, Tracker!J:J, "Y")/B4</f>
        <v>0.6428571428571429</v>
      </c>
      <c r="E4" s="63">
        <f>AVERAGEIFS(Tracker!I:I, Tracker!E:E, 3, Tracker!J:J, "Y")</f>
        <v>40.074074074074076</v>
      </c>
      <c r="F4" s="62">
        <f>(B4-C4)/B4</f>
        <v>0.35714285714285715</v>
      </c>
      <c r="J4" s="87"/>
    </row>
    <row r="5" spans="1:10" x14ac:dyDescent="0.25">
      <c r="A5" s="61" t="s">
        <v>8025</v>
      </c>
      <c r="B5" s="86">
        <f>SUM(B2:B4)</f>
        <v>391</v>
      </c>
      <c r="C5" s="26">
        <f>COUNTIF(Tracker!L:L, "Y") + COUNTIFS(Tracker!L:L, "Maybe")</f>
        <v>139</v>
      </c>
      <c r="D5" s="62">
        <f>COUNTIF(Tracker!J:J, "Y")/B5</f>
        <v>0.82097186700767266</v>
      </c>
      <c r="E5" s="63">
        <f>AVERAGEIFS(Tracker!I:I, Tracker!J:J, "Y")</f>
        <v>23.140186915887849</v>
      </c>
      <c r="F5" s="62">
        <f>(B5-C5)/B5</f>
        <v>0.64450127877237851</v>
      </c>
      <c r="J5" s="87"/>
    </row>
    <row r="7" spans="1:10" x14ac:dyDescent="0.25">
      <c r="A7" s="59" t="s">
        <v>8385</v>
      </c>
      <c r="B7" s="96">
        <f ca="1">B5/(INT(TODAY() - Daily!C4))</f>
        <v>1.026246719160105</v>
      </c>
      <c r="E7" s="1"/>
    </row>
    <row r="12" spans="1:10" x14ac:dyDescent="0.25">
      <c r="A12" s="27">
        <f ca="1">TODAY()</f>
        <v>45600</v>
      </c>
      <c r="B12" s="26">
        <v>99999</v>
      </c>
    </row>
    <row r="13" spans="1:10" x14ac:dyDescent="0.25">
      <c r="A13" s="27">
        <f ca="1">TODAY()</f>
        <v>45600</v>
      </c>
      <c r="B13" s="26">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24701-461E-4108-B551-772D8F0B28F0}">
  <sheetPr codeName="Sheet6"/>
  <dimension ref="A1:F134"/>
  <sheetViews>
    <sheetView showGridLines="0" workbookViewId="0">
      <selection activeCell="C2" sqref="C2"/>
    </sheetView>
  </sheetViews>
  <sheetFormatPr defaultRowHeight="15" x14ac:dyDescent="0.25"/>
  <cols>
    <col min="1" max="2" width="9.140625" style="89"/>
    <col min="3" max="3" width="44.7109375" style="101" customWidth="1"/>
  </cols>
  <sheetData>
    <row r="1" spans="1:6" x14ac:dyDescent="0.25">
      <c r="A1" s="90" t="s">
        <v>8037</v>
      </c>
      <c r="B1" s="17" t="s">
        <v>7843</v>
      </c>
      <c r="C1" s="17" t="s">
        <v>7844</v>
      </c>
      <c r="E1" s="17" t="s">
        <v>3</v>
      </c>
      <c r="F1" s="17" t="s">
        <v>8036</v>
      </c>
    </row>
    <row r="2" spans="1:6" x14ac:dyDescent="0.25">
      <c r="A2" s="89">
        <v>1</v>
      </c>
      <c r="B2" s="89">
        <v>337</v>
      </c>
      <c r="C2" s="101" t="str">
        <f>IF(B2="", "", _xlfn.XLOOKUP(B2,Tracker!A:A,Tracker!D:D))</f>
        <v>House Robber III</v>
      </c>
      <c r="D2">
        <f>IF(B2="", "", _xlfn.XLOOKUP(B2,Tracker!A:A,Tracker!E:E))</f>
        <v>2</v>
      </c>
      <c r="E2" s="18">
        <v>1</v>
      </c>
      <c r="F2" s="89">
        <v>1</v>
      </c>
    </row>
    <row r="3" spans="1:6" x14ac:dyDescent="0.25">
      <c r="A3" s="89">
        <v>2</v>
      </c>
      <c r="B3" s="89">
        <v>1249</v>
      </c>
      <c r="C3" s="101" t="str">
        <f>IF(B3="", "", _xlfn.XLOOKUP(B3,Tracker!A:A,Tracker!D:D))</f>
        <v>Minimum Remove to Make Valid Parentheses</v>
      </c>
      <c r="D3">
        <f>IF(B3="", "", _xlfn.XLOOKUP(B3,Tracker!A:A,Tracker!E:E))</f>
        <v>2</v>
      </c>
      <c r="E3" s="18">
        <v>2</v>
      </c>
      <c r="F3" s="89">
        <v>2</v>
      </c>
    </row>
    <row r="4" spans="1:6" x14ac:dyDescent="0.25">
      <c r="C4" s="101" t="str">
        <f>IF(B4="", "", _xlfn.XLOOKUP(B4,Tracker!A:A,Tracker!D:D))</f>
        <v/>
      </c>
      <c r="D4" t="str">
        <f>IF(B4="", "", _xlfn.XLOOKUP(B4,Tracker!A:A,Tracker!E:E))</f>
        <v/>
      </c>
      <c r="E4" s="18">
        <v>3</v>
      </c>
      <c r="F4" s="89">
        <v>0</v>
      </c>
    </row>
    <row r="5" spans="1:6" x14ac:dyDescent="0.25">
      <c r="C5" s="101" t="str">
        <f>IF(B5="", "", _xlfn.XLOOKUP(B5,Tracker!A:A,Tracker!D:D))</f>
        <v/>
      </c>
      <c r="D5" t="str">
        <f>IF(B5="", "", _xlfn.XLOOKUP(B5,Tracker!A:A,Tracker!E:E))</f>
        <v/>
      </c>
    </row>
    <row r="6" spans="1:6" x14ac:dyDescent="0.25">
      <c r="C6" s="101" t="str">
        <f>IF(B6="", "", _xlfn.XLOOKUP(B6,Tracker!A:A,Tracker!D:D))</f>
        <v/>
      </c>
      <c r="D6" t="str">
        <f>IF(B6="", "", _xlfn.XLOOKUP(B6,Tracker!A:A,Tracker!E:E))</f>
        <v/>
      </c>
    </row>
    <row r="7" spans="1:6" x14ac:dyDescent="0.25">
      <c r="C7" s="101" t="str">
        <f>IF(B7="", "", _xlfn.XLOOKUP(B7,Tracker!A:A,Tracker!D:D))</f>
        <v/>
      </c>
      <c r="D7" t="str">
        <f>IF(B7="", "", _xlfn.XLOOKUP(B7,Tracker!A:A,Tracker!E:E))</f>
        <v/>
      </c>
    </row>
    <row r="8" spans="1:6" x14ac:dyDescent="0.25">
      <c r="C8" s="101" t="str">
        <f>IF(B8="", "", _xlfn.XLOOKUP(B8,Tracker!A:A,Tracker!D:D))</f>
        <v/>
      </c>
      <c r="D8" t="str">
        <f>IF(B8="", "", _xlfn.XLOOKUP(B8,Tracker!A:A,Tracker!E:E))</f>
        <v/>
      </c>
    </row>
    <row r="9" spans="1:6" x14ac:dyDescent="0.25">
      <c r="C9" s="101" t="str">
        <f>IF(B9="", "", _xlfn.XLOOKUP(B9,Tracker!A:A,Tracker!D:D))</f>
        <v/>
      </c>
      <c r="D9" t="str">
        <f>IF(B9="", "", _xlfn.XLOOKUP(B9,Tracker!A:A,Tracker!E:E))</f>
        <v/>
      </c>
    </row>
    <row r="10" spans="1:6" x14ac:dyDescent="0.25">
      <c r="C10" s="101" t="str">
        <f>IF(B10="", "", _xlfn.XLOOKUP(B10,Tracker!A:A,Tracker!D:D))</f>
        <v/>
      </c>
      <c r="D10" t="str">
        <f>IF(B10="", "", _xlfn.XLOOKUP(B10,Tracker!A:A,Tracker!E:E))</f>
        <v/>
      </c>
    </row>
    <row r="11" spans="1:6" x14ac:dyDescent="0.25">
      <c r="C11" s="101" t="str">
        <f>IF(B11="", "", _xlfn.XLOOKUP(B11,Tracker!A:A,Tracker!D:D))</f>
        <v/>
      </c>
      <c r="D11" t="str">
        <f>IF(B11="", "", _xlfn.XLOOKUP(B11,Tracker!A:A,Tracker!E:E))</f>
        <v/>
      </c>
    </row>
    <row r="12" spans="1:6" x14ac:dyDescent="0.25">
      <c r="C12" s="101" t="str">
        <f>IF(B12="", "", _xlfn.XLOOKUP(B12,Tracker!A:A,Tracker!D:D))</f>
        <v/>
      </c>
      <c r="D12" t="str">
        <f>IF(B12="", "", _xlfn.XLOOKUP(B12,Tracker!A:A,Tracker!E:E))</f>
        <v/>
      </c>
    </row>
    <row r="13" spans="1:6" x14ac:dyDescent="0.25">
      <c r="C13" s="101" t="str">
        <f>IF(B13="", "", _xlfn.XLOOKUP(B13,Tracker!A:A,Tracker!D:D))</f>
        <v/>
      </c>
      <c r="D13" t="str">
        <f>IF(B13="", "", _xlfn.XLOOKUP(B13,Tracker!A:A,Tracker!E:E))</f>
        <v/>
      </c>
    </row>
    <row r="14" spans="1:6" x14ac:dyDescent="0.25">
      <c r="C14" s="101" t="str">
        <f>IF(B14="", "", _xlfn.XLOOKUP(B14,Tracker!A:A,Tracker!D:D))</f>
        <v/>
      </c>
      <c r="D14" t="str">
        <f>IF(B14="", "", _xlfn.XLOOKUP(B14,Tracker!A:A,Tracker!E:E))</f>
        <v/>
      </c>
    </row>
    <row r="15" spans="1:6" x14ac:dyDescent="0.25">
      <c r="C15" s="101" t="str">
        <f>IF(B15="", "", _xlfn.XLOOKUP(B15,Tracker!A:A,Tracker!D:D))</f>
        <v/>
      </c>
      <c r="D15" t="str">
        <f>IF(B15="", "", _xlfn.XLOOKUP(B15,Tracker!A:A,Tracker!E:E))</f>
        <v/>
      </c>
    </row>
    <row r="16" spans="1:6" x14ac:dyDescent="0.25">
      <c r="C16" s="101" t="str">
        <f>IF(B16="", "", _xlfn.XLOOKUP(B16,Tracker!A:A,Tracker!D:D))</f>
        <v/>
      </c>
      <c r="D16" t="str">
        <f>IF(B16="", "", _xlfn.XLOOKUP(B16,Tracker!A:A,Tracker!E:E))</f>
        <v/>
      </c>
    </row>
    <row r="17" spans="3:4" x14ac:dyDescent="0.25">
      <c r="C17" s="101" t="str">
        <f>IF(B17="", "", _xlfn.XLOOKUP(B17,Tracker!A:A,Tracker!D:D))</f>
        <v/>
      </c>
      <c r="D17" t="str">
        <f>IF(B17="", "", _xlfn.XLOOKUP(B17,Tracker!A:A,Tracker!E:E))</f>
        <v/>
      </c>
    </row>
    <row r="18" spans="3:4" x14ac:dyDescent="0.25">
      <c r="C18" s="101" t="str">
        <f>IF(B18="", "", _xlfn.XLOOKUP(B18,Tracker!A:A,Tracker!D:D))</f>
        <v/>
      </c>
      <c r="D18" t="str">
        <f>IF(B18="", "", _xlfn.XLOOKUP(B18,Tracker!A:A,Tracker!E:E))</f>
        <v/>
      </c>
    </row>
    <row r="19" spans="3:4" x14ac:dyDescent="0.25">
      <c r="C19" s="101" t="str">
        <f>IF(B19="", "", _xlfn.XLOOKUP(B19,Tracker!A:A,Tracker!D:D))</f>
        <v/>
      </c>
      <c r="D19" t="str">
        <f>IF(B19="", "", _xlfn.XLOOKUP(B19,Tracker!A:A,Tracker!E:E))</f>
        <v/>
      </c>
    </row>
    <row r="20" spans="3:4" x14ac:dyDescent="0.25">
      <c r="C20" s="101" t="str">
        <f>IF(B20="", "", _xlfn.XLOOKUP(B20,Tracker!A:A,Tracker!D:D))</f>
        <v/>
      </c>
      <c r="D20" t="str">
        <f>IF(B20="", "", _xlfn.XLOOKUP(B20,Tracker!A:A,Tracker!E:E))</f>
        <v/>
      </c>
    </row>
    <row r="21" spans="3:4" x14ac:dyDescent="0.25">
      <c r="C21" s="101" t="str">
        <f>IF(B21="", "", _xlfn.XLOOKUP(B21,Tracker!A:A,Tracker!D:D))</f>
        <v/>
      </c>
      <c r="D21" t="str">
        <f>IF(B21="", "", _xlfn.XLOOKUP(B21,Tracker!A:A,Tracker!E:E))</f>
        <v/>
      </c>
    </row>
    <row r="22" spans="3:4" x14ac:dyDescent="0.25">
      <c r="C22" s="101" t="str">
        <f>IF(B22="", "", _xlfn.XLOOKUP(B22,Tracker!A:A,Tracker!D:D))</f>
        <v/>
      </c>
      <c r="D22" t="str">
        <f>IF(B22="", "", _xlfn.XLOOKUP(B22,Tracker!A:A,Tracker!E:E))</f>
        <v/>
      </c>
    </row>
    <row r="23" spans="3:4" x14ac:dyDescent="0.25">
      <c r="C23" s="101" t="str">
        <f>IF(B23="", "", _xlfn.XLOOKUP(B23,Tracker!A:A,Tracker!D:D))</f>
        <v/>
      </c>
      <c r="D23" t="str">
        <f>IF(B23="", "", _xlfn.XLOOKUP(B23,Tracker!A:A,Tracker!E:E))</f>
        <v/>
      </c>
    </row>
    <row r="24" spans="3:4" x14ac:dyDescent="0.25">
      <c r="C24" s="101" t="str">
        <f>IF(B24="", "", _xlfn.XLOOKUP(B24,Tracker!A:A,Tracker!D:D))</f>
        <v/>
      </c>
      <c r="D24" t="str">
        <f>IF(B24="", "", _xlfn.XLOOKUP(B24,Tracker!A:A,Tracker!E:E))</f>
        <v/>
      </c>
    </row>
    <row r="25" spans="3:4" x14ac:dyDescent="0.25">
      <c r="C25" s="101" t="str">
        <f>IF(B25="", "", _xlfn.XLOOKUP(B25,Tracker!A:A,Tracker!D:D))</f>
        <v/>
      </c>
      <c r="D25" t="str">
        <f>IF(B25="", "", _xlfn.XLOOKUP(B25,Tracker!A:A,Tracker!E:E))</f>
        <v/>
      </c>
    </row>
    <row r="26" spans="3:4" x14ac:dyDescent="0.25">
      <c r="C26" s="101" t="str">
        <f>IF(B26="", "", _xlfn.XLOOKUP(B26,Tracker!A:A,Tracker!D:D))</f>
        <v/>
      </c>
      <c r="D26" t="str">
        <f>IF(B26="", "", _xlfn.XLOOKUP(B26,Tracker!A:A,Tracker!E:E))</f>
        <v/>
      </c>
    </row>
    <row r="27" spans="3:4" x14ac:dyDescent="0.25">
      <c r="C27" s="101" t="str">
        <f>IF(B27="", "", _xlfn.XLOOKUP(B27,Tracker!A:A,Tracker!D:D))</f>
        <v/>
      </c>
      <c r="D27" t="str">
        <f>IF(B27="", "", _xlfn.XLOOKUP(B27,Tracker!A:A,Tracker!E:E))</f>
        <v/>
      </c>
    </row>
    <row r="28" spans="3:4" x14ac:dyDescent="0.25">
      <c r="C28" s="101" t="str">
        <f>IF(B28="", "", _xlfn.XLOOKUP(B28,Tracker!A:A,Tracker!D:D))</f>
        <v/>
      </c>
      <c r="D28" t="str">
        <f>IF(B28="", "", _xlfn.XLOOKUP(B28,Tracker!A:A,Tracker!E:E))</f>
        <v/>
      </c>
    </row>
    <row r="29" spans="3:4" x14ac:dyDescent="0.25">
      <c r="C29" s="101" t="str">
        <f>IF(B29="", "", _xlfn.XLOOKUP(B29,Tracker!A:A,Tracker!D:D))</f>
        <v/>
      </c>
      <c r="D29" t="str">
        <f>IF(B29="", "", _xlfn.XLOOKUP(B29,Tracker!A:A,Tracker!E:E))</f>
        <v/>
      </c>
    </row>
    <row r="30" spans="3:4" x14ac:dyDescent="0.25">
      <c r="C30" s="101" t="str">
        <f>IF(B30="", "", _xlfn.XLOOKUP(B30,Tracker!A:A,Tracker!D:D))</f>
        <v/>
      </c>
      <c r="D30" t="str">
        <f>IF(B30="", "", _xlfn.XLOOKUP(B30,Tracker!A:A,Tracker!E:E))</f>
        <v/>
      </c>
    </row>
    <row r="31" spans="3:4" x14ac:dyDescent="0.25">
      <c r="C31" s="101" t="str">
        <f>IF(B31="", "", _xlfn.XLOOKUP(B31,Tracker!A:A,Tracker!D:D))</f>
        <v/>
      </c>
      <c r="D31" t="str">
        <f>IF(B31="", "", _xlfn.XLOOKUP(B31,Tracker!A:A,Tracker!E:E))</f>
        <v/>
      </c>
    </row>
    <row r="32" spans="3:4" x14ac:dyDescent="0.25">
      <c r="C32" s="101" t="str">
        <f>IF(B32="", "", _xlfn.XLOOKUP(B32,Tracker!A:A,Tracker!D:D))</f>
        <v/>
      </c>
      <c r="D32" t="str">
        <f>IF(B32="", "", _xlfn.XLOOKUP(B32,Tracker!A:A,Tracker!E:E))</f>
        <v/>
      </c>
    </row>
    <row r="33" spans="3:4" x14ac:dyDescent="0.25">
      <c r="C33" s="101" t="str">
        <f>IF(B33="", "", _xlfn.XLOOKUP(B33,Tracker!A:A,Tracker!D:D))</f>
        <v/>
      </c>
      <c r="D33" t="str">
        <f>IF(B33="", "", _xlfn.XLOOKUP(B33,Tracker!A:A,Tracker!E:E))</f>
        <v/>
      </c>
    </row>
    <row r="34" spans="3:4" x14ac:dyDescent="0.25">
      <c r="C34" s="101" t="str">
        <f>IF(B34="", "", _xlfn.XLOOKUP(B34,Tracker!A:A,Tracker!D:D))</f>
        <v/>
      </c>
      <c r="D34" t="str">
        <f>IF(B34="", "", _xlfn.XLOOKUP(B34,Tracker!A:A,Tracker!E:E))</f>
        <v/>
      </c>
    </row>
    <row r="35" spans="3:4" x14ac:dyDescent="0.25">
      <c r="C35" s="101" t="str">
        <f>IF(B35="", "", _xlfn.XLOOKUP(B35,Tracker!A:A,Tracker!D:D))</f>
        <v/>
      </c>
      <c r="D35" t="str">
        <f>IF(B35="", "", _xlfn.XLOOKUP(B35,Tracker!A:A,Tracker!E:E))</f>
        <v/>
      </c>
    </row>
    <row r="36" spans="3:4" x14ac:dyDescent="0.25">
      <c r="C36" s="101" t="str">
        <f>IF(B36="", "", _xlfn.XLOOKUP(B36,Tracker!A:A,Tracker!D:D))</f>
        <v/>
      </c>
      <c r="D36" t="str">
        <f>IF(B36="", "", _xlfn.XLOOKUP(B36,Tracker!A:A,Tracker!E:E))</f>
        <v/>
      </c>
    </row>
    <row r="37" spans="3:4" x14ac:dyDescent="0.25">
      <c r="C37" s="101" t="str">
        <f>IF(B37="", "", _xlfn.XLOOKUP(B37,Tracker!A:A,Tracker!D:D))</f>
        <v/>
      </c>
      <c r="D37" t="str">
        <f>IF(B37="", "", _xlfn.XLOOKUP(B37,Tracker!A:A,Tracker!E:E))</f>
        <v/>
      </c>
    </row>
    <row r="38" spans="3:4" x14ac:dyDescent="0.25">
      <c r="C38" s="101" t="str">
        <f>IF(B38="", "", _xlfn.XLOOKUP(B38,Tracker!A:A,Tracker!D:D))</f>
        <v/>
      </c>
      <c r="D38" t="str">
        <f>IF(B38="", "", _xlfn.XLOOKUP(B38,Tracker!A:A,Tracker!E:E))</f>
        <v/>
      </c>
    </row>
    <row r="39" spans="3:4" x14ac:dyDescent="0.25">
      <c r="C39" s="101" t="str">
        <f>IF(B39="", "", _xlfn.XLOOKUP(B39,Tracker!A:A,Tracker!D:D))</f>
        <v/>
      </c>
      <c r="D39" t="str">
        <f>IF(B39="", "", _xlfn.XLOOKUP(B39,Tracker!A:A,Tracker!E:E))</f>
        <v/>
      </c>
    </row>
    <row r="40" spans="3:4" x14ac:dyDescent="0.25">
      <c r="C40" s="101" t="str">
        <f>IF(B40="", "", _xlfn.XLOOKUP(B40,Tracker!A:A,Tracker!D:D))</f>
        <v/>
      </c>
      <c r="D40" t="str">
        <f>IF(B40="", "", _xlfn.XLOOKUP(B40,Tracker!A:A,Tracker!E:E))</f>
        <v/>
      </c>
    </row>
    <row r="41" spans="3:4" x14ac:dyDescent="0.25">
      <c r="C41" s="101" t="str">
        <f>IF(B41="", "", _xlfn.XLOOKUP(B41,Tracker!A:A,Tracker!D:D))</f>
        <v/>
      </c>
      <c r="D41" t="str">
        <f>IF(B41="", "", _xlfn.XLOOKUP(B41,Tracker!A:A,Tracker!E:E))</f>
        <v/>
      </c>
    </row>
    <row r="42" spans="3:4" x14ac:dyDescent="0.25">
      <c r="C42" s="101" t="str">
        <f>IF(B42="", "", _xlfn.XLOOKUP(B42,Tracker!A:A,Tracker!D:D))</f>
        <v/>
      </c>
      <c r="D42" t="str">
        <f>IF(B42="", "", _xlfn.XLOOKUP(B42,Tracker!A:A,Tracker!E:E))</f>
        <v/>
      </c>
    </row>
    <row r="43" spans="3:4" x14ac:dyDescent="0.25">
      <c r="C43" s="101" t="str">
        <f>IF(B43="", "", _xlfn.XLOOKUP(B43,Tracker!A:A,Tracker!D:D))</f>
        <v/>
      </c>
      <c r="D43" t="str">
        <f>IF(B43="", "", _xlfn.XLOOKUP(B43,Tracker!A:A,Tracker!E:E))</f>
        <v/>
      </c>
    </row>
    <row r="44" spans="3:4" x14ac:dyDescent="0.25">
      <c r="C44" s="101" t="str">
        <f>IF(B44="", "", _xlfn.XLOOKUP(B44,Tracker!A:A,Tracker!D:D))</f>
        <v/>
      </c>
      <c r="D44" t="str">
        <f>IF(B44="", "", _xlfn.XLOOKUP(B44,Tracker!A:A,Tracker!E:E))</f>
        <v/>
      </c>
    </row>
    <row r="45" spans="3:4" x14ac:dyDescent="0.25">
      <c r="C45" s="101" t="str">
        <f>IF(B45="", "", _xlfn.XLOOKUP(B45,Tracker!A:A,Tracker!D:D))</f>
        <v/>
      </c>
      <c r="D45" t="str">
        <f>IF(B45="", "", _xlfn.XLOOKUP(B45,Tracker!A:A,Tracker!E:E))</f>
        <v/>
      </c>
    </row>
    <row r="46" spans="3:4" x14ac:dyDescent="0.25">
      <c r="C46" s="101" t="str">
        <f>IF(B46="", "", _xlfn.XLOOKUP(B46,Tracker!A:A,Tracker!D:D))</f>
        <v/>
      </c>
      <c r="D46" t="str">
        <f>IF(B46="", "", _xlfn.XLOOKUP(B46,Tracker!A:A,Tracker!E:E))</f>
        <v/>
      </c>
    </row>
    <row r="47" spans="3:4" x14ac:dyDescent="0.25">
      <c r="C47" s="101" t="str">
        <f>IF(B47="", "", _xlfn.XLOOKUP(B47,Tracker!A:A,Tracker!D:D))</f>
        <v/>
      </c>
      <c r="D47" t="str">
        <f>IF(B47="", "", _xlfn.XLOOKUP(B47,Tracker!A:A,Tracker!E:E))</f>
        <v/>
      </c>
    </row>
    <row r="48" spans="3:4" x14ac:dyDescent="0.25">
      <c r="C48" s="101" t="str">
        <f>IF(B48="", "", _xlfn.XLOOKUP(B48,Tracker!A:A,Tracker!D:D))</f>
        <v/>
      </c>
      <c r="D48" t="str">
        <f>IF(B48="", "", _xlfn.XLOOKUP(B48,Tracker!A:A,Tracker!E:E))</f>
        <v/>
      </c>
    </row>
    <row r="49" spans="3:4" x14ac:dyDescent="0.25">
      <c r="C49" s="101" t="str">
        <f>IF(B49="", "", _xlfn.XLOOKUP(B49,Tracker!A:A,Tracker!D:D))</f>
        <v/>
      </c>
      <c r="D49" t="str">
        <f>IF(B49="", "", _xlfn.XLOOKUP(B49,Tracker!A:A,Tracker!E:E))</f>
        <v/>
      </c>
    </row>
    <row r="50" spans="3:4" x14ac:dyDescent="0.25">
      <c r="C50" s="101" t="str">
        <f>IF(B50="", "", _xlfn.XLOOKUP(B50,Tracker!A:A,Tracker!D:D))</f>
        <v/>
      </c>
      <c r="D50" t="str">
        <f>IF(B50="", "", _xlfn.XLOOKUP(B50,Tracker!A:A,Tracker!E:E))</f>
        <v/>
      </c>
    </row>
    <row r="51" spans="3:4" x14ac:dyDescent="0.25">
      <c r="C51" s="101" t="str">
        <f>IF(B51="", "", _xlfn.XLOOKUP(B51,Tracker!A:A,Tracker!D:D))</f>
        <v/>
      </c>
      <c r="D51" t="str">
        <f>IF(B51="", "", _xlfn.XLOOKUP(B51,Tracker!A:A,Tracker!E:E))</f>
        <v/>
      </c>
    </row>
    <row r="52" spans="3:4" x14ac:dyDescent="0.25">
      <c r="C52" s="101" t="str">
        <f>IF(B52="", "", _xlfn.XLOOKUP(B52,Tracker!A:A,Tracker!D:D))</f>
        <v/>
      </c>
      <c r="D52" t="str">
        <f>IF(B52="", "", _xlfn.XLOOKUP(B52,Tracker!A:A,Tracker!E:E))</f>
        <v/>
      </c>
    </row>
    <row r="53" spans="3:4" x14ac:dyDescent="0.25">
      <c r="C53" s="101" t="str">
        <f>IF(B53="", "", _xlfn.XLOOKUP(B53,Tracker!A:A,Tracker!D:D))</f>
        <v/>
      </c>
      <c r="D53" t="str">
        <f>IF(B53="", "", _xlfn.XLOOKUP(B53,Tracker!A:A,Tracker!E:E))</f>
        <v/>
      </c>
    </row>
    <row r="54" spans="3:4" x14ac:dyDescent="0.25">
      <c r="C54" s="101" t="str">
        <f>IF(B54="", "", _xlfn.XLOOKUP(B54,Tracker!A:A,Tracker!D:D))</f>
        <v/>
      </c>
      <c r="D54" t="str">
        <f>IF(B54="", "", _xlfn.XLOOKUP(B54,Tracker!A:A,Tracker!E:E))</f>
        <v/>
      </c>
    </row>
    <row r="55" spans="3:4" x14ac:dyDescent="0.25">
      <c r="C55" s="101" t="str">
        <f>IF(B55="", "", _xlfn.XLOOKUP(B55,Tracker!A:A,Tracker!D:D))</f>
        <v/>
      </c>
      <c r="D55" t="str">
        <f>IF(B55="", "", _xlfn.XLOOKUP(B55,Tracker!A:A,Tracker!E:E))</f>
        <v/>
      </c>
    </row>
    <row r="56" spans="3:4" x14ac:dyDescent="0.25">
      <c r="C56" s="101" t="str">
        <f>IF(B56="", "", _xlfn.XLOOKUP(B56,Tracker!A:A,Tracker!D:D))</f>
        <v/>
      </c>
      <c r="D56" t="str">
        <f>IF(B56="", "", _xlfn.XLOOKUP(B56,Tracker!A:A,Tracker!E:E))</f>
        <v/>
      </c>
    </row>
    <row r="57" spans="3:4" x14ac:dyDescent="0.25">
      <c r="C57" s="101" t="str">
        <f>IF(B57="", "", _xlfn.XLOOKUP(B57,Tracker!A:A,Tracker!D:D))</f>
        <v/>
      </c>
      <c r="D57" t="str">
        <f>IF(B57="", "", _xlfn.XLOOKUP(B57,Tracker!A:A,Tracker!E:E))</f>
        <v/>
      </c>
    </row>
    <row r="58" spans="3:4" x14ac:dyDescent="0.25">
      <c r="C58" s="101" t="str">
        <f>IF(B58="", "", _xlfn.XLOOKUP(B58,Tracker!A:A,Tracker!D:D))</f>
        <v/>
      </c>
      <c r="D58" t="str">
        <f>IF(B58="", "", _xlfn.XLOOKUP(B58,Tracker!A:A,Tracker!E:E))</f>
        <v/>
      </c>
    </row>
    <row r="59" spans="3:4" x14ac:dyDescent="0.25">
      <c r="C59" s="101" t="str">
        <f>IF(B59="", "", _xlfn.XLOOKUP(B59,Tracker!A:A,Tracker!D:D))</f>
        <v/>
      </c>
      <c r="D59" t="str">
        <f>IF(B59="", "", _xlfn.XLOOKUP(B59,Tracker!A:A,Tracker!E:E))</f>
        <v/>
      </c>
    </row>
    <row r="60" spans="3:4" x14ac:dyDescent="0.25">
      <c r="C60" s="101" t="str">
        <f>IF(B60="", "", _xlfn.XLOOKUP(B60,Tracker!A:A,Tracker!D:D))</f>
        <v/>
      </c>
      <c r="D60" t="str">
        <f>IF(B60="", "", _xlfn.XLOOKUP(B60,Tracker!A:A,Tracker!E:E))</f>
        <v/>
      </c>
    </row>
    <row r="61" spans="3:4" x14ac:dyDescent="0.25">
      <c r="C61" s="101" t="str">
        <f>IF(B61="", "", _xlfn.XLOOKUP(B61,Tracker!A:A,Tracker!D:D))</f>
        <v/>
      </c>
      <c r="D61" t="str">
        <f>IF(B61="", "", _xlfn.XLOOKUP(B61,Tracker!A:A,Tracker!E:E))</f>
        <v/>
      </c>
    </row>
    <row r="62" spans="3:4" x14ac:dyDescent="0.25">
      <c r="C62" s="101" t="str">
        <f>IF(B62="", "", _xlfn.XLOOKUP(B62,Tracker!A:A,Tracker!D:D))</f>
        <v/>
      </c>
      <c r="D62" t="str">
        <f>IF(B62="", "", _xlfn.XLOOKUP(B62,Tracker!A:A,Tracker!E:E))</f>
        <v/>
      </c>
    </row>
    <row r="63" spans="3:4" x14ac:dyDescent="0.25">
      <c r="C63" s="101" t="str">
        <f>IF(B63="", "", _xlfn.XLOOKUP(B63,Tracker!A:A,Tracker!D:D))</f>
        <v/>
      </c>
      <c r="D63" t="str">
        <f>IF(B63="", "", _xlfn.XLOOKUP(B63,Tracker!A:A,Tracker!E:E))</f>
        <v/>
      </c>
    </row>
    <row r="64" spans="3:4" x14ac:dyDescent="0.25">
      <c r="C64" s="101" t="str">
        <f>IF(B64="", "", _xlfn.XLOOKUP(B64,Tracker!A:A,Tracker!D:D))</f>
        <v/>
      </c>
      <c r="D64" t="str">
        <f>IF(B64="", "", _xlfn.XLOOKUP(B64,Tracker!A:A,Tracker!E:E))</f>
        <v/>
      </c>
    </row>
    <row r="65" spans="3:4" x14ac:dyDescent="0.25">
      <c r="C65" s="101" t="str">
        <f>IF(B65="", "", _xlfn.XLOOKUP(B65,Tracker!A:A,Tracker!D:D))</f>
        <v/>
      </c>
      <c r="D65" t="str">
        <f>IF(B65="", "", _xlfn.XLOOKUP(B65,Tracker!A:A,Tracker!E:E))</f>
        <v/>
      </c>
    </row>
    <row r="66" spans="3:4" x14ac:dyDescent="0.25">
      <c r="C66" s="101" t="str">
        <f>IF(B66="", "", _xlfn.XLOOKUP(B66,Tracker!A:A,Tracker!D:D))</f>
        <v/>
      </c>
      <c r="D66" t="str">
        <f>IF(B66="", "", _xlfn.XLOOKUP(B66,Tracker!A:A,Tracker!E:E))</f>
        <v/>
      </c>
    </row>
    <row r="67" spans="3:4" x14ac:dyDescent="0.25">
      <c r="C67" s="101" t="str">
        <f>IF(B67="", "", _xlfn.XLOOKUP(B67,Tracker!A:A,Tracker!D:D))</f>
        <v/>
      </c>
      <c r="D67" t="str">
        <f>IF(B67="", "", _xlfn.XLOOKUP(B67,Tracker!A:A,Tracker!E:E))</f>
        <v/>
      </c>
    </row>
    <row r="68" spans="3:4" x14ac:dyDescent="0.25">
      <c r="C68" s="101" t="str">
        <f>IF(B68="", "", _xlfn.XLOOKUP(B68,Tracker!A:A,Tracker!D:D))</f>
        <v/>
      </c>
      <c r="D68" t="str">
        <f>IF(B68="", "", _xlfn.XLOOKUP(B68,Tracker!A:A,Tracker!E:E))</f>
        <v/>
      </c>
    </row>
    <row r="69" spans="3:4" x14ac:dyDescent="0.25">
      <c r="C69" s="101" t="str">
        <f>IF(B69="", "", _xlfn.XLOOKUP(B69,Tracker!A:A,Tracker!D:D))</f>
        <v/>
      </c>
      <c r="D69" t="str">
        <f>IF(B69="", "", _xlfn.XLOOKUP(B69,Tracker!A:A,Tracker!E:E))</f>
        <v/>
      </c>
    </row>
    <row r="70" spans="3:4" x14ac:dyDescent="0.25">
      <c r="C70" s="101" t="str">
        <f>IF(B70="", "", _xlfn.XLOOKUP(B70,Tracker!A:A,Tracker!D:D))</f>
        <v/>
      </c>
      <c r="D70" t="str">
        <f>IF(B70="", "", _xlfn.XLOOKUP(B70,Tracker!A:A,Tracker!E:E))</f>
        <v/>
      </c>
    </row>
    <row r="71" spans="3:4" x14ac:dyDescent="0.25">
      <c r="C71" s="101" t="str">
        <f>IF(B71="", "", _xlfn.XLOOKUP(B71,Tracker!A:A,Tracker!D:D))</f>
        <v/>
      </c>
      <c r="D71" t="str">
        <f>IF(B71="", "", _xlfn.XLOOKUP(B71,Tracker!A:A,Tracker!E:E))</f>
        <v/>
      </c>
    </row>
    <row r="72" spans="3:4" x14ac:dyDescent="0.25">
      <c r="C72" s="101" t="str">
        <f>IF(B72="", "", _xlfn.XLOOKUP(B72,Tracker!A:A,Tracker!D:D))</f>
        <v/>
      </c>
      <c r="D72" t="str">
        <f>IF(B72="", "", _xlfn.XLOOKUP(B72,Tracker!A:A,Tracker!E:E))</f>
        <v/>
      </c>
    </row>
    <row r="73" spans="3:4" x14ac:dyDescent="0.25">
      <c r="C73" s="101" t="str">
        <f>IF(B73="", "", _xlfn.XLOOKUP(B73,Tracker!A:A,Tracker!D:D))</f>
        <v/>
      </c>
      <c r="D73" t="str">
        <f>IF(B73="", "", _xlfn.XLOOKUP(B73,Tracker!A:A,Tracker!E:E))</f>
        <v/>
      </c>
    </row>
    <row r="74" spans="3:4" x14ac:dyDescent="0.25">
      <c r="C74" s="101" t="str">
        <f>IF(B74="", "", _xlfn.XLOOKUP(B74,Tracker!A:A,Tracker!D:D))</f>
        <v/>
      </c>
      <c r="D74" t="str">
        <f>IF(B74="", "", _xlfn.XLOOKUP(B74,Tracker!A:A,Tracker!E:E))</f>
        <v/>
      </c>
    </row>
    <row r="75" spans="3:4" x14ac:dyDescent="0.25">
      <c r="C75" s="101" t="str">
        <f>IF(B75="", "", _xlfn.XLOOKUP(B75,Tracker!A:A,Tracker!D:D))</f>
        <v/>
      </c>
      <c r="D75" t="str">
        <f>IF(B75="", "", _xlfn.XLOOKUP(B75,Tracker!A:A,Tracker!E:E))</f>
        <v/>
      </c>
    </row>
    <row r="76" spans="3:4" x14ac:dyDescent="0.25">
      <c r="C76" s="101" t="str">
        <f>IF(B76="", "", _xlfn.XLOOKUP(B76,Tracker!A:A,Tracker!D:D))</f>
        <v/>
      </c>
      <c r="D76" t="str">
        <f>IF(B76="", "", _xlfn.XLOOKUP(B76,Tracker!A:A,Tracker!E:E))</f>
        <v/>
      </c>
    </row>
    <row r="77" spans="3:4" x14ac:dyDescent="0.25">
      <c r="C77" s="101" t="str">
        <f>IF(B77="", "", _xlfn.XLOOKUP(B77,Tracker!A:A,Tracker!D:D))</f>
        <v/>
      </c>
      <c r="D77" t="str">
        <f>IF(B77="", "", _xlfn.XLOOKUP(B77,Tracker!A:A,Tracker!E:E))</f>
        <v/>
      </c>
    </row>
    <row r="78" spans="3:4" x14ac:dyDescent="0.25">
      <c r="C78" s="101" t="str">
        <f>IF(B78="", "", _xlfn.XLOOKUP(B78,Tracker!A:A,Tracker!D:D))</f>
        <v/>
      </c>
      <c r="D78" t="str">
        <f>IF(B78="", "", _xlfn.XLOOKUP(B78,Tracker!A:A,Tracker!E:E))</f>
        <v/>
      </c>
    </row>
    <row r="79" spans="3:4" x14ac:dyDescent="0.25">
      <c r="C79" s="101" t="str">
        <f>IF(B79="", "", _xlfn.XLOOKUP(B79,Tracker!A:A,Tracker!D:D))</f>
        <v/>
      </c>
      <c r="D79" t="str">
        <f>IF(B79="", "", _xlfn.XLOOKUP(B79,Tracker!A:A,Tracker!E:E))</f>
        <v/>
      </c>
    </row>
    <row r="80" spans="3:4" x14ac:dyDescent="0.25">
      <c r="C80" s="101" t="str">
        <f>IF(B80="", "", _xlfn.XLOOKUP(B80,Tracker!A:A,Tracker!D:D))</f>
        <v/>
      </c>
      <c r="D80" t="str">
        <f>IF(B80="", "", _xlfn.XLOOKUP(B80,Tracker!A:A,Tracker!E:E))</f>
        <v/>
      </c>
    </row>
    <row r="81" spans="3:4" x14ac:dyDescent="0.25">
      <c r="C81" s="101" t="str">
        <f>IF(B81="", "", _xlfn.XLOOKUP(B81,Tracker!A:A,Tracker!D:D))</f>
        <v/>
      </c>
      <c r="D81" t="str">
        <f>IF(B81="", "", _xlfn.XLOOKUP(B81,Tracker!A:A,Tracker!E:E))</f>
        <v/>
      </c>
    </row>
    <row r="82" spans="3:4" x14ac:dyDescent="0.25">
      <c r="C82" s="101" t="str">
        <f>IF(B82="", "", _xlfn.XLOOKUP(B82,Tracker!A:A,Tracker!D:D))</f>
        <v/>
      </c>
      <c r="D82" t="str">
        <f>IF(B82="", "", _xlfn.XLOOKUP(B82,Tracker!A:A,Tracker!E:E))</f>
        <v/>
      </c>
    </row>
    <row r="83" spans="3:4" x14ac:dyDescent="0.25">
      <c r="C83" s="101" t="str">
        <f>IF(B83="", "", _xlfn.XLOOKUP(B83,Tracker!A:A,Tracker!D:D))</f>
        <v/>
      </c>
      <c r="D83" t="str">
        <f>IF(B83="", "", _xlfn.XLOOKUP(B83,Tracker!A:A,Tracker!E:E))</f>
        <v/>
      </c>
    </row>
    <row r="84" spans="3:4" x14ac:dyDescent="0.25">
      <c r="C84" s="101" t="str">
        <f>IF(B84="", "", _xlfn.XLOOKUP(B84,Tracker!A:A,Tracker!D:D))</f>
        <v/>
      </c>
      <c r="D84" t="str">
        <f>IF(B84="", "", _xlfn.XLOOKUP(B84,Tracker!A:A,Tracker!E:E))</f>
        <v/>
      </c>
    </row>
    <row r="85" spans="3:4" x14ac:dyDescent="0.25">
      <c r="C85" s="101" t="str">
        <f>IF(B85="", "", _xlfn.XLOOKUP(B85,Tracker!A:A,Tracker!D:D))</f>
        <v/>
      </c>
      <c r="D85" t="str">
        <f>IF(B85="", "", _xlfn.XLOOKUP(B85,Tracker!A:A,Tracker!E:E))</f>
        <v/>
      </c>
    </row>
    <row r="86" spans="3:4" x14ac:dyDescent="0.25">
      <c r="C86" s="101" t="str">
        <f>IF(B86="", "", _xlfn.XLOOKUP(B86,Tracker!A:A,Tracker!D:D))</f>
        <v/>
      </c>
      <c r="D86" t="str">
        <f>IF(B86="", "", _xlfn.XLOOKUP(B86,Tracker!A:A,Tracker!E:E))</f>
        <v/>
      </c>
    </row>
    <row r="87" spans="3:4" x14ac:dyDescent="0.25">
      <c r="C87" s="101" t="str">
        <f>IF(B87="", "", _xlfn.XLOOKUP(B87,Tracker!A:A,Tracker!D:D))</f>
        <v/>
      </c>
      <c r="D87" t="str">
        <f>IF(B87="", "", _xlfn.XLOOKUP(B87,Tracker!A:A,Tracker!E:E))</f>
        <v/>
      </c>
    </row>
    <row r="88" spans="3:4" x14ac:dyDescent="0.25">
      <c r="C88" s="101" t="str">
        <f>IF(B88="", "", _xlfn.XLOOKUP(B88,Tracker!A:A,Tracker!D:D))</f>
        <v/>
      </c>
      <c r="D88" t="str">
        <f>IF(B88="", "", _xlfn.XLOOKUP(B88,Tracker!A:A,Tracker!E:E))</f>
        <v/>
      </c>
    </row>
    <row r="89" spans="3:4" x14ac:dyDescent="0.25">
      <c r="C89" s="101" t="str">
        <f>IF(B89="", "", _xlfn.XLOOKUP(B89,Tracker!A:A,Tracker!D:D))</f>
        <v/>
      </c>
      <c r="D89" t="str">
        <f>IF(B89="", "", _xlfn.XLOOKUP(B89,Tracker!A:A,Tracker!E:E))</f>
        <v/>
      </c>
    </row>
    <row r="90" spans="3:4" x14ac:dyDescent="0.25">
      <c r="C90" s="101" t="str">
        <f>IF(B90="", "", _xlfn.XLOOKUP(B90,Tracker!A:A,Tracker!D:D))</f>
        <v/>
      </c>
      <c r="D90" t="str">
        <f>IF(B90="", "", _xlfn.XLOOKUP(B90,Tracker!A:A,Tracker!E:E))</f>
        <v/>
      </c>
    </row>
    <row r="91" spans="3:4" x14ac:dyDescent="0.25">
      <c r="C91" s="101" t="str">
        <f>IF(B91="", "", _xlfn.XLOOKUP(B91,Tracker!A:A,Tracker!D:D))</f>
        <v/>
      </c>
      <c r="D91" t="str">
        <f>IF(B91="", "", _xlfn.XLOOKUP(B91,Tracker!A:A,Tracker!E:E))</f>
        <v/>
      </c>
    </row>
    <row r="92" spans="3:4" x14ac:dyDescent="0.25">
      <c r="C92" s="101" t="str">
        <f>IF(B92="", "", _xlfn.XLOOKUP(B92,Tracker!A:A,Tracker!D:D))</f>
        <v/>
      </c>
      <c r="D92" t="str">
        <f>IF(B92="", "", _xlfn.XLOOKUP(B92,Tracker!A:A,Tracker!E:E))</f>
        <v/>
      </c>
    </row>
    <row r="93" spans="3:4" x14ac:dyDescent="0.25">
      <c r="C93" s="101" t="str">
        <f>IF(B93="", "", _xlfn.XLOOKUP(B93,Tracker!A:A,Tracker!D:D))</f>
        <v/>
      </c>
      <c r="D93" t="str">
        <f>IF(B93="", "", _xlfn.XLOOKUP(B93,Tracker!A:A,Tracker!E:E))</f>
        <v/>
      </c>
    </row>
    <row r="94" spans="3:4" x14ac:dyDescent="0.25">
      <c r="C94" s="101" t="str">
        <f>IF(B94="", "", _xlfn.XLOOKUP(B94,Tracker!A:A,Tracker!D:D))</f>
        <v/>
      </c>
      <c r="D94" t="str">
        <f>IF(B94="", "", _xlfn.XLOOKUP(B94,Tracker!A:A,Tracker!E:E))</f>
        <v/>
      </c>
    </row>
    <row r="95" spans="3:4" x14ac:dyDescent="0.25">
      <c r="C95" s="101" t="str">
        <f>IF(B95="", "", _xlfn.XLOOKUP(B95,Tracker!A:A,Tracker!D:D))</f>
        <v/>
      </c>
      <c r="D95" t="str">
        <f>IF(B95="", "", _xlfn.XLOOKUP(B95,Tracker!A:A,Tracker!E:E))</f>
        <v/>
      </c>
    </row>
    <row r="96" spans="3:4" x14ac:dyDescent="0.25">
      <c r="C96" s="101" t="str">
        <f>IF(B96="", "", _xlfn.XLOOKUP(B96,Tracker!A:A,Tracker!D:D))</f>
        <v/>
      </c>
      <c r="D96" t="str">
        <f>IF(B96="", "", _xlfn.XLOOKUP(B96,Tracker!A:A,Tracker!E:E))</f>
        <v/>
      </c>
    </row>
    <row r="97" spans="3:4" x14ac:dyDescent="0.25">
      <c r="C97" s="101" t="str">
        <f>IF(B97="", "", _xlfn.XLOOKUP(B97,Tracker!A:A,Tracker!D:D))</f>
        <v/>
      </c>
      <c r="D97" t="str">
        <f>IF(B97="", "", _xlfn.XLOOKUP(B97,Tracker!A:A,Tracker!E:E))</f>
        <v/>
      </c>
    </row>
    <row r="98" spans="3:4" x14ac:dyDescent="0.25">
      <c r="C98" s="101" t="str">
        <f>IF(B98="", "", _xlfn.XLOOKUP(B98,Tracker!A:A,Tracker!D:D))</f>
        <v/>
      </c>
      <c r="D98" t="str">
        <f>IF(B98="", "", _xlfn.XLOOKUP(B98,Tracker!A:A,Tracker!E:E))</f>
        <v/>
      </c>
    </row>
    <row r="99" spans="3:4" x14ac:dyDescent="0.25">
      <c r="C99" s="101" t="str">
        <f>IF(B99="", "", _xlfn.XLOOKUP(B99,Tracker!A:A,Tracker!D:D))</f>
        <v/>
      </c>
      <c r="D99" t="str">
        <f>IF(B99="", "", _xlfn.XLOOKUP(B99,Tracker!A:A,Tracker!E:E))</f>
        <v/>
      </c>
    </row>
    <row r="100" spans="3:4" x14ac:dyDescent="0.25">
      <c r="C100" s="101" t="str">
        <f>IF(B100="", "", _xlfn.XLOOKUP(B100,Tracker!A:A,Tracker!D:D))</f>
        <v/>
      </c>
      <c r="D100" t="str">
        <f>IF(B100="", "", _xlfn.XLOOKUP(B100,Tracker!A:A,Tracker!E:E))</f>
        <v/>
      </c>
    </row>
    <row r="101" spans="3:4" x14ac:dyDescent="0.25">
      <c r="D101" t="str">
        <f>IF(B101="", "", _xlfn.XLOOKUP(B101,Tracker!A:A,Tracker!E:E))</f>
        <v/>
      </c>
    </row>
    <row r="102" spans="3:4" x14ac:dyDescent="0.25">
      <c r="D102" t="str">
        <f>IF(B102="", "", _xlfn.XLOOKUP(B102,Tracker!A:A,Tracker!E:E))</f>
        <v/>
      </c>
    </row>
    <row r="103" spans="3:4" x14ac:dyDescent="0.25">
      <c r="D103" t="str">
        <f>IF(B103="", "", _xlfn.XLOOKUP(B103,Tracker!A:A,Tracker!E:E))</f>
        <v/>
      </c>
    </row>
    <row r="104" spans="3:4" x14ac:dyDescent="0.25">
      <c r="D104" t="str">
        <f>IF(B104="", "", _xlfn.XLOOKUP(B104,Tracker!A:A,Tracker!E:E))</f>
        <v/>
      </c>
    </row>
    <row r="105" spans="3:4" x14ac:dyDescent="0.25">
      <c r="D105" t="str">
        <f>IF(B105="", "", _xlfn.XLOOKUP(B105,Tracker!A:A,Tracker!E:E))</f>
        <v/>
      </c>
    </row>
    <row r="106" spans="3:4" x14ac:dyDescent="0.25">
      <c r="D106" t="str">
        <f>IF(B106="", "", _xlfn.XLOOKUP(B106,Tracker!A:A,Tracker!E:E))</f>
        <v/>
      </c>
    </row>
    <row r="107" spans="3:4" x14ac:dyDescent="0.25">
      <c r="D107" t="str">
        <f>IF(B107="", "", _xlfn.XLOOKUP(B107,Tracker!A:A,Tracker!E:E))</f>
        <v/>
      </c>
    </row>
    <row r="108" spans="3:4" x14ac:dyDescent="0.25">
      <c r="D108" t="str">
        <f>IF(B108="", "", _xlfn.XLOOKUP(B108,Tracker!A:A,Tracker!E:E))</f>
        <v/>
      </c>
    </row>
    <row r="109" spans="3:4" x14ac:dyDescent="0.25">
      <c r="D109" t="str">
        <f>IF(B109="", "", _xlfn.XLOOKUP(B109,Tracker!A:A,Tracker!E:E))</f>
        <v/>
      </c>
    </row>
    <row r="110" spans="3:4" x14ac:dyDescent="0.25">
      <c r="D110" t="str">
        <f>IF(B110="", "", _xlfn.XLOOKUP(B110,Tracker!A:A,Tracker!E:E))</f>
        <v/>
      </c>
    </row>
    <row r="111" spans="3:4" x14ac:dyDescent="0.25">
      <c r="D111" t="str">
        <f>IF(B111="", "", _xlfn.XLOOKUP(B111,Tracker!A:A,Tracker!E:E))</f>
        <v/>
      </c>
    </row>
    <row r="112" spans="3:4" x14ac:dyDescent="0.25">
      <c r="D112" t="str">
        <f>IF(B112="", "", _xlfn.XLOOKUP(B112,Tracker!A:A,Tracker!E:E))</f>
        <v/>
      </c>
    </row>
    <row r="113" spans="4:4" x14ac:dyDescent="0.25">
      <c r="D113" t="str">
        <f>IF(B113="", "", _xlfn.XLOOKUP(B113,Tracker!A:A,Tracker!E:E))</f>
        <v/>
      </c>
    </row>
    <row r="114" spans="4:4" x14ac:dyDescent="0.25">
      <c r="D114" t="str">
        <f>IF(B114="", "", _xlfn.XLOOKUP(B114,Tracker!A:A,Tracker!E:E))</f>
        <v/>
      </c>
    </row>
    <row r="115" spans="4:4" x14ac:dyDescent="0.25">
      <c r="D115" t="str">
        <f>IF(B115="", "", _xlfn.XLOOKUP(B115,Tracker!A:A,Tracker!E:E))</f>
        <v/>
      </c>
    </row>
    <row r="116" spans="4:4" x14ac:dyDescent="0.25">
      <c r="D116" t="str">
        <f>IF(B116="", "", _xlfn.XLOOKUP(B116,Tracker!A:A,Tracker!E:E))</f>
        <v/>
      </c>
    </row>
    <row r="117" spans="4:4" x14ac:dyDescent="0.25">
      <c r="D117" t="str">
        <f>IF(B117="", "", _xlfn.XLOOKUP(B117,Tracker!A:A,Tracker!E:E))</f>
        <v/>
      </c>
    </row>
    <row r="118" spans="4:4" x14ac:dyDescent="0.25">
      <c r="D118" t="str">
        <f>IF(B118="", "", _xlfn.XLOOKUP(B118,Tracker!A:A,Tracker!E:E))</f>
        <v/>
      </c>
    </row>
    <row r="119" spans="4:4" x14ac:dyDescent="0.25">
      <c r="D119" t="str">
        <f>IF(B119="", "", _xlfn.XLOOKUP(B119,Tracker!A:A,Tracker!E:E))</f>
        <v/>
      </c>
    </row>
    <row r="120" spans="4:4" x14ac:dyDescent="0.25">
      <c r="D120" t="str">
        <f>IF(B120="", "", _xlfn.XLOOKUP(B120,Tracker!A:A,Tracker!E:E))</f>
        <v/>
      </c>
    </row>
    <row r="121" spans="4:4" x14ac:dyDescent="0.25">
      <c r="D121" t="str">
        <f>IF(B121="", "", _xlfn.XLOOKUP(B121,Tracker!A:A,Tracker!E:E))</f>
        <v/>
      </c>
    </row>
    <row r="122" spans="4:4" x14ac:dyDescent="0.25">
      <c r="D122" t="str">
        <f>IF(B122="", "", _xlfn.XLOOKUP(B122,Tracker!A:A,Tracker!E:E))</f>
        <v/>
      </c>
    </row>
    <row r="123" spans="4:4" x14ac:dyDescent="0.25">
      <c r="D123" t="str">
        <f>IF(B123="", "", _xlfn.XLOOKUP(B123,Tracker!A:A,Tracker!E:E))</f>
        <v/>
      </c>
    </row>
    <row r="124" spans="4:4" x14ac:dyDescent="0.25">
      <c r="D124" t="str">
        <f>IF(B124="", "", _xlfn.XLOOKUP(B124,Tracker!A:A,Tracker!E:E))</f>
        <v/>
      </c>
    </row>
    <row r="125" spans="4:4" x14ac:dyDescent="0.25">
      <c r="D125" t="str">
        <f>IF(B125="", "", _xlfn.XLOOKUP(B125,Tracker!A:A,Tracker!E:E))</f>
        <v/>
      </c>
    </row>
    <row r="126" spans="4:4" x14ac:dyDescent="0.25">
      <c r="D126" t="str">
        <f>IF(B126="", "", _xlfn.XLOOKUP(B126,Tracker!A:A,Tracker!E:E))</f>
        <v/>
      </c>
    </row>
    <row r="127" spans="4:4" x14ac:dyDescent="0.25">
      <c r="D127" t="str">
        <f>IF(B127="", "", _xlfn.XLOOKUP(B127,Tracker!A:A,Tracker!E:E))</f>
        <v/>
      </c>
    </row>
    <row r="128" spans="4:4" x14ac:dyDescent="0.25">
      <c r="D128" t="str">
        <f>IF(B128="", "", _xlfn.XLOOKUP(B128,Tracker!A:A,Tracker!E:E))</f>
        <v/>
      </c>
    </row>
    <row r="129" spans="4:4" x14ac:dyDescent="0.25">
      <c r="D129" t="str">
        <f>IF(B129="", "", _xlfn.XLOOKUP(B129,Tracker!A:A,Tracker!E:E))</f>
        <v/>
      </c>
    </row>
    <row r="130" spans="4:4" x14ac:dyDescent="0.25">
      <c r="D130" t="str">
        <f>IF(B130="", "", _xlfn.XLOOKUP(B130,Tracker!A:A,Tracker!E:E))</f>
        <v/>
      </c>
    </row>
    <row r="131" spans="4:4" x14ac:dyDescent="0.25">
      <c r="D131" t="str">
        <f>IF(B131="", "", _xlfn.XLOOKUP(B131,Tracker!A:A,Tracker!E:E))</f>
        <v/>
      </c>
    </row>
    <row r="132" spans="4:4" x14ac:dyDescent="0.25">
      <c r="D132" t="str">
        <f>IF(B132="", "", _xlfn.XLOOKUP(B132,Tracker!A:A,Tracker!E:E))</f>
        <v/>
      </c>
    </row>
    <row r="133" spans="4:4" x14ac:dyDescent="0.25">
      <c r="D133" t="str">
        <f>IF(B133="", "", _xlfn.XLOOKUP(B133,Tracker!A:A,Tracker!E:E))</f>
        <v/>
      </c>
    </row>
    <row r="134" spans="4:4" x14ac:dyDescent="0.25">
      <c r="D134" t="str">
        <f>IF(B134="", "", _xlfn.XLOOKUP(B134,Tracker!A:A,Tracker!E:E))</f>
        <v/>
      </c>
    </row>
  </sheetData>
  <conditionalFormatting sqref="B1">
    <cfRule type="duplicateValues" dxfId="4" priority="4"/>
  </conditionalFormatting>
  <conditionalFormatting sqref="E2:E4">
    <cfRule type="cellIs" dxfId="3" priority="1" operator="equal">
      <formula>3</formula>
    </cfRule>
    <cfRule type="cellIs" dxfId="2" priority="2" operator="equal">
      <formula>2</formula>
    </cfRule>
    <cfRule type="cellIs" dxfId="1" priority="3" operat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6.randomPicker">
                <anchor moveWithCells="1">
                  <from>
                    <xdr:col>6</xdr:col>
                    <xdr:colOff>9525</xdr:colOff>
                    <xdr:row>0</xdr:row>
                    <xdr:rowOff>0</xdr:rowOff>
                  </from>
                  <to>
                    <xdr:col>7</xdr:col>
                    <xdr:colOff>428625</xdr:colOff>
                    <xdr:row>4</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5019A-F37C-4DE2-B932-6E6DA7608DD1}">
  <sheetPr codeName="Sheet12"/>
  <dimension ref="A1:E339"/>
  <sheetViews>
    <sheetView topLeftCell="A133" workbookViewId="0">
      <selection activeCell="B155" sqref="B155"/>
    </sheetView>
  </sheetViews>
  <sheetFormatPr defaultRowHeight="15" x14ac:dyDescent="0.25"/>
  <cols>
    <col min="1" max="1" width="127.85546875" customWidth="1"/>
    <col min="2" max="2" width="84.42578125" style="88" customWidth="1"/>
    <col min="5" max="5" width="14.7109375" customWidth="1"/>
  </cols>
  <sheetData>
    <row r="1" spans="1:5" x14ac:dyDescent="0.25">
      <c r="A1" t="s">
        <v>8163</v>
      </c>
      <c r="B1" s="88" t="s">
        <v>8172</v>
      </c>
      <c r="D1" s="90">
        <v>1004</v>
      </c>
      <c r="E1" s="94">
        <f>_xlfn.XLOOKUP(D1,Tracker!A:A,Tracker!G:G)</f>
        <v>45334</v>
      </c>
    </row>
    <row r="2" spans="1:5" x14ac:dyDescent="0.25">
      <c r="A2" s="126" t="s">
        <v>156</v>
      </c>
      <c r="B2" s="126"/>
    </row>
    <row r="3" spans="1:5" x14ac:dyDescent="0.25">
      <c r="A3" s="95" t="s">
        <v>8038</v>
      </c>
      <c r="B3" s="93" t="s">
        <v>8164</v>
      </c>
    </row>
    <row r="4" spans="1:5" x14ac:dyDescent="0.25">
      <c r="A4" s="95" t="s">
        <v>8039</v>
      </c>
      <c r="B4" s="93" t="s">
        <v>8165</v>
      </c>
    </row>
    <row r="5" spans="1:5" x14ac:dyDescent="0.25">
      <c r="A5" s="91" t="s">
        <v>8040</v>
      </c>
      <c r="B5" s="93" t="s">
        <v>8166</v>
      </c>
    </row>
    <row r="6" spans="1:5" x14ac:dyDescent="0.25">
      <c r="A6" s="91" t="s">
        <v>8041</v>
      </c>
      <c r="B6" s="93" t="s">
        <v>8167</v>
      </c>
    </row>
    <row r="7" spans="1:5" x14ac:dyDescent="0.25">
      <c r="A7" s="91" t="s">
        <v>8042</v>
      </c>
      <c r="B7" s="93" t="s">
        <v>8168</v>
      </c>
    </row>
    <row r="8" spans="1:5" x14ac:dyDescent="0.25">
      <c r="A8" s="91" t="s">
        <v>8043</v>
      </c>
      <c r="B8" s="93" t="s">
        <v>8169</v>
      </c>
    </row>
    <row r="9" spans="1:5" x14ac:dyDescent="0.25">
      <c r="A9" s="91" t="s">
        <v>8044</v>
      </c>
      <c r="B9" s="93" t="s">
        <v>8170</v>
      </c>
    </row>
    <row r="10" spans="1:5" x14ac:dyDescent="0.25">
      <c r="A10" s="91" t="s">
        <v>8045</v>
      </c>
      <c r="B10" s="93" t="s">
        <v>8171</v>
      </c>
    </row>
    <row r="11" spans="1:5" x14ac:dyDescent="0.25">
      <c r="A11" s="91" t="s">
        <v>8046</v>
      </c>
    </row>
    <row r="12" spans="1:5" x14ac:dyDescent="0.25">
      <c r="A12" s="91" t="s">
        <v>8047</v>
      </c>
    </row>
    <row r="13" spans="1:5" x14ac:dyDescent="0.25">
      <c r="A13" s="91" t="s">
        <v>8048</v>
      </c>
    </row>
    <row r="16" spans="1:5" x14ac:dyDescent="0.25">
      <c r="A16" s="126" t="s">
        <v>293</v>
      </c>
      <c r="B16" s="126"/>
    </row>
    <row r="17" spans="1:2" x14ac:dyDescent="0.25">
      <c r="A17" s="91" t="s">
        <v>8049</v>
      </c>
      <c r="B17" s="100" t="s">
        <v>8173</v>
      </c>
    </row>
    <row r="18" spans="1:2" x14ac:dyDescent="0.25">
      <c r="A18" s="95" t="s">
        <v>8050</v>
      </c>
      <c r="B18" s="100" t="s">
        <v>8174</v>
      </c>
    </row>
    <row r="19" spans="1:2" x14ac:dyDescent="0.25">
      <c r="A19" s="95" t="s">
        <v>8051</v>
      </c>
      <c r="B19" s="100" t="s">
        <v>8175</v>
      </c>
    </row>
    <row r="20" spans="1:2" x14ac:dyDescent="0.25">
      <c r="A20" s="95" t="s">
        <v>8052</v>
      </c>
      <c r="B20" s="100" t="s">
        <v>8176</v>
      </c>
    </row>
    <row r="21" spans="1:2" x14ac:dyDescent="0.25">
      <c r="A21" s="95" t="s">
        <v>8053</v>
      </c>
      <c r="B21" s="100" t="s">
        <v>8177</v>
      </c>
    </row>
    <row r="22" spans="1:2" x14ac:dyDescent="0.25">
      <c r="A22" s="95" t="s">
        <v>8054</v>
      </c>
      <c r="B22" s="100" t="s">
        <v>8178</v>
      </c>
    </row>
    <row r="23" spans="1:2" x14ac:dyDescent="0.25">
      <c r="A23" s="95" t="s">
        <v>8055</v>
      </c>
    </row>
    <row r="24" spans="1:2" x14ac:dyDescent="0.25">
      <c r="A24" s="95" t="s">
        <v>8056</v>
      </c>
    </row>
    <row r="25" spans="1:2" x14ac:dyDescent="0.25">
      <c r="A25" s="95" t="s">
        <v>8057</v>
      </c>
    </row>
    <row r="26" spans="1:2" x14ac:dyDescent="0.25">
      <c r="A26" s="95" t="s">
        <v>8058</v>
      </c>
    </row>
    <row r="27" spans="1:2" x14ac:dyDescent="0.25">
      <c r="A27" s="95" t="s">
        <v>8059</v>
      </c>
    </row>
    <row r="30" spans="1:2" x14ac:dyDescent="0.25">
      <c r="A30" s="126" t="s">
        <v>8067</v>
      </c>
      <c r="B30" s="126"/>
    </row>
    <row r="31" spans="1:2" x14ac:dyDescent="0.25">
      <c r="A31" s="95" t="s">
        <v>8060</v>
      </c>
      <c r="B31" s="100" t="s">
        <v>939</v>
      </c>
    </row>
    <row r="32" spans="1:2" x14ac:dyDescent="0.25">
      <c r="A32" s="95" t="s">
        <v>8061</v>
      </c>
      <c r="B32" s="100" t="s">
        <v>8179</v>
      </c>
    </row>
    <row r="33" spans="1:2" x14ac:dyDescent="0.25">
      <c r="A33" s="95" t="s">
        <v>8062</v>
      </c>
      <c r="B33" s="100" t="s">
        <v>8180</v>
      </c>
    </row>
    <row r="34" spans="1:2" x14ac:dyDescent="0.25">
      <c r="A34" s="95" t="s">
        <v>8063</v>
      </c>
      <c r="B34" s="100" t="s">
        <v>8181</v>
      </c>
    </row>
    <row r="35" spans="1:2" x14ac:dyDescent="0.25">
      <c r="A35" s="95" t="s">
        <v>8064</v>
      </c>
      <c r="B35" s="100" t="s">
        <v>8182</v>
      </c>
    </row>
    <row r="36" spans="1:2" x14ac:dyDescent="0.25">
      <c r="A36" s="95" t="s">
        <v>8065</v>
      </c>
      <c r="B36" s="100" t="s">
        <v>8183</v>
      </c>
    </row>
    <row r="37" spans="1:2" x14ac:dyDescent="0.25">
      <c r="A37" s="95" t="s">
        <v>8066</v>
      </c>
    </row>
    <row r="40" spans="1:2" x14ac:dyDescent="0.25">
      <c r="A40" s="126" t="s">
        <v>152</v>
      </c>
      <c r="B40" s="126"/>
    </row>
    <row r="41" spans="1:2" x14ac:dyDescent="0.25">
      <c r="A41" s="95" t="s">
        <v>8068</v>
      </c>
      <c r="B41" s="100" t="s">
        <v>8184</v>
      </c>
    </row>
    <row r="42" spans="1:2" x14ac:dyDescent="0.25">
      <c r="A42" s="95" t="s">
        <v>8069</v>
      </c>
      <c r="B42" s="100" t="s">
        <v>8185</v>
      </c>
    </row>
    <row r="43" spans="1:2" x14ac:dyDescent="0.25">
      <c r="A43" s="95" t="s">
        <v>8070</v>
      </c>
      <c r="B43" s="100" t="s">
        <v>8186</v>
      </c>
    </row>
    <row r="44" spans="1:2" x14ac:dyDescent="0.25">
      <c r="A44" s="95" t="s">
        <v>8071</v>
      </c>
      <c r="B44" s="93" t="s">
        <v>8187</v>
      </c>
    </row>
    <row r="45" spans="1:2" x14ac:dyDescent="0.25">
      <c r="A45" s="91" t="s">
        <v>8072</v>
      </c>
      <c r="B45" s="100" t="s">
        <v>8188</v>
      </c>
    </row>
    <row r="46" spans="1:2" x14ac:dyDescent="0.25">
      <c r="B46" s="100" t="s">
        <v>8189</v>
      </c>
    </row>
    <row r="48" spans="1:2" x14ac:dyDescent="0.25">
      <c r="A48" s="126" t="s">
        <v>8073</v>
      </c>
      <c r="B48" s="126"/>
    </row>
    <row r="49" spans="1:2" x14ac:dyDescent="0.25">
      <c r="A49" s="92" t="s">
        <v>8074</v>
      </c>
      <c r="B49" s="93" t="s">
        <v>8251</v>
      </c>
    </row>
    <row r="50" spans="1:2" x14ac:dyDescent="0.25">
      <c r="A50" s="95" t="s">
        <v>8075</v>
      </c>
      <c r="B50" s="93" t="s">
        <v>8252</v>
      </c>
    </row>
    <row r="51" spans="1:2" x14ac:dyDescent="0.25">
      <c r="A51" s="91" t="s">
        <v>8076</v>
      </c>
      <c r="B51" s="93" t="s">
        <v>8253</v>
      </c>
    </row>
    <row r="52" spans="1:2" x14ac:dyDescent="0.25">
      <c r="A52" s="91" t="s">
        <v>8077</v>
      </c>
      <c r="B52" s="93" t="s">
        <v>8254</v>
      </c>
    </row>
    <row r="53" spans="1:2" x14ac:dyDescent="0.25">
      <c r="A53" s="92" t="s">
        <v>8078</v>
      </c>
      <c r="B53" s="93" t="s">
        <v>8255</v>
      </c>
    </row>
    <row r="54" spans="1:2" x14ac:dyDescent="0.25">
      <c r="A54" s="92" t="s">
        <v>8075</v>
      </c>
    </row>
    <row r="55" spans="1:2" x14ac:dyDescent="0.25">
      <c r="A55" s="91" t="s">
        <v>8079</v>
      </c>
    </row>
    <row r="56" spans="1:2" x14ac:dyDescent="0.25">
      <c r="A56" s="91" t="s">
        <v>8080</v>
      </c>
    </row>
    <row r="59" spans="1:2" x14ac:dyDescent="0.25">
      <c r="A59" s="126" t="s">
        <v>8084</v>
      </c>
      <c r="B59" s="126"/>
    </row>
    <row r="60" spans="1:2" x14ac:dyDescent="0.25">
      <c r="A60" s="91" t="s">
        <v>8081</v>
      </c>
      <c r="B60" s="93" t="s">
        <v>144</v>
      </c>
    </row>
    <row r="61" spans="1:2" x14ac:dyDescent="0.25">
      <c r="A61" s="91" t="s">
        <v>8082</v>
      </c>
      <c r="B61" s="93" t="s">
        <v>8190</v>
      </c>
    </row>
    <row r="62" spans="1:2" x14ac:dyDescent="0.25">
      <c r="A62" s="91" t="s">
        <v>8083</v>
      </c>
      <c r="B62" s="93" t="s">
        <v>8191</v>
      </c>
    </row>
    <row r="63" spans="1:2" x14ac:dyDescent="0.25">
      <c r="A63" s="91" t="s">
        <v>8085</v>
      </c>
      <c r="B63" s="93" t="s">
        <v>8192</v>
      </c>
    </row>
    <row r="64" spans="1:2" x14ac:dyDescent="0.25">
      <c r="A64" s="91"/>
      <c r="B64" s="93" t="s">
        <v>8193</v>
      </c>
    </row>
    <row r="65" spans="1:2" x14ac:dyDescent="0.25">
      <c r="A65" s="91"/>
      <c r="B65" s="93" t="s">
        <v>8194</v>
      </c>
    </row>
    <row r="66" spans="1:2" x14ac:dyDescent="0.25">
      <c r="A66" s="91"/>
      <c r="B66" s="93" t="s">
        <v>8195</v>
      </c>
    </row>
    <row r="67" spans="1:2" x14ac:dyDescent="0.25">
      <c r="A67" s="91"/>
    </row>
    <row r="69" spans="1:2" x14ac:dyDescent="0.25">
      <c r="A69" s="126" t="s">
        <v>8092</v>
      </c>
      <c r="B69" s="126"/>
    </row>
    <row r="70" spans="1:2" x14ac:dyDescent="0.25">
      <c r="A70" s="91" t="s">
        <v>8086</v>
      </c>
      <c r="B70" s="93" t="s">
        <v>8290</v>
      </c>
    </row>
    <row r="71" spans="1:2" x14ac:dyDescent="0.25">
      <c r="A71" s="91" t="s">
        <v>8087</v>
      </c>
      <c r="B71" s="93" t="s">
        <v>8291</v>
      </c>
    </row>
    <row r="72" spans="1:2" x14ac:dyDescent="0.25">
      <c r="A72" s="91" t="s">
        <v>8088</v>
      </c>
      <c r="B72" s="93" t="s">
        <v>8292</v>
      </c>
    </row>
    <row r="73" spans="1:2" x14ac:dyDescent="0.25">
      <c r="A73" s="91" t="s">
        <v>8089</v>
      </c>
      <c r="B73" s="93" t="s">
        <v>8293</v>
      </c>
    </row>
    <row r="74" spans="1:2" x14ac:dyDescent="0.25">
      <c r="A74" s="91" t="s">
        <v>8090</v>
      </c>
      <c r="B74" s="93" t="s">
        <v>8294</v>
      </c>
    </row>
    <row r="75" spans="1:2" x14ac:dyDescent="0.25">
      <c r="A75" s="91" t="s">
        <v>8091</v>
      </c>
      <c r="B75" s="93" t="s">
        <v>8295</v>
      </c>
    </row>
    <row r="76" spans="1:2" x14ac:dyDescent="0.25">
      <c r="A76" s="91" t="s">
        <v>8093</v>
      </c>
      <c r="B76" s="93" t="s">
        <v>8296</v>
      </c>
    </row>
    <row r="79" spans="1:2" x14ac:dyDescent="0.25">
      <c r="A79" s="126" t="s">
        <v>8101</v>
      </c>
      <c r="B79" s="126"/>
    </row>
    <row r="80" spans="1:2" x14ac:dyDescent="0.25">
      <c r="A80" s="91" t="s">
        <v>8094</v>
      </c>
      <c r="B80" s="93" t="s">
        <v>8279</v>
      </c>
    </row>
    <row r="81" spans="1:2" x14ac:dyDescent="0.25">
      <c r="A81" s="91" t="s">
        <v>8095</v>
      </c>
      <c r="B81" s="93" t="s">
        <v>8280</v>
      </c>
    </row>
    <row r="82" spans="1:2" x14ac:dyDescent="0.25">
      <c r="A82" s="91" t="s">
        <v>8096</v>
      </c>
      <c r="B82" s="93" t="s">
        <v>8281</v>
      </c>
    </row>
    <row r="83" spans="1:2" x14ac:dyDescent="0.25">
      <c r="A83" s="91" t="s">
        <v>8097</v>
      </c>
      <c r="B83" s="93" t="s">
        <v>8282</v>
      </c>
    </row>
    <row r="84" spans="1:2" x14ac:dyDescent="0.25">
      <c r="A84" s="91" t="s">
        <v>8098</v>
      </c>
      <c r="B84" s="93" t="s">
        <v>8283</v>
      </c>
    </row>
    <row r="85" spans="1:2" x14ac:dyDescent="0.25">
      <c r="A85" s="91" t="s">
        <v>8099</v>
      </c>
      <c r="B85" s="93" t="s">
        <v>8284</v>
      </c>
    </row>
    <row r="86" spans="1:2" x14ac:dyDescent="0.25">
      <c r="A86" s="91" t="s">
        <v>8100</v>
      </c>
      <c r="B86" s="93" t="s">
        <v>8285</v>
      </c>
    </row>
    <row r="87" spans="1:2" x14ac:dyDescent="0.25">
      <c r="A87" s="91"/>
      <c r="B87" s="93" t="s">
        <v>8286</v>
      </c>
    </row>
    <row r="88" spans="1:2" x14ac:dyDescent="0.25">
      <c r="A88" s="91"/>
      <c r="B88" s="93" t="s">
        <v>8287</v>
      </c>
    </row>
    <row r="89" spans="1:2" x14ac:dyDescent="0.25">
      <c r="A89" s="91"/>
      <c r="B89" s="93" t="s">
        <v>8288</v>
      </c>
    </row>
    <row r="90" spans="1:2" x14ac:dyDescent="0.25">
      <c r="A90" s="91"/>
      <c r="B90" s="93" t="s">
        <v>8289</v>
      </c>
    </row>
    <row r="91" spans="1:2" x14ac:dyDescent="0.25">
      <c r="A91" s="91"/>
      <c r="B91" s="93" t="s">
        <v>8211</v>
      </c>
    </row>
    <row r="93" spans="1:2" x14ac:dyDescent="0.25">
      <c r="A93" s="126" t="s">
        <v>30</v>
      </c>
      <c r="B93" s="126"/>
    </row>
    <row r="94" spans="1:2" x14ac:dyDescent="0.25">
      <c r="B94" s="93" t="s">
        <v>46</v>
      </c>
    </row>
    <row r="95" spans="1:2" x14ac:dyDescent="0.25">
      <c r="B95" s="93" t="s">
        <v>8229</v>
      </c>
    </row>
    <row r="96" spans="1:2" x14ac:dyDescent="0.25">
      <c r="B96" s="93" t="s">
        <v>8230</v>
      </c>
    </row>
    <row r="97" spans="1:2" x14ac:dyDescent="0.25">
      <c r="B97" s="93" t="s">
        <v>8231</v>
      </c>
    </row>
    <row r="98" spans="1:2" x14ac:dyDescent="0.25">
      <c r="B98" s="93" t="s">
        <v>8232</v>
      </c>
    </row>
    <row r="99" spans="1:2" x14ac:dyDescent="0.25">
      <c r="B99" s="93" t="s">
        <v>8233</v>
      </c>
    </row>
    <row r="100" spans="1:2" x14ac:dyDescent="0.25">
      <c r="B100" s="93" t="s">
        <v>8234</v>
      </c>
    </row>
    <row r="101" spans="1:2" x14ac:dyDescent="0.25">
      <c r="B101" s="93"/>
    </row>
    <row r="102" spans="1:2" x14ac:dyDescent="0.25">
      <c r="B102" s="93"/>
    </row>
    <row r="103" spans="1:2" x14ac:dyDescent="0.25">
      <c r="A103" s="126" t="s">
        <v>7833</v>
      </c>
      <c r="B103" s="126"/>
    </row>
    <row r="104" spans="1:2" x14ac:dyDescent="0.25">
      <c r="B104" s="93" t="s">
        <v>8274</v>
      </c>
    </row>
    <row r="105" spans="1:2" x14ac:dyDescent="0.25">
      <c r="B105" s="93" t="s">
        <v>8275</v>
      </c>
    </row>
    <row r="106" spans="1:2" x14ac:dyDescent="0.25">
      <c r="B106" s="93" t="s">
        <v>8276</v>
      </c>
    </row>
    <row r="107" spans="1:2" x14ac:dyDescent="0.25">
      <c r="B107" s="93" t="s">
        <v>8277</v>
      </c>
    </row>
    <row r="108" spans="1:2" x14ac:dyDescent="0.25">
      <c r="B108" s="93" t="s">
        <v>8278</v>
      </c>
    </row>
    <row r="109" spans="1:2" x14ac:dyDescent="0.25">
      <c r="B109" s="93"/>
    </row>
    <row r="110" spans="1:2" x14ac:dyDescent="0.25">
      <c r="B110" s="93"/>
    </row>
    <row r="111" spans="1:2" x14ac:dyDescent="0.25">
      <c r="A111" s="126" t="s">
        <v>7831</v>
      </c>
      <c r="B111" s="126"/>
    </row>
    <row r="112" spans="1:2" x14ac:dyDescent="0.25">
      <c r="B112" s="93" t="s">
        <v>8297</v>
      </c>
    </row>
    <row r="113" spans="1:2" x14ac:dyDescent="0.25">
      <c r="B113" s="93" t="s">
        <v>8298</v>
      </c>
    </row>
    <row r="114" spans="1:2" x14ac:dyDescent="0.25">
      <c r="B114" s="93" t="s">
        <v>8299</v>
      </c>
    </row>
    <row r="115" spans="1:2" x14ac:dyDescent="0.25">
      <c r="B115" s="93" t="s">
        <v>8300</v>
      </c>
    </row>
    <row r="116" spans="1:2" x14ac:dyDescent="0.25">
      <c r="B116" s="93" t="s">
        <v>8301</v>
      </c>
    </row>
    <row r="117" spans="1:2" x14ac:dyDescent="0.25">
      <c r="B117" s="93" t="s">
        <v>8302</v>
      </c>
    </row>
    <row r="118" spans="1:2" x14ac:dyDescent="0.25">
      <c r="B118" s="93"/>
    </row>
    <row r="119" spans="1:2" x14ac:dyDescent="0.25">
      <c r="B119" s="93"/>
    </row>
    <row r="120" spans="1:2" x14ac:dyDescent="0.25">
      <c r="A120" s="126" t="s">
        <v>8266</v>
      </c>
      <c r="B120" s="126"/>
    </row>
    <row r="121" spans="1:2" x14ac:dyDescent="0.25">
      <c r="B121" s="93" t="s">
        <v>8267</v>
      </c>
    </row>
    <row r="122" spans="1:2" x14ac:dyDescent="0.25">
      <c r="B122" s="93" t="s">
        <v>8268</v>
      </c>
    </row>
    <row r="123" spans="1:2" x14ac:dyDescent="0.25">
      <c r="B123" s="93" t="s">
        <v>8269</v>
      </c>
    </row>
    <row r="124" spans="1:2" x14ac:dyDescent="0.25">
      <c r="B124" s="93" t="s">
        <v>8270</v>
      </c>
    </row>
    <row r="125" spans="1:2" x14ac:dyDescent="0.25">
      <c r="B125" s="93" t="s">
        <v>8271</v>
      </c>
    </row>
    <row r="126" spans="1:2" x14ac:dyDescent="0.25">
      <c r="B126" s="93" t="s">
        <v>8272</v>
      </c>
    </row>
    <row r="127" spans="1:2" x14ac:dyDescent="0.25">
      <c r="B127" s="93" t="s">
        <v>8273</v>
      </c>
    </row>
    <row r="130" spans="1:2" x14ac:dyDescent="0.25">
      <c r="A130" s="126" t="s">
        <v>8106</v>
      </c>
      <c r="B130" s="126"/>
    </row>
    <row r="131" spans="1:2" x14ac:dyDescent="0.25">
      <c r="A131" s="91" t="s">
        <v>8102</v>
      </c>
      <c r="B131" s="93" t="s">
        <v>8196</v>
      </c>
    </row>
    <row r="132" spans="1:2" x14ac:dyDescent="0.25">
      <c r="A132" s="91" t="s">
        <v>8103</v>
      </c>
      <c r="B132" s="93" t="s">
        <v>8197</v>
      </c>
    </row>
    <row r="133" spans="1:2" x14ac:dyDescent="0.25">
      <c r="A133" s="91" t="s">
        <v>8104</v>
      </c>
      <c r="B133" s="93" t="s">
        <v>8198</v>
      </c>
    </row>
    <row r="134" spans="1:2" x14ac:dyDescent="0.25">
      <c r="A134" s="91" t="s">
        <v>8105</v>
      </c>
      <c r="B134" s="93" t="s">
        <v>8199</v>
      </c>
    </row>
    <row r="137" spans="1:2" x14ac:dyDescent="0.25">
      <c r="A137" s="126" t="s">
        <v>33</v>
      </c>
      <c r="B137" s="126"/>
    </row>
    <row r="138" spans="1:2" x14ac:dyDescent="0.25">
      <c r="A138" s="91" t="s">
        <v>8107</v>
      </c>
      <c r="B138" s="93" t="s">
        <v>33</v>
      </c>
    </row>
    <row r="139" spans="1:2" x14ac:dyDescent="0.25">
      <c r="A139" s="91" t="s">
        <v>8108</v>
      </c>
      <c r="B139" s="93" t="s">
        <v>8219</v>
      </c>
    </row>
    <row r="140" spans="1:2" x14ac:dyDescent="0.25">
      <c r="A140" s="91" t="s">
        <v>8109</v>
      </c>
      <c r="B140" s="93" t="s">
        <v>8220</v>
      </c>
    </row>
    <row r="141" spans="1:2" x14ac:dyDescent="0.25">
      <c r="A141" s="91" t="s">
        <v>8110</v>
      </c>
      <c r="B141" s="93" t="s">
        <v>8221</v>
      </c>
    </row>
    <row r="142" spans="1:2" x14ac:dyDescent="0.25">
      <c r="A142" s="91" t="s">
        <v>8111</v>
      </c>
      <c r="B142" s="93" t="s">
        <v>8222</v>
      </c>
    </row>
    <row r="143" spans="1:2" x14ac:dyDescent="0.25">
      <c r="A143" s="91" t="s">
        <v>8112</v>
      </c>
    </row>
    <row r="144" spans="1:2" x14ac:dyDescent="0.25">
      <c r="A144" s="91" t="s">
        <v>8113</v>
      </c>
    </row>
    <row r="145" spans="1:3" x14ac:dyDescent="0.25">
      <c r="A145" s="91" t="s">
        <v>8114</v>
      </c>
    </row>
    <row r="146" spans="1:3" x14ac:dyDescent="0.25">
      <c r="A146" s="91" t="s">
        <v>8115</v>
      </c>
    </row>
    <row r="149" spans="1:3" x14ac:dyDescent="0.25">
      <c r="A149" s="126" t="s">
        <v>8116</v>
      </c>
      <c r="B149" s="126"/>
    </row>
    <row r="150" spans="1:3" x14ac:dyDescent="0.25">
      <c r="A150" s="92" t="s">
        <v>8117</v>
      </c>
      <c r="B150" s="93" t="s">
        <v>47</v>
      </c>
      <c r="C150" s="102" t="s">
        <v>8402</v>
      </c>
    </row>
    <row r="151" spans="1:3" x14ac:dyDescent="0.25">
      <c r="A151" s="95" t="s">
        <v>8118</v>
      </c>
      <c r="B151" s="93" t="s">
        <v>8213</v>
      </c>
      <c r="C151" t="s">
        <v>8403</v>
      </c>
    </row>
    <row r="152" spans="1:3" x14ac:dyDescent="0.25">
      <c r="A152" s="95" t="s">
        <v>8119</v>
      </c>
      <c r="B152" s="100" t="s">
        <v>8214</v>
      </c>
      <c r="C152" t="s">
        <v>8404</v>
      </c>
    </row>
    <row r="153" spans="1:3" x14ac:dyDescent="0.25">
      <c r="A153" s="95" t="s">
        <v>8120</v>
      </c>
      <c r="B153" s="100" t="s">
        <v>8215</v>
      </c>
      <c r="C153" t="s">
        <v>8405</v>
      </c>
    </row>
    <row r="154" spans="1:3" x14ac:dyDescent="0.25">
      <c r="A154" s="95" t="s">
        <v>8121</v>
      </c>
      <c r="B154" s="100" t="s">
        <v>8216</v>
      </c>
      <c r="C154" t="s">
        <v>8406</v>
      </c>
    </row>
    <row r="155" spans="1:3" x14ac:dyDescent="0.25">
      <c r="A155" s="95" t="s">
        <v>8122</v>
      </c>
      <c r="B155" s="93" t="s">
        <v>8217</v>
      </c>
      <c r="C155" t="s">
        <v>8407</v>
      </c>
    </row>
    <row r="156" spans="1:3" x14ac:dyDescent="0.25">
      <c r="A156" s="91" t="s">
        <v>8123</v>
      </c>
      <c r="B156" s="93" t="s">
        <v>8218</v>
      </c>
    </row>
    <row r="157" spans="1:3" x14ac:dyDescent="0.25">
      <c r="A157" s="91" t="s">
        <v>8124</v>
      </c>
    </row>
    <row r="160" spans="1:3" x14ac:dyDescent="0.25">
      <c r="A160" s="126" t="s">
        <v>8341</v>
      </c>
      <c r="B160" s="126"/>
    </row>
    <row r="161" spans="1:2" x14ac:dyDescent="0.25">
      <c r="A161" s="91" t="s">
        <v>8125</v>
      </c>
      <c r="B161" s="93" t="s">
        <v>1531</v>
      </c>
    </row>
    <row r="162" spans="1:2" x14ac:dyDescent="0.25">
      <c r="A162" s="91" t="s">
        <v>8126</v>
      </c>
      <c r="B162" s="93" t="s">
        <v>8336</v>
      </c>
    </row>
    <row r="163" spans="1:2" x14ac:dyDescent="0.25">
      <c r="A163" s="91" t="s">
        <v>8127</v>
      </c>
      <c r="B163" s="93" t="s">
        <v>8337</v>
      </c>
    </row>
    <row r="164" spans="1:2" x14ac:dyDescent="0.25">
      <c r="A164" s="91" t="s">
        <v>8128</v>
      </c>
      <c r="B164" s="93" t="s">
        <v>8338</v>
      </c>
    </row>
    <row r="165" spans="1:2" x14ac:dyDescent="0.25">
      <c r="B165" s="93" t="s">
        <v>8339</v>
      </c>
    </row>
    <row r="166" spans="1:2" x14ac:dyDescent="0.25">
      <c r="B166" s="93" t="s">
        <v>8340</v>
      </c>
    </row>
    <row r="167" spans="1:2" x14ac:dyDescent="0.25">
      <c r="B167" s="93"/>
    </row>
    <row r="168" spans="1:2" x14ac:dyDescent="0.25">
      <c r="B168" s="93"/>
    </row>
    <row r="169" spans="1:2" x14ac:dyDescent="0.25">
      <c r="A169" s="126" t="s">
        <v>8140</v>
      </c>
      <c r="B169" s="126"/>
    </row>
    <row r="170" spans="1:2" x14ac:dyDescent="0.25">
      <c r="A170" s="91" t="s">
        <v>979</v>
      </c>
      <c r="B170" s="93" t="s">
        <v>8206</v>
      </c>
    </row>
    <row r="171" spans="1:2" x14ac:dyDescent="0.25">
      <c r="A171" s="91" t="s">
        <v>8129</v>
      </c>
      <c r="B171" s="93" t="s">
        <v>8207</v>
      </c>
    </row>
    <row r="172" spans="1:2" x14ac:dyDescent="0.25">
      <c r="A172" s="91" t="s">
        <v>8130</v>
      </c>
      <c r="B172" s="93" t="s">
        <v>8208</v>
      </c>
    </row>
    <row r="173" spans="1:2" x14ac:dyDescent="0.25">
      <c r="A173" s="91" t="s">
        <v>8131</v>
      </c>
      <c r="B173" s="93" t="s">
        <v>8209</v>
      </c>
    </row>
    <row r="174" spans="1:2" x14ac:dyDescent="0.25">
      <c r="A174" s="91" t="s">
        <v>8132</v>
      </c>
      <c r="B174" s="93" t="s">
        <v>8210</v>
      </c>
    </row>
    <row r="175" spans="1:2" x14ac:dyDescent="0.25">
      <c r="A175" s="91" t="s">
        <v>8133</v>
      </c>
      <c r="B175" s="93" t="s">
        <v>8211</v>
      </c>
    </row>
    <row r="176" spans="1:2" x14ac:dyDescent="0.25">
      <c r="A176" s="91" t="s">
        <v>8134</v>
      </c>
      <c r="B176" s="93" t="s">
        <v>8212</v>
      </c>
    </row>
    <row r="177" spans="1:2" x14ac:dyDescent="0.25">
      <c r="A177" s="91" t="s">
        <v>8141</v>
      </c>
    </row>
    <row r="178" spans="1:2" x14ac:dyDescent="0.25">
      <c r="A178" s="92" t="s">
        <v>8142</v>
      </c>
    </row>
    <row r="179" spans="1:2" x14ac:dyDescent="0.25">
      <c r="A179" s="91" t="s">
        <v>8135</v>
      </c>
    </row>
    <row r="180" spans="1:2" x14ac:dyDescent="0.25">
      <c r="A180" s="91" t="s">
        <v>8136</v>
      </c>
    </row>
    <row r="181" spans="1:2" x14ac:dyDescent="0.25">
      <c r="A181" s="91" t="s">
        <v>8137</v>
      </c>
    </row>
    <row r="182" spans="1:2" x14ac:dyDescent="0.25">
      <c r="A182" s="91" t="s">
        <v>8138</v>
      </c>
    </row>
    <row r="183" spans="1:2" x14ac:dyDescent="0.25">
      <c r="A183" s="91" t="s">
        <v>8139</v>
      </c>
    </row>
    <row r="186" spans="1:2" x14ac:dyDescent="0.25">
      <c r="A186" s="126" t="s">
        <v>8143</v>
      </c>
      <c r="B186" s="126"/>
    </row>
    <row r="187" spans="1:2" x14ac:dyDescent="0.25">
      <c r="A187" s="91" t="s">
        <v>8144</v>
      </c>
      <c r="B187" s="93" t="s">
        <v>8200</v>
      </c>
    </row>
    <row r="188" spans="1:2" x14ac:dyDescent="0.25">
      <c r="A188" s="91" t="s">
        <v>8145</v>
      </c>
      <c r="B188" s="93" t="s">
        <v>8201</v>
      </c>
    </row>
    <row r="189" spans="1:2" x14ac:dyDescent="0.25">
      <c r="A189" s="91" t="s">
        <v>8146</v>
      </c>
      <c r="B189" s="93" t="s">
        <v>8202</v>
      </c>
    </row>
    <row r="190" spans="1:2" x14ac:dyDescent="0.25">
      <c r="A190" s="91" t="s">
        <v>8147</v>
      </c>
      <c r="B190" s="93" t="s">
        <v>8203</v>
      </c>
    </row>
    <row r="191" spans="1:2" x14ac:dyDescent="0.25">
      <c r="A191" s="91"/>
      <c r="B191" s="93" t="s">
        <v>8204</v>
      </c>
    </row>
    <row r="192" spans="1:2" x14ac:dyDescent="0.25">
      <c r="A192" s="91"/>
      <c r="B192" s="93" t="s">
        <v>8205</v>
      </c>
    </row>
    <row r="195" spans="1:2" x14ac:dyDescent="0.25">
      <c r="A195" s="126" t="s">
        <v>8148</v>
      </c>
      <c r="B195" s="126"/>
    </row>
    <row r="196" spans="1:2" x14ac:dyDescent="0.25">
      <c r="A196" s="91" t="s">
        <v>8149</v>
      </c>
    </row>
    <row r="197" spans="1:2" x14ac:dyDescent="0.25">
      <c r="A197" s="92" t="s">
        <v>8153</v>
      </c>
    </row>
    <row r="198" spans="1:2" x14ac:dyDescent="0.25">
      <c r="A198" s="92" t="s">
        <v>8154</v>
      </c>
    </row>
    <row r="199" spans="1:2" x14ac:dyDescent="0.25">
      <c r="A199" s="91" t="s">
        <v>8150</v>
      </c>
    </row>
    <row r="200" spans="1:2" x14ac:dyDescent="0.25">
      <c r="A200" s="91" t="s">
        <v>8151</v>
      </c>
    </row>
    <row r="201" spans="1:2" x14ac:dyDescent="0.25">
      <c r="A201" s="92" t="s">
        <v>8152</v>
      </c>
    </row>
    <row r="202" spans="1:2" x14ac:dyDescent="0.25">
      <c r="A202" s="91" t="s">
        <v>8155</v>
      </c>
    </row>
    <row r="203" spans="1:2" x14ac:dyDescent="0.25">
      <c r="A203" s="92" t="s">
        <v>8156</v>
      </c>
    </row>
    <row r="206" spans="1:2" x14ac:dyDescent="0.25">
      <c r="A206" s="126" t="s">
        <v>8157</v>
      </c>
      <c r="B206" s="126"/>
    </row>
    <row r="207" spans="1:2" x14ac:dyDescent="0.25">
      <c r="A207" s="91" t="s">
        <v>8158</v>
      </c>
      <c r="B207" s="93" t="s">
        <v>8256</v>
      </c>
    </row>
    <row r="208" spans="1:2" x14ac:dyDescent="0.25">
      <c r="A208" s="91" t="s">
        <v>8159</v>
      </c>
      <c r="B208" s="93" t="s">
        <v>8257</v>
      </c>
    </row>
    <row r="209" spans="1:2" x14ac:dyDescent="0.25">
      <c r="A209" s="91" t="s">
        <v>8160</v>
      </c>
      <c r="B209" s="93" t="s">
        <v>8258</v>
      </c>
    </row>
    <row r="210" spans="1:2" x14ac:dyDescent="0.25">
      <c r="A210" s="91" t="s">
        <v>8161</v>
      </c>
      <c r="B210" s="93" t="s">
        <v>8259</v>
      </c>
    </row>
    <row r="211" spans="1:2" x14ac:dyDescent="0.25">
      <c r="A211" s="91" t="s">
        <v>8162</v>
      </c>
      <c r="B211" s="93" t="s">
        <v>8260</v>
      </c>
    </row>
    <row r="212" spans="1:2" x14ac:dyDescent="0.25">
      <c r="B212" s="93" t="s">
        <v>8261</v>
      </c>
    </row>
    <row r="213" spans="1:2" x14ac:dyDescent="0.25">
      <c r="B213" s="93"/>
    </row>
    <row r="215" spans="1:2" x14ac:dyDescent="0.25">
      <c r="A215" s="126" t="s">
        <v>8223</v>
      </c>
      <c r="B215" s="126"/>
    </row>
    <row r="216" spans="1:2" x14ac:dyDescent="0.25">
      <c r="B216" s="93" t="s">
        <v>8224</v>
      </c>
    </row>
    <row r="217" spans="1:2" x14ac:dyDescent="0.25">
      <c r="B217" s="93" t="s">
        <v>8225</v>
      </c>
    </row>
    <row r="218" spans="1:2" x14ac:dyDescent="0.25">
      <c r="B218" s="93" t="s">
        <v>8226</v>
      </c>
    </row>
    <row r="219" spans="1:2" x14ac:dyDescent="0.25">
      <c r="B219" s="93" t="s">
        <v>8227</v>
      </c>
    </row>
    <row r="220" spans="1:2" x14ac:dyDescent="0.25">
      <c r="B220" s="93" t="s">
        <v>8228</v>
      </c>
    </row>
    <row r="223" spans="1:2" x14ac:dyDescent="0.25">
      <c r="A223" s="126" t="s">
        <v>109</v>
      </c>
      <c r="B223" s="126"/>
    </row>
    <row r="224" spans="1:2" x14ac:dyDescent="0.25">
      <c r="B224" s="93" t="s">
        <v>8235</v>
      </c>
    </row>
    <row r="225" spans="2:2" x14ac:dyDescent="0.25">
      <c r="B225" s="93" t="s">
        <v>8236</v>
      </c>
    </row>
    <row r="226" spans="2:2" x14ac:dyDescent="0.25">
      <c r="B226" s="93" t="s">
        <v>8237</v>
      </c>
    </row>
    <row r="227" spans="2:2" x14ac:dyDescent="0.25">
      <c r="B227" s="93" t="s">
        <v>8238</v>
      </c>
    </row>
    <row r="228" spans="2:2" x14ac:dyDescent="0.25">
      <c r="B228" s="93" t="s">
        <v>8239</v>
      </c>
    </row>
    <row r="229" spans="2:2" x14ac:dyDescent="0.25">
      <c r="B229" s="93" t="s">
        <v>8240</v>
      </c>
    </row>
    <row r="230" spans="2:2" x14ac:dyDescent="0.25">
      <c r="B230" s="93" t="s">
        <v>8241</v>
      </c>
    </row>
    <row r="231" spans="2:2" x14ac:dyDescent="0.25">
      <c r="B231" s="93" t="s">
        <v>8242</v>
      </c>
    </row>
    <row r="232" spans="2:2" x14ac:dyDescent="0.25">
      <c r="B232" s="93" t="s">
        <v>8243</v>
      </c>
    </row>
    <row r="233" spans="2:2" x14ac:dyDescent="0.25">
      <c r="B233" s="93" t="s">
        <v>8244</v>
      </c>
    </row>
    <row r="234" spans="2:2" x14ac:dyDescent="0.25">
      <c r="B234" s="93" t="s">
        <v>8245</v>
      </c>
    </row>
    <row r="235" spans="2:2" x14ac:dyDescent="0.25">
      <c r="B235" s="93" t="s">
        <v>8246</v>
      </c>
    </row>
    <row r="236" spans="2:2" x14ac:dyDescent="0.25">
      <c r="B236" s="93" t="s">
        <v>8247</v>
      </c>
    </row>
    <row r="237" spans="2:2" x14ac:dyDescent="0.25">
      <c r="B237" s="93" t="s">
        <v>8248</v>
      </c>
    </row>
    <row r="238" spans="2:2" x14ac:dyDescent="0.25">
      <c r="B238" s="93" t="s">
        <v>8249</v>
      </c>
    </row>
    <row r="239" spans="2:2" x14ac:dyDescent="0.25">
      <c r="B239" s="93" t="s">
        <v>8250</v>
      </c>
    </row>
    <row r="240" spans="2:2" x14ac:dyDescent="0.25">
      <c r="B240" s="93"/>
    </row>
    <row r="243" spans="1:2" x14ac:dyDescent="0.25">
      <c r="A243" s="126" t="s">
        <v>8265</v>
      </c>
      <c r="B243" s="126"/>
    </row>
    <row r="244" spans="1:2" x14ac:dyDescent="0.25">
      <c r="B244" s="93" t="s">
        <v>193</v>
      </c>
    </row>
    <row r="245" spans="1:2" x14ac:dyDescent="0.25">
      <c r="B245" s="93" t="s">
        <v>8262</v>
      </c>
    </row>
    <row r="246" spans="1:2" x14ac:dyDescent="0.25">
      <c r="B246" s="93" t="s">
        <v>8263</v>
      </c>
    </row>
    <row r="247" spans="1:2" x14ac:dyDescent="0.25">
      <c r="B247" s="93" t="s">
        <v>8264</v>
      </c>
    </row>
    <row r="251" spans="1:2" x14ac:dyDescent="0.25">
      <c r="A251" s="126" t="s">
        <v>8309</v>
      </c>
      <c r="B251" s="126"/>
    </row>
    <row r="252" spans="1:2" x14ac:dyDescent="0.25">
      <c r="B252" s="93" t="s">
        <v>8303</v>
      </c>
    </row>
    <row r="253" spans="1:2" x14ac:dyDescent="0.25">
      <c r="B253" s="93" t="s">
        <v>8304</v>
      </c>
    </row>
    <row r="254" spans="1:2" x14ac:dyDescent="0.25">
      <c r="B254" s="93" t="s">
        <v>8305</v>
      </c>
    </row>
    <row r="255" spans="1:2" x14ac:dyDescent="0.25">
      <c r="B255" s="93" t="s">
        <v>8306</v>
      </c>
    </row>
    <row r="256" spans="1:2" x14ac:dyDescent="0.25">
      <c r="B256" s="93" t="s">
        <v>8307</v>
      </c>
    </row>
    <row r="257" spans="1:2" x14ac:dyDescent="0.25">
      <c r="B257" s="93" t="s">
        <v>8308</v>
      </c>
    </row>
    <row r="261" spans="1:2" x14ac:dyDescent="0.25">
      <c r="A261" s="126" t="s">
        <v>8318</v>
      </c>
      <c r="B261" s="126"/>
    </row>
    <row r="262" spans="1:2" x14ac:dyDescent="0.25">
      <c r="B262" s="93" t="s">
        <v>8310</v>
      </c>
    </row>
    <row r="263" spans="1:2" x14ac:dyDescent="0.25">
      <c r="B263" s="93" t="s">
        <v>8311</v>
      </c>
    </row>
    <row r="264" spans="1:2" x14ac:dyDescent="0.25">
      <c r="B264" s="93" t="s">
        <v>8312</v>
      </c>
    </row>
    <row r="265" spans="1:2" x14ac:dyDescent="0.25">
      <c r="B265" s="93" t="s">
        <v>8313</v>
      </c>
    </row>
    <row r="266" spans="1:2" x14ac:dyDescent="0.25">
      <c r="B266" s="93" t="s">
        <v>8314</v>
      </c>
    </row>
    <row r="267" spans="1:2" x14ac:dyDescent="0.25">
      <c r="B267" s="93" t="s">
        <v>8315</v>
      </c>
    </row>
    <row r="268" spans="1:2" x14ac:dyDescent="0.25">
      <c r="B268" s="93" t="s">
        <v>8316</v>
      </c>
    </row>
    <row r="269" spans="1:2" x14ac:dyDescent="0.25">
      <c r="B269" s="93" t="s">
        <v>8317</v>
      </c>
    </row>
    <row r="272" spans="1:2" x14ac:dyDescent="0.25">
      <c r="A272" s="126" t="s">
        <v>8328</v>
      </c>
      <c r="B272" s="126"/>
    </row>
    <row r="273" spans="1:2" x14ac:dyDescent="0.25">
      <c r="B273" s="93" t="s">
        <v>8319</v>
      </c>
    </row>
    <row r="274" spans="1:2" x14ac:dyDescent="0.25">
      <c r="B274" s="93" t="s">
        <v>8320</v>
      </c>
    </row>
    <row r="275" spans="1:2" x14ac:dyDescent="0.25">
      <c r="B275" s="93" t="s">
        <v>8321</v>
      </c>
    </row>
    <row r="276" spans="1:2" x14ac:dyDescent="0.25">
      <c r="B276" s="93" t="s">
        <v>8322</v>
      </c>
    </row>
    <row r="277" spans="1:2" x14ac:dyDescent="0.25">
      <c r="B277" s="93" t="s">
        <v>8323</v>
      </c>
    </row>
    <row r="278" spans="1:2" x14ac:dyDescent="0.25">
      <c r="B278" s="93" t="s">
        <v>8324</v>
      </c>
    </row>
    <row r="279" spans="1:2" x14ac:dyDescent="0.25">
      <c r="B279" s="93" t="s">
        <v>8325</v>
      </c>
    </row>
    <row r="280" spans="1:2" x14ac:dyDescent="0.25">
      <c r="B280" s="93" t="s">
        <v>8326</v>
      </c>
    </row>
    <row r="281" spans="1:2" x14ac:dyDescent="0.25">
      <c r="B281" s="93" t="s">
        <v>8327</v>
      </c>
    </row>
    <row r="285" spans="1:2" x14ac:dyDescent="0.25">
      <c r="A285" s="126" t="s">
        <v>8335</v>
      </c>
      <c r="B285" s="126"/>
    </row>
    <row r="286" spans="1:2" x14ac:dyDescent="0.25">
      <c r="B286" s="93" t="s">
        <v>8329</v>
      </c>
    </row>
    <row r="287" spans="1:2" x14ac:dyDescent="0.25">
      <c r="B287" s="93" t="s">
        <v>8330</v>
      </c>
    </row>
    <row r="288" spans="1:2" x14ac:dyDescent="0.25">
      <c r="B288" s="93" t="s">
        <v>8331</v>
      </c>
    </row>
    <row r="289" spans="1:2" x14ac:dyDescent="0.25">
      <c r="B289" s="93" t="s">
        <v>8332</v>
      </c>
    </row>
    <row r="290" spans="1:2" x14ac:dyDescent="0.25">
      <c r="B290" s="93" t="s">
        <v>8333</v>
      </c>
    </row>
    <row r="291" spans="1:2" x14ac:dyDescent="0.25">
      <c r="B291" s="93" t="s">
        <v>8334</v>
      </c>
    </row>
    <row r="300" spans="1:2" x14ac:dyDescent="0.25">
      <c r="A300" s="126" t="s">
        <v>8380</v>
      </c>
      <c r="B300" s="126"/>
    </row>
    <row r="301" spans="1:2" x14ac:dyDescent="0.25">
      <c r="B301" s="93" t="s">
        <v>8342</v>
      </c>
    </row>
    <row r="302" spans="1:2" x14ac:dyDescent="0.25">
      <c r="B302" s="93" t="s">
        <v>8343</v>
      </c>
    </row>
    <row r="303" spans="1:2" x14ac:dyDescent="0.25">
      <c r="B303" s="93" t="s">
        <v>8344</v>
      </c>
    </row>
    <row r="304" spans="1:2" x14ac:dyDescent="0.25">
      <c r="B304" s="93" t="s">
        <v>8345</v>
      </c>
    </row>
    <row r="305" spans="2:2" x14ac:dyDescent="0.25">
      <c r="B305" s="93" t="s">
        <v>8346</v>
      </c>
    </row>
    <row r="306" spans="2:2" x14ac:dyDescent="0.25">
      <c r="B306" s="93" t="s">
        <v>8347</v>
      </c>
    </row>
    <row r="307" spans="2:2" x14ac:dyDescent="0.25">
      <c r="B307" s="93" t="s">
        <v>8348</v>
      </c>
    </row>
    <row r="308" spans="2:2" x14ac:dyDescent="0.25">
      <c r="B308" s="93" t="s">
        <v>8349</v>
      </c>
    </row>
    <row r="309" spans="2:2" x14ac:dyDescent="0.25">
      <c r="B309" s="93" t="s">
        <v>8350</v>
      </c>
    </row>
    <row r="310" spans="2:2" x14ac:dyDescent="0.25">
      <c r="B310" s="93" t="s">
        <v>8351</v>
      </c>
    </row>
    <row r="311" spans="2:2" x14ac:dyDescent="0.25">
      <c r="B311" s="93" t="s">
        <v>8352</v>
      </c>
    </row>
    <row r="312" spans="2:2" x14ac:dyDescent="0.25">
      <c r="B312" s="93" t="s">
        <v>8353</v>
      </c>
    </row>
    <row r="313" spans="2:2" x14ac:dyDescent="0.25">
      <c r="B313" s="93" t="s">
        <v>8354</v>
      </c>
    </row>
    <row r="314" spans="2:2" x14ac:dyDescent="0.25">
      <c r="B314" s="93" t="s">
        <v>8355</v>
      </c>
    </row>
    <row r="315" spans="2:2" x14ac:dyDescent="0.25">
      <c r="B315" s="93" t="s">
        <v>8356</v>
      </c>
    </row>
    <row r="316" spans="2:2" x14ac:dyDescent="0.25">
      <c r="B316" s="93" t="s">
        <v>8357</v>
      </c>
    </row>
    <row r="317" spans="2:2" x14ac:dyDescent="0.25">
      <c r="B317" s="93" t="s">
        <v>8358</v>
      </c>
    </row>
    <row r="318" spans="2:2" x14ac:dyDescent="0.25">
      <c r="B318" s="93" t="s">
        <v>8359</v>
      </c>
    </row>
    <row r="319" spans="2:2" x14ac:dyDescent="0.25">
      <c r="B319" s="93" t="s">
        <v>8360</v>
      </c>
    </row>
    <row r="320" spans="2:2" x14ac:dyDescent="0.25">
      <c r="B320" s="93" t="s">
        <v>8361</v>
      </c>
    </row>
    <row r="321" spans="2:2" x14ac:dyDescent="0.25">
      <c r="B321" s="93" t="s">
        <v>8362</v>
      </c>
    </row>
    <row r="322" spans="2:2" x14ac:dyDescent="0.25">
      <c r="B322" s="93" t="s">
        <v>8363</v>
      </c>
    </row>
    <row r="323" spans="2:2" x14ac:dyDescent="0.25">
      <c r="B323" s="93" t="s">
        <v>8364</v>
      </c>
    </row>
    <row r="324" spans="2:2" x14ac:dyDescent="0.25">
      <c r="B324" s="93" t="s">
        <v>8365</v>
      </c>
    </row>
    <row r="325" spans="2:2" x14ac:dyDescent="0.25">
      <c r="B325" s="93" t="s">
        <v>8366</v>
      </c>
    </row>
    <row r="326" spans="2:2" x14ac:dyDescent="0.25">
      <c r="B326" s="93" t="s">
        <v>8212</v>
      </c>
    </row>
    <row r="327" spans="2:2" x14ac:dyDescent="0.25">
      <c r="B327" s="93" t="s">
        <v>8367</v>
      </c>
    </row>
    <row r="328" spans="2:2" x14ac:dyDescent="0.25">
      <c r="B328" s="93" t="s">
        <v>8368</v>
      </c>
    </row>
    <row r="329" spans="2:2" x14ac:dyDescent="0.25">
      <c r="B329" s="93" t="s">
        <v>8369</v>
      </c>
    </row>
    <row r="330" spans="2:2" x14ac:dyDescent="0.25">
      <c r="B330" s="93" t="s">
        <v>8370</v>
      </c>
    </row>
    <row r="331" spans="2:2" x14ac:dyDescent="0.25">
      <c r="B331" s="93" t="s">
        <v>8371</v>
      </c>
    </row>
    <row r="332" spans="2:2" x14ac:dyDescent="0.25">
      <c r="B332" s="93" t="s">
        <v>8372</v>
      </c>
    </row>
    <row r="333" spans="2:2" x14ac:dyDescent="0.25">
      <c r="B333" s="93" t="s">
        <v>8373</v>
      </c>
    </row>
    <row r="334" spans="2:2" x14ac:dyDescent="0.25">
      <c r="B334" s="93" t="s">
        <v>8374</v>
      </c>
    </row>
    <row r="335" spans="2:2" x14ac:dyDescent="0.25">
      <c r="B335" s="93" t="s">
        <v>8375</v>
      </c>
    </row>
    <row r="336" spans="2:2" x14ac:dyDescent="0.25">
      <c r="B336" s="93" t="s">
        <v>8376</v>
      </c>
    </row>
    <row r="337" spans="2:2" x14ac:dyDescent="0.25">
      <c r="B337" s="93" t="s">
        <v>8377</v>
      </c>
    </row>
    <row r="338" spans="2:2" x14ac:dyDescent="0.25">
      <c r="B338" s="93" t="s">
        <v>8378</v>
      </c>
    </row>
    <row r="339" spans="2:2" x14ac:dyDescent="0.25">
      <c r="B339" s="93" t="s">
        <v>8379</v>
      </c>
    </row>
  </sheetData>
  <mergeCells count="28">
    <mergeCell ref="A69:B69"/>
    <mergeCell ref="A300:B300"/>
    <mergeCell ref="A251:B251"/>
    <mergeCell ref="A261:B261"/>
    <mergeCell ref="A272:B272"/>
    <mergeCell ref="A285:B285"/>
    <mergeCell ref="A243:B243"/>
    <mergeCell ref="A120:B120"/>
    <mergeCell ref="A103:B103"/>
    <mergeCell ref="A79:B79"/>
    <mergeCell ref="A111:B111"/>
    <mergeCell ref="A186:B186"/>
    <mergeCell ref="A169:B169"/>
    <mergeCell ref="A149:B149"/>
    <mergeCell ref="A137:B137"/>
    <mergeCell ref="A215:B215"/>
    <mergeCell ref="A93:B93"/>
    <mergeCell ref="A130:B130"/>
    <mergeCell ref="A195:B195"/>
    <mergeCell ref="A160:B160"/>
    <mergeCell ref="A223:B223"/>
    <mergeCell ref="A206:B206"/>
    <mergeCell ref="A2:B2"/>
    <mergeCell ref="A30:B30"/>
    <mergeCell ref="A16:B16"/>
    <mergeCell ref="A40:B40"/>
    <mergeCell ref="A59:B59"/>
    <mergeCell ref="A48:B48"/>
  </mergeCells>
  <hyperlinks>
    <hyperlink ref="A3" r:id="rId1" display="https://leetcode.com/problems/maximum-subarray/" xr:uid="{4F038F56-7992-48CF-98A8-AB7A33BBE1CF}"/>
    <hyperlink ref="A4" r:id="rId2" xr:uid="{D445EB83-79F3-4875-8F99-A83F0D418849}"/>
    <hyperlink ref="A5" r:id="rId3" xr:uid="{D5AEEAC6-4E2F-4B28-9E4D-89937B2D8F76}"/>
    <hyperlink ref="A6" r:id="rId4" xr:uid="{7B44338F-E710-417E-A1A7-6D7F43104D04}"/>
    <hyperlink ref="A7" r:id="rId5" xr:uid="{65B214D1-CDA6-47CF-B282-F3C4F962DC11}"/>
    <hyperlink ref="A8" r:id="rId6" xr:uid="{7ACEF4DD-5BB0-4C3C-8836-2604CEDA9BC0}"/>
    <hyperlink ref="A9" r:id="rId7" xr:uid="{E086F107-ECC6-4E1E-8558-DF5FDA9D4FD1}"/>
    <hyperlink ref="A10" r:id="rId8" xr:uid="{53EC75A0-576A-4DD4-B37E-3195228893EA}"/>
    <hyperlink ref="A11" r:id="rId9" xr:uid="{FF2DD4CE-06C4-4B5C-A4DA-11EB3380C952}"/>
    <hyperlink ref="A12" r:id="rId10" xr:uid="{D5451813-EC95-4A42-8892-12313380F3FD}"/>
    <hyperlink ref="A13" r:id="rId11" xr:uid="{A328FCD9-6D18-4538-96C9-F2E314267617}"/>
    <hyperlink ref="A17" r:id="rId12" xr:uid="{6FFCBA8E-B3FA-493B-AE9C-B947D3C4D862}"/>
    <hyperlink ref="A18" r:id="rId13" xr:uid="{FFBD94A2-8A2B-40EE-88AE-9AD181020CBF}"/>
    <hyperlink ref="A19" r:id="rId14" xr:uid="{45EB38AD-335B-49EA-9F34-E1672158A018}"/>
    <hyperlink ref="A20" r:id="rId15" xr:uid="{E1B2491F-648F-40B7-80F6-8E935C6EED3C}"/>
    <hyperlink ref="A21" r:id="rId16" xr:uid="{CAF8F672-8E1B-4487-9A5F-6282FD8E6A81}"/>
    <hyperlink ref="A22" r:id="rId17" xr:uid="{25C351F2-6451-44E6-97E8-9BC6A00756B0}"/>
    <hyperlink ref="A23" r:id="rId18" xr:uid="{EDBBFE3C-4320-4EBD-A0A5-42D729C0E79D}"/>
    <hyperlink ref="A24" r:id="rId19" xr:uid="{165DAAB8-74DF-4C7E-B9C7-C7DB26863D98}"/>
    <hyperlink ref="A25" r:id="rId20" xr:uid="{1A77A889-427F-41E0-AC46-CE78622AB256}"/>
    <hyperlink ref="A26" r:id="rId21" xr:uid="{E0804EC8-B594-4CFA-B80E-E6C8D577C878}"/>
    <hyperlink ref="A27" r:id="rId22" xr:uid="{0496780F-AE59-4D64-8CA7-C7E4CD06F146}"/>
    <hyperlink ref="A31" r:id="rId23" xr:uid="{1303EF95-0196-40C6-92A1-62568F703348}"/>
    <hyperlink ref="A32" r:id="rId24" xr:uid="{2DBCC614-64E0-49E5-B1C1-22B58333703C}"/>
    <hyperlink ref="A33" r:id="rId25" xr:uid="{72DE8803-91A3-431B-964F-B10280AFD16A}"/>
    <hyperlink ref="A34" r:id="rId26" xr:uid="{449EDDA1-B64F-4C87-84A7-639B097E1F05}"/>
    <hyperlink ref="A35" r:id="rId27" xr:uid="{7BE22868-DA07-4ACF-A0C4-1D395FBB6A9C}"/>
    <hyperlink ref="A36" r:id="rId28" xr:uid="{E92E9387-7E36-43A0-85A0-7625FD2E13BC}"/>
    <hyperlink ref="A37" r:id="rId29" xr:uid="{1DEE6FCB-B2AC-491A-9FA2-40DCF8C1F8B1}"/>
    <hyperlink ref="A41" r:id="rId30" xr:uid="{955491F8-7038-4F27-AFDE-779842B604C1}"/>
    <hyperlink ref="A42" r:id="rId31" xr:uid="{D958F2E1-943F-4FC9-A087-9D90315B5C92}"/>
    <hyperlink ref="A43" r:id="rId32" xr:uid="{8B54332F-1594-447F-94D7-C399179F6084}"/>
    <hyperlink ref="A44" r:id="rId33" xr:uid="{30D815D4-315C-4CEA-ADE7-633B901A9E09}"/>
    <hyperlink ref="A45" r:id="rId34" xr:uid="{F0A2EEC0-5712-498F-8508-D95560F1CB04}"/>
    <hyperlink ref="A49" r:id="rId35" xr:uid="{29B889F9-992C-4CF2-9034-C1DF90C3C6F4}"/>
    <hyperlink ref="A50" r:id="rId36" xr:uid="{7CEBE1FC-9744-4F9F-9546-7E8EBF5BA4B8}"/>
    <hyperlink ref="A51" r:id="rId37" xr:uid="{2719AA45-2A7A-49C7-BD83-DCA5FFBD0750}"/>
    <hyperlink ref="A52" r:id="rId38" xr:uid="{2D096268-284B-4EFB-A9E1-3303BBDDDB17}"/>
    <hyperlink ref="A53" r:id="rId39" display="https://leetcode.com/problems/find-the-duplicate-number/" xr:uid="{D5B23303-B93D-418D-B6A9-BFD5CAAC848B}"/>
    <hyperlink ref="A54" r:id="rId40" xr:uid="{E4B7C820-33DB-427F-884A-0454A6F0B6A5}"/>
    <hyperlink ref="A55" r:id="rId41" xr:uid="{6EB73197-A118-4D46-AD52-BFE28ABE04E0}"/>
    <hyperlink ref="A56" r:id="rId42" xr:uid="{E5EA67B0-4637-485B-B041-64F1D1191344}"/>
    <hyperlink ref="A60" r:id="rId43" xr:uid="{0DD2DB7F-6B37-4515-B2CE-FA439F10D11D}"/>
    <hyperlink ref="A61" r:id="rId44" xr:uid="{21E19BB4-9029-4004-9EE0-BC36BB6060DE}"/>
    <hyperlink ref="A62" r:id="rId45" xr:uid="{C7133692-3E80-4A7A-9C40-AE3CC0EB342D}"/>
    <hyperlink ref="A63" r:id="rId46" xr:uid="{C0294645-8E48-4A3C-AE0C-D7126B984D3D}"/>
    <hyperlink ref="A70" r:id="rId47" xr:uid="{9398B580-9978-4146-B5E3-3E7FDF9FCAAE}"/>
    <hyperlink ref="A71" r:id="rId48" xr:uid="{8F32D061-3D2D-409B-AC2F-63BE0C133C07}"/>
    <hyperlink ref="A72" r:id="rId49" xr:uid="{9BAF7BB4-11A3-457F-B773-DA8E2957EEAA}"/>
    <hyperlink ref="A73" r:id="rId50" xr:uid="{911A16BE-10B1-4584-B629-A3AEFE056C8A}"/>
    <hyperlink ref="A74" r:id="rId51" display="https://leetcode.com/problems/inorder-successor-in-bst/" xr:uid="{13E6293C-D5EE-4171-ACBD-F54F28180174}"/>
    <hyperlink ref="A75" r:id="rId52" xr:uid="{1AC04E46-5588-4220-A40C-C1AE9D74B7F5}"/>
    <hyperlink ref="A76" r:id="rId53" xr:uid="{4D1247DB-3145-48BB-A7B8-A00966ADBB02}"/>
    <hyperlink ref="A80" r:id="rId54" xr:uid="{1B8B49AE-CFE6-4B4E-84EA-5ED2536F2580}"/>
    <hyperlink ref="A81" r:id="rId55" xr:uid="{10178374-1583-4D9C-BDA1-A9365F086DF4}"/>
    <hyperlink ref="A82" r:id="rId56" xr:uid="{1364E926-EA06-4975-925E-9DD2527E8D49}"/>
    <hyperlink ref="A83" r:id="rId57" xr:uid="{32F2A697-57C9-4989-8EF2-17A12BF5DED7}"/>
    <hyperlink ref="A84" r:id="rId58" xr:uid="{4DE0C85C-DC8E-447B-A370-D8F59009C17E}"/>
    <hyperlink ref="A85" r:id="rId59" xr:uid="{7CE9504B-ADFF-40D5-A74F-12A73C21B8DE}"/>
    <hyperlink ref="A86" r:id="rId60" xr:uid="{87BF1D68-EB9F-45A7-90ED-96C8A90A2C90}"/>
    <hyperlink ref="A131" r:id="rId61" xr:uid="{D66C4D3B-6C26-4C85-B1D3-DBD3AD734157}"/>
    <hyperlink ref="A132" r:id="rId62" xr:uid="{97D84A8B-DAC7-47F3-ADB7-96CF2A940912}"/>
    <hyperlink ref="A133" r:id="rId63" xr:uid="{8E4A622D-B9AC-4FB1-AE43-DBC94F628005}"/>
    <hyperlink ref="A134" r:id="rId64" xr:uid="{C54B6DA0-9627-4FEA-A497-E63E065DC075}"/>
    <hyperlink ref="A138" r:id="rId65" xr:uid="{DF13CED8-557B-4333-9307-F720C07E1748}"/>
    <hyperlink ref="A139" r:id="rId66" xr:uid="{35F34D9F-36E5-41CA-8520-4A3D467B85FC}"/>
    <hyperlink ref="A140" r:id="rId67" xr:uid="{2DDDD567-FC31-40B9-A2B5-2C37A38608FC}"/>
    <hyperlink ref="A141" r:id="rId68" xr:uid="{9420CE2B-2C34-4AB3-88CF-2FE6B2FBDE73}"/>
    <hyperlink ref="A142" r:id="rId69" xr:uid="{670EB9B6-961C-414B-929A-B7FFA58F6E6F}"/>
    <hyperlink ref="A143" r:id="rId70" xr:uid="{AE9FE481-728B-409C-986C-1A6EE2381204}"/>
    <hyperlink ref="A144" r:id="rId71" xr:uid="{79E2C318-B123-4C89-9461-C4D8199FEECC}"/>
    <hyperlink ref="A145" r:id="rId72" xr:uid="{F2C95DD9-D913-411A-B11C-6B231A6B96B1}"/>
    <hyperlink ref="A146" r:id="rId73" xr:uid="{354F79B1-1F52-4F36-800E-2774A398E1FD}"/>
    <hyperlink ref="A150" r:id="rId74" display="https://leetcode.com/problems/binary-search/" xr:uid="{698411F5-EA79-4BB7-BA6E-6BEBA53A514E}"/>
    <hyperlink ref="A151" r:id="rId75" xr:uid="{001A0D7E-F4F2-42A4-AB98-C012F9050F2C}"/>
    <hyperlink ref="A152" r:id="rId76" xr:uid="{F4B89629-7794-4ED3-8DFC-AB8C5B338589}"/>
    <hyperlink ref="A153" r:id="rId77" xr:uid="{96C8F9E8-58D0-43CE-84DF-B3A237B834F2}"/>
    <hyperlink ref="A154" r:id="rId78" display="https://leetcode.com/problems/find-k-closest-elements/" xr:uid="{D76115DB-5E67-4C5D-92E7-85BC8CD6DE99}"/>
    <hyperlink ref="A155" r:id="rId79" xr:uid="{0374293D-28FF-4169-B722-8125AB41A1AD}"/>
    <hyperlink ref="A156" r:id="rId80" xr:uid="{C55AEDAC-DE4F-4D1D-9707-497BCA815AED}"/>
    <hyperlink ref="A157" r:id="rId81" xr:uid="{FE9A8B68-F386-4FF2-819B-ECF41BF4B684}"/>
    <hyperlink ref="A161" r:id="rId82" xr:uid="{25EB928A-1E7F-44A7-AFDC-5DA09DBE2677}"/>
    <hyperlink ref="A162" r:id="rId83" xr:uid="{A84F19E2-3955-4F72-9FB6-4E7720B2AFC1}"/>
    <hyperlink ref="A163" r:id="rId84" xr:uid="{B0EAC0B8-8FD9-4588-A2B1-AB80A9C37568}"/>
    <hyperlink ref="A164" r:id="rId85" xr:uid="{6A4F8437-1687-4985-834E-08B56BE2B67D}"/>
    <hyperlink ref="A170" r:id="rId86" xr:uid="{11DCAC7A-FAF4-4235-9AB5-43D60795DAEF}"/>
    <hyperlink ref="A171" r:id="rId87" xr:uid="{2B58472F-D91B-4067-888F-508E604701FB}"/>
    <hyperlink ref="A172" r:id="rId88" xr:uid="{752879C4-A396-46C3-A11E-BDA8097F7EBF}"/>
    <hyperlink ref="A173" r:id="rId89" xr:uid="{5F774D0D-5E03-4C43-A305-BE9BF71DD69D}"/>
    <hyperlink ref="A174" r:id="rId90" xr:uid="{0ACACFDD-A202-41F2-A18E-1978A1FCBF12}"/>
    <hyperlink ref="A175" r:id="rId91" xr:uid="{2C7AF7EE-A21D-4C1F-9FA1-706C8FFAF10B}"/>
    <hyperlink ref="A176" r:id="rId92" xr:uid="{29731019-FFD9-4BFB-A0CD-8164F858596A}"/>
    <hyperlink ref="A179" r:id="rId93" display="https://www.geeksforgeeks.org/sum-elements-k1th-k2th-smallest-elements/" xr:uid="{7FC35C74-1731-462F-8CB7-F517E728939B}"/>
    <hyperlink ref="A180" r:id="rId94" xr:uid="{91E3AC01-DE2F-4257-A023-03EEC18A7208}"/>
    <hyperlink ref="A181" r:id="rId95" xr:uid="{B536D370-6CBE-47E0-BACE-25653AC87F52}"/>
    <hyperlink ref="A182" r:id="rId96" xr:uid="{EEE4398B-D1A6-4C46-B132-3EB34D72803B}"/>
    <hyperlink ref="A183" r:id="rId97" xr:uid="{4C2BEC25-1773-45C1-B4B9-19A538DAAFCF}"/>
    <hyperlink ref="A178" r:id="rId98" xr:uid="{9E0E8832-8141-4B37-828F-370C01B94D25}"/>
    <hyperlink ref="A187" r:id="rId99" xr:uid="{DE33A93D-CEB2-4D66-ACC1-53C2DBD6D55E}"/>
    <hyperlink ref="A188" r:id="rId100" xr:uid="{B1600D89-04A1-4839-AE49-4CE00470B393}"/>
    <hyperlink ref="A189" r:id="rId101" xr:uid="{9B1AA3B2-BFAD-412D-A61E-7B463C2C07F3}"/>
    <hyperlink ref="A190" r:id="rId102" xr:uid="{786D33EC-A391-448B-87FF-6BF4B1DCA968}"/>
    <hyperlink ref="A196" r:id="rId103" xr:uid="{0DD88444-6D6D-4F37-A11D-36078C804A33}"/>
    <hyperlink ref="A199" r:id="rId104" xr:uid="{DF2C0AC1-D2BF-49DD-93DC-5DF656C023F2}"/>
    <hyperlink ref="A200" r:id="rId105" xr:uid="{637C62FD-63BE-45B5-99BD-B30C6A91ECC1}"/>
    <hyperlink ref="A201" r:id="rId106" xr:uid="{0BD1F541-F67B-476E-B13F-0B6428E453C9}"/>
    <hyperlink ref="A197" r:id="rId107" xr:uid="{877D1EF6-A859-4345-94BF-36BDBC30BDE2}"/>
    <hyperlink ref="A198" r:id="rId108" xr:uid="{7938ACBE-DE01-4012-BBE8-26E320C2A695}"/>
    <hyperlink ref="A202" r:id="rId109" xr:uid="{6E6D3DE3-D2D1-4060-BAF5-17EB50761795}"/>
    <hyperlink ref="A203" r:id="rId110" display="https://leetcode.com/problems/ones-and-zeroes/" xr:uid="{BA41F909-699B-479C-80FC-BB7AA233697E}"/>
    <hyperlink ref="A207" r:id="rId111" xr:uid="{10E1B352-4A4A-40E3-8B0C-5DD06DB0184A}"/>
    <hyperlink ref="A208" r:id="rId112" xr:uid="{1C6BB54F-3AED-4600-8A5C-3A9935ED4629}"/>
    <hyperlink ref="A209" r:id="rId113" xr:uid="{B5B0C743-8A24-4C3A-A59A-10B1EFDAE5D1}"/>
    <hyperlink ref="A210" r:id="rId114" xr:uid="{6FC77EC0-4D3C-4F7B-A1E6-9320263B23D1}"/>
    <hyperlink ref="A211" r:id="rId115" xr:uid="{DF895B07-8A43-4F60-8118-2E5EA4D61937}"/>
    <hyperlink ref="B3" r:id="rId116" display="https://leetcode.com/problems/sliding-window-maximum/" xr:uid="{7B13D2A0-82B3-4109-9E5F-D3D446C37003}"/>
    <hyperlink ref="B4" r:id="rId117" display="https://leetcode.com/problems/minimum-window-substring/" xr:uid="{C99ABDE0-1521-46B1-8F6C-9029DA2A3225}"/>
    <hyperlink ref="B5" r:id="rId118" display="https://leetcode.com/problems/repeated-dna-sequences/" xr:uid="{2FEA7591-6434-40A1-95F9-278DD38E291B}"/>
    <hyperlink ref="B6" r:id="rId119" display="https://leetcode.com/problems/minimum-window-substring/" xr:uid="{917162EB-9082-4D06-A227-1F809A729352}"/>
    <hyperlink ref="B7" r:id="rId120" display="https://leetcode.com/problems/longest-repeating-character-replacement/" xr:uid="{688F1AC7-F367-4CA4-84E8-18B2525F1BB4}"/>
    <hyperlink ref="B8" r:id="rId121" display="https://leetcode.com/problems/longest-substring-without-repeating-characters/" xr:uid="{5B5FA6B7-EC2B-4AC0-ACDE-761A3A1B6E8A}"/>
    <hyperlink ref="B9" r:id="rId122" display="https://leetcode.com/problems/minimum-size-subarray-sum/" xr:uid="{4ECA0219-56AE-4359-B7AC-4F5DC4B76504}"/>
    <hyperlink ref="B10" r:id="rId123" display="https://leetcode.com/problems/best-time-to-buy-and-sell-stock/" xr:uid="{A3B4289F-6C4B-435D-BACF-AB42D536D220}"/>
    <hyperlink ref="B17" r:id="rId124" display="https://leetcode.com/problems/valid-palindrome/" xr:uid="{87F63142-AAF9-4BD6-A8DC-0C0D00E6E7F7}"/>
    <hyperlink ref="B18" r:id="rId125" display="https://leetcode.com/problems/3sum-closest/" xr:uid="{E9AF0201-0FA4-4F3D-B3DD-FE5DAB7BF8D7}"/>
    <hyperlink ref="B19" r:id="rId126" display="https://leetcode.com/problems/remove-nth-node-from-end-of-list/" xr:uid="{A68D7AEF-5D9D-41B1-BFFA-83FBF0DE1ED1}"/>
    <hyperlink ref="B20" r:id="rId127" display="https://leetcode.com/problems/sort-colors/" xr:uid="{FAEE1465-1CC9-47E7-B02E-3D18ED214296}"/>
    <hyperlink ref="B21" r:id="rId128" display="https://leetcode.com/problems/reverse-words-in-a-string/" xr:uid="{65B23D6A-7B35-4F21-A36E-B8A745645E6C}"/>
    <hyperlink ref="B22" r:id="rId129" display="https://leetcode.com/problems/valid-palindrome-ii/" xr:uid="{4DD26676-45A2-435A-9EF0-38F23088D342}"/>
    <hyperlink ref="B31" r:id="rId130" display="https://leetcode.com/problems/happy-number/" xr:uid="{56E3E21A-CC49-4735-A256-03EB9521FF2E}"/>
    <hyperlink ref="B32" r:id="rId131" display="https://leetcode.com/problems/linked-list-cycle/" xr:uid="{08C365A1-6327-4CFD-8939-1AD1D4450D2E}"/>
    <hyperlink ref="B33" r:id="rId132" display="https://leetcode.com/problems/circular-array-loop/" xr:uid="{9D709FF5-1C95-4EF0-9A37-B455A8C093FE}"/>
    <hyperlink ref="B34" r:id="rId133" display="https://leetcode.com/problems/find-the-duplicate-number/" xr:uid="{F3692939-EC74-4FAD-A97C-0E338C849EC5}"/>
    <hyperlink ref="B35" r:id="rId134" display="https://leetcode.com/problems/middle-of-the-linked-list/" xr:uid="{32446BF0-56DA-43DE-A180-E3FDA8B15055}"/>
    <hyperlink ref="B36" r:id="rId135" display="https://leetcode.com/problems/palindrome-linked-list/" xr:uid="{0FB781EF-F205-4FF3-9384-6E1A4E682E8D}"/>
    <hyperlink ref="B41" r:id="rId136" display="https://leetcode.com/problems/merge-intervals/" xr:uid="{45CE6683-D4E4-48BD-AAC8-7B633F9D7893}"/>
    <hyperlink ref="B42" r:id="rId137" display="https://leetcode.com/problems/insert-interval/" xr:uid="{161170B6-0FA3-4AB2-AF07-217955ABFE80}"/>
    <hyperlink ref="B43" r:id="rId138" display="https://leetcode.com/problems/interval-list-intersections/" xr:uid="{5F172480-948F-4C6A-83A9-ABCF8964CC8D}"/>
    <hyperlink ref="B44" r:id="rId139" display="https://leetcode.com/problems/employee-free-time/" xr:uid="{FA571DDD-60E8-4D5A-9BE7-EA75F61B9584}"/>
    <hyperlink ref="B45" r:id="rId140" display="https://leetcode.com/problems/task-scheduler/" xr:uid="{1CEBA130-4ECC-48E8-B6B9-279FF8CEDE28}"/>
    <hyperlink ref="B46" r:id="rId141" display="https://leetcode.com/problems/meeting-rooms-ii/" xr:uid="{96F9A072-31DD-4AA5-B896-D7D20D3BD0B3}"/>
    <hyperlink ref="B60" r:id="rId142" display="https://leetcode.com/problems/reverse-linked-list/" xr:uid="{EE4E6361-C1E7-401E-9517-96EDC77F5D0E}"/>
    <hyperlink ref="B61" r:id="rId143" display="https://leetcode.com/problems/reverse-nodes-in-k-group/" xr:uid="{D9314827-7B87-4BA0-A35C-5D6096827CE4}"/>
    <hyperlink ref="B62" r:id="rId144" display="https://leetcode.com/problems/reverse-linked-list-ii/" xr:uid="{22C96F72-32D9-4DC7-A8F9-6785D7B05AC6}"/>
    <hyperlink ref="B63" r:id="rId145" display="https://leetcode.com/problems/reorder-list/" xr:uid="{645FDB0B-2A8C-431D-9A98-8C23AE52B7DF}"/>
    <hyperlink ref="B64" r:id="rId146" display="https://leetcode.com/problems/swapping-nodes-in-a-linked-list/" xr:uid="{02318FA9-B66F-42A9-B78F-49BAE16F8AEC}"/>
    <hyperlink ref="B65" r:id="rId147" display="https://leetcode.com/problems/reverse-nodes-in-even-length-groups/" xr:uid="{E0E10561-7D9A-43CF-8FDF-D7B0B2BBE4D9}"/>
    <hyperlink ref="B66" r:id="rId148" display="https://leetcode.com/problems/swap-nodes-in-pairs/" xr:uid="{3AA4113D-43C8-459E-88F7-7DA44850B52F}"/>
    <hyperlink ref="B131" r:id="rId149" display="https://leetcode.com/problems/ipo/" xr:uid="{11859931-EF50-462F-BBC3-80345791147F}"/>
    <hyperlink ref="B132" r:id="rId150" display="https://leetcode.com/problems/sliding-window-median/" xr:uid="{3832B4CC-026D-4B9C-85FD-838C1C3F1B67}"/>
    <hyperlink ref="B133" r:id="rId151" display="https://leetcode.com/problems/find-median-from-data-stream/" xr:uid="{D19FB511-E7EB-43B2-A137-ED26BE21347B}"/>
    <hyperlink ref="B134" r:id="rId152" display="https://leetcode.com/problems/task-scheduler/" xr:uid="{2F7DF6E8-1A9F-4300-A82D-26FDDB2FAA5B}"/>
    <hyperlink ref="B187" r:id="rId153" display="https://leetcode.com/problems/merge-sorted-array/" xr:uid="{E631FF87-D359-41A9-9F2F-FB960C931562}"/>
    <hyperlink ref="B188" r:id="rId154" display="https://leetcode.com/problems/kth-smallest-element-in-a-sorted-matrix/" xr:uid="{0529C279-435E-4800-93F7-D9B87ABA3B56}"/>
    <hyperlink ref="B189" r:id="rId155" display="https://leetcode.com/problems/find-k-pairs-with-smallest-sums/" xr:uid="{2BFA0C6A-BB72-45DE-B1B7-88915455CEDE}"/>
    <hyperlink ref="B190" r:id="rId156" display="https://leetcode.com/problems/merge-k-sorted-lists/" xr:uid="{2B84AF23-58F5-43E8-B5E3-DFF37410F989}"/>
    <hyperlink ref="B191" r:id="rId157" display="https://leetcode.com/problems/kth-smallest-element-in-a-sorted-matrix/" xr:uid="{0EBBD183-0960-493A-80E4-EFA3217D7670}"/>
    <hyperlink ref="B192" r:id="rId158" display="https://leetcode.com/problems/median-of-two-sorted-arrays/" xr:uid="{8B465151-90F6-479B-B6A2-EE68BD67B2C9}"/>
    <hyperlink ref="B170" r:id="rId159" display="https://leetcode.com/problems/kth-largest-element-in-a-stream/" xr:uid="{DC69CCA2-51F7-4B49-BE2D-E5CC7192D85A}"/>
    <hyperlink ref="B171" r:id="rId160" display="https://leetcode.com/problems/reorganize-string/" xr:uid="{C7552BD2-AB4E-49DE-8303-13BAFB25E3F0}"/>
    <hyperlink ref="B172" r:id="rId161" display="https://leetcode.com/problems/k-closest-points-to-origin/" xr:uid="{87F5433A-64D4-4F52-B93C-2AD5AFC8491B}"/>
    <hyperlink ref="B173" r:id="rId162" display="https://leetcode.com/problems/top-k-frequent-elements/" xr:uid="{8FA32367-2F71-4CC1-A206-FD6D3773AC38}"/>
    <hyperlink ref="B174" r:id="rId163" display="https://leetcode.com/problems/kth-largest-element-in-an-array/" xr:uid="{30E76368-2D45-43B7-8499-EF386E4944E0}"/>
    <hyperlink ref="B175" r:id="rId164" display="https://leetcode.com/problems/kth-smallest-element-in-a-bst/" xr:uid="{99F4D341-4876-45F0-8027-DDF6FDFFFA52}"/>
    <hyperlink ref="B176" r:id="rId165" display="https://leetcode.com/problems/top-k-frequent-words/" xr:uid="{146D8C78-6087-43A9-85AC-5AE81BCA5C0E}"/>
    <hyperlink ref="B150" r:id="rId166" display="https://leetcode.com/problems/binary-search/" xr:uid="{443DFFA8-D4F1-419C-9E9A-20CEA842FD3D}"/>
    <hyperlink ref="B151" r:id="rId167" display="https://leetcode.com/problems/search-in-rotated-sorted-array/" xr:uid="{E237CF6F-C9D9-4761-95F2-F443E77783F8}"/>
    <hyperlink ref="B152" r:id="rId168" display="https://leetcode.com/problems/first-bad-version/" xr:uid="{E301F1F1-E202-4CF0-87D3-F7C916289A61}"/>
    <hyperlink ref="B153" r:id="rId169" display="https://leetcode.com/problems/random-pick-with-weight/" xr:uid="{7608F173-B100-45E8-A32D-31035FB142CB}"/>
    <hyperlink ref="B154" r:id="rId170" display="https://leetcode.com/problems/find-k-closest-elements/" xr:uid="{9C5CFD0C-40AF-4362-A789-8EE4EF0BB5D5}"/>
    <hyperlink ref="B155" r:id="rId171" display="https://leetcode.com/problems/single-element-in-a-sorted-array/" xr:uid="{13F066DD-D3B7-4DA8-A9EE-BEAF6BEC29FE}"/>
    <hyperlink ref="B156" r:id="rId172" display="https://leetcode.com/problems/search-in-rotated-sorted-array-ii/" xr:uid="{AC9E70DC-E4D5-482F-854E-5280A77032B9}"/>
    <hyperlink ref="B138" r:id="rId173" display="https://leetcode.com/problems/subsets/" xr:uid="{58B5F4D8-784F-4AB2-94B0-BDA81DE98C1D}"/>
    <hyperlink ref="B139" r:id="rId174" display="https://leetcode.com/problems/permutations/" xr:uid="{44FEABF5-3003-4805-94F5-8D6AC67E69BB}"/>
    <hyperlink ref="B140" r:id="rId175" display="https://leetcode.com/problems/letter-combinations-of-a-phone-number/" xr:uid="{5E173E50-C1BF-406C-8149-F234790513C9}"/>
    <hyperlink ref="B141" r:id="rId176" display="https://leetcode.com/problems/generate-parentheses/" xr:uid="{B226EF9D-D920-458C-9DA6-DDFC434B4125}"/>
    <hyperlink ref="B142" r:id="rId177" display="https://leetcode.com/problems/subarray-sum-equals-k/" xr:uid="{9B7C220F-91A4-4D64-84C2-BC5156288286}"/>
    <hyperlink ref="B216" r:id="rId178" display="https://leetcode.com/problems/jump-game/" xr:uid="{A5EADE62-D635-4793-B672-67EDF8D935A1}"/>
    <hyperlink ref="B217" r:id="rId179" display="https://leetcode.com/problems/boats-to-save-people/" xr:uid="{B4026C32-4790-44D7-B1A4-367864FB2F95}"/>
    <hyperlink ref="B218" r:id="rId180" display="https://leetcode.com/problems/gas-station/" xr:uid="{999DC6C5-1C7A-4F68-B91A-8E7FE9B75B0C}"/>
    <hyperlink ref="B219" r:id="rId181" display="https://leetcode.com/problems/two-city-scheduling/" xr:uid="{5F420A36-9379-4889-9E9F-9504444FDE31}"/>
    <hyperlink ref="B220" r:id="rId182" display="https://leetcode.com/problems/jump-game-ii/" xr:uid="{62FB4086-FEA5-4528-BE89-6D0E874170AB}"/>
    <hyperlink ref="B94" r:id="rId183" display="https://leetcode.com/problems/n-queens/" xr:uid="{3A415BC0-5741-41F1-B724-0690AF329964}"/>
    <hyperlink ref="B95" r:id="rId184" display="https://leetcode.com/problems/word-search/" xr:uid="{6734AB10-A0CE-4739-90FC-41029945ED3B}"/>
    <hyperlink ref="B96" r:id="rId185" display="https://leetcode.com/problems/house-robber-iii/" xr:uid="{F3A8A718-3157-4583-A395-DD4A3745C749}"/>
    <hyperlink ref="B97" r:id="rId186" display="https://leetcode.com/problems/restore-ip-addresses/" xr:uid="{E97CCEA9-4816-4451-8B83-66F7810E4014}"/>
    <hyperlink ref="B98" r:id="rId187" display="https://leetcode.com/problems/flood-fill/" xr:uid="{0D40B8E1-DD06-449B-86C7-A01E43C432AA}"/>
    <hyperlink ref="B99" r:id="rId188" display="https://leetcode.com/problems/sudoku-solver/" xr:uid="{54CF47BF-D61C-4E3B-82EE-8F2307FC5488}"/>
    <hyperlink ref="B100" r:id="rId189" display="https://leetcode.com/problems/matchsticks-to-square/" xr:uid="{64EF8D0F-97B6-4613-B8CA-4B9D475C7C94}"/>
    <hyperlink ref="B224" r:id="rId190" display="https://github.com/navidre/new_grokking_to_leetcode/blob/main" xr:uid="{835E6D73-69CC-47C0-8342-A9F2E7F7D9A8}"/>
    <hyperlink ref="B225" r:id="rId191" display="https://leetcode.com/problems/coin-change/" xr:uid="{E10EB98D-C6CF-48E0-A4CC-804753BDA8B6}"/>
    <hyperlink ref="B226" r:id="rId192" display="https://leetcode.com/problems/n-th-tribonacci-number/" xr:uid="{5C6F238F-60E4-4658-BB5C-772E582579A6}"/>
    <hyperlink ref="B227" r:id="rId193" display="https://leetcode.com/problems/partition-equal-subset-sum/" xr:uid="{C4D38294-8AB7-46DD-A9E4-BCD48F344D73}"/>
    <hyperlink ref="B228" r:id="rId194" display="https://leetcode.com/problems/counting-bits/" xr:uid="{E4A6955F-1412-4577-9203-43EC6D3CA9C8}"/>
    <hyperlink ref="B229" r:id="rId195" display="https://leetcode.com/problems/01-matrix/" xr:uid="{3BB53FC0-2DFC-4ABC-8BBB-580E8F32D2F9}"/>
    <hyperlink ref="B230" r:id="rId196" display="https://leetcode.com/problems/house-robber-ii/" xr:uid="{BEA97D13-FF57-4768-AFA6-110521D8BF14}"/>
    <hyperlink ref="B231" r:id="rId197" display="https://leetcode.com/problems/word-break/" xr:uid="{A83D57BA-EEE1-4A0E-80EE-B6EB3329394A}"/>
    <hyperlink ref="B232" r:id="rId198" display="https://leetcode.com/problems/word-break-ii/" xr:uid="{D926A72B-91E2-44F8-A9E7-F9018A9BA01A}"/>
    <hyperlink ref="B233" r:id="rId199" display="https://leetcode.com/problems/maximum-product-subarray/" xr:uid="{8B69C269-8F2E-4805-B71D-744F3CEF6ADE}"/>
    <hyperlink ref="B234" r:id="rId200" display="https://leetcode.com/problems/combination-sum/" xr:uid="{58AEE0EF-E1DF-40B1-AB0C-1C733A4CA4E2}"/>
    <hyperlink ref="B235" r:id="rId201" display="https://leetcode.com/problems/palindromic-substrings/" xr:uid="{AADC2E20-8B2B-40A9-A224-FE2A2609AB8C}"/>
    <hyperlink ref="B236" r:id="rId202" display="https://leetcode.com/problems/longest-common-subsequence/" xr:uid="{ED2901C8-53AE-4700-913B-1C1CE6FEB8E5}"/>
    <hyperlink ref="B237" r:id="rId203" display="https://leetcode.com/problems/decode-ways/" xr:uid="{AB4B68D2-9C88-45A8-B932-91BCF54811B8}"/>
    <hyperlink ref="B238" r:id="rId204" display="https://leetcode.com/problems/minimum-number-of-refueling-stops/" xr:uid="{F83055E2-C2D0-41AB-B7EE-347F6AC6B491}"/>
    <hyperlink ref="B239" r:id="rId205" display="https://leetcode.com/problems/climbing-stairs/" xr:uid="{CFB908D8-DB72-4944-A571-7A5C5D8687F8}"/>
    <hyperlink ref="B49" r:id="rId206" display="https://leetcode.com/problems/missing-number/" xr:uid="{B8C19688-9A75-4C96-9E60-CEF05E083058}"/>
    <hyperlink ref="B50" r:id="rId207" display="https://leetcode.com/problems/first-missing-positive/" xr:uid="{33027214-5FF9-41AC-95F5-00E9E28C2037}"/>
    <hyperlink ref="B51" r:id="rId208" display="https://leetcode.com/problems/find-the-duplicate-number/" xr:uid="{5D97BBD3-2C29-473F-82FE-A4F2BF9FEDA3}"/>
    <hyperlink ref="B52" r:id="rId209" display="https://leetcode.com/problems/set-mismatch/" xr:uid="{58A8EF60-1510-4054-ADD9-3D6407EE3DB3}"/>
    <hyperlink ref="B53" r:id="rId210" display="https://leetcode.com/problems/kth-missing-positive-number/" xr:uid="{3FB0BE8F-7816-4719-AEA1-5BEB2270B68F}"/>
    <hyperlink ref="B207" r:id="rId211" display="https://github.com/navidre/new_grokking_to_leetcode/blob/main" xr:uid="{12574D03-0D5D-42F6-8D21-8D7881A0471F}"/>
    <hyperlink ref="B208" r:id="rId212" display="https://leetcode.com/problems/alien-dictionary/" xr:uid="{52BE7EAC-9878-48F3-AF30-932AA73B5A65}"/>
    <hyperlink ref="B209" r:id="rId213" display="https://leetcode.com/problems/verifying-an-alien-dictionary/" xr:uid="{AE75CD9A-A8A1-45FB-B7AC-CBB6D83E26C8}"/>
    <hyperlink ref="B210" r:id="rId214" display="https://leetcode.com/problems/course-schedule-ii/" xr:uid="{416EA6B6-0B93-45C6-AC31-062B09D1B3F9}"/>
    <hyperlink ref="B211" r:id="rId215" display="https://leetcode.com/problems/course-schedule/" xr:uid="{A1B2EAC2-AE16-416A-8AB5-F240563F688B}"/>
    <hyperlink ref="B212" r:id="rId216" display="https://leetcode.com/problems/find-all-possible-recipes-from-given-supplies/" xr:uid="{D8860314-906A-4972-9510-681D67F0819A}"/>
    <hyperlink ref="B244" r:id="rId217" display="https://leetcode.com/problems/set-matrix-zeroes/" xr:uid="{647178B4-C28F-4B20-8BE6-5C3A61A0AD3D}"/>
    <hyperlink ref="B245" r:id="rId218" display="https://leetcode.com/problems/rotate-image/" xr:uid="{22FF3B21-8962-4579-91C1-689F19D7350E}"/>
    <hyperlink ref="B246" r:id="rId219" display="https://leetcode.com/problems/spiral-matrix/" xr:uid="{D8AA1789-4A52-4F14-9551-8FFCF4495D15}"/>
    <hyperlink ref="B247" r:id="rId220" display="https://leetcode.com/problems/where-will-the-ball-fall/" xr:uid="{E38A012F-269E-45FE-933E-26022DD1B0CC}"/>
    <hyperlink ref="B121" r:id="rId221" display="https://leetcode.com/problems/basic-calculator/" xr:uid="{02C17A3A-3C63-48F9-9A1F-DCB1D178AC1D}"/>
    <hyperlink ref="B122" r:id="rId222" display="https://leetcode.com/problems/remove-all-adjacent-duplicates-in-string/" xr:uid="{3CC84370-5495-490C-968E-E3417EF28A99}"/>
    <hyperlink ref="B123" r:id="rId223" display="https://leetcode.com/problems/minimum-remove-to-make-valid-parentheses/" xr:uid="{D183115C-05CB-40C7-BECB-7008AD360744}"/>
    <hyperlink ref="B124" r:id="rId224" display="https://leetcode.com/problems/exclusive-time-of-functions/" xr:uid="{CDECF4D0-A6A5-4BF1-A8F5-7EEA5575555F}"/>
    <hyperlink ref="B125" r:id="rId225" display="https://leetcode.com/problems/flatten-nested-list-iterator/" xr:uid="{4E3A4AB3-5637-464F-B475-64FAD39E6C4E}"/>
    <hyperlink ref="B126" r:id="rId226" display="https://leetcode.com/problems/implement-queue-using-stacks/" xr:uid="{70927688-1676-4B45-A66D-99D8BD186ACC}"/>
    <hyperlink ref="B127" r:id="rId227" display="https://leetcode.com/problems/valid-parentheses/" xr:uid="{CE28387A-EACA-41F2-BE5F-DBEA2BE832C5}"/>
    <hyperlink ref="B104" r:id="rId228" display="https://leetcode.com/problems/network-delay-time/" xr:uid="{52425197-8220-4069-AD1D-58C1DF0B5A0D}"/>
    <hyperlink ref="B105" r:id="rId229" display="https://leetcode.com/problems/paths-in-maze-that-lead-to-same-room/" xr:uid="{C5279DC2-CA6C-4901-842F-43EA69C3BFE9}"/>
    <hyperlink ref="B106" r:id="rId230" display="https://leetcode.com/problems/clone-graph" xr:uid="{EF8BCE02-016E-4E0C-9F1A-BD86A1E884B4}"/>
    <hyperlink ref="B107" r:id="rId231" display="https://leetcode.com/problems/graph-valid-tree/" xr:uid="{EBB7D227-A7EB-4174-BAC4-8CFCADCF1782}"/>
    <hyperlink ref="B108" r:id="rId232" display="https://leetcode.com/problems/bus-routes/" xr:uid="{F0F6DD55-1148-41DF-9609-D0D21BF08851}"/>
    <hyperlink ref="B80" r:id="rId233" display="https://leetcode.com/problems/flatten-binary-tree-to-linked-list/" xr:uid="{4675BBCB-B01F-4B33-A009-CEE9D6FB1DFE}"/>
    <hyperlink ref="B81" r:id="rId234" display="https://leetcode.com/problems/diameter-of-binary-tree/" xr:uid="{8D68DDEF-3DC4-4F61-A31E-80F7C8E64DAC}"/>
    <hyperlink ref="B82" r:id="rId235" display="https://leetcode.com/problems/serialize-and-deserialize-binary-tree/" xr:uid="{71783F2D-CE1E-42E4-AFC2-88A00992FD4A}"/>
    <hyperlink ref="B83" r:id="rId236" display="https://leetcode.com/problems/invert-binary-tree/" xr:uid="{FC25B612-3A87-440C-829F-F5E136DD5458}"/>
    <hyperlink ref="B84" r:id="rId237" display="https://leetcode.com/problems/binary-tree-maximum-path-sum/" xr:uid="{9250F533-49D7-408E-AECD-F1985EF2935B}"/>
    <hyperlink ref="B85" r:id="rId238" display="https://leetcode.com/problems/convert-sorted-array-to-binary-search-tree" xr:uid="{136587EB-855F-4B5A-A3C3-7588001F7835}"/>
    <hyperlink ref="B86" r:id="rId239" display="https://leetcode.com/problems/construct-binary-tree-from-preorder-and-inorder-traversal" xr:uid="{EEC43E40-E452-4791-9CA1-5274FB995F3C}"/>
    <hyperlink ref="B87" r:id="rId240" display="https://leetcode.com/problems/binary-tree-right-side-view/" xr:uid="{4F5F0543-2E3C-41AD-80A1-856DF7EFBDEB}"/>
    <hyperlink ref="B88" r:id="rId241" display="https://leetcode.com/problems/lowest-common-ancestor-of-a-binary-tree" xr:uid="{152545B3-B1CA-4DDB-A921-36FBF22E60B2}"/>
    <hyperlink ref="B89" r:id="rId242" display="https://leetcode.com/problems/validate-binary-search-tree/description/" xr:uid="{1E773416-6D10-4101-92FF-45630E17DA3F}"/>
    <hyperlink ref="B90" r:id="rId243" display="https://leetcode.com/problems/maximum-depth-of-binary-tree/" xr:uid="{6B8A3BAA-12FB-4D68-802C-64199A94E44C}"/>
    <hyperlink ref="B91" r:id="rId244" display="https://leetcode.com/problems/kth-smallest-element-in-a-bst" xr:uid="{8B8A8910-9B08-45A2-B017-BD4325EB1BE8}"/>
    <hyperlink ref="B70" r:id="rId245" display="https://leetcode.com/problems/binary-tree-level-order-traversal/" xr:uid="{923AB816-EC4A-456C-819E-C69427A782A1}"/>
    <hyperlink ref="B71" r:id="rId246" display="https://leetcode.com/problems/binary-tree-zigzag-level-order-traversal/" xr:uid="{AB417A32-49B9-4143-82B6-40ACBC22B40B}"/>
    <hyperlink ref="B72" r:id="rId247" display="https://leetcode.com/problems/populating-next-right-pointers-in-each-node/" xr:uid="{32183E43-0299-498E-8BE9-216E9AF68325}"/>
    <hyperlink ref="B73" r:id="rId248" display="https://leetcode.com/problems/vertical-order-traversal-of-a-binary-tree/" xr:uid="{4CA7FF65-9BF2-4C96-9428-810202D0E962}"/>
    <hyperlink ref="B74" r:id="rId249" display="https://leetcode.com/problems/symmetric-tree" xr:uid="{9AD05B1C-6454-485C-AEF0-64A27AFA7301}"/>
    <hyperlink ref="B75" r:id="rId250" display="https://leetcode.com/problems/word-ladder" xr:uid="{31DC8378-A615-47B9-B001-37E31A07B61F}"/>
    <hyperlink ref="B76" r:id="rId251" display="https://leetcode.com/problems/populating-next-right-pointers-in-each-node/" xr:uid="{488A4159-CAFA-45F9-89CF-B7A04C8A0794}"/>
    <hyperlink ref="B112" r:id="rId252" display="https://leetcode.com/problems/implement-trie-prefix-tree/" xr:uid="{A90F4D8A-5A81-4558-90DC-0D93B550E734}"/>
    <hyperlink ref="B113" r:id="rId253" display="https://leetcode.com/problems/search-suggestions-system/" xr:uid="{37829656-20CB-4B3C-AF43-B8809994F4A9}"/>
    <hyperlink ref="B114" r:id="rId254" display="https://leetcode.com/problems/replace-words/" xr:uid="{3F1D3EF0-1361-42EB-B94E-940DF2E244D5}"/>
    <hyperlink ref="B115" r:id="rId255" display="https://leetcode.com/problems/design-add-and-search-words-data-structure/" xr:uid="{55839573-E6E5-451C-935E-501FA3592040}"/>
    <hyperlink ref="B116" r:id="rId256" display="https://leetcode.com/problems/word-search-ii/" xr:uid="{8B8C23BB-B627-47AB-9D9C-311839E29C7B}"/>
    <hyperlink ref="B117" r:id="rId257" display="https://leetcode.com/problems/lexicographical-numbers/" xr:uid="{E71E780E-9E58-430C-AB27-427A869AB6AD}"/>
    <hyperlink ref="B252" r:id="rId258" display="https://leetcode.com/problems/design-hashmap/" xr:uid="{A7C4BB9E-7AB0-45B4-9F91-28B1E8A36F17}"/>
    <hyperlink ref="B253" r:id="rId259" display="https://leetcode.com/problems/fraction-to-recurring-decimal/" xr:uid="{B8B4E849-A3D0-41F5-8EF1-6A5ACD25770F}"/>
    <hyperlink ref="B254" r:id="rId260" display="https://leetcode.com/problems/logger-rate-limiter/" xr:uid="{292D16E4-A3D6-4519-A524-6939177C3ABC}"/>
    <hyperlink ref="B255" r:id="rId261" display="https://leetcode.com/problems/next-greater-element-i/" xr:uid="{766D9D26-9F1D-48FE-BF76-8F5EA6D772FC}"/>
    <hyperlink ref="B256" r:id="rId262" display="https://leetcode.com/problems/isomorphic-strings/" xr:uid="{DCEEB9AA-3E3A-4D33-860C-4C37CA53D399}"/>
    <hyperlink ref="B257" r:id="rId263" display="https://leetcode.com/problems/longest-palindrome/" xr:uid="{19F1C935-97A3-408D-AAC6-2C5BC90E5B7E}"/>
    <hyperlink ref="B262" r:id="rId264" display="https://leetcode.com/problems/palindrome-permutation/" xr:uid="{ED44EA8F-3037-4C12-A503-E790EF13A830}"/>
    <hyperlink ref="B263" r:id="rId265" display="https://leetcode.com/problems/valid-anagram" xr:uid="{9612327E-A967-4499-938C-D7132976C8F4}"/>
    <hyperlink ref="B264" r:id="rId266" display="https://leetcode.com/problems/design-tic-tac-toe/" xr:uid="{A23B2D2D-1220-499F-8151-EB05AFEC39C2}"/>
    <hyperlink ref="B265" r:id="rId267" display="https://leetcode.com/problems/group-anagrams/" xr:uid="{C5DB2E6E-BE6F-451B-9837-FFAE74F6C0DA}"/>
    <hyperlink ref="B266" r:id="rId268" display="https://leetcode.com/problems/maximum-frequency-stack/" xr:uid="{B340E82B-D73B-4BA2-AB01-531EF3A6EFB7}"/>
    <hyperlink ref="B267" r:id="rId269" display="https://leetcode.com/problems/first-unique-character-in-a-string/" xr:uid="{E09B2475-B797-49FF-B5C4-A5120A7752DE}"/>
    <hyperlink ref="B268" r:id="rId270" display="https://leetcode.com/problems/find-all-anagrams-in-a-string/" xr:uid="{64FFA139-00A2-4474-8755-AC8602B99F35}"/>
    <hyperlink ref="B269" r:id="rId271" display="https://leetcode.com/problems/ransom-note/" xr:uid="{B9ED6876-9DC2-4DB5-894D-33BD338AABC5}"/>
    <hyperlink ref="B273" r:id="rId272" display="https://leetcode.com/problems/redundant-connection/" xr:uid="{EF840882-242A-4182-8781-B2E90FB7071E}"/>
    <hyperlink ref="B274" r:id="rId273" display="https://leetcode.com/problems/number-of-islands/" xr:uid="{FA252BAB-C0B4-412C-9077-95B7E7DA7EEB}"/>
    <hyperlink ref="B275" r:id="rId274" display="https://leetcode.com/problems/most-stones-removed-with-same-row-or-column" xr:uid="{01038E0A-4161-430C-B500-2CC4D04DB692}"/>
    <hyperlink ref="B276" r:id="rId275" display="https://leetcode.com/problems/longest-consecutive-sequence" xr:uid="{3E5567BE-2B3E-44E1-B7DF-D7474A461211}"/>
    <hyperlink ref="B277" r:id="rId276" display="https://leetcode.com/problems/last-day-where-you-can-still-cross/" xr:uid="{40ABB485-4328-4FA5-A08B-354137525C7B}"/>
    <hyperlink ref="B278" r:id="rId277" display="https://leetcode.com/problems/regions-cut-by-slashes/" xr:uid="{76A61995-8D65-4A01-AA91-6279170FBDF8}"/>
    <hyperlink ref="B279" r:id="rId278" display="https://leetcode.com/problems/accounts-merge" xr:uid="{7B069DAB-ADFE-4607-AEE1-0C5EEC3B06DF}"/>
    <hyperlink ref="B280" r:id="rId279" display="https://leetcode.com/problems/minimize-malware-spread/" xr:uid="{9D6836CB-2F83-4A51-A362-923BA528B386}"/>
    <hyperlink ref="B281" r:id="rId280" display="https://leetcode.com/problems/evaluate-division/" xr:uid="{C670A8DF-EBD9-4943-ACCE-429384CE64C2}"/>
    <hyperlink ref="B286" r:id="rId281" display="https://leetcode.com/problems/snapshot-array/" xr:uid="{42BA2D5B-1A08-4667-8648-903D18529F82}"/>
    <hyperlink ref="B287" r:id="rId282" display="https://leetcode.com/problems/time-based-key-value-store/" xr:uid="{9075F922-3553-469D-A5E8-E70590CFAA33}"/>
    <hyperlink ref="B288" r:id="rId283" display="https://leetcode.com/problems/lru-cache/" xr:uid="{12535BCF-5B96-46FB-B49E-778768B326EC}"/>
    <hyperlink ref="B289" r:id="rId284" display="https://leetcode.com/problems/insert-delete-getrandom-o1/" xr:uid="{992503E2-EE98-4DB8-88B1-B42FC6182311}"/>
    <hyperlink ref="B290" r:id="rId285" display="https://leetcode.com/problems/min-stack/" xr:uid="{0E63ABAC-8ACA-44A8-9725-8339CFA3E9D9}"/>
    <hyperlink ref="B291" r:id="rId286" display="https://leetcode.com/problems/lfu-cache/" xr:uid="{5F9BB966-E360-49CC-B9DE-B8488E21A713}"/>
    <hyperlink ref="B161" r:id="rId287" display="https://leetcode.com/problems/find-the-difference/" xr:uid="{03E65517-3D91-468B-97BD-6D1132685986}"/>
    <hyperlink ref="B162" r:id="rId288" display="https://leetcode.com/problems/complement-of-base-10-integer/" xr:uid="{29D1C5AD-4175-450C-967C-19B14D9D1213}"/>
    <hyperlink ref="B163" r:id="rId289" display="https://leetcode.com/problems/flipping-an-image/" xr:uid="{387219F7-D539-41F9-BD19-15F57E023F2A}"/>
    <hyperlink ref="B164" r:id="rId290" display="https://leetcode.com/problems/single-number/" xr:uid="{21D9E2E3-53CF-45F4-8559-2CA6C4DFE826}"/>
    <hyperlink ref="B165" r:id="rId291" display="https://leetcode.com/problems/single-number-iii/" xr:uid="{231E9911-4AD6-4321-850F-7D130D43B79B}"/>
    <hyperlink ref="B166" r:id="rId292" display="https://leetcode.com/problems/reverse-bits/" xr:uid="{6A6636FE-A4C8-42FA-91C0-C4C4C23B3D6C}"/>
    <hyperlink ref="B301" r:id="rId293" display="https://leetcode.com/problems/shortest-bridge/" xr:uid="{0B55940F-CA7C-4001-9CE6-6CFA2974B645}"/>
    <hyperlink ref="B302" r:id="rId294" display="https://leetcode.com/problems/number-of-connected-components-in-an-undirected-graph/" xr:uid="{7D40E2BB-BC97-4E3A-B39F-880A20B52FFA}"/>
    <hyperlink ref="B303" r:id="rId295" display="https://leetcode.com/problems/pacific-atlantic-water-flow/" xr:uid="{61BC53AF-1CC0-4015-B0E1-6E2A8224C1C2}"/>
    <hyperlink ref="B304" r:id="rId296" display="https://leetcode.com/problems/contains-duplicate/" xr:uid="{3E9A0DB5-BC28-4D73-BCE6-C5D92BA53CC4}"/>
    <hyperlink ref="B305" r:id="rId297" display="https://leetcode.com/problems/maximum-subarray/" xr:uid="{736D20C6-60E7-42F3-99AE-130901192990}"/>
    <hyperlink ref="B306" r:id="rId298" display="https://leetcode.com/problems/two-sum/" xr:uid="{B35E1998-BB5E-4ED8-ACEC-D8B9D65C1A08}"/>
    <hyperlink ref="B307" r:id="rId299" display="https://leetcode.com/problems/find-minimum-in-rotated-sorted-array/" xr:uid="{73157F75-D304-4CEE-9741-EC3B4280CBB8}"/>
    <hyperlink ref="B308" r:id="rId300" display="https://leetcode.com/problems/non-overlapping-intervals/" xr:uid="{36A147F3-D885-43AD-BA4E-A3387D303755}"/>
    <hyperlink ref="B309" r:id="rId301" display="https://leetcode.com/problems/meeting-rooms/" xr:uid="{4CDC9790-2C23-40F2-8F3F-96518B09B116}"/>
    <hyperlink ref="B310" r:id="rId302" display="https://leetcode.com/problems/largest-rectangle-in-histogram/" xr:uid="{6FE0CEFE-9D28-4F15-9CD3-E0A8FFA8FE12}"/>
    <hyperlink ref="B311" r:id="rId303" display="https://leetcode.com/problems/subtree-of-another-tree/" xr:uid="{E4C1EB89-C0F8-4DFF-AE0F-8F9CEA46AF9A}"/>
    <hyperlink ref="B312" r:id="rId304" display="https://leetcode.com/problems/sort-list/" xr:uid="{A6A970C2-A18D-4C87-A439-147C51776EB2}"/>
    <hyperlink ref="B313" r:id="rId305" display="https://leetcode.com/problems/number-of-1-bits/" xr:uid="{87F02405-3EE6-4D4A-B35A-9C3811A592F1}"/>
    <hyperlink ref="B314" r:id="rId306" display="https://leetcode.com/problems/container-with-most-water/" xr:uid="{7F8E72C7-D169-4964-AB99-F6573C027C33}"/>
    <hyperlink ref="B315" r:id="rId307" display="https://leetcode.com/problems/evaluate-reverse-polish-notation/" xr:uid="{7B333BB8-C236-44A6-B22F-4C38EA4A3729}"/>
    <hyperlink ref="B316" r:id="rId308" display="https://leetcode.com/problems/4sum/" xr:uid="{C3470FB1-2E0F-487F-B1E7-2E2643264C19}"/>
    <hyperlink ref="B317" r:id="rId309" display="https://leetcode.com/problems/loud-and-rich/" xr:uid="{08345592-67C8-4CFF-AF7F-27458F2CBBBA}"/>
    <hyperlink ref="B318" r:id="rId310" display="https://leetcode.com/problems/product-of-array-except-self/" xr:uid="{D0EAAFFA-AF69-4919-86B0-DE0DCFAA82BD}"/>
    <hyperlink ref="B319" r:id="rId311" display="https://leetcode.com/problems/longest-increasing-subsequence/" xr:uid="{C7CE696F-77CB-4E4E-AFBE-C5F0C3DB8BA5}"/>
    <hyperlink ref="B320" r:id="rId312" display="https://leetcode.com/problems/sum-of-two-integers/" xr:uid="{7734A615-C4F3-4818-A0E8-BB9D6B738783}"/>
    <hyperlink ref="B321" r:id="rId313" display="https://leetcode.com/problems/majority-element/" xr:uid="{CC8CCF83-9908-4844-AE18-E5E703E3A6DD}"/>
    <hyperlink ref="B322" r:id="rId314" display="https://leetcode.com/problems/unique-paths/" xr:uid="{D8417117-084B-44D8-828D-B1D50FC8816F}"/>
    <hyperlink ref="B323" r:id="rId315" display="https://leetcode.com/problems/longest-palindromic-substring/" xr:uid="{8E788DDD-1063-4785-A835-0D83A544CD81}"/>
    <hyperlink ref="B324" r:id="rId316" display="https://leetcode.com/problems/permutations-ii/" xr:uid="{1A148303-0484-4E93-9F61-3115F3870693}"/>
    <hyperlink ref="B325" r:id="rId317" display="https://leetcode.com/problems/number-of-provinces/" xr:uid="{1E61D6D6-DCBF-4AA8-A4B3-7970431E2B2C}"/>
    <hyperlink ref="B326" r:id="rId318" display="https://leetcode.com/problems/top-k-frequent-words/" xr:uid="{475E1A32-B9D4-45E6-8824-9CD0A11BF5D3}"/>
    <hyperlink ref="B327" r:id="rId319" display="https://leetcode.com/problems/linked-list-cycle-ii/" xr:uid="{8301DBCB-C38E-4B6F-8BBB-14DE7017A16C}"/>
    <hyperlink ref="B328" r:id="rId320" display="https://leetcode.com/problems/minimum-number-of-flips-to-make-the-binary-string-alternating/" xr:uid="{CE4C63BE-5DF6-42D4-ACB3-765955BD0F07}"/>
    <hyperlink ref="B329" r:id="rId321" display="https://leetcode.com/problems/lemonade-change/" xr:uid="{94CF5831-9CE2-471D-B136-0819784BA007}"/>
    <hyperlink ref="B330" r:id="rId322" display="https://leetcode.com/problems/house-robber/" xr:uid="{29D37CBF-14B6-46F6-B5D9-7C0F07739D68}"/>
    <hyperlink ref="B331" r:id="rId323" display="https://leetcode.com/problems/find-all-numbers-disappeared-in-an-array/" xr:uid="{87557D26-C658-4ECB-A5F2-1E41E45D1072}"/>
    <hyperlink ref="B332" r:id="rId324" display="https://leetcode.com/problems/find-all-duplicates-in-an-array/" xr:uid="{8FCD4FD8-D232-4DE0-81A7-21202ABEAE7F}"/>
    <hyperlink ref="B333" r:id="rId325" display="https://leetcode.com/problems/same-tree/" xr:uid="{06F80F76-A476-4763-9F54-FFB28F88B273}"/>
    <hyperlink ref="B334" r:id="rId326" display="https://leetcode.com/problems/design-in-memory-file-system/" xr:uid="{B332845B-B68B-437F-87D4-0E9873F4FA88}"/>
    <hyperlink ref="B335" r:id="rId327" display="https://leetcode.com/problems/design-file-system/" xr:uid="{54713260-2569-44C9-86FF-15710C3D7E84}"/>
    <hyperlink ref="B336" r:id="rId328" display="https://leetcode.com/problems/asteroid-collision/" xr:uid="{C67B058B-68AC-435B-8B06-78D057279662}"/>
    <hyperlink ref="B337" r:id="rId329" display="https://leetcode.com/problems/rotting-oranges/" xr:uid="{8CDC72A3-73B5-4BFF-8A94-F0F9875A94F9}"/>
    <hyperlink ref="B338" r:id="rId330" display="https://leetcode.com/problems/add-binary/" xr:uid="{AD3CEC6A-C76F-409D-A81A-CC8FF254508E}"/>
    <hyperlink ref="B339" r:id="rId331" display="https://leetcode.com/problems/multiply-strings" xr:uid="{06F98EAC-2BA9-46EF-B0D3-4F5888284C24}"/>
  </hyperlinks>
  <pageMargins left="0.7" right="0.7" top="0.75" bottom="0.75" header="0.3" footer="0.3"/>
  <drawing r:id="rId332"/>
  <legacyDrawing r:id="rId333"/>
  <controls>
    <mc:AlternateContent xmlns:mc="http://schemas.openxmlformats.org/markup-compatibility/2006">
      <mc:Choice Requires="x14">
        <control shapeId="12489" r:id="rId334" name="Control 201">
          <controlPr defaultSize="0" r:id="rId335">
            <anchor moveWithCells="1">
              <from>
                <xdr:col>1</xdr:col>
                <xdr:colOff>0</xdr:colOff>
                <xdr:row>338</xdr:row>
                <xdr:rowOff>0</xdr:rowOff>
              </from>
              <to>
                <xdr:col>1</xdr:col>
                <xdr:colOff>257175</xdr:colOff>
                <xdr:row>339</xdr:row>
                <xdr:rowOff>76200</xdr:rowOff>
              </to>
            </anchor>
          </controlPr>
        </control>
      </mc:Choice>
      <mc:Fallback>
        <control shapeId="12489" r:id="rId334" name="Control 201"/>
      </mc:Fallback>
    </mc:AlternateContent>
    <mc:AlternateContent xmlns:mc="http://schemas.openxmlformats.org/markup-compatibility/2006">
      <mc:Choice Requires="x14">
        <control shapeId="12488" r:id="rId336" name="Control 200">
          <controlPr defaultSize="0" r:id="rId335">
            <anchor moveWithCells="1">
              <from>
                <xdr:col>1</xdr:col>
                <xdr:colOff>0</xdr:colOff>
                <xdr:row>337</xdr:row>
                <xdr:rowOff>0</xdr:rowOff>
              </from>
              <to>
                <xdr:col>1</xdr:col>
                <xdr:colOff>257175</xdr:colOff>
                <xdr:row>338</xdr:row>
                <xdr:rowOff>76200</xdr:rowOff>
              </to>
            </anchor>
          </controlPr>
        </control>
      </mc:Choice>
      <mc:Fallback>
        <control shapeId="12488" r:id="rId336" name="Control 200"/>
      </mc:Fallback>
    </mc:AlternateContent>
    <mc:AlternateContent xmlns:mc="http://schemas.openxmlformats.org/markup-compatibility/2006">
      <mc:Choice Requires="x14">
        <control shapeId="12487" r:id="rId337" name="Control 199">
          <controlPr defaultSize="0" r:id="rId335">
            <anchor moveWithCells="1">
              <from>
                <xdr:col>1</xdr:col>
                <xdr:colOff>0</xdr:colOff>
                <xdr:row>336</xdr:row>
                <xdr:rowOff>0</xdr:rowOff>
              </from>
              <to>
                <xdr:col>1</xdr:col>
                <xdr:colOff>257175</xdr:colOff>
                <xdr:row>337</xdr:row>
                <xdr:rowOff>76200</xdr:rowOff>
              </to>
            </anchor>
          </controlPr>
        </control>
      </mc:Choice>
      <mc:Fallback>
        <control shapeId="12487" r:id="rId337" name="Control 199"/>
      </mc:Fallback>
    </mc:AlternateContent>
    <mc:AlternateContent xmlns:mc="http://schemas.openxmlformats.org/markup-compatibility/2006">
      <mc:Choice Requires="x14">
        <control shapeId="12486" r:id="rId338" name="Control 198">
          <controlPr defaultSize="0" r:id="rId335">
            <anchor moveWithCells="1">
              <from>
                <xdr:col>1</xdr:col>
                <xdr:colOff>0</xdr:colOff>
                <xdr:row>335</xdr:row>
                <xdr:rowOff>0</xdr:rowOff>
              </from>
              <to>
                <xdr:col>1</xdr:col>
                <xdr:colOff>257175</xdr:colOff>
                <xdr:row>336</xdr:row>
                <xdr:rowOff>76200</xdr:rowOff>
              </to>
            </anchor>
          </controlPr>
        </control>
      </mc:Choice>
      <mc:Fallback>
        <control shapeId="12486" r:id="rId338" name="Control 198"/>
      </mc:Fallback>
    </mc:AlternateContent>
    <mc:AlternateContent xmlns:mc="http://schemas.openxmlformats.org/markup-compatibility/2006">
      <mc:Choice Requires="x14">
        <control shapeId="12485" r:id="rId339" name="Control 197">
          <controlPr defaultSize="0" r:id="rId335">
            <anchor moveWithCells="1">
              <from>
                <xdr:col>1</xdr:col>
                <xdr:colOff>0</xdr:colOff>
                <xdr:row>334</xdr:row>
                <xdr:rowOff>0</xdr:rowOff>
              </from>
              <to>
                <xdr:col>1</xdr:col>
                <xdr:colOff>257175</xdr:colOff>
                <xdr:row>335</xdr:row>
                <xdr:rowOff>76200</xdr:rowOff>
              </to>
            </anchor>
          </controlPr>
        </control>
      </mc:Choice>
      <mc:Fallback>
        <control shapeId="12485" r:id="rId339" name="Control 197"/>
      </mc:Fallback>
    </mc:AlternateContent>
    <mc:AlternateContent xmlns:mc="http://schemas.openxmlformats.org/markup-compatibility/2006">
      <mc:Choice Requires="x14">
        <control shapeId="12484" r:id="rId340" name="Control 196">
          <controlPr defaultSize="0" r:id="rId335">
            <anchor moveWithCells="1">
              <from>
                <xdr:col>1</xdr:col>
                <xdr:colOff>0</xdr:colOff>
                <xdr:row>333</xdr:row>
                <xdr:rowOff>0</xdr:rowOff>
              </from>
              <to>
                <xdr:col>1</xdr:col>
                <xdr:colOff>257175</xdr:colOff>
                <xdr:row>334</xdr:row>
                <xdr:rowOff>76200</xdr:rowOff>
              </to>
            </anchor>
          </controlPr>
        </control>
      </mc:Choice>
      <mc:Fallback>
        <control shapeId="12484" r:id="rId340" name="Control 196"/>
      </mc:Fallback>
    </mc:AlternateContent>
    <mc:AlternateContent xmlns:mc="http://schemas.openxmlformats.org/markup-compatibility/2006">
      <mc:Choice Requires="x14">
        <control shapeId="12483" r:id="rId341" name="Control 195">
          <controlPr defaultSize="0" r:id="rId335">
            <anchor moveWithCells="1">
              <from>
                <xdr:col>1</xdr:col>
                <xdr:colOff>0</xdr:colOff>
                <xdr:row>332</xdr:row>
                <xdr:rowOff>0</xdr:rowOff>
              </from>
              <to>
                <xdr:col>1</xdr:col>
                <xdr:colOff>257175</xdr:colOff>
                <xdr:row>333</xdr:row>
                <xdr:rowOff>76200</xdr:rowOff>
              </to>
            </anchor>
          </controlPr>
        </control>
      </mc:Choice>
      <mc:Fallback>
        <control shapeId="12483" r:id="rId341" name="Control 195"/>
      </mc:Fallback>
    </mc:AlternateContent>
    <mc:AlternateContent xmlns:mc="http://schemas.openxmlformats.org/markup-compatibility/2006">
      <mc:Choice Requires="x14">
        <control shapeId="12482" r:id="rId342" name="Control 194">
          <controlPr defaultSize="0" r:id="rId335">
            <anchor moveWithCells="1">
              <from>
                <xdr:col>1</xdr:col>
                <xdr:colOff>0</xdr:colOff>
                <xdr:row>331</xdr:row>
                <xdr:rowOff>0</xdr:rowOff>
              </from>
              <to>
                <xdr:col>1</xdr:col>
                <xdr:colOff>257175</xdr:colOff>
                <xdr:row>332</xdr:row>
                <xdr:rowOff>76200</xdr:rowOff>
              </to>
            </anchor>
          </controlPr>
        </control>
      </mc:Choice>
      <mc:Fallback>
        <control shapeId="12482" r:id="rId342" name="Control 194"/>
      </mc:Fallback>
    </mc:AlternateContent>
    <mc:AlternateContent xmlns:mc="http://schemas.openxmlformats.org/markup-compatibility/2006">
      <mc:Choice Requires="x14">
        <control shapeId="12481" r:id="rId343" name="Control 193">
          <controlPr defaultSize="0" r:id="rId335">
            <anchor moveWithCells="1">
              <from>
                <xdr:col>1</xdr:col>
                <xdr:colOff>0</xdr:colOff>
                <xdr:row>330</xdr:row>
                <xdr:rowOff>0</xdr:rowOff>
              </from>
              <to>
                <xdr:col>1</xdr:col>
                <xdr:colOff>257175</xdr:colOff>
                <xdr:row>331</xdr:row>
                <xdr:rowOff>76200</xdr:rowOff>
              </to>
            </anchor>
          </controlPr>
        </control>
      </mc:Choice>
      <mc:Fallback>
        <control shapeId="12481" r:id="rId343" name="Control 193"/>
      </mc:Fallback>
    </mc:AlternateContent>
    <mc:AlternateContent xmlns:mc="http://schemas.openxmlformats.org/markup-compatibility/2006">
      <mc:Choice Requires="x14">
        <control shapeId="12480" r:id="rId344" name="Control 192">
          <controlPr defaultSize="0" r:id="rId335">
            <anchor moveWithCells="1">
              <from>
                <xdr:col>1</xdr:col>
                <xdr:colOff>0</xdr:colOff>
                <xdr:row>329</xdr:row>
                <xdr:rowOff>0</xdr:rowOff>
              </from>
              <to>
                <xdr:col>1</xdr:col>
                <xdr:colOff>257175</xdr:colOff>
                <xdr:row>330</xdr:row>
                <xdr:rowOff>76200</xdr:rowOff>
              </to>
            </anchor>
          </controlPr>
        </control>
      </mc:Choice>
      <mc:Fallback>
        <control shapeId="12480" r:id="rId344" name="Control 192"/>
      </mc:Fallback>
    </mc:AlternateContent>
    <mc:AlternateContent xmlns:mc="http://schemas.openxmlformats.org/markup-compatibility/2006">
      <mc:Choice Requires="x14">
        <control shapeId="12479" r:id="rId345" name="Control 191">
          <controlPr defaultSize="0" r:id="rId335">
            <anchor moveWithCells="1">
              <from>
                <xdr:col>1</xdr:col>
                <xdr:colOff>0</xdr:colOff>
                <xdr:row>328</xdr:row>
                <xdr:rowOff>0</xdr:rowOff>
              </from>
              <to>
                <xdr:col>1</xdr:col>
                <xdr:colOff>257175</xdr:colOff>
                <xdr:row>329</xdr:row>
                <xdr:rowOff>76200</xdr:rowOff>
              </to>
            </anchor>
          </controlPr>
        </control>
      </mc:Choice>
      <mc:Fallback>
        <control shapeId="12479" r:id="rId345" name="Control 191"/>
      </mc:Fallback>
    </mc:AlternateContent>
    <mc:AlternateContent xmlns:mc="http://schemas.openxmlformats.org/markup-compatibility/2006">
      <mc:Choice Requires="x14">
        <control shapeId="12478" r:id="rId346" name="Control 190">
          <controlPr defaultSize="0" r:id="rId335">
            <anchor moveWithCells="1">
              <from>
                <xdr:col>1</xdr:col>
                <xdr:colOff>0</xdr:colOff>
                <xdr:row>327</xdr:row>
                <xdr:rowOff>0</xdr:rowOff>
              </from>
              <to>
                <xdr:col>1</xdr:col>
                <xdr:colOff>257175</xdr:colOff>
                <xdr:row>328</xdr:row>
                <xdr:rowOff>76200</xdr:rowOff>
              </to>
            </anchor>
          </controlPr>
        </control>
      </mc:Choice>
      <mc:Fallback>
        <control shapeId="12478" r:id="rId346" name="Control 190"/>
      </mc:Fallback>
    </mc:AlternateContent>
    <mc:AlternateContent xmlns:mc="http://schemas.openxmlformats.org/markup-compatibility/2006">
      <mc:Choice Requires="x14">
        <control shapeId="12477" r:id="rId347" name="Control 189">
          <controlPr defaultSize="0" r:id="rId335">
            <anchor moveWithCells="1">
              <from>
                <xdr:col>1</xdr:col>
                <xdr:colOff>0</xdr:colOff>
                <xdr:row>326</xdr:row>
                <xdr:rowOff>0</xdr:rowOff>
              </from>
              <to>
                <xdr:col>1</xdr:col>
                <xdr:colOff>257175</xdr:colOff>
                <xdr:row>327</xdr:row>
                <xdr:rowOff>76200</xdr:rowOff>
              </to>
            </anchor>
          </controlPr>
        </control>
      </mc:Choice>
      <mc:Fallback>
        <control shapeId="12477" r:id="rId347" name="Control 189"/>
      </mc:Fallback>
    </mc:AlternateContent>
    <mc:AlternateContent xmlns:mc="http://schemas.openxmlformats.org/markup-compatibility/2006">
      <mc:Choice Requires="x14">
        <control shapeId="12476" r:id="rId348" name="Control 188">
          <controlPr defaultSize="0" r:id="rId335">
            <anchor moveWithCells="1">
              <from>
                <xdr:col>1</xdr:col>
                <xdr:colOff>0</xdr:colOff>
                <xdr:row>325</xdr:row>
                <xdr:rowOff>0</xdr:rowOff>
              </from>
              <to>
                <xdr:col>1</xdr:col>
                <xdr:colOff>257175</xdr:colOff>
                <xdr:row>326</xdr:row>
                <xdr:rowOff>76200</xdr:rowOff>
              </to>
            </anchor>
          </controlPr>
        </control>
      </mc:Choice>
      <mc:Fallback>
        <control shapeId="12476" r:id="rId348" name="Control 188"/>
      </mc:Fallback>
    </mc:AlternateContent>
    <mc:AlternateContent xmlns:mc="http://schemas.openxmlformats.org/markup-compatibility/2006">
      <mc:Choice Requires="x14">
        <control shapeId="12475" r:id="rId349" name="Control 187">
          <controlPr defaultSize="0" r:id="rId335">
            <anchor moveWithCells="1">
              <from>
                <xdr:col>1</xdr:col>
                <xdr:colOff>0</xdr:colOff>
                <xdr:row>324</xdr:row>
                <xdr:rowOff>0</xdr:rowOff>
              </from>
              <to>
                <xdr:col>1</xdr:col>
                <xdr:colOff>257175</xdr:colOff>
                <xdr:row>325</xdr:row>
                <xdr:rowOff>76200</xdr:rowOff>
              </to>
            </anchor>
          </controlPr>
        </control>
      </mc:Choice>
      <mc:Fallback>
        <control shapeId="12475" r:id="rId349" name="Control 187"/>
      </mc:Fallback>
    </mc:AlternateContent>
    <mc:AlternateContent xmlns:mc="http://schemas.openxmlformats.org/markup-compatibility/2006">
      <mc:Choice Requires="x14">
        <control shapeId="12474" r:id="rId350" name="Control 186">
          <controlPr defaultSize="0" r:id="rId335">
            <anchor moveWithCells="1">
              <from>
                <xdr:col>1</xdr:col>
                <xdr:colOff>0</xdr:colOff>
                <xdr:row>323</xdr:row>
                <xdr:rowOff>0</xdr:rowOff>
              </from>
              <to>
                <xdr:col>1</xdr:col>
                <xdr:colOff>257175</xdr:colOff>
                <xdr:row>324</xdr:row>
                <xdr:rowOff>76200</xdr:rowOff>
              </to>
            </anchor>
          </controlPr>
        </control>
      </mc:Choice>
      <mc:Fallback>
        <control shapeId="12474" r:id="rId350" name="Control 186"/>
      </mc:Fallback>
    </mc:AlternateContent>
    <mc:AlternateContent xmlns:mc="http://schemas.openxmlformats.org/markup-compatibility/2006">
      <mc:Choice Requires="x14">
        <control shapeId="12473" r:id="rId351" name="Control 185">
          <controlPr defaultSize="0" r:id="rId335">
            <anchor moveWithCells="1">
              <from>
                <xdr:col>1</xdr:col>
                <xdr:colOff>0</xdr:colOff>
                <xdr:row>322</xdr:row>
                <xdr:rowOff>0</xdr:rowOff>
              </from>
              <to>
                <xdr:col>1</xdr:col>
                <xdr:colOff>257175</xdr:colOff>
                <xdr:row>323</xdr:row>
                <xdr:rowOff>76200</xdr:rowOff>
              </to>
            </anchor>
          </controlPr>
        </control>
      </mc:Choice>
      <mc:Fallback>
        <control shapeId="12473" r:id="rId351" name="Control 185"/>
      </mc:Fallback>
    </mc:AlternateContent>
    <mc:AlternateContent xmlns:mc="http://schemas.openxmlformats.org/markup-compatibility/2006">
      <mc:Choice Requires="x14">
        <control shapeId="12472" r:id="rId352" name="Control 184">
          <controlPr defaultSize="0" r:id="rId335">
            <anchor moveWithCells="1">
              <from>
                <xdr:col>1</xdr:col>
                <xdr:colOff>0</xdr:colOff>
                <xdr:row>321</xdr:row>
                <xdr:rowOff>0</xdr:rowOff>
              </from>
              <to>
                <xdr:col>1</xdr:col>
                <xdr:colOff>257175</xdr:colOff>
                <xdr:row>322</xdr:row>
                <xdr:rowOff>76200</xdr:rowOff>
              </to>
            </anchor>
          </controlPr>
        </control>
      </mc:Choice>
      <mc:Fallback>
        <control shapeId="12472" r:id="rId352" name="Control 184"/>
      </mc:Fallback>
    </mc:AlternateContent>
    <mc:AlternateContent xmlns:mc="http://schemas.openxmlformats.org/markup-compatibility/2006">
      <mc:Choice Requires="x14">
        <control shapeId="12471" r:id="rId353" name="Control 183">
          <controlPr defaultSize="0" r:id="rId335">
            <anchor moveWithCells="1">
              <from>
                <xdr:col>1</xdr:col>
                <xdr:colOff>0</xdr:colOff>
                <xdr:row>320</xdr:row>
                <xdr:rowOff>0</xdr:rowOff>
              </from>
              <to>
                <xdr:col>1</xdr:col>
                <xdr:colOff>257175</xdr:colOff>
                <xdr:row>321</xdr:row>
                <xdr:rowOff>76200</xdr:rowOff>
              </to>
            </anchor>
          </controlPr>
        </control>
      </mc:Choice>
      <mc:Fallback>
        <control shapeId="12471" r:id="rId353" name="Control 183"/>
      </mc:Fallback>
    </mc:AlternateContent>
    <mc:AlternateContent xmlns:mc="http://schemas.openxmlformats.org/markup-compatibility/2006">
      <mc:Choice Requires="x14">
        <control shapeId="12470" r:id="rId354" name="Control 182">
          <controlPr defaultSize="0" r:id="rId335">
            <anchor moveWithCells="1">
              <from>
                <xdr:col>1</xdr:col>
                <xdr:colOff>0</xdr:colOff>
                <xdr:row>319</xdr:row>
                <xdr:rowOff>0</xdr:rowOff>
              </from>
              <to>
                <xdr:col>1</xdr:col>
                <xdr:colOff>257175</xdr:colOff>
                <xdr:row>320</xdr:row>
                <xdr:rowOff>76200</xdr:rowOff>
              </to>
            </anchor>
          </controlPr>
        </control>
      </mc:Choice>
      <mc:Fallback>
        <control shapeId="12470" r:id="rId354" name="Control 182"/>
      </mc:Fallback>
    </mc:AlternateContent>
    <mc:AlternateContent xmlns:mc="http://schemas.openxmlformats.org/markup-compatibility/2006">
      <mc:Choice Requires="x14">
        <control shapeId="12469" r:id="rId355" name="Control 181">
          <controlPr defaultSize="0" r:id="rId335">
            <anchor moveWithCells="1">
              <from>
                <xdr:col>1</xdr:col>
                <xdr:colOff>0</xdr:colOff>
                <xdr:row>318</xdr:row>
                <xdr:rowOff>0</xdr:rowOff>
              </from>
              <to>
                <xdr:col>1</xdr:col>
                <xdr:colOff>257175</xdr:colOff>
                <xdr:row>319</xdr:row>
                <xdr:rowOff>76200</xdr:rowOff>
              </to>
            </anchor>
          </controlPr>
        </control>
      </mc:Choice>
      <mc:Fallback>
        <control shapeId="12469" r:id="rId355" name="Control 181"/>
      </mc:Fallback>
    </mc:AlternateContent>
    <mc:AlternateContent xmlns:mc="http://schemas.openxmlformats.org/markup-compatibility/2006">
      <mc:Choice Requires="x14">
        <control shapeId="12468" r:id="rId356" name="Control 180">
          <controlPr defaultSize="0" r:id="rId335">
            <anchor moveWithCells="1">
              <from>
                <xdr:col>1</xdr:col>
                <xdr:colOff>0</xdr:colOff>
                <xdr:row>317</xdr:row>
                <xdr:rowOff>0</xdr:rowOff>
              </from>
              <to>
                <xdr:col>1</xdr:col>
                <xdr:colOff>257175</xdr:colOff>
                <xdr:row>318</xdr:row>
                <xdr:rowOff>76200</xdr:rowOff>
              </to>
            </anchor>
          </controlPr>
        </control>
      </mc:Choice>
      <mc:Fallback>
        <control shapeId="12468" r:id="rId356" name="Control 180"/>
      </mc:Fallback>
    </mc:AlternateContent>
    <mc:AlternateContent xmlns:mc="http://schemas.openxmlformats.org/markup-compatibility/2006">
      <mc:Choice Requires="x14">
        <control shapeId="12467" r:id="rId357" name="Control 179">
          <controlPr defaultSize="0" r:id="rId335">
            <anchor moveWithCells="1">
              <from>
                <xdr:col>1</xdr:col>
                <xdr:colOff>0</xdr:colOff>
                <xdr:row>316</xdr:row>
                <xdr:rowOff>0</xdr:rowOff>
              </from>
              <to>
                <xdr:col>1</xdr:col>
                <xdr:colOff>257175</xdr:colOff>
                <xdr:row>317</xdr:row>
                <xdr:rowOff>76200</xdr:rowOff>
              </to>
            </anchor>
          </controlPr>
        </control>
      </mc:Choice>
      <mc:Fallback>
        <control shapeId="12467" r:id="rId357" name="Control 179"/>
      </mc:Fallback>
    </mc:AlternateContent>
    <mc:AlternateContent xmlns:mc="http://schemas.openxmlformats.org/markup-compatibility/2006">
      <mc:Choice Requires="x14">
        <control shapeId="12466" r:id="rId358" name="Control 178">
          <controlPr defaultSize="0" r:id="rId335">
            <anchor moveWithCells="1">
              <from>
                <xdr:col>1</xdr:col>
                <xdr:colOff>0</xdr:colOff>
                <xdr:row>315</xdr:row>
                <xdr:rowOff>0</xdr:rowOff>
              </from>
              <to>
                <xdr:col>1</xdr:col>
                <xdr:colOff>257175</xdr:colOff>
                <xdr:row>316</xdr:row>
                <xdr:rowOff>76200</xdr:rowOff>
              </to>
            </anchor>
          </controlPr>
        </control>
      </mc:Choice>
      <mc:Fallback>
        <control shapeId="12466" r:id="rId358" name="Control 178"/>
      </mc:Fallback>
    </mc:AlternateContent>
    <mc:AlternateContent xmlns:mc="http://schemas.openxmlformats.org/markup-compatibility/2006">
      <mc:Choice Requires="x14">
        <control shapeId="12465" r:id="rId359" name="Control 177">
          <controlPr defaultSize="0" r:id="rId335">
            <anchor moveWithCells="1">
              <from>
                <xdr:col>1</xdr:col>
                <xdr:colOff>0</xdr:colOff>
                <xdr:row>314</xdr:row>
                <xdr:rowOff>0</xdr:rowOff>
              </from>
              <to>
                <xdr:col>1</xdr:col>
                <xdr:colOff>257175</xdr:colOff>
                <xdr:row>315</xdr:row>
                <xdr:rowOff>76200</xdr:rowOff>
              </to>
            </anchor>
          </controlPr>
        </control>
      </mc:Choice>
      <mc:Fallback>
        <control shapeId="12465" r:id="rId359" name="Control 177"/>
      </mc:Fallback>
    </mc:AlternateContent>
    <mc:AlternateContent xmlns:mc="http://schemas.openxmlformats.org/markup-compatibility/2006">
      <mc:Choice Requires="x14">
        <control shapeId="12464" r:id="rId360" name="Control 176">
          <controlPr defaultSize="0" r:id="rId335">
            <anchor moveWithCells="1">
              <from>
                <xdr:col>1</xdr:col>
                <xdr:colOff>0</xdr:colOff>
                <xdr:row>313</xdr:row>
                <xdr:rowOff>0</xdr:rowOff>
              </from>
              <to>
                <xdr:col>1</xdr:col>
                <xdr:colOff>257175</xdr:colOff>
                <xdr:row>314</xdr:row>
                <xdr:rowOff>76200</xdr:rowOff>
              </to>
            </anchor>
          </controlPr>
        </control>
      </mc:Choice>
      <mc:Fallback>
        <control shapeId="12464" r:id="rId360" name="Control 176"/>
      </mc:Fallback>
    </mc:AlternateContent>
    <mc:AlternateContent xmlns:mc="http://schemas.openxmlformats.org/markup-compatibility/2006">
      <mc:Choice Requires="x14">
        <control shapeId="12463" r:id="rId361" name="Control 175">
          <controlPr defaultSize="0" r:id="rId335">
            <anchor moveWithCells="1">
              <from>
                <xdr:col>1</xdr:col>
                <xdr:colOff>0</xdr:colOff>
                <xdr:row>312</xdr:row>
                <xdr:rowOff>0</xdr:rowOff>
              </from>
              <to>
                <xdr:col>1</xdr:col>
                <xdr:colOff>257175</xdr:colOff>
                <xdr:row>313</xdr:row>
                <xdr:rowOff>76200</xdr:rowOff>
              </to>
            </anchor>
          </controlPr>
        </control>
      </mc:Choice>
      <mc:Fallback>
        <control shapeId="12463" r:id="rId361" name="Control 175"/>
      </mc:Fallback>
    </mc:AlternateContent>
    <mc:AlternateContent xmlns:mc="http://schemas.openxmlformats.org/markup-compatibility/2006">
      <mc:Choice Requires="x14">
        <control shapeId="12462" r:id="rId362" name="Control 174">
          <controlPr defaultSize="0" r:id="rId335">
            <anchor moveWithCells="1">
              <from>
                <xdr:col>1</xdr:col>
                <xdr:colOff>0</xdr:colOff>
                <xdr:row>311</xdr:row>
                <xdr:rowOff>0</xdr:rowOff>
              </from>
              <to>
                <xdr:col>1</xdr:col>
                <xdr:colOff>257175</xdr:colOff>
                <xdr:row>312</xdr:row>
                <xdr:rowOff>76200</xdr:rowOff>
              </to>
            </anchor>
          </controlPr>
        </control>
      </mc:Choice>
      <mc:Fallback>
        <control shapeId="12462" r:id="rId362" name="Control 174"/>
      </mc:Fallback>
    </mc:AlternateContent>
    <mc:AlternateContent xmlns:mc="http://schemas.openxmlformats.org/markup-compatibility/2006">
      <mc:Choice Requires="x14">
        <control shapeId="12461" r:id="rId363" name="Control 173">
          <controlPr defaultSize="0" r:id="rId335">
            <anchor moveWithCells="1">
              <from>
                <xdr:col>1</xdr:col>
                <xdr:colOff>0</xdr:colOff>
                <xdr:row>310</xdr:row>
                <xdr:rowOff>0</xdr:rowOff>
              </from>
              <to>
                <xdr:col>1</xdr:col>
                <xdr:colOff>257175</xdr:colOff>
                <xdr:row>311</xdr:row>
                <xdr:rowOff>76200</xdr:rowOff>
              </to>
            </anchor>
          </controlPr>
        </control>
      </mc:Choice>
      <mc:Fallback>
        <control shapeId="12461" r:id="rId363" name="Control 173"/>
      </mc:Fallback>
    </mc:AlternateContent>
    <mc:AlternateContent xmlns:mc="http://schemas.openxmlformats.org/markup-compatibility/2006">
      <mc:Choice Requires="x14">
        <control shapeId="12460" r:id="rId364" name="Control 172">
          <controlPr defaultSize="0" r:id="rId335">
            <anchor moveWithCells="1">
              <from>
                <xdr:col>1</xdr:col>
                <xdr:colOff>0</xdr:colOff>
                <xdr:row>309</xdr:row>
                <xdr:rowOff>0</xdr:rowOff>
              </from>
              <to>
                <xdr:col>1</xdr:col>
                <xdr:colOff>257175</xdr:colOff>
                <xdr:row>310</xdr:row>
                <xdr:rowOff>76200</xdr:rowOff>
              </to>
            </anchor>
          </controlPr>
        </control>
      </mc:Choice>
      <mc:Fallback>
        <control shapeId="12460" r:id="rId364" name="Control 172"/>
      </mc:Fallback>
    </mc:AlternateContent>
    <mc:AlternateContent xmlns:mc="http://schemas.openxmlformats.org/markup-compatibility/2006">
      <mc:Choice Requires="x14">
        <control shapeId="12459" r:id="rId365" name="Control 171">
          <controlPr defaultSize="0" r:id="rId335">
            <anchor moveWithCells="1">
              <from>
                <xdr:col>1</xdr:col>
                <xdr:colOff>0</xdr:colOff>
                <xdr:row>308</xdr:row>
                <xdr:rowOff>0</xdr:rowOff>
              </from>
              <to>
                <xdr:col>1</xdr:col>
                <xdr:colOff>257175</xdr:colOff>
                <xdr:row>309</xdr:row>
                <xdr:rowOff>76200</xdr:rowOff>
              </to>
            </anchor>
          </controlPr>
        </control>
      </mc:Choice>
      <mc:Fallback>
        <control shapeId="12459" r:id="rId365" name="Control 171"/>
      </mc:Fallback>
    </mc:AlternateContent>
    <mc:AlternateContent xmlns:mc="http://schemas.openxmlformats.org/markup-compatibility/2006">
      <mc:Choice Requires="x14">
        <control shapeId="12458" r:id="rId366" name="Control 170">
          <controlPr defaultSize="0" r:id="rId335">
            <anchor moveWithCells="1">
              <from>
                <xdr:col>1</xdr:col>
                <xdr:colOff>0</xdr:colOff>
                <xdr:row>307</xdr:row>
                <xdr:rowOff>0</xdr:rowOff>
              </from>
              <to>
                <xdr:col>1</xdr:col>
                <xdr:colOff>257175</xdr:colOff>
                <xdr:row>308</xdr:row>
                <xdr:rowOff>76200</xdr:rowOff>
              </to>
            </anchor>
          </controlPr>
        </control>
      </mc:Choice>
      <mc:Fallback>
        <control shapeId="12458" r:id="rId366" name="Control 170"/>
      </mc:Fallback>
    </mc:AlternateContent>
    <mc:AlternateContent xmlns:mc="http://schemas.openxmlformats.org/markup-compatibility/2006">
      <mc:Choice Requires="x14">
        <control shapeId="12457" r:id="rId367" name="Control 169">
          <controlPr defaultSize="0" r:id="rId335">
            <anchor moveWithCells="1">
              <from>
                <xdr:col>1</xdr:col>
                <xdr:colOff>0</xdr:colOff>
                <xdr:row>306</xdr:row>
                <xdr:rowOff>0</xdr:rowOff>
              </from>
              <to>
                <xdr:col>1</xdr:col>
                <xdr:colOff>257175</xdr:colOff>
                <xdr:row>307</xdr:row>
                <xdr:rowOff>76200</xdr:rowOff>
              </to>
            </anchor>
          </controlPr>
        </control>
      </mc:Choice>
      <mc:Fallback>
        <control shapeId="12457" r:id="rId367" name="Control 169"/>
      </mc:Fallback>
    </mc:AlternateContent>
    <mc:AlternateContent xmlns:mc="http://schemas.openxmlformats.org/markup-compatibility/2006">
      <mc:Choice Requires="x14">
        <control shapeId="12456" r:id="rId368" name="Control 168">
          <controlPr defaultSize="0" r:id="rId335">
            <anchor moveWithCells="1">
              <from>
                <xdr:col>1</xdr:col>
                <xdr:colOff>0</xdr:colOff>
                <xdr:row>305</xdr:row>
                <xdr:rowOff>0</xdr:rowOff>
              </from>
              <to>
                <xdr:col>1</xdr:col>
                <xdr:colOff>257175</xdr:colOff>
                <xdr:row>306</xdr:row>
                <xdr:rowOff>76200</xdr:rowOff>
              </to>
            </anchor>
          </controlPr>
        </control>
      </mc:Choice>
      <mc:Fallback>
        <control shapeId="12456" r:id="rId368" name="Control 168"/>
      </mc:Fallback>
    </mc:AlternateContent>
    <mc:AlternateContent xmlns:mc="http://schemas.openxmlformats.org/markup-compatibility/2006">
      <mc:Choice Requires="x14">
        <control shapeId="12455" r:id="rId369" name="Control 167">
          <controlPr defaultSize="0" r:id="rId335">
            <anchor moveWithCells="1">
              <from>
                <xdr:col>1</xdr:col>
                <xdr:colOff>0</xdr:colOff>
                <xdr:row>304</xdr:row>
                <xdr:rowOff>0</xdr:rowOff>
              </from>
              <to>
                <xdr:col>1</xdr:col>
                <xdr:colOff>257175</xdr:colOff>
                <xdr:row>305</xdr:row>
                <xdr:rowOff>76200</xdr:rowOff>
              </to>
            </anchor>
          </controlPr>
        </control>
      </mc:Choice>
      <mc:Fallback>
        <control shapeId="12455" r:id="rId369" name="Control 167"/>
      </mc:Fallback>
    </mc:AlternateContent>
    <mc:AlternateContent xmlns:mc="http://schemas.openxmlformats.org/markup-compatibility/2006">
      <mc:Choice Requires="x14">
        <control shapeId="12454" r:id="rId370" name="Control 166">
          <controlPr defaultSize="0" r:id="rId335">
            <anchor moveWithCells="1">
              <from>
                <xdr:col>1</xdr:col>
                <xdr:colOff>0</xdr:colOff>
                <xdr:row>303</xdr:row>
                <xdr:rowOff>0</xdr:rowOff>
              </from>
              <to>
                <xdr:col>1</xdr:col>
                <xdr:colOff>257175</xdr:colOff>
                <xdr:row>304</xdr:row>
                <xdr:rowOff>76200</xdr:rowOff>
              </to>
            </anchor>
          </controlPr>
        </control>
      </mc:Choice>
      <mc:Fallback>
        <control shapeId="12454" r:id="rId370" name="Control 166"/>
      </mc:Fallback>
    </mc:AlternateContent>
    <mc:AlternateContent xmlns:mc="http://schemas.openxmlformats.org/markup-compatibility/2006">
      <mc:Choice Requires="x14">
        <control shapeId="12453" r:id="rId371" name="Control 165">
          <controlPr defaultSize="0" r:id="rId335">
            <anchor moveWithCells="1">
              <from>
                <xdr:col>1</xdr:col>
                <xdr:colOff>0</xdr:colOff>
                <xdr:row>302</xdr:row>
                <xdr:rowOff>0</xdr:rowOff>
              </from>
              <to>
                <xdr:col>1</xdr:col>
                <xdr:colOff>257175</xdr:colOff>
                <xdr:row>303</xdr:row>
                <xdr:rowOff>76200</xdr:rowOff>
              </to>
            </anchor>
          </controlPr>
        </control>
      </mc:Choice>
      <mc:Fallback>
        <control shapeId="12453" r:id="rId371" name="Control 165"/>
      </mc:Fallback>
    </mc:AlternateContent>
    <mc:AlternateContent xmlns:mc="http://schemas.openxmlformats.org/markup-compatibility/2006">
      <mc:Choice Requires="x14">
        <control shapeId="12452" r:id="rId372" name="Control 164">
          <controlPr defaultSize="0" r:id="rId335">
            <anchor moveWithCells="1">
              <from>
                <xdr:col>1</xdr:col>
                <xdr:colOff>0</xdr:colOff>
                <xdr:row>301</xdr:row>
                <xdr:rowOff>0</xdr:rowOff>
              </from>
              <to>
                <xdr:col>1</xdr:col>
                <xdr:colOff>257175</xdr:colOff>
                <xdr:row>302</xdr:row>
                <xdr:rowOff>76200</xdr:rowOff>
              </to>
            </anchor>
          </controlPr>
        </control>
      </mc:Choice>
      <mc:Fallback>
        <control shapeId="12452" r:id="rId372" name="Control 164"/>
      </mc:Fallback>
    </mc:AlternateContent>
    <mc:AlternateContent xmlns:mc="http://schemas.openxmlformats.org/markup-compatibility/2006">
      <mc:Choice Requires="x14">
        <control shapeId="12451" r:id="rId373" name="Control 163">
          <controlPr defaultSize="0" r:id="rId335">
            <anchor moveWithCells="1">
              <from>
                <xdr:col>1</xdr:col>
                <xdr:colOff>0</xdr:colOff>
                <xdr:row>165</xdr:row>
                <xdr:rowOff>0</xdr:rowOff>
              </from>
              <to>
                <xdr:col>1</xdr:col>
                <xdr:colOff>257175</xdr:colOff>
                <xdr:row>166</xdr:row>
                <xdr:rowOff>76200</xdr:rowOff>
              </to>
            </anchor>
          </controlPr>
        </control>
      </mc:Choice>
      <mc:Fallback>
        <control shapeId="12451" r:id="rId373" name="Control 163"/>
      </mc:Fallback>
    </mc:AlternateContent>
    <mc:AlternateContent xmlns:mc="http://schemas.openxmlformats.org/markup-compatibility/2006">
      <mc:Choice Requires="x14">
        <control shapeId="12450" r:id="rId374" name="Control 162">
          <controlPr defaultSize="0" r:id="rId335">
            <anchor moveWithCells="1">
              <from>
                <xdr:col>1</xdr:col>
                <xdr:colOff>0</xdr:colOff>
                <xdr:row>164</xdr:row>
                <xdr:rowOff>0</xdr:rowOff>
              </from>
              <to>
                <xdr:col>1</xdr:col>
                <xdr:colOff>257175</xdr:colOff>
                <xdr:row>165</xdr:row>
                <xdr:rowOff>76200</xdr:rowOff>
              </to>
            </anchor>
          </controlPr>
        </control>
      </mc:Choice>
      <mc:Fallback>
        <control shapeId="12450" r:id="rId374" name="Control 162"/>
      </mc:Fallback>
    </mc:AlternateContent>
    <mc:AlternateContent xmlns:mc="http://schemas.openxmlformats.org/markup-compatibility/2006">
      <mc:Choice Requires="x14">
        <control shapeId="12449" r:id="rId375" name="Control 161">
          <controlPr defaultSize="0" r:id="rId335">
            <anchor moveWithCells="1">
              <from>
                <xdr:col>1</xdr:col>
                <xdr:colOff>0</xdr:colOff>
                <xdr:row>163</xdr:row>
                <xdr:rowOff>0</xdr:rowOff>
              </from>
              <to>
                <xdr:col>1</xdr:col>
                <xdr:colOff>257175</xdr:colOff>
                <xdr:row>164</xdr:row>
                <xdr:rowOff>76200</xdr:rowOff>
              </to>
            </anchor>
          </controlPr>
        </control>
      </mc:Choice>
      <mc:Fallback>
        <control shapeId="12449" r:id="rId375" name="Control 161"/>
      </mc:Fallback>
    </mc:AlternateContent>
    <mc:AlternateContent xmlns:mc="http://schemas.openxmlformats.org/markup-compatibility/2006">
      <mc:Choice Requires="x14">
        <control shapeId="12448" r:id="rId376" name="Control 160">
          <controlPr defaultSize="0" r:id="rId335">
            <anchor moveWithCells="1">
              <from>
                <xdr:col>1</xdr:col>
                <xdr:colOff>0</xdr:colOff>
                <xdr:row>162</xdr:row>
                <xdr:rowOff>0</xdr:rowOff>
              </from>
              <to>
                <xdr:col>1</xdr:col>
                <xdr:colOff>257175</xdr:colOff>
                <xdr:row>163</xdr:row>
                <xdr:rowOff>76200</xdr:rowOff>
              </to>
            </anchor>
          </controlPr>
        </control>
      </mc:Choice>
      <mc:Fallback>
        <control shapeId="12448" r:id="rId376" name="Control 160"/>
      </mc:Fallback>
    </mc:AlternateContent>
    <mc:AlternateContent xmlns:mc="http://schemas.openxmlformats.org/markup-compatibility/2006">
      <mc:Choice Requires="x14">
        <control shapeId="12447" r:id="rId377" name="Control 159">
          <controlPr defaultSize="0" r:id="rId335">
            <anchor moveWithCells="1">
              <from>
                <xdr:col>1</xdr:col>
                <xdr:colOff>0</xdr:colOff>
                <xdr:row>161</xdr:row>
                <xdr:rowOff>0</xdr:rowOff>
              </from>
              <to>
                <xdr:col>1</xdr:col>
                <xdr:colOff>257175</xdr:colOff>
                <xdr:row>162</xdr:row>
                <xdr:rowOff>76200</xdr:rowOff>
              </to>
            </anchor>
          </controlPr>
        </control>
      </mc:Choice>
      <mc:Fallback>
        <control shapeId="12447" r:id="rId377" name="Control 159"/>
      </mc:Fallback>
    </mc:AlternateContent>
    <mc:AlternateContent xmlns:mc="http://schemas.openxmlformats.org/markup-compatibility/2006">
      <mc:Choice Requires="x14">
        <control shapeId="12446" r:id="rId378" name="Control 158">
          <controlPr defaultSize="0" r:id="rId335">
            <anchor moveWithCells="1">
              <from>
                <xdr:col>1</xdr:col>
                <xdr:colOff>0</xdr:colOff>
                <xdr:row>290</xdr:row>
                <xdr:rowOff>0</xdr:rowOff>
              </from>
              <to>
                <xdr:col>1</xdr:col>
                <xdr:colOff>257175</xdr:colOff>
                <xdr:row>291</xdr:row>
                <xdr:rowOff>76200</xdr:rowOff>
              </to>
            </anchor>
          </controlPr>
        </control>
      </mc:Choice>
      <mc:Fallback>
        <control shapeId="12446" r:id="rId378" name="Control 158"/>
      </mc:Fallback>
    </mc:AlternateContent>
    <mc:AlternateContent xmlns:mc="http://schemas.openxmlformats.org/markup-compatibility/2006">
      <mc:Choice Requires="x14">
        <control shapeId="12445" r:id="rId379" name="Control 157">
          <controlPr defaultSize="0" r:id="rId335">
            <anchor moveWithCells="1">
              <from>
                <xdr:col>1</xdr:col>
                <xdr:colOff>0</xdr:colOff>
                <xdr:row>289</xdr:row>
                <xdr:rowOff>0</xdr:rowOff>
              </from>
              <to>
                <xdr:col>1</xdr:col>
                <xdr:colOff>257175</xdr:colOff>
                <xdr:row>290</xdr:row>
                <xdr:rowOff>76200</xdr:rowOff>
              </to>
            </anchor>
          </controlPr>
        </control>
      </mc:Choice>
      <mc:Fallback>
        <control shapeId="12445" r:id="rId379" name="Control 157"/>
      </mc:Fallback>
    </mc:AlternateContent>
    <mc:AlternateContent xmlns:mc="http://schemas.openxmlformats.org/markup-compatibility/2006">
      <mc:Choice Requires="x14">
        <control shapeId="12444" r:id="rId380" name="Control 156">
          <controlPr defaultSize="0" r:id="rId335">
            <anchor moveWithCells="1">
              <from>
                <xdr:col>1</xdr:col>
                <xdr:colOff>0</xdr:colOff>
                <xdr:row>288</xdr:row>
                <xdr:rowOff>0</xdr:rowOff>
              </from>
              <to>
                <xdr:col>1</xdr:col>
                <xdr:colOff>257175</xdr:colOff>
                <xdr:row>289</xdr:row>
                <xdr:rowOff>76200</xdr:rowOff>
              </to>
            </anchor>
          </controlPr>
        </control>
      </mc:Choice>
      <mc:Fallback>
        <control shapeId="12444" r:id="rId380" name="Control 156"/>
      </mc:Fallback>
    </mc:AlternateContent>
    <mc:AlternateContent xmlns:mc="http://schemas.openxmlformats.org/markup-compatibility/2006">
      <mc:Choice Requires="x14">
        <control shapeId="12443" r:id="rId381" name="Control 155">
          <controlPr defaultSize="0" r:id="rId335">
            <anchor moveWithCells="1">
              <from>
                <xdr:col>1</xdr:col>
                <xdr:colOff>0</xdr:colOff>
                <xdr:row>287</xdr:row>
                <xdr:rowOff>0</xdr:rowOff>
              </from>
              <to>
                <xdr:col>1</xdr:col>
                <xdr:colOff>257175</xdr:colOff>
                <xdr:row>288</xdr:row>
                <xdr:rowOff>76200</xdr:rowOff>
              </to>
            </anchor>
          </controlPr>
        </control>
      </mc:Choice>
      <mc:Fallback>
        <control shapeId="12443" r:id="rId381" name="Control 155"/>
      </mc:Fallback>
    </mc:AlternateContent>
    <mc:AlternateContent xmlns:mc="http://schemas.openxmlformats.org/markup-compatibility/2006">
      <mc:Choice Requires="x14">
        <control shapeId="12442" r:id="rId382" name="Control 154">
          <controlPr defaultSize="0" r:id="rId335">
            <anchor moveWithCells="1">
              <from>
                <xdr:col>1</xdr:col>
                <xdr:colOff>0</xdr:colOff>
                <xdr:row>286</xdr:row>
                <xdr:rowOff>0</xdr:rowOff>
              </from>
              <to>
                <xdr:col>1</xdr:col>
                <xdr:colOff>257175</xdr:colOff>
                <xdr:row>287</xdr:row>
                <xdr:rowOff>76200</xdr:rowOff>
              </to>
            </anchor>
          </controlPr>
        </control>
      </mc:Choice>
      <mc:Fallback>
        <control shapeId="12442" r:id="rId382" name="Control 154"/>
      </mc:Fallback>
    </mc:AlternateContent>
    <mc:AlternateContent xmlns:mc="http://schemas.openxmlformats.org/markup-compatibility/2006">
      <mc:Choice Requires="x14">
        <control shapeId="12441" r:id="rId383" name="Control 153">
          <controlPr defaultSize="0" r:id="rId335">
            <anchor moveWithCells="1">
              <from>
                <xdr:col>1</xdr:col>
                <xdr:colOff>0</xdr:colOff>
                <xdr:row>285</xdr:row>
                <xdr:rowOff>0</xdr:rowOff>
              </from>
              <to>
                <xdr:col>1</xdr:col>
                <xdr:colOff>257175</xdr:colOff>
                <xdr:row>286</xdr:row>
                <xdr:rowOff>76200</xdr:rowOff>
              </to>
            </anchor>
          </controlPr>
        </control>
      </mc:Choice>
      <mc:Fallback>
        <control shapeId="12441" r:id="rId383" name="Control 153"/>
      </mc:Fallback>
    </mc:AlternateContent>
    <mc:AlternateContent xmlns:mc="http://schemas.openxmlformats.org/markup-compatibility/2006">
      <mc:Choice Requires="x14">
        <control shapeId="12440" r:id="rId384" name="Control 152">
          <controlPr defaultSize="0" r:id="rId335">
            <anchor moveWithCells="1">
              <from>
                <xdr:col>1</xdr:col>
                <xdr:colOff>0</xdr:colOff>
                <xdr:row>280</xdr:row>
                <xdr:rowOff>0</xdr:rowOff>
              </from>
              <to>
                <xdr:col>1</xdr:col>
                <xdr:colOff>257175</xdr:colOff>
                <xdr:row>281</xdr:row>
                <xdr:rowOff>76200</xdr:rowOff>
              </to>
            </anchor>
          </controlPr>
        </control>
      </mc:Choice>
      <mc:Fallback>
        <control shapeId="12440" r:id="rId384" name="Control 152"/>
      </mc:Fallback>
    </mc:AlternateContent>
    <mc:AlternateContent xmlns:mc="http://schemas.openxmlformats.org/markup-compatibility/2006">
      <mc:Choice Requires="x14">
        <control shapeId="12439" r:id="rId385" name="Control 151">
          <controlPr defaultSize="0" r:id="rId335">
            <anchor moveWithCells="1">
              <from>
                <xdr:col>1</xdr:col>
                <xdr:colOff>0</xdr:colOff>
                <xdr:row>279</xdr:row>
                <xdr:rowOff>0</xdr:rowOff>
              </from>
              <to>
                <xdr:col>1</xdr:col>
                <xdr:colOff>257175</xdr:colOff>
                <xdr:row>280</xdr:row>
                <xdr:rowOff>76200</xdr:rowOff>
              </to>
            </anchor>
          </controlPr>
        </control>
      </mc:Choice>
      <mc:Fallback>
        <control shapeId="12439" r:id="rId385" name="Control 151"/>
      </mc:Fallback>
    </mc:AlternateContent>
    <mc:AlternateContent xmlns:mc="http://schemas.openxmlformats.org/markup-compatibility/2006">
      <mc:Choice Requires="x14">
        <control shapeId="12438" r:id="rId386" name="Control 150">
          <controlPr defaultSize="0" r:id="rId335">
            <anchor moveWithCells="1">
              <from>
                <xdr:col>1</xdr:col>
                <xdr:colOff>0</xdr:colOff>
                <xdr:row>278</xdr:row>
                <xdr:rowOff>0</xdr:rowOff>
              </from>
              <to>
                <xdr:col>1</xdr:col>
                <xdr:colOff>257175</xdr:colOff>
                <xdr:row>279</xdr:row>
                <xdr:rowOff>76200</xdr:rowOff>
              </to>
            </anchor>
          </controlPr>
        </control>
      </mc:Choice>
      <mc:Fallback>
        <control shapeId="12438" r:id="rId386" name="Control 150"/>
      </mc:Fallback>
    </mc:AlternateContent>
    <mc:AlternateContent xmlns:mc="http://schemas.openxmlformats.org/markup-compatibility/2006">
      <mc:Choice Requires="x14">
        <control shapeId="12437" r:id="rId387" name="Control 149">
          <controlPr defaultSize="0" r:id="rId335">
            <anchor moveWithCells="1">
              <from>
                <xdr:col>1</xdr:col>
                <xdr:colOff>0</xdr:colOff>
                <xdr:row>277</xdr:row>
                <xdr:rowOff>0</xdr:rowOff>
              </from>
              <to>
                <xdr:col>1</xdr:col>
                <xdr:colOff>257175</xdr:colOff>
                <xdr:row>278</xdr:row>
                <xdr:rowOff>76200</xdr:rowOff>
              </to>
            </anchor>
          </controlPr>
        </control>
      </mc:Choice>
      <mc:Fallback>
        <control shapeId="12437" r:id="rId387" name="Control 149"/>
      </mc:Fallback>
    </mc:AlternateContent>
    <mc:AlternateContent xmlns:mc="http://schemas.openxmlformats.org/markup-compatibility/2006">
      <mc:Choice Requires="x14">
        <control shapeId="12436" r:id="rId388" name="Control 148">
          <controlPr defaultSize="0" r:id="rId335">
            <anchor moveWithCells="1">
              <from>
                <xdr:col>1</xdr:col>
                <xdr:colOff>0</xdr:colOff>
                <xdr:row>276</xdr:row>
                <xdr:rowOff>0</xdr:rowOff>
              </from>
              <to>
                <xdr:col>1</xdr:col>
                <xdr:colOff>257175</xdr:colOff>
                <xdr:row>277</xdr:row>
                <xdr:rowOff>76200</xdr:rowOff>
              </to>
            </anchor>
          </controlPr>
        </control>
      </mc:Choice>
      <mc:Fallback>
        <control shapeId="12436" r:id="rId388" name="Control 148"/>
      </mc:Fallback>
    </mc:AlternateContent>
    <mc:AlternateContent xmlns:mc="http://schemas.openxmlformats.org/markup-compatibility/2006">
      <mc:Choice Requires="x14">
        <control shapeId="12435" r:id="rId389" name="Control 147">
          <controlPr defaultSize="0" r:id="rId335">
            <anchor moveWithCells="1">
              <from>
                <xdr:col>1</xdr:col>
                <xdr:colOff>0</xdr:colOff>
                <xdr:row>275</xdr:row>
                <xdr:rowOff>0</xdr:rowOff>
              </from>
              <to>
                <xdr:col>1</xdr:col>
                <xdr:colOff>257175</xdr:colOff>
                <xdr:row>276</xdr:row>
                <xdr:rowOff>76200</xdr:rowOff>
              </to>
            </anchor>
          </controlPr>
        </control>
      </mc:Choice>
      <mc:Fallback>
        <control shapeId="12435" r:id="rId389" name="Control 147"/>
      </mc:Fallback>
    </mc:AlternateContent>
    <mc:AlternateContent xmlns:mc="http://schemas.openxmlformats.org/markup-compatibility/2006">
      <mc:Choice Requires="x14">
        <control shapeId="12434" r:id="rId390" name="Control 146">
          <controlPr defaultSize="0" r:id="rId335">
            <anchor moveWithCells="1">
              <from>
                <xdr:col>1</xdr:col>
                <xdr:colOff>0</xdr:colOff>
                <xdr:row>274</xdr:row>
                <xdr:rowOff>0</xdr:rowOff>
              </from>
              <to>
                <xdr:col>1</xdr:col>
                <xdr:colOff>257175</xdr:colOff>
                <xdr:row>275</xdr:row>
                <xdr:rowOff>76200</xdr:rowOff>
              </to>
            </anchor>
          </controlPr>
        </control>
      </mc:Choice>
      <mc:Fallback>
        <control shapeId="12434" r:id="rId390" name="Control 146"/>
      </mc:Fallback>
    </mc:AlternateContent>
    <mc:AlternateContent xmlns:mc="http://schemas.openxmlformats.org/markup-compatibility/2006">
      <mc:Choice Requires="x14">
        <control shapeId="12433" r:id="rId391" name="Control 145">
          <controlPr defaultSize="0" r:id="rId335">
            <anchor moveWithCells="1">
              <from>
                <xdr:col>1</xdr:col>
                <xdr:colOff>0</xdr:colOff>
                <xdr:row>273</xdr:row>
                <xdr:rowOff>0</xdr:rowOff>
              </from>
              <to>
                <xdr:col>1</xdr:col>
                <xdr:colOff>257175</xdr:colOff>
                <xdr:row>274</xdr:row>
                <xdr:rowOff>76200</xdr:rowOff>
              </to>
            </anchor>
          </controlPr>
        </control>
      </mc:Choice>
      <mc:Fallback>
        <control shapeId="12433" r:id="rId391" name="Control 145"/>
      </mc:Fallback>
    </mc:AlternateContent>
    <mc:AlternateContent xmlns:mc="http://schemas.openxmlformats.org/markup-compatibility/2006">
      <mc:Choice Requires="x14">
        <control shapeId="12432" r:id="rId392" name="Control 144">
          <controlPr defaultSize="0" r:id="rId335">
            <anchor moveWithCells="1">
              <from>
                <xdr:col>1</xdr:col>
                <xdr:colOff>0</xdr:colOff>
                <xdr:row>268</xdr:row>
                <xdr:rowOff>0</xdr:rowOff>
              </from>
              <to>
                <xdr:col>1</xdr:col>
                <xdr:colOff>257175</xdr:colOff>
                <xdr:row>269</xdr:row>
                <xdr:rowOff>76200</xdr:rowOff>
              </to>
            </anchor>
          </controlPr>
        </control>
      </mc:Choice>
      <mc:Fallback>
        <control shapeId="12432" r:id="rId392" name="Control 144"/>
      </mc:Fallback>
    </mc:AlternateContent>
    <mc:AlternateContent xmlns:mc="http://schemas.openxmlformats.org/markup-compatibility/2006">
      <mc:Choice Requires="x14">
        <control shapeId="12431" r:id="rId393" name="Control 143">
          <controlPr defaultSize="0" r:id="rId335">
            <anchor moveWithCells="1">
              <from>
                <xdr:col>1</xdr:col>
                <xdr:colOff>0</xdr:colOff>
                <xdr:row>267</xdr:row>
                <xdr:rowOff>0</xdr:rowOff>
              </from>
              <to>
                <xdr:col>1</xdr:col>
                <xdr:colOff>257175</xdr:colOff>
                <xdr:row>268</xdr:row>
                <xdr:rowOff>76200</xdr:rowOff>
              </to>
            </anchor>
          </controlPr>
        </control>
      </mc:Choice>
      <mc:Fallback>
        <control shapeId="12431" r:id="rId393" name="Control 143"/>
      </mc:Fallback>
    </mc:AlternateContent>
    <mc:AlternateContent xmlns:mc="http://schemas.openxmlformats.org/markup-compatibility/2006">
      <mc:Choice Requires="x14">
        <control shapeId="12430" r:id="rId394" name="Control 142">
          <controlPr defaultSize="0" r:id="rId335">
            <anchor moveWithCells="1">
              <from>
                <xdr:col>1</xdr:col>
                <xdr:colOff>0</xdr:colOff>
                <xdr:row>266</xdr:row>
                <xdr:rowOff>0</xdr:rowOff>
              </from>
              <to>
                <xdr:col>1</xdr:col>
                <xdr:colOff>257175</xdr:colOff>
                <xdr:row>267</xdr:row>
                <xdr:rowOff>76200</xdr:rowOff>
              </to>
            </anchor>
          </controlPr>
        </control>
      </mc:Choice>
      <mc:Fallback>
        <control shapeId="12430" r:id="rId394" name="Control 142"/>
      </mc:Fallback>
    </mc:AlternateContent>
    <mc:AlternateContent xmlns:mc="http://schemas.openxmlformats.org/markup-compatibility/2006">
      <mc:Choice Requires="x14">
        <control shapeId="12429" r:id="rId395" name="Control 141">
          <controlPr defaultSize="0" r:id="rId335">
            <anchor moveWithCells="1">
              <from>
                <xdr:col>1</xdr:col>
                <xdr:colOff>0</xdr:colOff>
                <xdr:row>265</xdr:row>
                <xdr:rowOff>0</xdr:rowOff>
              </from>
              <to>
                <xdr:col>1</xdr:col>
                <xdr:colOff>257175</xdr:colOff>
                <xdr:row>266</xdr:row>
                <xdr:rowOff>76200</xdr:rowOff>
              </to>
            </anchor>
          </controlPr>
        </control>
      </mc:Choice>
      <mc:Fallback>
        <control shapeId="12429" r:id="rId395" name="Control 141"/>
      </mc:Fallback>
    </mc:AlternateContent>
    <mc:AlternateContent xmlns:mc="http://schemas.openxmlformats.org/markup-compatibility/2006">
      <mc:Choice Requires="x14">
        <control shapeId="12428" r:id="rId396" name="Control 140">
          <controlPr defaultSize="0" r:id="rId335">
            <anchor moveWithCells="1">
              <from>
                <xdr:col>1</xdr:col>
                <xdr:colOff>0</xdr:colOff>
                <xdr:row>264</xdr:row>
                <xdr:rowOff>0</xdr:rowOff>
              </from>
              <to>
                <xdr:col>1</xdr:col>
                <xdr:colOff>257175</xdr:colOff>
                <xdr:row>265</xdr:row>
                <xdr:rowOff>76200</xdr:rowOff>
              </to>
            </anchor>
          </controlPr>
        </control>
      </mc:Choice>
      <mc:Fallback>
        <control shapeId="12428" r:id="rId396" name="Control 140"/>
      </mc:Fallback>
    </mc:AlternateContent>
    <mc:AlternateContent xmlns:mc="http://schemas.openxmlformats.org/markup-compatibility/2006">
      <mc:Choice Requires="x14">
        <control shapeId="12427" r:id="rId397" name="Control 139">
          <controlPr defaultSize="0" r:id="rId335">
            <anchor moveWithCells="1">
              <from>
                <xdr:col>1</xdr:col>
                <xdr:colOff>0</xdr:colOff>
                <xdr:row>263</xdr:row>
                <xdr:rowOff>0</xdr:rowOff>
              </from>
              <to>
                <xdr:col>1</xdr:col>
                <xdr:colOff>257175</xdr:colOff>
                <xdr:row>264</xdr:row>
                <xdr:rowOff>76200</xdr:rowOff>
              </to>
            </anchor>
          </controlPr>
        </control>
      </mc:Choice>
      <mc:Fallback>
        <control shapeId="12427" r:id="rId397" name="Control 139"/>
      </mc:Fallback>
    </mc:AlternateContent>
    <mc:AlternateContent xmlns:mc="http://schemas.openxmlformats.org/markup-compatibility/2006">
      <mc:Choice Requires="x14">
        <control shapeId="12426" r:id="rId398" name="Control 138">
          <controlPr defaultSize="0" r:id="rId335">
            <anchor moveWithCells="1">
              <from>
                <xdr:col>1</xdr:col>
                <xdr:colOff>0</xdr:colOff>
                <xdr:row>262</xdr:row>
                <xdr:rowOff>0</xdr:rowOff>
              </from>
              <to>
                <xdr:col>1</xdr:col>
                <xdr:colOff>257175</xdr:colOff>
                <xdr:row>263</xdr:row>
                <xdr:rowOff>76200</xdr:rowOff>
              </to>
            </anchor>
          </controlPr>
        </control>
      </mc:Choice>
      <mc:Fallback>
        <control shapeId="12426" r:id="rId398" name="Control 138"/>
      </mc:Fallback>
    </mc:AlternateContent>
    <mc:AlternateContent xmlns:mc="http://schemas.openxmlformats.org/markup-compatibility/2006">
      <mc:Choice Requires="x14">
        <control shapeId="12425" r:id="rId399" name="Control 137">
          <controlPr defaultSize="0" r:id="rId335">
            <anchor moveWithCells="1">
              <from>
                <xdr:col>1</xdr:col>
                <xdr:colOff>0</xdr:colOff>
                <xdr:row>256</xdr:row>
                <xdr:rowOff>0</xdr:rowOff>
              </from>
              <to>
                <xdr:col>1</xdr:col>
                <xdr:colOff>257175</xdr:colOff>
                <xdr:row>257</xdr:row>
                <xdr:rowOff>76200</xdr:rowOff>
              </to>
            </anchor>
          </controlPr>
        </control>
      </mc:Choice>
      <mc:Fallback>
        <control shapeId="12425" r:id="rId399" name="Control 137"/>
      </mc:Fallback>
    </mc:AlternateContent>
    <mc:AlternateContent xmlns:mc="http://schemas.openxmlformats.org/markup-compatibility/2006">
      <mc:Choice Requires="x14">
        <control shapeId="12424" r:id="rId400" name="Control 136">
          <controlPr defaultSize="0" r:id="rId335">
            <anchor moveWithCells="1">
              <from>
                <xdr:col>1</xdr:col>
                <xdr:colOff>0</xdr:colOff>
                <xdr:row>255</xdr:row>
                <xdr:rowOff>0</xdr:rowOff>
              </from>
              <to>
                <xdr:col>1</xdr:col>
                <xdr:colOff>257175</xdr:colOff>
                <xdr:row>256</xdr:row>
                <xdr:rowOff>76200</xdr:rowOff>
              </to>
            </anchor>
          </controlPr>
        </control>
      </mc:Choice>
      <mc:Fallback>
        <control shapeId="12424" r:id="rId400" name="Control 136"/>
      </mc:Fallback>
    </mc:AlternateContent>
    <mc:AlternateContent xmlns:mc="http://schemas.openxmlformats.org/markup-compatibility/2006">
      <mc:Choice Requires="x14">
        <control shapeId="12423" r:id="rId401" name="Control 135">
          <controlPr defaultSize="0" r:id="rId335">
            <anchor moveWithCells="1">
              <from>
                <xdr:col>1</xdr:col>
                <xdr:colOff>0</xdr:colOff>
                <xdr:row>254</xdr:row>
                <xdr:rowOff>0</xdr:rowOff>
              </from>
              <to>
                <xdr:col>1</xdr:col>
                <xdr:colOff>257175</xdr:colOff>
                <xdr:row>255</xdr:row>
                <xdr:rowOff>76200</xdr:rowOff>
              </to>
            </anchor>
          </controlPr>
        </control>
      </mc:Choice>
      <mc:Fallback>
        <control shapeId="12423" r:id="rId401" name="Control 135"/>
      </mc:Fallback>
    </mc:AlternateContent>
    <mc:AlternateContent xmlns:mc="http://schemas.openxmlformats.org/markup-compatibility/2006">
      <mc:Choice Requires="x14">
        <control shapeId="12422" r:id="rId402" name="Control 134">
          <controlPr defaultSize="0" r:id="rId335">
            <anchor moveWithCells="1">
              <from>
                <xdr:col>1</xdr:col>
                <xdr:colOff>0</xdr:colOff>
                <xdr:row>253</xdr:row>
                <xdr:rowOff>0</xdr:rowOff>
              </from>
              <to>
                <xdr:col>1</xdr:col>
                <xdr:colOff>257175</xdr:colOff>
                <xdr:row>254</xdr:row>
                <xdr:rowOff>76200</xdr:rowOff>
              </to>
            </anchor>
          </controlPr>
        </control>
      </mc:Choice>
      <mc:Fallback>
        <control shapeId="12422" r:id="rId402" name="Control 134"/>
      </mc:Fallback>
    </mc:AlternateContent>
    <mc:AlternateContent xmlns:mc="http://schemas.openxmlformats.org/markup-compatibility/2006">
      <mc:Choice Requires="x14">
        <control shapeId="12421" r:id="rId403" name="Control 133">
          <controlPr defaultSize="0" r:id="rId335">
            <anchor moveWithCells="1">
              <from>
                <xdr:col>1</xdr:col>
                <xdr:colOff>0</xdr:colOff>
                <xdr:row>252</xdr:row>
                <xdr:rowOff>0</xdr:rowOff>
              </from>
              <to>
                <xdr:col>1</xdr:col>
                <xdr:colOff>257175</xdr:colOff>
                <xdr:row>253</xdr:row>
                <xdr:rowOff>76200</xdr:rowOff>
              </to>
            </anchor>
          </controlPr>
        </control>
      </mc:Choice>
      <mc:Fallback>
        <control shapeId="12421" r:id="rId403" name="Control 133"/>
      </mc:Fallback>
    </mc:AlternateContent>
    <mc:AlternateContent xmlns:mc="http://schemas.openxmlformats.org/markup-compatibility/2006">
      <mc:Choice Requires="x14">
        <control shapeId="12420" r:id="rId404" name="Control 132">
          <controlPr defaultSize="0" r:id="rId335">
            <anchor moveWithCells="1">
              <from>
                <xdr:col>1</xdr:col>
                <xdr:colOff>0</xdr:colOff>
                <xdr:row>116</xdr:row>
                <xdr:rowOff>0</xdr:rowOff>
              </from>
              <to>
                <xdr:col>1</xdr:col>
                <xdr:colOff>257175</xdr:colOff>
                <xdr:row>117</xdr:row>
                <xdr:rowOff>76200</xdr:rowOff>
              </to>
            </anchor>
          </controlPr>
        </control>
      </mc:Choice>
      <mc:Fallback>
        <control shapeId="12420" r:id="rId404" name="Control 132"/>
      </mc:Fallback>
    </mc:AlternateContent>
    <mc:AlternateContent xmlns:mc="http://schemas.openxmlformats.org/markup-compatibility/2006">
      <mc:Choice Requires="x14">
        <control shapeId="12419" r:id="rId405" name="Control 131">
          <controlPr defaultSize="0" r:id="rId335">
            <anchor moveWithCells="1">
              <from>
                <xdr:col>1</xdr:col>
                <xdr:colOff>0</xdr:colOff>
                <xdr:row>115</xdr:row>
                <xdr:rowOff>0</xdr:rowOff>
              </from>
              <to>
                <xdr:col>1</xdr:col>
                <xdr:colOff>257175</xdr:colOff>
                <xdr:row>116</xdr:row>
                <xdr:rowOff>76200</xdr:rowOff>
              </to>
            </anchor>
          </controlPr>
        </control>
      </mc:Choice>
      <mc:Fallback>
        <control shapeId="12419" r:id="rId405" name="Control 131"/>
      </mc:Fallback>
    </mc:AlternateContent>
    <mc:AlternateContent xmlns:mc="http://schemas.openxmlformats.org/markup-compatibility/2006">
      <mc:Choice Requires="x14">
        <control shapeId="12418" r:id="rId406" name="Control 130">
          <controlPr defaultSize="0" r:id="rId335">
            <anchor moveWithCells="1">
              <from>
                <xdr:col>1</xdr:col>
                <xdr:colOff>0</xdr:colOff>
                <xdr:row>114</xdr:row>
                <xdr:rowOff>0</xdr:rowOff>
              </from>
              <to>
                <xdr:col>1</xdr:col>
                <xdr:colOff>257175</xdr:colOff>
                <xdr:row>115</xdr:row>
                <xdr:rowOff>76200</xdr:rowOff>
              </to>
            </anchor>
          </controlPr>
        </control>
      </mc:Choice>
      <mc:Fallback>
        <control shapeId="12418" r:id="rId406" name="Control 130"/>
      </mc:Fallback>
    </mc:AlternateContent>
    <mc:AlternateContent xmlns:mc="http://schemas.openxmlformats.org/markup-compatibility/2006">
      <mc:Choice Requires="x14">
        <control shapeId="12417" r:id="rId407" name="Control 129">
          <controlPr defaultSize="0" r:id="rId335">
            <anchor moveWithCells="1">
              <from>
                <xdr:col>1</xdr:col>
                <xdr:colOff>0</xdr:colOff>
                <xdr:row>113</xdr:row>
                <xdr:rowOff>0</xdr:rowOff>
              </from>
              <to>
                <xdr:col>1</xdr:col>
                <xdr:colOff>257175</xdr:colOff>
                <xdr:row>114</xdr:row>
                <xdr:rowOff>76200</xdr:rowOff>
              </to>
            </anchor>
          </controlPr>
        </control>
      </mc:Choice>
      <mc:Fallback>
        <control shapeId="12417" r:id="rId407" name="Control 129"/>
      </mc:Fallback>
    </mc:AlternateContent>
    <mc:AlternateContent xmlns:mc="http://schemas.openxmlformats.org/markup-compatibility/2006">
      <mc:Choice Requires="x14">
        <control shapeId="12416" r:id="rId408" name="Control 128">
          <controlPr defaultSize="0" r:id="rId335">
            <anchor moveWithCells="1">
              <from>
                <xdr:col>1</xdr:col>
                <xdr:colOff>0</xdr:colOff>
                <xdr:row>112</xdr:row>
                <xdr:rowOff>0</xdr:rowOff>
              </from>
              <to>
                <xdr:col>1</xdr:col>
                <xdr:colOff>257175</xdr:colOff>
                <xdr:row>113</xdr:row>
                <xdr:rowOff>76200</xdr:rowOff>
              </to>
            </anchor>
          </controlPr>
        </control>
      </mc:Choice>
      <mc:Fallback>
        <control shapeId="12416" r:id="rId408" name="Control 128"/>
      </mc:Fallback>
    </mc:AlternateContent>
    <mc:AlternateContent xmlns:mc="http://schemas.openxmlformats.org/markup-compatibility/2006">
      <mc:Choice Requires="x14">
        <control shapeId="12415" r:id="rId409" name="Control 127">
          <controlPr defaultSize="0" r:id="rId335">
            <anchor moveWithCells="1">
              <from>
                <xdr:col>1</xdr:col>
                <xdr:colOff>0</xdr:colOff>
                <xdr:row>75</xdr:row>
                <xdr:rowOff>0</xdr:rowOff>
              </from>
              <to>
                <xdr:col>1</xdr:col>
                <xdr:colOff>257175</xdr:colOff>
                <xdr:row>76</xdr:row>
                <xdr:rowOff>76200</xdr:rowOff>
              </to>
            </anchor>
          </controlPr>
        </control>
      </mc:Choice>
      <mc:Fallback>
        <control shapeId="12415" r:id="rId409" name="Control 127"/>
      </mc:Fallback>
    </mc:AlternateContent>
    <mc:AlternateContent xmlns:mc="http://schemas.openxmlformats.org/markup-compatibility/2006">
      <mc:Choice Requires="x14">
        <control shapeId="12414" r:id="rId410" name="Control 126">
          <controlPr defaultSize="0" r:id="rId335">
            <anchor moveWithCells="1">
              <from>
                <xdr:col>1</xdr:col>
                <xdr:colOff>0</xdr:colOff>
                <xdr:row>74</xdr:row>
                <xdr:rowOff>0</xdr:rowOff>
              </from>
              <to>
                <xdr:col>1</xdr:col>
                <xdr:colOff>257175</xdr:colOff>
                <xdr:row>75</xdr:row>
                <xdr:rowOff>76200</xdr:rowOff>
              </to>
            </anchor>
          </controlPr>
        </control>
      </mc:Choice>
      <mc:Fallback>
        <control shapeId="12414" r:id="rId410" name="Control 126"/>
      </mc:Fallback>
    </mc:AlternateContent>
    <mc:AlternateContent xmlns:mc="http://schemas.openxmlformats.org/markup-compatibility/2006">
      <mc:Choice Requires="x14">
        <control shapeId="12413" r:id="rId411" name="Control 125">
          <controlPr defaultSize="0" r:id="rId335">
            <anchor moveWithCells="1">
              <from>
                <xdr:col>1</xdr:col>
                <xdr:colOff>0</xdr:colOff>
                <xdr:row>73</xdr:row>
                <xdr:rowOff>0</xdr:rowOff>
              </from>
              <to>
                <xdr:col>1</xdr:col>
                <xdr:colOff>257175</xdr:colOff>
                <xdr:row>74</xdr:row>
                <xdr:rowOff>76200</xdr:rowOff>
              </to>
            </anchor>
          </controlPr>
        </control>
      </mc:Choice>
      <mc:Fallback>
        <control shapeId="12413" r:id="rId411" name="Control 125"/>
      </mc:Fallback>
    </mc:AlternateContent>
    <mc:AlternateContent xmlns:mc="http://schemas.openxmlformats.org/markup-compatibility/2006">
      <mc:Choice Requires="x14">
        <control shapeId="12412" r:id="rId412" name="Control 124">
          <controlPr defaultSize="0" r:id="rId335">
            <anchor moveWithCells="1">
              <from>
                <xdr:col>1</xdr:col>
                <xdr:colOff>0</xdr:colOff>
                <xdr:row>72</xdr:row>
                <xdr:rowOff>0</xdr:rowOff>
              </from>
              <to>
                <xdr:col>1</xdr:col>
                <xdr:colOff>257175</xdr:colOff>
                <xdr:row>73</xdr:row>
                <xdr:rowOff>76200</xdr:rowOff>
              </to>
            </anchor>
          </controlPr>
        </control>
      </mc:Choice>
      <mc:Fallback>
        <control shapeId="12412" r:id="rId412" name="Control 124"/>
      </mc:Fallback>
    </mc:AlternateContent>
    <mc:AlternateContent xmlns:mc="http://schemas.openxmlformats.org/markup-compatibility/2006">
      <mc:Choice Requires="x14">
        <control shapeId="12411" r:id="rId413" name="Control 123">
          <controlPr defaultSize="0" r:id="rId335">
            <anchor moveWithCells="1">
              <from>
                <xdr:col>1</xdr:col>
                <xdr:colOff>0</xdr:colOff>
                <xdr:row>71</xdr:row>
                <xdr:rowOff>0</xdr:rowOff>
              </from>
              <to>
                <xdr:col>1</xdr:col>
                <xdr:colOff>257175</xdr:colOff>
                <xdr:row>72</xdr:row>
                <xdr:rowOff>76200</xdr:rowOff>
              </to>
            </anchor>
          </controlPr>
        </control>
      </mc:Choice>
      <mc:Fallback>
        <control shapeId="12411" r:id="rId413" name="Control 123"/>
      </mc:Fallback>
    </mc:AlternateContent>
    <mc:AlternateContent xmlns:mc="http://schemas.openxmlformats.org/markup-compatibility/2006">
      <mc:Choice Requires="x14">
        <control shapeId="12410" r:id="rId414" name="Control 122">
          <controlPr defaultSize="0" r:id="rId335">
            <anchor moveWithCells="1">
              <from>
                <xdr:col>1</xdr:col>
                <xdr:colOff>0</xdr:colOff>
                <xdr:row>70</xdr:row>
                <xdr:rowOff>0</xdr:rowOff>
              </from>
              <to>
                <xdr:col>1</xdr:col>
                <xdr:colOff>257175</xdr:colOff>
                <xdr:row>71</xdr:row>
                <xdr:rowOff>76200</xdr:rowOff>
              </to>
            </anchor>
          </controlPr>
        </control>
      </mc:Choice>
      <mc:Fallback>
        <control shapeId="12410" r:id="rId414" name="Control 122"/>
      </mc:Fallback>
    </mc:AlternateContent>
    <mc:AlternateContent xmlns:mc="http://schemas.openxmlformats.org/markup-compatibility/2006">
      <mc:Choice Requires="x14">
        <control shapeId="12409" r:id="rId415" name="Control 121">
          <controlPr defaultSize="0" r:id="rId335">
            <anchor moveWithCells="1">
              <from>
                <xdr:col>1</xdr:col>
                <xdr:colOff>0</xdr:colOff>
                <xdr:row>90</xdr:row>
                <xdr:rowOff>0</xdr:rowOff>
              </from>
              <to>
                <xdr:col>1</xdr:col>
                <xdr:colOff>257175</xdr:colOff>
                <xdr:row>91</xdr:row>
                <xdr:rowOff>76200</xdr:rowOff>
              </to>
            </anchor>
          </controlPr>
        </control>
      </mc:Choice>
      <mc:Fallback>
        <control shapeId="12409" r:id="rId415" name="Control 121"/>
      </mc:Fallback>
    </mc:AlternateContent>
    <mc:AlternateContent xmlns:mc="http://schemas.openxmlformats.org/markup-compatibility/2006">
      <mc:Choice Requires="x14">
        <control shapeId="12408" r:id="rId416" name="Control 120">
          <controlPr defaultSize="0" r:id="rId335">
            <anchor moveWithCells="1">
              <from>
                <xdr:col>1</xdr:col>
                <xdr:colOff>0</xdr:colOff>
                <xdr:row>89</xdr:row>
                <xdr:rowOff>0</xdr:rowOff>
              </from>
              <to>
                <xdr:col>1</xdr:col>
                <xdr:colOff>257175</xdr:colOff>
                <xdr:row>90</xdr:row>
                <xdr:rowOff>76200</xdr:rowOff>
              </to>
            </anchor>
          </controlPr>
        </control>
      </mc:Choice>
      <mc:Fallback>
        <control shapeId="12408" r:id="rId416" name="Control 120"/>
      </mc:Fallback>
    </mc:AlternateContent>
    <mc:AlternateContent xmlns:mc="http://schemas.openxmlformats.org/markup-compatibility/2006">
      <mc:Choice Requires="x14">
        <control shapeId="12407" r:id="rId417" name="Control 119">
          <controlPr defaultSize="0" r:id="rId335">
            <anchor moveWithCells="1">
              <from>
                <xdr:col>1</xdr:col>
                <xdr:colOff>0</xdr:colOff>
                <xdr:row>88</xdr:row>
                <xdr:rowOff>0</xdr:rowOff>
              </from>
              <to>
                <xdr:col>1</xdr:col>
                <xdr:colOff>257175</xdr:colOff>
                <xdr:row>89</xdr:row>
                <xdr:rowOff>76200</xdr:rowOff>
              </to>
            </anchor>
          </controlPr>
        </control>
      </mc:Choice>
      <mc:Fallback>
        <control shapeId="12407" r:id="rId417" name="Control 119"/>
      </mc:Fallback>
    </mc:AlternateContent>
    <mc:AlternateContent xmlns:mc="http://schemas.openxmlformats.org/markup-compatibility/2006">
      <mc:Choice Requires="x14">
        <control shapeId="12406" r:id="rId418" name="Control 118">
          <controlPr defaultSize="0" r:id="rId335">
            <anchor moveWithCells="1">
              <from>
                <xdr:col>1</xdr:col>
                <xdr:colOff>0</xdr:colOff>
                <xdr:row>87</xdr:row>
                <xdr:rowOff>0</xdr:rowOff>
              </from>
              <to>
                <xdr:col>1</xdr:col>
                <xdr:colOff>257175</xdr:colOff>
                <xdr:row>88</xdr:row>
                <xdr:rowOff>76200</xdr:rowOff>
              </to>
            </anchor>
          </controlPr>
        </control>
      </mc:Choice>
      <mc:Fallback>
        <control shapeId="12406" r:id="rId418" name="Control 118"/>
      </mc:Fallback>
    </mc:AlternateContent>
    <mc:AlternateContent xmlns:mc="http://schemas.openxmlformats.org/markup-compatibility/2006">
      <mc:Choice Requires="x14">
        <control shapeId="12405" r:id="rId419" name="Control 117">
          <controlPr defaultSize="0" r:id="rId335">
            <anchor moveWithCells="1">
              <from>
                <xdr:col>1</xdr:col>
                <xdr:colOff>0</xdr:colOff>
                <xdr:row>86</xdr:row>
                <xdr:rowOff>0</xdr:rowOff>
              </from>
              <to>
                <xdr:col>1</xdr:col>
                <xdr:colOff>257175</xdr:colOff>
                <xdr:row>87</xdr:row>
                <xdr:rowOff>76200</xdr:rowOff>
              </to>
            </anchor>
          </controlPr>
        </control>
      </mc:Choice>
      <mc:Fallback>
        <control shapeId="12405" r:id="rId419" name="Control 117"/>
      </mc:Fallback>
    </mc:AlternateContent>
    <mc:AlternateContent xmlns:mc="http://schemas.openxmlformats.org/markup-compatibility/2006">
      <mc:Choice Requires="x14">
        <control shapeId="12404" r:id="rId420" name="Control 116">
          <controlPr defaultSize="0" r:id="rId335">
            <anchor moveWithCells="1">
              <from>
                <xdr:col>1</xdr:col>
                <xdr:colOff>0</xdr:colOff>
                <xdr:row>85</xdr:row>
                <xdr:rowOff>0</xdr:rowOff>
              </from>
              <to>
                <xdr:col>1</xdr:col>
                <xdr:colOff>257175</xdr:colOff>
                <xdr:row>86</xdr:row>
                <xdr:rowOff>76200</xdr:rowOff>
              </to>
            </anchor>
          </controlPr>
        </control>
      </mc:Choice>
      <mc:Fallback>
        <control shapeId="12404" r:id="rId420" name="Control 116"/>
      </mc:Fallback>
    </mc:AlternateContent>
    <mc:AlternateContent xmlns:mc="http://schemas.openxmlformats.org/markup-compatibility/2006">
      <mc:Choice Requires="x14">
        <control shapeId="12403" r:id="rId421" name="Control 115">
          <controlPr defaultSize="0" r:id="rId335">
            <anchor moveWithCells="1">
              <from>
                <xdr:col>1</xdr:col>
                <xdr:colOff>0</xdr:colOff>
                <xdr:row>84</xdr:row>
                <xdr:rowOff>0</xdr:rowOff>
              </from>
              <to>
                <xdr:col>1</xdr:col>
                <xdr:colOff>257175</xdr:colOff>
                <xdr:row>85</xdr:row>
                <xdr:rowOff>76200</xdr:rowOff>
              </to>
            </anchor>
          </controlPr>
        </control>
      </mc:Choice>
      <mc:Fallback>
        <control shapeId="12403" r:id="rId421" name="Control 115"/>
      </mc:Fallback>
    </mc:AlternateContent>
    <mc:AlternateContent xmlns:mc="http://schemas.openxmlformats.org/markup-compatibility/2006">
      <mc:Choice Requires="x14">
        <control shapeId="12402" r:id="rId422" name="Control 114">
          <controlPr defaultSize="0" r:id="rId335">
            <anchor moveWithCells="1">
              <from>
                <xdr:col>1</xdr:col>
                <xdr:colOff>0</xdr:colOff>
                <xdr:row>83</xdr:row>
                <xdr:rowOff>0</xdr:rowOff>
              </from>
              <to>
                <xdr:col>1</xdr:col>
                <xdr:colOff>257175</xdr:colOff>
                <xdr:row>84</xdr:row>
                <xdr:rowOff>76200</xdr:rowOff>
              </to>
            </anchor>
          </controlPr>
        </control>
      </mc:Choice>
      <mc:Fallback>
        <control shapeId="12402" r:id="rId422" name="Control 114"/>
      </mc:Fallback>
    </mc:AlternateContent>
    <mc:AlternateContent xmlns:mc="http://schemas.openxmlformats.org/markup-compatibility/2006">
      <mc:Choice Requires="x14">
        <control shapeId="12401" r:id="rId423" name="Control 113">
          <controlPr defaultSize="0" r:id="rId335">
            <anchor moveWithCells="1">
              <from>
                <xdr:col>1</xdr:col>
                <xdr:colOff>0</xdr:colOff>
                <xdr:row>82</xdr:row>
                <xdr:rowOff>0</xdr:rowOff>
              </from>
              <to>
                <xdr:col>1</xdr:col>
                <xdr:colOff>257175</xdr:colOff>
                <xdr:row>83</xdr:row>
                <xdr:rowOff>76200</xdr:rowOff>
              </to>
            </anchor>
          </controlPr>
        </control>
      </mc:Choice>
      <mc:Fallback>
        <control shapeId="12401" r:id="rId423" name="Control 113"/>
      </mc:Fallback>
    </mc:AlternateContent>
    <mc:AlternateContent xmlns:mc="http://schemas.openxmlformats.org/markup-compatibility/2006">
      <mc:Choice Requires="x14">
        <control shapeId="12400" r:id="rId424" name="Control 112">
          <controlPr defaultSize="0" r:id="rId335">
            <anchor moveWithCells="1">
              <from>
                <xdr:col>1</xdr:col>
                <xdr:colOff>0</xdr:colOff>
                <xdr:row>81</xdr:row>
                <xdr:rowOff>0</xdr:rowOff>
              </from>
              <to>
                <xdr:col>1</xdr:col>
                <xdr:colOff>257175</xdr:colOff>
                <xdr:row>82</xdr:row>
                <xdr:rowOff>76200</xdr:rowOff>
              </to>
            </anchor>
          </controlPr>
        </control>
      </mc:Choice>
      <mc:Fallback>
        <control shapeId="12400" r:id="rId424" name="Control 112"/>
      </mc:Fallback>
    </mc:AlternateContent>
    <mc:AlternateContent xmlns:mc="http://schemas.openxmlformats.org/markup-compatibility/2006">
      <mc:Choice Requires="x14">
        <control shapeId="12399" r:id="rId425" name="Control 111">
          <controlPr defaultSize="0" r:id="rId335">
            <anchor moveWithCells="1">
              <from>
                <xdr:col>1</xdr:col>
                <xdr:colOff>0</xdr:colOff>
                <xdr:row>80</xdr:row>
                <xdr:rowOff>0</xdr:rowOff>
              </from>
              <to>
                <xdr:col>1</xdr:col>
                <xdr:colOff>257175</xdr:colOff>
                <xdr:row>81</xdr:row>
                <xdr:rowOff>76200</xdr:rowOff>
              </to>
            </anchor>
          </controlPr>
        </control>
      </mc:Choice>
      <mc:Fallback>
        <control shapeId="12399" r:id="rId425" name="Control 111"/>
      </mc:Fallback>
    </mc:AlternateContent>
    <mc:AlternateContent xmlns:mc="http://schemas.openxmlformats.org/markup-compatibility/2006">
      <mc:Choice Requires="x14">
        <control shapeId="12398" r:id="rId426" name="Control 110">
          <controlPr defaultSize="0" r:id="rId335">
            <anchor moveWithCells="1">
              <from>
                <xdr:col>1</xdr:col>
                <xdr:colOff>0</xdr:colOff>
                <xdr:row>79</xdr:row>
                <xdr:rowOff>0</xdr:rowOff>
              </from>
              <to>
                <xdr:col>1</xdr:col>
                <xdr:colOff>257175</xdr:colOff>
                <xdr:row>80</xdr:row>
                <xdr:rowOff>76200</xdr:rowOff>
              </to>
            </anchor>
          </controlPr>
        </control>
      </mc:Choice>
      <mc:Fallback>
        <control shapeId="12398" r:id="rId426" name="Control 110"/>
      </mc:Fallback>
    </mc:AlternateContent>
    <mc:AlternateContent xmlns:mc="http://schemas.openxmlformats.org/markup-compatibility/2006">
      <mc:Choice Requires="x14">
        <control shapeId="12397" r:id="rId427" name="Control 109">
          <controlPr defaultSize="0" r:id="rId335">
            <anchor moveWithCells="1">
              <from>
                <xdr:col>1</xdr:col>
                <xdr:colOff>0</xdr:colOff>
                <xdr:row>107</xdr:row>
                <xdr:rowOff>0</xdr:rowOff>
              </from>
              <to>
                <xdr:col>1</xdr:col>
                <xdr:colOff>257175</xdr:colOff>
                <xdr:row>108</xdr:row>
                <xdr:rowOff>76200</xdr:rowOff>
              </to>
            </anchor>
          </controlPr>
        </control>
      </mc:Choice>
      <mc:Fallback>
        <control shapeId="12397" r:id="rId427" name="Control 109"/>
      </mc:Fallback>
    </mc:AlternateContent>
    <mc:AlternateContent xmlns:mc="http://schemas.openxmlformats.org/markup-compatibility/2006">
      <mc:Choice Requires="x14">
        <control shapeId="12396" r:id="rId428" name="Control 108">
          <controlPr defaultSize="0" r:id="rId335">
            <anchor moveWithCells="1">
              <from>
                <xdr:col>1</xdr:col>
                <xdr:colOff>0</xdr:colOff>
                <xdr:row>106</xdr:row>
                <xdr:rowOff>0</xdr:rowOff>
              </from>
              <to>
                <xdr:col>1</xdr:col>
                <xdr:colOff>257175</xdr:colOff>
                <xdr:row>107</xdr:row>
                <xdr:rowOff>76200</xdr:rowOff>
              </to>
            </anchor>
          </controlPr>
        </control>
      </mc:Choice>
      <mc:Fallback>
        <control shapeId="12396" r:id="rId428" name="Control 108"/>
      </mc:Fallback>
    </mc:AlternateContent>
    <mc:AlternateContent xmlns:mc="http://schemas.openxmlformats.org/markup-compatibility/2006">
      <mc:Choice Requires="x14">
        <control shapeId="12395" r:id="rId429" name="Control 107">
          <controlPr defaultSize="0" r:id="rId335">
            <anchor moveWithCells="1">
              <from>
                <xdr:col>1</xdr:col>
                <xdr:colOff>0</xdr:colOff>
                <xdr:row>105</xdr:row>
                <xdr:rowOff>0</xdr:rowOff>
              </from>
              <to>
                <xdr:col>1</xdr:col>
                <xdr:colOff>257175</xdr:colOff>
                <xdr:row>106</xdr:row>
                <xdr:rowOff>76200</xdr:rowOff>
              </to>
            </anchor>
          </controlPr>
        </control>
      </mc:Choice>
      <mc:Fallback>
        <control shapeId="12395" r:id="rId429" name="Control 107"/>
      </mc:Fallback>
    </mc:AlternateContent>
    <mc:AlternateContent xmlns:mc="http://schemas.openxmlformats.org/markup-compatibility/2006">
      <mc:Choice Requires="x14">
        <control shapeId="12394" r:id="rId430" name="Control 106">
          <controlPr defaultSize="0" r:id="rId335">
            <anchor moveWithCells="1">
              <from>
                <xdr:col>1</xdr:col>
                <xdr:colOff>0</xdr:colOff>
                <xdr:row>104</xdr:row>
                <xdr:rowOff>0</xdr:rowOff>
              </from>
              <to>
                <xdr:col>1</xdr:col>
                <xdr:colOff>257175</xdr:colOff>
                <xdr:row>105</xdr:row>
                <xdr:rowOff>76200</xdr:rowOff>
              </to>
            </anchor>
          </controlPr>
        </control>
      </mc:Choice>
      <mc:Fallback>
        <control shapeId="12394" r:id="rId430" name="Control 106"/>
      </mc:Fallback>
    </mc:AlternateContent>
    <mc:AlternateContent xmlns:mc="http://schemas.openxmlformats.org/markup-compatibility/2006">
      <mc:Choice Requires="x14">
        <control shapeId="12393" r:id="rId431" name="Control 105">
          <controlPr defaultSize="0" r:id="rId335">
            <anchor moveWithCells="1">
              <from>
                <xdr:col>1</xdr:col>
                <xdr:colOff>0</xdr:colOff>
                <xdr:row>126</xdr:row>
                <xdr:rowOff>0</xdr:rowOff>
              </from>
              <to>
                <xdr:col>1</xdr:col>
                <xdr:colOff>257175</xdr:colOff>
                <xdr:row>127</xdr:row>
                <xdr:rowOff>76200</xdr:rowOff>
              </to>
            </anchor>
          </controlPr>
        </control>
      </mc:Choice>
      <mc:Fallback>
        <control shapeId="12393" r:id="rId431" name="Control 105"/>
      </mc:Fallback>
    </mc:AlternateContent>
    <mc:AlternateContent xmlns:mc="http://schemas.openxmlformats.org/markup-compatibility/2006">
      <mc:Choice Requires="x14">
        <control shapeId="12392" r:id="rId432" name="Control 104">
          <controlPr defaultSize="0" r:id="rId335">
            <anchor moveWithCells="1">
              <from>
                <xdr:col>1</xdr:col>
                <xdr:colOff>0</xdr:colOff>
                <xdr:row>125</xdr:row>
                <xdr:rowOff>0</xdr:rowOff>
              </from>
              <to>
                <xdr:col>1</xdr:col>
                <xdr:colOff>257175</xdr:colOff>
                <xdr:row>126</xdr:row>
                <xdr:rowOff>76200</xdr:rowOff>
              </to>
            </anchor>
          </controlPr>
        </control>
      </mc:Choice>
      <mc:Fallback>
        <control shapeId="12392" r:id="rId432" name="Control 104"/>
      </mc:Fallback>
    </mc:AlternateContent>
    <mc:AlternateContent xmlns:mc="http://schemas.openxmlformats.org/markup-compatibility/2006">
      <mc:Choice Requires="x14">
        <control shapeId="12391" r:id="rId433" name="Control 103">
          <controlPr defaultSize="0" r:id="rId335">
            <anchor moveWithCells="1">
              <from>
                <xdr:col>1</xdr:col>
                <xdr:colOff>0</xdr:colOff>
                <xdr:row>124</xdr:row>
                <xdr:rowOff>0</xdr:rowOff>
              </from>
              <to>
                <xdr:col>1</xdr:col>
                <xdr:colOff>257175</xdr:colOff>
                <xdr:row>125</xdr:row>
                <xdr:rowOff>76200</xdr:rowOff>
              </to>
            </anchor>
          </controlPr>
        </control>
      </mc:Choice>
      <mc:Fallback>
        <control shapeId="12391" r:id="rId433" name="Control 103"/>
      </mc:Fallback>
    </mc:AlternateContent>
    <mc:AlternateContent xmlns:mc="http://schemas.openxmlformats.org/markup-compatibility/2006">
      <mc:Choice Requires="x14">
        <control shapeId="12390" r:id="rId434" name="Control 102">
          <controlPr defaultSize="0" r:id="rId335">
            <anchor moveWithCells="1">
              <from>
                <xdr:col>1</xdr:col>
                <xdr:colOff>0</xdr:colOff>
                <xdr:row>123</xdr:row>
                <xdr:rowOff>0</xdr:rowOff>
              </from>
              <to>
                <xdr:col>1</xdr:col>
                <xdr:colOff>257175</xdr:colOff>
                <xdr:row>124</xdr:row>
                <xdr:rowOff>76200</xdr:rowOff>
              </to>
            </anchor>
          </controlPr>
        </control>
      </mc:Choice>
      <mc:Fallback>
        <control shapeId="12390" r:id="rId434" name="Control 102"/>
      </mc:Fallback>
    </mc:AlternateContent>
    <mc:AlternateContent xmlns:mc="http://schemas.openxmlformats.org/markup-compatibility/2006">
      <mc:Choice Requires="x14">
        <control shapeId="12389" r:id="rId435" name="Control 101">
          <controlPr defaultSize="0" r:id="rId335">
            <anchor moveWithCells="1">
              <from>
                <xdr:col>1</xdr:col>
                <xdr:colOff>0</xdr:colOff>
                <xdr:row>122</xdr:row>
                <xdr:rowOff>0</xdr:rowOff>
              </from>
              <to>
                <xdr:col>1</xdr:col>
                <xdr:colOff>257175</xdr:colOff>
                <xdr:row>123</xdr:row>
                <xdr:rowOff>76200</xdr:rowOff>
              </to>
            </anchor>
          </controlPr>
        </control>
      </mc:Choice>
      <mc:Fallback>
        <control shapeId="12389" r:id="rId435" name="Control 101"/>
      </mc:Fallback>
    </mc:AlternateContent>
    <mc:AlternateContent xmlns:mc="http://schemas.openxmlformats.org/markup-compatibility/2006">
      <mc:Choice Requires="x14">
        <control shapeId="12388" r:id="rId436" name="Control 100">
          <controlPr defaultSize="0" r:id="rId335">
            <anchor moveWithCells="1">
              <from>
                <xdr:col>1</xdr:col>
                <xdr:colOff>0</xdr:colOff>
                <xdr:row>121</xdr:row>
                <xdr:rowOff>0</xdr:rowOff>
              </from>
              <to>
                <xdr:col>1</xdr:col>
                <xdr:colOff>257175</xdr:colOff>
                <xdr:row>122</xdr:row>
                <xdr:rowOff>76200</xdr:rowOff>
              </to>
            </anchor>
          </controlPr>
        </control>
      </mc:Choice>
      <mc:Fallback>
        <control shapeId="12388" r:id="rId436" name="Control 100"/>
      </mc:Fallback>
    </mc:AlternateContent>
    <mc:AlternateContent xmlns:mc="http://schemas.openxmlformats.org/markup-compatibility/2006">
      <mc:Choice Requires="x14">
        <control shapeId="12387" r:id="rId437" name="Control 99">
          <controlPr defaultSize="0" r:id="rId335">
            <anchor moveWithCells="1">
              <from>
                <xdr:col>1</xdr:col>
                <xdr:colOff>0</xdr:colOff>
                <xdr:row>120</xdr:row>
                <xdr:rowOff>0</xdr:rowOff>
              </from>
              <to>
                <xdr:col>1</xdr:col>
                <xdr:colOff>257175</xdr:colOff>
                <xdr:row>121</xdr:row>
                <xdr:rowOff>76200</xdr:rowOff>
              </to>
            </anchor>
          </controlPr>
        </control>
      </mc:Choice>
      <mc:Fallback>
        <control shapeId="12387" r:id="rId437" name="Control 99"/>
      </mc:Fallback>
    </mc:AlternateContent>
    <mc:AlternateContent xmlns:mc="http://schemas.openxmlformats.org/markup-compatibility/2006">
      <mc:Choice Requires="x14">
        <control shapeId="12386" r:id="rId438" name="Control 98">
          <controlPr defaultSize="0" r:id="rId335">
            <anchor moveWithCells="1">
              <from>
                <xdr:col>1</xdr:col>
                <xdr:colOff>0</xdr:colOff>
                <xdr:row>246</xdr:row>
                <xdr:rowOff>0</xdr:rowOff>
              </from>
              <to>
                <xdr:col>1</xdr:col>
                <xdr:colOff>257175</xdr:colOff>
                <xdr:row>247</xdr:row>
                <xdr:rowOff>76200</xdr:rowOff>
              </to>
            </anchor>
          </controlPr>
        </control>
      </mc:Choice>
      <mc:Fallback>
        <control shapeId="12386" r:id="rId438" name="Control 98"/>
      </mc:Fallback>
    </mc:AlternateContent>
    <mc:AlternateContent xmlns:mc="http://schemas.openxmlformats.org/markup-compatibility/2006">
      <mc:Choice Requires="x14">
        <control shapeId="12385" r:id="rId439" name="Control 97">
          <controlPr defaultSize="0" r:id="rId335">
            <anchor moveWithCells="1">
              <from>
                <xdr:col>1</xdr:col>
                <xdr:colOff>0</xdr:colOff>
                <xdr:row>245</xdr:row>
                <xdr:rowOff>0</xdr:rowOff>
              </from>
              <to>
                <xdr:col>1</xdr:col>
                <xdr:colOff>257175</xdr:colOff>
                <xdr:row>246</xdr:row>
                <xdr:rowOff>76200</xdr:rowOff>
              </to>
            </anchor>
          </controlPr>
        </control>
      </mc:Choice>
      <mc:Fallback>
        <control shapeId="12385" r:id="rId439" name="Control 97"/>
      </mc:Fallback>
    </mc:AlternateContent>
    <mc:AlternateContent xmlns:mc="http://schemas.openxmlformats.org/markup-compatibility/2006">
      <mc:Choice Requires="x14">
        <control shapeId="12384" r:id="rId440" name="Control 96">
          <controlPr defaultSize="0" r:id="rId335">
            <anchor moveWithCells="1">
              <from>
                <xdr:col>1</xdr:col>
                <xdr:colOff>0</xdr:colOff>
                <xdr:row>244</xdr:row>
                <xdr:rowOff>0</xdr:rowOff>
              </from>
              <to>
                <xdr:col>1</xdr:col>
                <xdr:colOff>257175</xdr:colOff>
                <xdr:row>245</xdr:row>
                <xdr:rowOff>76200</xdr:rowOff>
              </to>
            </anchor>
          </controlPr>
        </control>
      </mc:Choice>
      <mc:Fallback>
        <control shapeId="12384" r:id="rId440" name="Control 96"/>
      </mc:Fallback>
    </mc:AlternateContent>
    <mc:AlternateContent xmlns:mc="http://schemas.openxmlformats.org/markup-compatibility/2006">
      <mc:Choice Requires="x14">
        <control shapeId="12383" r:id="rId441" name="Control 95">
          <controlPr defaultSize="0" r:id="rId335">
            <anchor moveWithCells="1">
              <from>
                <xdr:col>1</xdr:col>
                <xdr:colOff>0</xdr:colOff>
                <xdr:row>211</xdr:row>
                <xdr:rowOff>0</xdr:rowOff>
              </from>
              <to>
                <xdr:col>1</xdr:col>
                <xdr:colOff>257175</xdr:colOff>
                <xdr:row>212</xdr:row>
                <xdr:rowOff>76200</xdr:rowOff>
              </to>
            </anchor>
          </controlPr>
        </control>
      </mc:Choice>
      <mc:Fallback>
        <control shapeId="12383" r:id="rId441" name="Control 95"/>
      </mc:Fallback>
    </mc:AlternateContent>
    <mc:AlternateContent xmlns:mc="http://schemas.openxmlformats.org/markup-compatibility/2006">
      <mc:Choice Requires="x14">
        <control shapeId="12382" r:id="rId442" name="Control 94">
          <controlPr defaultSize="0" r:id="rId335">
            <anchor moveWithCells="1">
              <from>
                <xdr:col>1</xdr:col>
                <xdr:colOff>0</xdr:colOff>
                <xdr:row>210</xdr:row>
                <xdr:rowOff>0</xdr:rowOff>
              </from>
              <to>
                <xdr:col>1</xdr:col>
                <xdr:colOff>257175</xdr:colOff>
                <xdr:row>211</xdr:row>
                <xdr:rowOff>76200</xdr:rowOff>
              </to>
            </anchor>
          </controlPr>
        </control>
      </mc:Choice>
      <mc:Fallback>
        <control shapeId="12382" r:id="rId442" name="Control 94"/>
      </mc:Fallback>
    </mc:AlternateContent>
    <mc:AlternateContent xmlns:mc="http://schemas.openxmlformats.org/markup-compatibility/2006">
      <mc:Choice Requires="x14">
        <control shapeId="12381" r:id="rId443" name="Control 93">
          <controlPr defaultSize="0" r:id="rId335">
            <anchor moveWithCells="1">
              <from>
                <xdr:col>1</xdr:col>
                <xdr:colOff>0</xdr:colOff>
                <xdr:row>209</xdr:row>
                <xdr:rowOff>0</xdr:rowOff>
              </from>
              <to>
                <xdr:col>1</xdr:col>
                <xdr:colOff>257175</xdr:colOff>
                <xdr:row>210</xdr:row>
                <xdr:rowOff>76200</xdr:rowOff>
              </to>
            </anchor>
          </controlPr>
        </control>
      </mc:Choice>
      <mc:Fallback>
        <control shapeId="12381" r:id="rId443" name="Control 93"/>
      </mc:Fallback>
    </mc:AlternateContent>
    <mc:AlternateContent xmlns:mc="http://schemas.openxmlformats.org/markup-compatibility/2006">
      <mc:Choice Requires="x14">
        <control shapeId="12380" r:id="rId444" name="Control 92">
          <controlPr defaultSize="0" r:id="rId335">
            <anchor moveWithCells="1">
              <from>
                <xdr:col>1</xdr:col>
                <xdr:colOff>0</xdr:colOff>
                <xdr:row>208</xdr:row>
                <xdr:rowOff>0</xdr:rowOff>
              </from>
              <to>
                <xdr:col>1</xdr:col>
                <xdr:colOff>257175</xdr:colOff>
                <xdr:row>209</xdr:row>
                <xdr:rowOff>76200</xdr:rowOff>
              </to>
            </anchor>
          </controlPr>
        </control>
      </mc:Choice>
      <mc:Fallback>
        <control shapeId="12380" r:id="rId444" name="Control 92"/>
      </mc:Fallback>
    </mc:AlternateContent>
    <mc:AlternateContent xmlns:mc="http://schemas.openxmlformats.org/markup-compatibility/2006">
      <mc:Choice Requires="x14">
        <control shapeId="12379" r:id="rId445" name="Control 91">
          <controlPr defaultSize="0" r:id="rId335">
            <anchor moveWithCells="1">
              <from>
                <xdr:col>1</xdr:col>
                <xdr:colOff>0</xdr:colOff>
                <xdr:row>207</xdr:row>
                <xdr:rowOff>0</xdr:rowOff>
              </from>
              <to>
                <xdr:col>1</xdr:col>
                <xdr:colOff>257175</xdr:colOff>
                <xdr:row>208</xdr:row>
                <xdr:rowOff>76200</xdr:rowOff>
              </to>
            </anchor>
          </controlPr>
        </control>
      </mc:Choice>
      <mc:Fallback>
        <control shapeId="12379" r:id="rId445" name="Control 91"/>
      </mc:Fallback>
    </mc:AlternateContent>
    <mc:AlternateContent xmlns:mc="http://schemas.openxmlformats.org/markup-compatibility/2006">
      <mc:Choice Requires="x14">
        <control shapeId="12378" r:id="rId446" name="Control 90">
          <controlPr defaultSize="0" r:id="rId335">
            <anchor moveWithCells="1">
              <from>
                <xdr:col>1</xdr:col>
                <xdr:colOff>0</xdr:colOff>
                <xdr:row>52</xdr:row>
                <xdr:rowOff>0</xdr:rowOff>
              </from>
              <to>
                <xdr:col>1</xdr:col>
                <xdr:colOff>257175</xdr:colOff>
                <xdr:row>53</xdr:row>
                <xdr:rowOff>76200</xdr:rowOff>
              </to>
            </anchor>
          </controlPr>
        </control>
      </mc:Choice>
      <mc:Fallback>
        <control shapeId="12378" r:id="rId446" name="Control 90"/>
      </mc:Fallback>
    </mc:AlternateContent>
    <mc:AlternateContent xmlns:mc="http://schemas.openxmlformats.org/markup-compatibility/2006">
      <mc:Choice Requires="x14">
        <control shapeId="12377" r:id="rId447" name="Control 89">
          <controlPr defaultSize="0" r:id="rId335">
            <anchor moveWithCells="1">
              <from>
                <xdr:col>1</xdr:col>
                <xdr:colOff>0</xdr:colOff>
                <xdr:row>51</xdr:row>
                <xdr:rowOff>0</xdr:rowOff>
              </from>
              <to>
                <xdr:col>1</xdr:col>
                <xdr:colOff>257175</xdr:colOff>
                <xdr:row>52</xdr:row>
                <xdr:rowOff>76200</xdr:rowOff>
              </to>
            </anchor>
          </controlPr>
        </control>
      </mc:Choice>
      <mc:Fallback>
        <control shapeId="12377" r:id="rId447" name="Control 89"/>
      </mc:Fallback>
    </mc:AlternateContent>
    <mc:AlternateContent xmlns:mc="http://schemas.openxmlformats.org/markup-compatibility/2006">
      <mc:Choice Requires="x14">
        <control shapeId="12376" r:id="rId448" name="Control 88">
          <controlPr defaultSize="0" r:id="rId335">
            <anchor moveWithCells="1">
              <from>
                <xdr:col>1</xdr:col>
                <xdr:colOff>0</xdr:colOff>
                <xdr:row>50</xdr:row>
                <xdr:rowOff>0</xdr:rowOff>
              </from>
              <to>
                <xdr:col>1</xdr:col>
                <xdr:colOff>257175</xdr:colOff>
                <xdr:row>51</xdr:row>
                <xdr:rowOff>76200</xdr:rowOff>
              </to>
            </anchor>
          </controlPr>
        </control>
      </mc:Choice>
      <mc:Fallback>
        <control shapeId="12376" r:id="rId448" name="Control 88"/>
      </mc:Fallback>
    </mc:AlternateContent>
    <mc:AlternateContent xmlns:mc="http://schemas.openxmlformats.org/markup-compatibility/2006">
      <mc:Choice Requires="x14">
        <control shapeId="12375" r:id="rId449" name="Control 87">
          <controlPr defaultSize="0" r:id="rId335">
            <anchor moveWithCells="1">
              <from>
                <xdr:col>1</xdr:col>
                <xdr:colOff>0</xdr:colOff>
                <xdr:row>49</xdr:row>
                <xdr:rowOff>0</xdr:rowOff>
              </from>
              <to>
                <xdr:col>1</xdr:col>
                <xdr:colOff>257175</xdr:colOff>
                <xdr:row>50</xdr:row>
                <xdr:rowOff>76200</xdr:rowOff>
              </to>
            </anchor>
          </controlPr>
        </control>
      </mc:Choice>
      <mc:Fallback>
        <control shapeId="12375" r:id="rId449" name="Control 87"/>
      </mc:Fallback>
    </mc:AlternateContent>
    <mc:AlternateContent xmlns:mc="http://schemas.openxmlformats.org/markup-compatibility/2006">
      <mc:Choice Requires="x14">
        <control shapeId="12374" r:id="rId450" name="Control 86">
          <controlPr defaultSize="0" r:id="rId335">
            <anchor moveWithCells="1">
              <from>
                <xdr:col>1</xdr:col>
                <xdr:colOff>0</xdr:colOff>
                <xdr:row>48</xdr:row>
                <xdr:rowOff>0</xdr:rowOff>
              </from>
              <to>
                <xdr:col>1</xdr:col>
                <xdr:colOff>257175</xdr:colOff>
                <xdr:row>49</xdr:row>
                <xdr:rowOff>76200</xdr:rowOff>
              </to>
            </anchor>
          </controlPr>
        </control>
      </mc:Choice>
      <mc:Fallback>
        <control shapeId="12374" r:id="rId450" name="Control 86"/>
      </mc:Fallback>
    </mc:AlternateContent>
    <mc:AlternateContent xmlns:mc="http://schemas.openxmlformats.org/markup-compatibility/2006">
      <mc:Choice Requires="x14">
        <control shapeId="12373" r:id="rId451" name="Control 85">
          <controlPr defaultSize="0" r:id="rId335">
            <anchor moveWithCells="1">
              <from>
                <xdr:col>1</xdr:col>
                <xdr:colOff>0</xdr:colOff>
                <xdr:row>238</xdr:row>
                <xdr:rowOff>0</xdr:rowOff>
              </from>
              <to>
                <xdr:col>1</xdr:col>
                <xdr:colOff>257175</xdr:colOff>
                <xdr:row>239</xdr:row>
                <xdr:rowOff>76200</xdr:rowOff>
              </to>
            </anchor>
          </controlPr>
        </control>
      </mc:Choice>
      <mc:Fallback>
        <control shapeId="12373" r:id="rId451" name="Control 85"/>
      </mc:Fallback>
    </mc:AlternateContent>
    <mc:AlternateContent xmlns:mc="http://schemas.openxmlformats.org/markup-compatibility/2006">
      <mc:Choice Requires="x14">
        <control shapeId="12372" r:id="rId452" name="Control 84">
          <controlPr defaultSize="0" r:id="rId335">
            <anchor moveWithCells="1">
              <from>
                <xdr:col>1</xdr:col>
                <xdr:colOff>0</xdr:colOff>
                <xdr:row>237</xdr:row>
                <xdr:rowOff>0</xdr:rowOff>
              </from>
              <to>
                <xdr:col>1</xdr:col>
                <xdr:colOff>257175</xdr:colOff>
                <xdr:row>238</xdr:row>
                <xdr:rowOff>76200</xdr:rowOff>
              </to>
            </anchor>
          </controlPr>
        </control>
      </mc:Choice>
      <mc:Fallback>
        <control shapeId="12372" r:id="rId452" name="Control 84"/>
      </mc:Fallback>
    </mc:AlternateContent>
    <mc:AlternateContent xmlns:mc="http://schemas.openxmlformats.org/markup-compatibility/2006">
      <mc:Choice Requires="x14">
        <control shapeId="12371" r:id="rId453" name="Control 83">
          <controlPr defaultSize="0" r:id="rId335">
            <anchor moveWithCells="1">
              <from>
                <xdr:col>1</xdr:col>
                <xdr:colOff>0</xdr:colOff>
                <xdr:row>236</xdr:row>
                <xdr:rowOff>0</xdr:rowOff>
              </from>
              <to>
                <xdr:col>1</xdr:col>
                <xdr:colOff>257175</xdr:colOff>
                <xdr:row>237</xdr:row>
                <xdr:rowOff>76200</xdr:rowOff>
              </to>
            </anchor>
          </controlPr>
        </control>
      </mc:Choice>
      <mc:Fallback>
        <control shapeId="12371" r:id="rId453" name="Control 83"/>
      </mc:Fallback>
    </mc:AlternateContent>
    <mc:AlternateContent xmlns:mc="http://schemas.openxmlformats.org/markup-compatibility/2006">
      <mc:Choice Requires="x14">
        <control shapeId="12370" r:id="rId454" name="Control 82">
          <controlPr defaultSize="0" r:id="rId335">
            <anchor moveWithCells="1">
              <from>
                <xdr:col>1</xdr:col>
                <xdr:colOff>0</xdr:colOff>
                <xdr:row>235</xdr:row>
                <xdr:rowOff>0</xdr:rowOff>
              </from>
              <to>
                <xdr:col>1</xdr:col>
                <xdr:colOff>257175</xdr:colOff>
                <xdr:row>236</xdr:row>
                <xdr:rowOff>76200</xdr:rowOff>
              </to>
            </anchor>
          </controlPr>
        </control>
      </mc:Choice>
      <mc:Fallback>
        <control shapeId="12370" r:id="rId454" name="Control 82"/>
      </mc:Fallback>
    </mc:AlternateContent>
    <mc:AlternateContent xmlns:mc="http://schemas.openxmlformats.org/markup-compatibility/2006">
      <mc:Choice Requires="x14">
        <control shapeId="12369" r:id="rId455" name="Control 81">
          <controlPr defaultSize="0" r:id="rId335">
            <anchor moveWithCells="1">
              <from>
                <xdr:col>1</xdr:col>
                <xdr:colOff>0</xdr:colOff>
                <xdr:row>234</xdr:row>
                <xdr:rowOff>0</xdr:rowOff>
              </from>
              <to>
                <xdr:col>1</xdr:col>
                <xdr:colOff>257175</xdr:colOff>
                <xdr:row>235</xdr:row>
                <xdr:rowOff>76200</xdr:rowOff>
              </to>
            </anchor>
          </controlPr>
        </control>
      </mc:Choice>
      <mc:Fallback>
        <control shapeId="12369" r:id="rId455" name="Control 81"/>
      </mc:Fallback>
    </mc:AlternateContent>
    <mc:AlternateContent xmlns:mc="http://schemas.openxmlformats.org/markup-compatibility/2006">
      <mc:Choice Requires="x14">
        <control shapeId="12368" r:id="rId456" name="Control 80">
          <controlPr defaultSize="0" r:id="rId335">
            <anchor moveWithCells="1">
              <from>
                <xdr:col>1</xdr:col>
                <xdr:colOff>0</xdr:colOff>
                <xdr:row>233</xdr:row>
                <xdr:rowOff>0</xdr:rowOff>
              </from>
              <to>
                <xdr:col>1</xdr:col>
                <xdr:colOff>257175</xdr:colOff>
                <xdr:row>234</xdr:row>
                <xdr:rowOff>76200</xdr:rowOff>
              </to>
            </anchor>
          </controlPr>
        </control>
      </mc:Choice>
      <mc:Fallback>
        <control shapeId="12368" r:id="rId456" name="Control 80"/>
      </mc:Fallback>
    </mc:AlternateContent>
    <mc:AlternateContent xmlns:mc="http://schemas.openxmlformats.org/markup-compatibility/2006">
      <mc:Choice Requires="x14">
        <control shapeId="12367" r:id="rId457" name="Control 79">
          <controlPr defaultSize="0" r:id="rId335">
            <anchor moveWithCells="1">
              <from>
                <xdr:col>1</xdr:col>
                <xdr:colOff>0</xdr:colOff>
                <xdr:row>232</xdr:row>
                <xdr:rowOff>0</xdr:rowOff>
              </from>
              <to>
                <xdr:col>1</xdr:col>
                <xdr:colOff>257175</xdr:colOff>
                <xdr:row>233</xdr:row>
                <xdr:rowOff>76200</xdr:rowOff>
              </to>
            </anchor>
          </controlPr>
        </control>
      </mc:Choice>
      <mc:Fallback>
        <control shapeId="12367" r:id="rId457" name="Control 79"/>
      </mc:Fallback>
    </mc:AlternateContent>
    <mc:AlternateContent xmlns:mc="http://schemas.openxmlformats.org/markup-compatibility/2006">
      <mc:Choice Requires="x14">
        <control shapeId="12366" r:id="rId458" name="Control 78">
          <controlPr defaultSize="0" r:id="rId335">
            <anchor moveWithCells="1">
              <from>
                <xdr:col>1</xdr:col>
                <xdr:colOff>0</xdr:colOff>
                <xdr:row>231</xdr:row>
                <xdr:rowOff>0</xdr:rowOff>
              </from>
              <to>
                <xdr:col>1</xdr:col>
                <xdr:colOff>257175</xdr:colOff>
                <xdr:row>232</xdr:row>
                <xdr:rowOff>76200</xdr:rowOff>
              </to>
            </anchor>
          </controlPr>
        </control>
      </mc:Choice>
      <mc:Fallback>
        <control shapeId="12366" r:id="rId458" name="Control 78"/>
      </mc:Fallback>
    </mc:AlternateContent>
    <mc:AlternateContent xmlns:mc="http://schemas.openxmlformats.org/markup-compatibility/2006">
      <mc:Choice Requires="x14">
        <control shapeId="12365" r:id="rId459" name="Control 77">
          <controlPr defaultSize="0" r:id="rId335">
            <anchor moveWithCells="1">
              <from>
                <xdr:col>1</xdr:col>
                <xdr:colOff>0</xdr:colOff>
                <xdr:row>230</xdr:row>
                <xdr:rowOff>0</xdr:rowOff>
              </from>
              <to>
                <xdr:col>1</xdr:col>
                <xdr:colOff>257175</xdr:colOff>
                <xdr:row>231</xdr:row>
                <xdr:rowOff>76200</xdr:rowOff>
              </to>
            </anchor>
          </controlPr>
        </control>
      </mc:Choice>
      <mc:Fallback>
        <control shapeId="12365" r:id="rId459" name="Control 77"/>
      </mc:Fallback>
    </mc:AlternateContent>
    <mc:AlternateContent xmlns:mc="http://schemas.openxmlformats.org/markup-compatibility/2006">
      <mc:Choice Requires="x14">
        <control shapeId="12364" r:id="rId460" name="Control 76">
          <controlPr defaultSize="0" r:id="rId335">
            <anchor moveWithCells="1">
              <from>
                <xdr:col>1</xdr:col>
                <xdr:colOff>0</xdr:colOff>
                <xdr:row>229</xdr:row>
                <xdr:rowOff>0</xdr:rowOff>
              </from>
              <to>
                <xdr:col>1</xdr:col>
                <xdr:colOff>257175</xdr:colOff>
                <xdr:row>230</xdr:row>
                <xdr:rowOff>76200</xdr:rowOff>
              </to>
            </anchor>
          </controlPr>
        </control>
      </mc:Choice>
      <mc:Fallback>
        <control shapeId="12364" r:id="rId460" name="Control 76"/>
      </mc:Fallback>
    </mc:AlternateContent>
    <mc:AlternateContent xmlns:mc="http://schemas.openxmlformats.org/markup-compatibility/2006">
      <mc:Choice Requires="x14">
        <control shapeId="12363" r:id="rId461" name="Control 75">
          <controlPr defaultSize="0" r:id="rId335">
            <anchor moveWithCells="1">
              <from>
                <xdr:col>1</xdr:col>
                <xdr:colOff>0</xdr:colOff>
                <xdr:row>228</xdr:row>
                <xdr:rowOff>0</xdr:rowOff>
              </from>
              <to>
                <xdr:col>1</xdr:col>
                <xdr:colOff>257175</xdr:colOff>
                <xdr:row>229</xdr:row>
                <xdr:rowOff>76200</xdr:rowOff>
              </to>
            </anchor>
          </controlPr>
        </control>
      </mc:Choice>
      <mc:Fallback>
        <control shapeId="12363" r:id="rId461" name="Control 75"/>
      </mc:Fallback>
    </mc:AlternateContent>
    <mc:AlternateContent xmlns:mc="http://schemas.openxmlformats.org/markup-compatibility/2006">
      <mc:Choice Requires="x14">
        <control shapeId="12362" r:id="rId462" name="Control 74">
          <controlPr defaultSize="0" r:id="rId335">
            <anchor moveWithCells="1">
              <from>
                <xdr:col>1</xdr:col>
                <xdr:colOff>0</xdr:colOff>
                <xdr:row>227</xdr:row>
                <xdr:rowOff>0</xdr:rowOff>
              </from>
              <to>
                <xdr:col>1</xdr:col>
                <xdr:colOff>257175</xdr:colOff>
                <xdr:row>228</xdr:row>
                <xdr:rowOff>76200</xdr:rowOff>
              </to>
            </anchor>
          </controlPr>
        </control>
      </mc:Choice>
      <mc:Fallback>
        <control shapeId="12362" r:id="rId462" name="Control 74"/>
      </mc:Fallback>
    </mc:AlternateContent>
    <mc:AlternateContent xmlns:mc="http://schemas.openxmlformats.org/markup-compatibility/2006">
      <mc:Choice Requires="x14">
        <control shapeId="12361" r:id="rId463" name="Control 73">
          <controlPr defaultSize="0" r:id="rId335">
            <anchor moveWithCells="1">
              <from>
                <xdr:col>1</xdr:col>
                <xdr:colOff>0</xdr:colOff>
                <xdr:row>226</xdr:row>
                <xdr:rowOff>0</xdr:rowOff>
              </from>
              <to>
                <xdr:col>1</xdr:col>
                <xdr:colOff>257175</xdr:colOff>
                <xdr:row>227</xdr:row>
                <xdr:rowOff>76200</xdr:rowOff>
              </to>
            </anchor>
          </controlPr>
        </control>
      </mc:Choice>
      <mc:Fallback>
        <control shapeId="12361" r:id="rId463" name="Control 73"/>
      </mc:Fallback>
    </mc:AlternateContent>
    <mc:AlternateContent xmlns:mc="http://schemas.openxmlformats.org/markup-compatibility/2006">
      <mc:Choice Requires="x14">
        <control shapeId="12360" r:id="rId464" name="Control 72">
          <controlPr defaultSize="0" r:id="rId335">
            <anchor moveWithCells="1">
              <from>
                <xdr:col>1</xdr:col>
                <xdr:colOff>0</xdr:colOff>
                <xdr:row>225</xdr:row>
                <xdr:rowOff>0</xdr:rowOff>
              </from>
              <to>
                <xdr:col>1</xdr:col>
                <xdr:colOff>257175</xdr:colOff>
                <xdr:row>226</xdr:row>
                <xdr:rowOff>76200</xdr:rowOff>
              </to>
            </anchor>
          </controlPr>
        </control>
      </mc:Choice>
      <mc:Fallback>
        <control shapeId="12360" r:id="rId464" name="Control 72"/>
      </mc:Fallback>
    </mc:AlternateContent>
    <mc:AlternateContent xmlns:mc="http://schemas.openxmlformats.org/markup-compatibility/2006">
      <mc:Choice Requires="x14">
        <control shapeId="12359" r:id="rId465" name="Control 71">
          <controlPr defaultSize="0" r:id="rId335">
            <anchor moveWithCells="1">
              <from>
                <xdr:col>1</xdr:col>
                <xdr:colOff>0</xdr:colOff>
                <xdr:row>224</xdr:row>
                <xdr:rowOff>0</xdr:rowOff>
              </from>
              <to>
                <xdr:col>1</xdr:col>
                <xdr:colOff>257175</xdr:colOff>
                <xdr:row>225</xdr:row>
                <xdr:rowOff>76200</xdr:rowOff>
              </to>
            </anchor>
          </controlPr>
        </control>
      </mc:Choice>
      <mc:Fallback>
        <control shapeId="12359" r:id="rId465" name="Control 71"/>
      </mc:Fallback>
    </mc:AlternateContent>
    <mc:AlternateContent xmlns:mc="http://schemas.openxmlformats.org/markup-compatibility/2006">
      <mc:Choice Requires="x14">
        <control shapeId="12358" r:id="rId466" name="Control 70">
          <controlPr defaultSize="0" r:id="rId335">
            <anchor moveWithCells="1">
              <from>
                <xdr:col>1</xdr:col>
                <xdr:colOff>0</xdr:colOff>
                <xdr:row>99</xdr:row>
                <xdr:rowOff>0</xdr:rowOff>
              </from>
              <to>
                <xdr:col>1</xdr:col>
                <xdr:colOff>257175</xdr:colOff>
                <xdr:row>100</xdr:row>
                <xdr:rowOff>76200</xdr:rowOff>
              </to>
            </anchor>
          </controlPr>
        </control>
      </mc:Choice>
      <mc:Fallback>
        <control shapeId="12358" r:id="rId466" name="Control 70"/>
      </mc:Fallback>
    </mc:AlternateContent>
    <mc:AlternateContent xmlns:mc="http://schemas.openxmlformats.org/markup-compatibility/2006">
      <mc:Choice Requires="x14">
        <control shapeId="12357" r:id="rId467" name="Control 69">
          <controlPr defaultSize="0" r:id="rId335">
            <anchor moveWithCells="1">
              <from>
                <xdr:col>1</xdr:col>
                <xdr:colOff>0</xdr:colOff>
                <xdr:row>98</xdr:row>
                <xdr:rowOff>0</xdr:rowOff>
              </from>
              <to>
                <xdr:col>1</xdr:col>
                <xdr:colOff>257175</xdr:colOff>
                <xdr:row>99</xdr:row>
                <xdr:rowOff>76200</xdr:rowOff>
              </to>
            </anchor>
          </controlPr>
        </control>
      </mc:Choice>
      <mc:Fallback>
        <control shapeId="12357" r:id="rId467" name="Control 69"/>
      </mc:Fallback>
    </mc:AlternateContent>
    <mc:AlternateContent xmlns:mc="http://schemas.openxmlformats.org/markup-compatibility/2006">
      <mc:Choice Requires="x14">
        <control shapeId="12356" r:id="rId468" name="Control 68">
          <controlPr defaultSize="0" r:id="rId335">
            <anchor moveWithCells="1">
              <from>
                <xdr:col>1</xdr:col>
                <xdr:colOff>0</xdr:colOff>
                <xdr:row>97</xdr:row>
                <xdr:rowOff>0</xdr:rowOff>
              </from>
              <to>
                <xdr:col>1</xdr:col>
                <xdr:colOff>257175</xdr:colOff>
                <xdr:row>98</xdr:row>
                <xdr:rowOff>76200</xdr:rowOff>
              </to>
            </anchor>
          </controlPr>
        </control>
      </mc:Choice>
      <mc:Fallback>
        <control shapeId="12356" r:id="rId468" name="Control 68"/>
      </mc:Fallback>
    </mc:AlternateContent>
    <mc:AlternateContent xmlns:mc="http://schemas.openxmlformats.org/markup-compatibility/2006">
      <mc:Choice Requires="x14">
        <control shapeId="12355" r:id="rId469" name="Control 67">
          <controlPr defaultSize="0" r:id="rId335">
            <anchor moveWithCells="1">
              <from>
                <xdr:col>1</xdr:col>
                <xdr:colOff>0</xdr:colOff>
                <xdr:row>96</xdr:row>
                <xdr:rowOff>0</xdr:rowOff>
              </from>
              <to>
                <xdr:col>1</xdr:col>
                <xdr:colOff>257175</xdr:colOff>
                <xdr:row>97</xdr:row>
                <xdr:rowOff>76200</xdr:rowOff>
              </to>
            </anchor>
          </controlPr>
        </control>
      </mc:Choice>
      <mc:Fallback>
        <control shapeId="12355" r:id="rId469" name="Control 67"/>
      </mc:Fallback>
    </mc:AlternateContent>
    <mc:AlternateContent xmlns:mc="http://schemas.openxmlformats.org/markup-compatibility/2006">
      <mc:Choice Requires="x14">
        <control shapeId="12354" r:id="rId470" name="Control 66">
          <controlPr defaultSize="0" r:id="rId335">
            <anchor moveWithCells="1">
              <from>
                <xdr:col>1</xdr:col>
                <xdr:colOff>0</xdr:colOff>
                <xdr:row>95</xdr:row>
                <xdr:rowOff>0</xdr:rowOff>
              </from>
              <to>
                <xdr:col>1</xdr:col>
                <xdr:colOff>257175</xdr:colOff>
                <xdr:row>96</xdr:row>
                <xdr:rowOff>76200</xdr:rowOff>
              </to>
            </anchor>
          </controlPr>
        </control>
      </mc:Choice>
      <mc:Fallback>
        <control shapeId="12354" r:id="rId470" name="Control 66"/>
      </mc:Fallback>
    </mc:AlternateContent>
    <mc:AlternateContent xmlns:mc="http://schemas.openxmlformats.org/markup-compatibility/2006">
      <mc:Choice Requires="x14">
        <control shapeId="12353" r:id="rId471" name="Control 65">
          <controlPr defaultSize="0" r:id="rId335">
            <anchor moveWithCells="1">
              <from>
                <xdr:col>1</xdr:col>
                <xdr:colOff>0</xdr:colOff>
                <xdr:row>94</xdr:row>
                <xdr:rowOff>0</xdr:rowOff>
              </from>
              <to>
                <xdr:col>1</xdr:col>
                <xdr:colOff>257175</xdr:colOff>
                <xdr:row>95</xdr:row>
                <xdr:rowOff>76200</xdr:rowOff>
              </to>
            </anchor>
          </controlPr>
        </control>
      </mc:Choice>
      <mc:Fallback>
        <control shapeId="12353" r:id="rId471" name="Control 65"/>
      </mc:Fallback>
    </mc:AlternateContent>
    <mc:AlternateContent xmlns:mc="http://schemas.openxmlformats.org/markup-compatibility/2006">
      <mc:Choice Requires="x14">
        <control shapeId="12352" r:id="rId472" name="Control 64">
          <controlPr defaultSize="0" r:id="rId335">
            <anchor moveWithCells="1">
              <from>
                <xdr:col>1</xdr:col>
                <xdr:colOff>0</xdr:colOff>
                <xdr:row>219</xdr:row>
                <xdr:rowOff>0</xdr:rowOff>
              </from>
              <to>
                <xdr:col>1</xdr:col>
                <xdr:colOff>257175</xdr:colOff>
                <xdr:row>220</xdr:row>
                <xdr:rowOff>76200</xdr:rowOff>
              </to>
            </anchor>
          </controlPr>
        </control>
      </mc:Choice>
      <mc:Fallback>
        <control shapeId="12352" r:id="rId472" name="Control 64"/>
      </mc:Fallback>
    </mc:AlternateContent>
    <mc:AlternateContent xmlns:mc="http://schemas.openxmlformats.org/markup-compatibility/2006">
      <mc:Choice Requires="x14">
        <control shapeId="12351" r:id="rId473" name="Control 63">
          <controlPr defaultSize="0" r:id="rId335">
            <anchor moveWithCells="1">
              <from>
                <xdr:col>1</xdr:col>
                <xdr:colOff>0</xdr:colOff>
                <xdr:row>218</xdr:row>
                <xdr:rowOff>0</xdr:rowOff>
              </from>
              <to>
                <xdr:col>1</xdr:col>
                <xdr:colOff>257175</xdr:colOff>
                <xdr:row>219</xdr:row>
                <xdr:rowOff>76200</xdr:rowOff>
              </to>
            </anchor>
          </controlPr>
        </control>
      </mc:Choice>
      <mc:Fallback>
        <control shapeId="12351" r:id="rId473" name="Control 63"/>
      </mc:Fallback>
    </mc:AlternateContent>
    <mc:AlternateContent xmlns:mc="http://schemas.openxmlformats.org/markup-compatibility/2006">
      <mc:Choice Requires="x14">
        <control shapeId="12350" r:id="rId474" name="Control 62">
          <controlPr defaultSize="0" r:id="rId335">
            <anchor moveWithCells="1">
              <from>
                <xdr:col>1</xdr:col>
                <xdr:colOff>0</xdr:colOff>
                <xdr:row>217</xdr:row>
                <xdr:rowOff>0</xdr:rowOff>
              </from>
              <to>
                <xdr:col>1</xdr:col>
                <xdr:colOff>257175</xdr:colOff>
                <xdr:row>218</xdr:row>
                <xdr:rowOff>76200</xdr:rowOff>
              </to>
            </anchor>
          </controlPr>
        </control>
      </mc:Choice>
      <mc:Fallback>
        <control shapeId="12350" r:id="rId474" name="Control 62"/>
      </mc:Fallback>
    </mc:AlternateContent>
    <mc:AlternateContent xmlns:mc="http://schemas.openxmlformats.org/markup-compatibility/2006">
      <mc:Choice Requires="x14">
        <control shapeId="12349" r:id="rId475" name="Control 61">
          <controlPr defaultSize="0" r:id="rId335">
            <anchor moveWithCells="1">
              <from>
                <xdr:col>1</xdr:col>
                <xdr:colOff>0</xdr:colOff>
                <xdr:row>216</xdr:row>
                <xdr:rowOff>0</xdr:rowOff>
              </from>
              <to>
                <xdr:col>1</xdr:col>
                <xdr:colOff>257175</xdr:colOff>
                <xdr:row>217</xdr:row>
                <xdr:rowOff>76200</xdr:rowOff>
              </to>
            </anchor>
          </controlPr>
        </control>
      </mc:Choice>
      <mc:Fallback>
        <control shapeId="12349" r:id="rId475" name="Control 61"/>
      </mc:Fallback>
    </mc:AlternateContent>
    <mc:AlternateContent xmlns:mc="http://schemas.openxmlformats.org/markup-compatibility/2006">
      <mc:Choice Requires="x14">
        <control shapeId="12348" r:id="rId476" name="Control 60">
          <controlPr defaultSize="0" r:id="rId335">
            <anchor moveWithCells="1">
              <from>
                <xdr:col>1</xdr:col>
                <xdr:colOff>0</xdr:colOff>
                <xdr:row>141</xdr:row>
                <xdr:rowOff>0</xdr:rowOff>
              </from>
              <to>
                <xdr:col>1</xdr:col>
                <xdr:colOff>257175</xdr:colOff>
                <xdr:row>142</xdr:row>
                <xdr:rowOff>76200</xdr:rowOff>
              </to>
            </anchor>
          </controlPr>
        </control>
      </mc:Choice>
      <mc:Fallback>
        <control shapeId="12348" r:id="rId476" name="Control 60"/>
      </mc:Fallback>
    </mc:AlternateContent>
    <mc:AlternateContent xmlns:mc="http://schemas.openxmlformats.org/markup-compatibility/2006">
      <mc:Choice Requires="x14">
        <control shapeId="12347" r:id="rId477" name="Control 59">
          <controlPr defaultSize="0" r:id="rId335">
            <anchor moveWithCells="1">
              <from>
                <xdr:col>1</xdr:col>
                <xdr:colOff>0</xdr:colOff>
                <xdr:row>140</xdr:row>
                <xdr:rowOff>0</xdr:rowOff>
              </from>
              <to>
                <xdr:col>1</xdr:col>
                <xdr:colOff>257175</xdr:colOff>
                <xdr:row>141</xdr:row>
                <xdr:rowOff>76200</xdr:rowOff>
              </to>
            </anchor>
          </controlPr>
        </control>
      </mc:Choice>
      <mc:Fallback>
        <control shapeId="12347" r:id="rId477" name="Control 59"/>
      </mc:Fallback>
    </mc:AlternateContent>
    <mc:AlternateContent xmlns:mc="http://schemas.openxmlformats.org/markup-compatibility/2006">
      <mc:Choice Requires="x14">
        <control shapeId="12346" r:id="rId478" name="Control 58">
          <controlPr defaultSize="0" r:id="rId335">
            <anchor moveWithCells="1">
              <from>
                <xdr:col>1</xdr:col>
                <xdr:colOff>0</xdr:colOff>
                <xdr:row>139</xdr:row>
                <xdr:rowOff>0</xdr:rowOff>
              </from>
              <to>
                <xdr:col>1</xdr:col>
                <xdr:colOff>257175</xdr:colOff>
                <xdr:row>140</xdr:row>
                <xdr:rowOff>76200</xdr:rowOff>
              </to>
            </anchor>
          </controlPr>
        </control>
      </mc:Choice>
      <mc:Fallback>
        <control shapeId="12346" r:id="rId478" name="Control 58"/>
      </mc:Fallback>
    </mc:AlternateContent>
    <mc:AlternateContent xmlns:mc="http://schemas.openxmlformats.org/markup-compatibility/2006">
      <mc:Choice Requires="x14">
        <control shapeId="12345" r:id="rId479" name="Control 57">
          <controlPr defaultSize="0" r:id="rId335">
            <anchor moveWithCells="1">
              <from>
                <xdr:col>1</xdr:col>
                <xdr:colOff>0</xdr:colOff>
                <xdr:row>138</xdr:row>
                <xdr:rowOff>0</xdr:rowOff>
              </from>
              <to>
                <xdr:col>1</xdr:col>
                <xdr:colOff>257175</xdr:colOff>
                <xdr:row>139</xdr:row>
                <xdr:rowOff>76200</xdr:rowOff>
              </to>
            </anchor>
          </controlPr>
        </control>
      </mc:Choice>
      <mc:Fallback>
        <control shapeId="12345" r:id="rId479" name="Control 57"/>
      </mc:Fallback>
    </mc:AlternateContent>
    <mc:AlternateContent xmlns:mc="http://schemas.openxmlformats.org/markup-compatibility/2006">
      <mc:Choice Requires="x14">
        <control shapeId="12344" r:id="rId480" name="Control 56">
          <controlPr defaultSize="0" r:id="rId335">
            <anchor moveWithCells="1">
              <from>
                <xdr:col>1</xdr:col>
                <xdr:colOff>0</xdr:colOff>
                <xdr:row>155</xdr:row>
                <xdr:rowOff>0</xdr:rowOff>
              </from>
              <to>
                <xdr:col>1</xdr:col>
                <xdr:colOff>257175</xdr:colOff>
                <xdr:row>156</xdr:row>
                <xdr:rowOff>76200</xdr:rowOff>
              </to>
            </anchor>
          </controlPr>
        </control>
      </mc:Choice>
      <mc:Fallback>
        <control shapeId="12344" r:id="rId480" name="Control 56"/>
      </mc:Fallback>
    </mc:AlternateContent>
    <mc:AlternateContent xmlns:mc="http://schemas.openxmlformats.org/markup-compatibility/2006">
      <mc:Choice Requires="x14">
        <control shapeId="12343" r:id="rId481" name="Control 55">
          <controlPr defaultSize="0" r:id="rId335">
            <anchor moveWithCells="1">
              <from>
                <xdr:col>1</xdr:col>
                <xdr:colOff>0</xdr:colOff>
                <xdr:row>154</xdr:row>
                <xdr:rowOff>0</xdr:rowOff>
              </from>
              <to>
                <xdr:col>1</xdr:col>
                <xdr:colOff>257175</xdr:colOff>
                <xdr:row>155</xdr:row>
                <xdr:rowOff>76200</xdr:rowOff>
              </to>
            </anchor>
          </controlPr>
        </control>
      </mc:Choice>
      <mc:Fallback>
        <control shapeId="12343" r:id="rId481" name="Control 55"/>
      </mc:Fallback>
    </mc:AlternateContent>
    <mc:AlternateContent xmlns:mc="http://schemas.openxmlformats.org/markup-compatibility/2006">
      <mc:Choice Requires="x14">
        <control shapeId="12342" r:id="rId482" name="Control 54">
          <controlPr defaultSize="0" r:id="rId335">
            <anchor moveWithCells="1">
              <from>
                <xdr:col>1</xdr:col>
                <xdr:colOff>0</xdr:colOff>
                <xdr:row>153</xdr:row>
                <xdr:rowOff>0</xdr:rowOff>
              </from>
              <to>
                <xdr:col>1</xdr:col>
                <xdr:colOff>257175</xdr:colOff>
                <xdr:row>154</xdr:row>
                <xdr:rowOff>76200</xdr:rowOff>
              </to>
            </anchor>
          </controlPr>
        </control>
      </mc:Choice>
      <mc:Fallback>
        <control shapeId="12342" r:id="rId482" name="Control 54"/>
      </mc:Fallback>
    </mc:AlternateContent>
    <mc:AlternateContent xmlns:mc="http://schemas.openxmlformats.org/markup-compatibility/2006">
      <mc:Choice Requires="x14">
        <control shapeId="12341" r:id="rId483" name="Control 53">
          <controlPr defaultSize="0" r:id="rId335">
            <anchor moveWithCells="1">
              <from>
                <xdr:col>1</xdr:col>
                <xdr:colOff>0</xdr:colOff>
                <xdr:row>152</xdr:row>
                <xdr:rowOff>0</xdr:rowOff>
              </from>
              <to>
                <xdr:col>1</xdr:col>
                <xdr:colOff>257175</xdr:colOff>
                <xdr:row>153</xdr:row>
                <xdr:rowOff>76200</xdr:rowOff>
              </to>
            </anchor>
          </controlPr>
        </control>
      </mc:Choice>
      <mc:Fallback>
        <control shapeId="12341" r:id="rId483" name="Control 53"/>
      </mc:Fallback>
    </mc:AlternateContent>
    <mc:AlternateContent xmlns:mc="http://schemas.openxmlformats.org/markup-compatibility/2006">
      <mc:Choice Requires="x14">
        <control shapeId="12340" r:id="rId484" name="Control 52">
          <controlPr defaultSize="0" r:id="rId335">
            <anchor moveWithCells="1">
              <from>
                <xdr:col>1</xdr:col>
                <xdr:colOff>0</xdr:colOff>
                <xdr:row>151</xdr:row>
                <xdr:rowOff>0</xdr:rowOff>
              </from>
              <to>
                <xdr:col>1</xdr:col>
                <xdr:colOff>257175</xdr:colOff>
                <xdr:row>152</xdr:row>
                <xdr:rowOff>76200</xdr:rowOff>
              </to>
            </anchor>
          </controlPr>
        </control>
      </mc:Choice>
      <mc:Fallback>
        <control shapeId="12340" r:id="rId484" name="Control 52"/>
      </mc:Fallback>
    </mc:AlternateContent>
    <mc:AlternateContent xmlns:mc="http://schemas.openxmlformats.org/markup-compatibility/2006">
      <mc:Choice Requires="x14">
        <control shapeId="12339" r:id="rId485" name="Control 51">
          <controlPr defaultSize="0" r:id="rId335">
            <anchor moveWithCells="1">
              <from>
                <xdr:col>1</xdr:col>
                <xdr:colOff>0</xdr:colOff>
                <xdr:row>150</xdr:row>
                <xdr:rowOff>0</xdr:rowOff>
              </from>
              <to>
                <xdr:col>1</xdr:col>
                <xdr:colOff>257175</xdr:colOff>
                <xdr:row>151</xdr:row>
                <xdr:rowOff>76200</xdr:rowOff>
              </to>
            </anchor>
          </controlPr>
        </control>
      </mc:Choice>
      <mc:Fallback>
        <control shapeId="12339" r:id="rId485" name="Control 51"/>
      </mc:Fallback>
    </mc:AlternateContent>
    <mc:AlternateContent xmlns:mc="http://schemas.openxmlformats.org/markup-compatibility/2006">
      <mc:Choice Requires="x14">
        <control shapeId="12338" r:id="rId486" name="Control 50">
          <controlPr defaultSize="0" r:id="rId335">
            <anchor moveWithCells="1">
              <from>
                <xdr:col>1</xdr:col>
                <xdr:colOff>0</xdr:colOff>
                <xdr:row>175</xdr:row>
                <xdr:rowOff>0</xdr:rowOff>
              </from>
              <to>
                <xdr:col>1</xdr:col>
                <xdr:colOff>257175</xdr:colOff>
                <xdr:row>176</xdr:row>
                <xdr:rowOff>76200</xdr:rowOff>
              </to>
            </anchor>
          </controlPr>
        </control>
      </mc:Choice>
      <mc:Fallback>
        <control shapeId="12338" r:id="rId486" name="Control 50"/>
      </mc:Fallback>
    </mc:AlternateContent>
    <mc:AlternateContent xmlns:mc="http://schemas.openxmlformats.org/markup-compatibility/2006">
      <mc:Choice Requires="x14">
        <control shapeId="12337" r:id="rId487" name="Control 49">
          <controlPr defaultSize="0" r:id="rId335">
            <anchor moveWithCells="1">
              <from>
                <xdr:col>1</xdr:col>
                <xdr:colOff>0</xdr:colOff>
                <xdr:row>174</xdr:row>
                <xdr:rowOff>0</xdr:rowOff>
              </from>
              <to>
                <xdr:col>1</xdr:col>
                <xdr:colOff>257175</xdr:colOff>
                <xdr:row>175</xdr:row>
                <xdr:rowOff>76200</xdr:rowOff>
              </to>
            </anchor>
          </controlPr>
        </control>
      </mc:Choice>
      <mc:Fallback>
        <control shapeId="12337" r:id="rId487" name="Control 49"/>
      </mc:Fallback>
    </mc:AlternateContent>
    <mc:AlternateContent xmlns:mc="http://schemas.openxmlformats.org/markup-compatibility/2006">
      <mc:Choice Requires="x14">
        <control shapeId="12336" r:id="rId488" name="Control 48">
          <controlPr defaultSize="0" r:id="rId335">
            <anchor moveWithCells="1">
              <from>
                <xdr:col>1</xdr:col>
                <xdr:colOff>0</xdr:colOff>
                <xdr:row>173</xdr:row>
                <xdr:rowOff>0</xdr:rowOff>
              </from>
              <to>
                <xdr:col>1</xdr:col>
                <xdr:colOff>257175</xdr:colOff>
                <xdr:row>174</xdr:row>
                <xdr:rowOff>76200</xdr:rowOff>
              </to>
            </anchor>
          </controlPr>
        </control>
      </mc:Choice>
      <mc:Fallback>
        <control shapeId="12336" r:id="rId488" name="Control 48"/>
      </mc:Fallback>
    </mc:AlternateContent>
    <mc:AlternateContent xmlns:mc="http://schemas.openxmlformats.org/markup-compatibility/2006">
      <mc:Choice Requires="x14">
        <control shapeId="12335" r:id="rId489" name="Control 47">
          <controlPr defaultSize="0" r:id="rId335">
            <anchor moveWithCells="1">
              <from>
                <xdr:col>1</xdr:col>
                <xdr:colOff>0</xdr:colOff>
                <xdr:row>172</xdr:row>
                <xdr:rowOff>0</xdr:rowOff>
              </from>
              <to>
                <xdr:col>1</xdr:col>
                <xdr:colOff>257175</xdr:colOff>
                <xdr:row>173</xdr:row>
                <xdr:rowOff>76200</xdr:rowOff>
              </to>
            </anchor>
          </controlPr>
        </control>
      </mc:Choice>
      <mc:Fallback>
        <control shapeId="12335" r:id="rId489" name="Control 47"/>
      </mc:Fallback>
    </mc:AlternateContent>
    <mc:AlternateContent xmlns:mc="http://schemas.openxmlformats.org/markup-compatibility/2006">
      <mc:Choice Requires="x14">
        <control shapeId="12334" r:id="rId490" name="Control 46">
          <controlPr defaultSize="0" r:id="rId335">
            <anchor moveWithCells="1">
              <from>
                <xdr:col>1</xdr:col>
                <xdr:colOff>0</xdr:colOff>
                <xdr:row>171</xdr:row>
                <xdr:rowOff>0</xdr:rowOff>
              </from>
              <to>
                <xdr:col>1</xdr:col>
                <xdr:colOff>257175</xdr:colOff>
                <xdr:row>172</xdr:row>
                <xdr:rowOff>76200</xdr:rowOff>
              </to>
            </anchor>
          </controlPr>
        </control>
      </mc:Choice>
      <mc:Fallback>
        <control shapeId="12334" r:id="rId490" name="Control 46"/>
      </mc:Fallback>
    </mc:AlternateContent>
    <mc:AlternateContent xmlns:mc="http://schemas.openxmlformats.org/markup-compatibility/2006">
      <mc:Choice Requires="x14">
        <control shapeId="12333" r:id="rId491" name="Control 45">
          <controlPr defaultSize="0" r:id="rId335">
            <anchor moveWithCells="1">
              <from>
                <xdr:col>1</xdr:col>
                <xdr:colOff>0</xdr:colOff>
                <xdr:row>170</xdr:row>
                <xdr:rowOff>0</xdr:rowOff>
              </from>
              <to>
                <xdr:col>1</xdr:col>
                <xdr:colOff>257175</xdr:colOff>
                <xdr:row>171</xdr:row>
                <xdr:rowOff>76200</xdr:rowOff>
              </to>
            </anchor>
          </controlPr>
        </control>
      </mc:Choice>
      <mc:Fallback>
        <control shapeId="12333" r:id="rId491" name="Control 45"/>
      </mc:Fallback>
    </mc:AlternateContent>
    <mc:AlternateContent xmlns:mc="http://schemas.openxmlformats.org/markup-compatibility/2006">
      <mc:Choice Requires="x14">
        <control shapeId="12332" r:id="rId492" name="Control 44">
          <controlPr defaultSize="0" r:id="rId335">
            <anchor moveWithCells="1">
              <from>
                <xdr:col>1</xdr:col>
                <xdr:colOff>0</xdr:colOff>
                <xdr:row>191</xdr:row>
                <xdr:rowOff>0</xdr:rowOff>
              </from>
              <to>
                <xdr:col>1</xdr:col>
                <xdr:colOff>257175</xdr:colOff>
                <xdr:row>192</xdr:row>
                <xdr:rowOff>76200</xdr:rowOff>
              </to>
            </anchor>
          </controlPr>
        </control>
      </mc:Choice>
      <mc:Fallback>
        <control shapeId="12332" r:id="rId492" name="Control 44"/>
      </mc:Fallback>
    </mc:AlternateContent>
    <mc:AlternateContent xmlns:mc="http://schemas.openxmlformats.org/markup-compatibility/2006">
      <mc:Choice Requires="x14">
        <control shapeId="12331" r:id="rId493" name="Control 43">
          <controlPr defaultSize="0" r:id="rId335">
            <anchor moveWithCells="1">
              <from>
                <xdr:col>1</xdr:col>
                <xdr:colOff>0</xdr:colOff>
                <xdr:row>190</xdr:row>
                <xdr:rowOff>0</xdr:rowOff>
              </from>
              <to>
                <xdr:col>1</xdr:col>
                <xdr:colOff>257175</xdr:colOff>
                <xdr:row>191</xdr:row>
                <xdr:rowOff>76200</xdr:rowOff>
              </to>
            </anchor>
          </controlPr>
        </control>
      </mc:Choice>
      <mc:Fallback>
        <control shapeId="12331" r:id="rId493" name="Control 43"/>
      </mc:Fallback>
    </mc:AlternateContent>
    <mc:AlternateContent xmlns:mc="http://schemas.openxmlformats.org/markup-compatibility/2006">
      <mc:Choice Requires="x14">
        <control shapeId="12330" r:id="rId494" name="Control 42">
          <controlPr defaultSize="0" r:id="rId335">
            <anchor moveWithCells="1">
              <from>
                <xdr:col>1</xdr:col>
                <xdr:colOff>0</xdr:colOff>
                <xdr:row>189</xdr:row>
                <xdr:rowOff>0</xdr:rowOff>
              </from>
              <to>
                <xdr:col>1</xdr:col>
                <xdr:colOff>257175</xdr:colOff>
                <xdr:row>190</xdr:row>
                <xdr:rowOff>76200</xdr:rowOff>
              </to>
            </anchor>
          </controlPr>
        </control>
      </mc:Choice>
      <mc:Fallback>
        <control shapeId="12330" r:id="rId494" name="Control 42"/>
      </mc:Fallback>
    </mc:AlternateContent>
    <mc:AlternateContent xmlns:mc="http://schemas.openxmlformats.org/markup-compatibility/2006">
      <mc:Choice Requires="x14">
        <control shapeId="12329" r:id="rId495" name="Control 41">
          <controlPr defaultSize="0" r:id="rId335">
            <anchor moveWithCells="1">
              <from>
                <xdr:col>1</xdr:col>
                <xdr:colOff>0</xdr:colOff>
                <xdr:row>188</xdr:row>
                <xdr:rowOff>0</xdr:rowOff>
              </from>
              <to>
                <xdr:col>1</xdr:col>
                <xdr:colOff>257175</xdr:colOff>
                <xdr:row>189</xdr:row>
                <xdr:rowOff>76200</xdr:rowOff>
              </to>
            </anchor>
          </controlPr>
        </control>
      </mc:Choice>
      <mc:Fallback>
        <control shapeId="12329" r:id="rId495" name="Control 41"/>
      </mc:Fallback>
    </mc:AlternateContent>
    <mc:AlternateContent xmlns:mc="http://schemas.openxmlformats.org/markup-compatibility/2006">
      <mc:Choice Requires="x14">
        <control shapeId="12328" r:id="rId496" name="Control 40">
          <controlPr defaultSize="0" r:id="rId335">
            <anchor moveWithCells="1">
              <from>
                <xdr:col>1</xdr:col>
                <xdr:colOff>0</xdr:colOff>
                <xdr:row>187</xdr:row>
                <xdr:rowOff>0</xdr:rowOff>
              </from>
              <to>
                <xdr:col>1</xdr:col>
                <xdr:colOff>257175</xdr:colOff>
                <xdr:row>188</xdr:row>
                <xdr:rowOff>76200</xdr:rowOff>
              </to>
            </anchor>
          </controlPr>
        </control>
      </mc:Choice>
      <mc:Fallback>
        <control shapeId="12328" r:id="rId496" name="Control 40"/>
      </mc:Fallback>
    </mc:AlternateContent>
    <mc:AlternateContent xmlns:mc="http://schemas.openxmlformats.org/markup-compatibility/2006">
      <mc:Choice Requires="x14">
        <control shapeId="12327" r:id="rId497" name="Control 39">
          <controlPr defaultSize="0" r:id="rId335">
            <anchor moveWithCells="1">
              <from>
                <xdr:col>1</xdr:col>
                <xdr:colOff>0</xdr:colOff>
                <xdr:row>186</xdr:row>
                <xdr:rowOff>0</xdr:rowOff>
              </from>
              <to>
                <xdr:col>1</xdr:col>
                <xdr:colOff>257175</xdr:colOff>
                <xdr:row>187</xdr:row>
                <xdr:rowOff>76200</xdr:rowOff>
              </to>
            </anchor>
          </controlPr>
        </control>
      </mc:Choice>
      <mc:Fallback>
        <control shapeId="12327" r:id="rId497" name="Control 39"/>
      </mc:Fallback>
    </mc:AlternateContent>
    <mc:AlternateContent xmlns:mc="http://schemas.openxmlformats.org/markup-compatibility/2006">
      <mc:Choice Requires="x14">
        <control shapeId="12326" r:id="rId498" name="Control 38">
          <controlPr defaultSize="0" r:id="rId335">
            <anchor moveWithCells="1">
              <from>
                <xdr:col>1</xdr:col>
                <xdr:colOff>0</xdr:colOff>
                <xdr:row>133</xdr:row>
                <xdr:rowOff>0</xdr:rowOff>
              </from>
              <to>
                <xdr:col>1</xdr:col>
                <xdr:colOff>257175</xdr:colOff>
                <xdr:row>134</xdr:row>
                <xdr:rowOff>76200</xdr:rowOff>
              </to>
            </anchor>
          </controlPr>
        </control>
      </mc:Choice>
      <mc:Fallback>
        <control shapeId="12326" r:id="rId498" name="Control 38"/>
      </mc:Fallback>
    </mc:AlternateContent>
    <mc:AlternateContent xmlns:mc="http://schemas.openxmlformats.org/markup-compatibility/2006">
      <mc:Choice Requires="x14">
        <control shapeId="12325" r:id="rId499" name="Control 37">
          <controlPr defaultSize="0" r:id="rId335">
            <anchor moveWithCells="1">
              <from>
                <xdr:col>1</xdr:col>
                <xdr:colOff>0</xdr:colOff>
                <xdr:row>132</xdr:row>
                <xdr:rowOff>0</xdr:rowOff>
              </from>
              <to>
                <xdr:col>1</xdr:col>
                <xdr:colOff>257175</xdr:colOff>
                <xdr:row>133</xdr:row>
                <xdr:rowOff>76200</xdr:rowOff>
              </to>
            </anchor>
          </controlPr>
        </control>
      </mc:Choice>
      <mc:Fallback>
        <control shapeId="12325" r:id="rId499" name="Control 37"/>
      </mc:Fallback>
    </mc:AlternateContent>
    <mc:AlternateContent xmlns:mc="http://schemas.openxmlformats.org/markup-compatibility/2006">
      <mc:Choice Requires="x14">
        <control shapeId="12324" r:id="rId500" name="Control 36">
          <controlPr defaultSize="0" r:id="rId335">
            <anchor moveWithCells="1">
              <from>
                <xdr:col>1</xdr:col>
                <xdr:colOff>0</xdr:colOff>
                <xdr:row>131</xdr:row>
                <xdr:rowOff>0</xdr:rowOff>
              </from>
              <to>
                <xdr:col>1</xdr:col>
                <xdr:colOff>257175</xdr:colOff>
                <xdr:row>132</xdr:row>
                <xdr:rowOff>76200</xdr:rowOff>
              </to>
            </anchor>
          </controlPr>
        </control>
      </mc:Choice>
      <mc:Fallback>
        <control shapeId="12324" r:id="rId500" name="Control 36"/>
      </mc:Fallback>
    </mc:AlternateContent>
    <mc:AlternateContent xmlns:mc="http://schemas.openxmlformats.org/markup-compatibility/2006">
      <mc:Choice Requires="x14">
        <control shapeId="12323" r:id="rId501" name="Control 35">
          <controlPr defaultSize="0" r:id="rId335">
            <anchor moveWithCells="1">
              <from>
                <xdr:col>1</xdr:col>
                <xdr:colOff>0</xdr:colOff>
                <xdr:row>65</xdr:row>
                <xdr:rowOff>0</xdr:rowOff>
              </from>
              <to>
                <xdr:col>1</xdr:col>
                <xdr:colOff>257175</xdr:colOff>
                <xdr:row>66</xdr:row>
                <xdr:rowOff>76200</xdr:rowOff>
              </to>
            </anchor>
          </controlPr>
        </control>
      </mc:Choice>
      <mc:Fallback>
        <control shapeId="12323" r:id="rId501" name="Control 35"/>
      </mc:Fallback>
    </mc:AlternateContent>
    <mc:AlternateContent xmlns:mc="http://schemas.openxmlformats.org/markup-compatibility/2006">
      <mc:Choice Requires="x14">
        <control shapeId="12322" r:id="rId502" name="Control 34">
          <controlPr defaultSize="0" r:id="rId335">
            <anchor moveWithCells="1">
              <from>
                <xdr:col>1</xdr:col>
                <xdr:colOff>0</xdr:colOff>
                <xdr:row>64</xdr:row>
                <xdr:rowOff>0</xdr:rowOff>
              </from>
              <to>
                <xdr:col>1</xdr:col>
                <xdr:colOff>257175</xdr:colOff>
                <xdr:row>65</xdr:row>
                <xdr:rowOff>76200</xdr:rowOff>
              </to>
            </anchor>
          </controlPr>
        </control>
      </mc:Choice>
      <mc:Fallback>
        <control shapeId="12322" r:id="rId502" name="Control 34"/>
      </mc:Fallback>
    </mc:AlternateContent>
    <mc:AlternateContent xmlns:mc="http://schemas.openxmlformats.org/markup-compatibility/2006">
      <mc:Choice Requires="x14">
        <control shapeId="12321" r:id="rId503" name="Control 33">
          <controlPr defaultSize="0" r:id="rId335">
            <anchor moveWithCells="1">
              <from>
                <xdr:col>1</xdr:col>
                <xdr:colOff>0</xdr:colOff>
                <xdr:row>63</xdr:row>
                <xdr:rowOff>0</xdr:rowOff>
              </from>
              <to>
                <xdr:col>1</xdr:col>
                <xdr:colOff>257175</xdr:colOff>
                <xdr:row>64</xdr:row>
                <xdr:rowOff>76200</xdr:rowOff>
              </to>
            </anchor>
          </controlPr>
        </control>
      </mc:Choice>
      <mc:Fallback>
        <control shapeId="12321" r:id="rId503" name="Control 33"/>
      </mc:Fallback>
    </mc:AlternateContent>
    <mc:AlternateContent xmlns:mc="http://schemas.openxmlformats.org/markup-compatibility/2006">
      <mc:Choice Requires="x14">
        <control shapeId="12320" r:id="rId504" name="Control 32">
          <controlPr defaultSize="0" r:id="rId335">
            <anchor moveWithCells="1">
              <from>
                <xdr:col>1</xdr:col>
                <xdr:colOff>0</xdr:colOff>
                <xdr:row>62</xdr:row>
                <xdr:rowOff>0</xdr:rowOff>
              </from>
              <to>
                <xdr:col>1</xdr:col>
                <xdr:colOff>257175</xdr:colOff>
                <xdr:row>63</xdr:row>
                <xdr:rowOff>76200</xdr:rowOff>
              </to>
            </anchor>
          </controlPr>
        </control>
      </mc:Choice>
      <mc:Fallback>
        <control shapeId="12320" r:id="rId504" name="Control 32"/>
      </mc:Fallback>
    </mc:AlternateContent>
    <mc:AlternateContent xmlns:mc="http://schemas.openxmlformats.org/markup-compatibility/2006">
      <mc:Choice Requires="x14">
        <control shapeId="12319" r:id="rId505" name="Control 31">
          <controlPr defaultSize="0" r:id="rId335">
            <anchor moveWithCells="1">
              <from>
                <xdr:col>1</xdr:col>
                <xdr:colOff>0</xdr:colOff>
                <xdr:row>61</xdr:row>
                <xdr:rowOff>0</xdr:rowOff>
              </from>
              <to>
                <xdr:col>1</xdr:col>
                <xdr:colOff>257175</xdr:colOff>
                <xdr:row>62</xdr:row>
                <xdr:rowOff>76200</xdr:rowOff>
              </to>
            </anchor>
          </controlPr>
        </control>
      </mc:Choice>
      <mc:Fallback>
        <control shapeId="12319" r:id="rId505" name="Control 31"/>
      </mc:Fallback>
    </mc:AlternateContent>
    <mc:AlternateContent xmlns:mc="http://schemas.openxmlformats.org/markup-compatibility/2006">
      <mc:Choice Requires="x14">
        <control shapeId="12318" r:id="rId506" name="Control 30">
          <controlPr defaultSize="0" r:id="rId335">
            <anchor moveWithCells="1">
              <from>
                <xdr:col>1</xdr:col>
                <xdr:colOff>0</xdr:colOff>
                <xdr:row>60</xdr:row>
                <xdr:rowOff>0</xdr:rowOff>
              </from>
              <to>
                <xdr:col>1</xdr:col>
                <xdr:colOff>257175</xdr:colOff>
                <xdr:row>61</xdr:row>
                <xdr:rowOff>76200</xdr:rowOff>
              </to>
            </anchor>
          </controlPr>
        </control>
      </mc:Choice>
      <mc:Fallback>
        <control shapeId="12318" r:id="rId506" name="Control 30"/>
      </mc:Fallback>
    </mc:AlternateContent>
    <mc:AlternateContent xmlns:mc="http://schemas.openxmlformats.org/markup-compatibility/2006">
      <mc:Choice Requires="x14">
        <control shapeId="12311" r:id="rId507" name="Control 23">
          <controlPr defaultSize="0" r:id="rId335">
            <anchor moveWithCells="1">
              <from>
                <xdr:col>1</xdr:col>
                <xdr:colOff>0</xdr:colOff>
                <xdr:row>45</xdr:row>
                <xdr:rowOff>0</xdr:rowOff>
              </from>
              <to>
                <xdr:col>1</xdr:col>
                <xdr:colOff>257175</xdr:colOff>
                <xdr:row>46</xdr:row>
                <xdr:rowOff>76200</xdr:rowOff>
              </to>
            </anchor>
          </controlPr>
        </control>
      </mc:Choice>
      <mc:Fallback>
        <control shapeId="12311" r:id="rId507" name="Control 23"/>
      </mc:Fallback>
    </mc:AlternateContent>
    <mc:AlternateContent xmlns:mc="http://schemas.openxmlformats.org/markup-compatibility/2006">
      <mc:Choice Requires="x14">
        <control shapeId="12310" r:id="rId508" name="Control 22">
          <controlPr defaultSize="0" r:id="rId335">
            <anchor moveWithCells="1">
              <from>
                <xdr:col>1</xdr:col>
                <xdr:colOff>0</xdr:colOff>
                <xdr:row>44</xdr:row>
                <xdr:rowOff>0</xdr:rowOff>
              </from>
              <to>
                <xdr:col>1</xdr:col>
                <xdr:colOff>257175</xdr:colOff>
                <xdr:row>45</xdr:row>
                <xdr:rowOff>76200</xdr:rowOff>
              </to>
            </anchor>
          </controlPr>
        </control>
      </mc:Choice>
      <mc:Fallback>
        <control shapeId="12310" r:id="rId508" name="Control 22"/>
      </mc:Fallback>
    </mc:AlternateContent>
    <mc:AlternateContent xmlns:mc="http://schemas.openxmlformats.org/markup-compatibility/2006">
      <mc:Choice Requires="x14">
        <control shapeId="12309" r:id="rId509" name="Control 21">
          <controlPr defaultSize="0" r:id="rId335">
            <anchor moveWithCells="1">
              <from>
                <xdr:col>1</xdr:col>
                <xdr:colOff>0</xdr:colOff>
                <xdr:row>43</xdr:row>
                <xdr:rowOff>0</xdr:rowOff>
              </from>
              <to>
                <xdr:col>1</xdr:col>
                <xdr:colOff>257175</xdr:colOff>
                <xdr:row>44</xdr:row>
                <xdr:rowOff>76200</xdr:rowOff>
              </to>
            </anchor>
          </controlPr>
        </control>
      </mc:Choice>
      <mc:Fallback>
        <control shapeId="12309" r:id="rId509" name="Control 21"/>
      </mc:Fallback>
    </mc:AlternateContent>
    <mc:AlternateContent xmlns:mc="http://schemas.openxmlformats.org/markup-compatibility/2006">
      <mc:Choice Requires="x14">
        <control shapeId="12308" r:id="rId510" name="Control 20">
          <controlPr defaultSize="0" r:id="rId335">
            <anchor moveWithCells="1">
              <from>
                <xdr:col>1</xdr:col>
                <xdr:colOff>0</xdr:colOff>
                <xdr:row>42</xdr:row>
                <xdr:rowOff>0</xdr:rowOff>
              </from>
              <to>
                <xdr:col>1</xdr:col>
                <xdr:colOff>257175</xdr:colOff>
                <xdr:row>43</xdr:row>
                <xdr:rowOff>76200</xdr:rowOff>
              </to>
            </anchor>
          </controlPr>
        </control>
      </mc:Choice>
      <mc:Fallback>
        <control shapeId="12308" r:id="rId510" name="Control 20"/>
      </mc:Fallback>
    </mc:AlternateContent>
    <mc:AlternateContent xmlns:mc="http://schemas.openxmlformats.org/markup-compatibility/2006">
      <mc:Choice Requires="x14">
        <control shapeId="12307" r:id="rId511" name="Control 19">
          <controlPr defaultSize="0" r:id="rId335">
            <anchor moveWithCells="1">
              <from>
                <xdr:col>1</xdr:col>
                <xdr:colOff>0</xdr:colOff>
                <xdr:row>41</xdr:row>
                <xdr:rowOff>0</xdr:rowOff>
              </from>
              <to>
                <xdr:col>1</xdr:col>
                <xdr:colOff>257175</xdr:colOff>
                <xdr:row>42</xdr:row>
                <xdr:rowOff>76200</xdr:rowOff>
              </to>
            </anchor>
          </controlPr>
        </control>
      </mc:Choice>
      <mc:Fallback>
        <control shapeId="12307" r:id="rId511" name="Control 19"/>
      </mc:Fallback>
    </mc:AlternateContent>
    <mc:AlternateContent xmlns:mc="http://schemas.openxmlformats.org/markup-compatibility/2006">
      <mc:Choice Requires="x14">
        <control shapeId="12306" r:id="rId512" name="Control 18">
          <controlPr defaultSize="0" r:id="rId335">
            <anchor moveWithCells="1">
              <from>
                <xdr:col>1</xdr:col>
                <xdr:colOff>0</xdr:colOff>
                <xdr:row>35</xdr:row>
                <xdr:rowOff>0</xdr:rowOff>
              </from>
              <to>
                <xdr:col>1</xdr:col>
                <xdr:colOff>257175</xdr:colOff>
                <xdr:row>36</xdr:row>
                <xdr:rowOff>76200</xdr:rowOff>
              </to>
            </anchor>
          </controlPr>
        </control>
      </mc:Choice>
      <mc:Fallback>
        <control shapeId="12306" r:id="rId512" name="Control 18"/>
      </mc:Fallback>
    </mc:AlternateContent>
    <mc:AlternateContent xmlns:mc="http://schemas.openxmlformats.org/markup-compatibility/2006">
      <mc:Choice Requires="x14">
        <control shapeId="12305" r:id="rId513" name="Control 17">
          <controlPr defaultSize="0" r:id="rId335">
            <anchor moveWithCells="1">
              <from>
                <xdr:col>1</xdr:col>
                <xdr:colOff>0</xdr:colOff>
                <xdr:row>34</xdr:row>
                <xdr:rowOff>0</xdr:rowOff>
              </from>
              <to>
                <xdr:col>1</xdr:col>
                <xdr:colOff>257175</xdr:colOff>
                <xdr:row>35</xdr:row>
                <xdr:rowOff>76200</xdr:rowOff>
              </to>
            </anchor>
          </controlPr>
        </control>
      </mc:Choice>
      <mc:Fallback>
        <control shapeId="12305" r:id="rId513" name="Control 17"/>
      </mc:Fallback>
    </mc:AlternateContent>
    <mc:AlternateContent xmlns:mc="http://schemas.openxmlformats.org/markup-compatibility/2006">
      <mc:Choice Requires="x14">
        <control shapeId="12304" r:id="rId514" name="Control 16">
          <controlPr defaultSize="0" r:id="rId335">
            <anchor moveWithCells="1">
              <from>
                <xdr:col>1</xdr:col>
                <xdr:colOff>0</xdr:colOff>
                <xdr:row>33</xdr:row>
                <xdr:rowOff>0</xdr:rowOff>
              </from>
              <to>
                <xdr:col>1</xdr:col>
                <xdr:colOff>257175</xdr:colOff>
                <xdr:row>34</xdr:row>
                <xdr:rowOff>76200</xdr:rowOff>
              </to>
            </anchor>
          </controlPr>
        </control>
      </mc:Choice>
      <mc:Fallback>
        <control shapeId="12304" r:id="rId514" name="Control 16"/>
      </mc:Fallback>
    </mc:AlternateContent>
    <mc:AlternateContent xmlns:mc="http://schemas.openxmlformats.org/markup-compatibility/2006">
      <mc:Choice Requires="x14">
        <control shapeId="12303" r:id="rId515" name="Control 15">
          <controlPr defaultSize="0" r:id="rId335">
            <anchor moveWithCells="1">
              <from>
                <xdr:col>1</xdr:col>
                <xdr:colOff>0</xdr:colOff>
                <xdr:row>32</xdr:row>
                <xdr:rowOff>0</xdr:rowOff>
              </from>
              <to>
                <xdr:col>1</xdr:col>
                <xdr:colOff>257175</xdr:colOff>
                <xdr:row>33</xdr:row>
                <xdr:rowOff>76200</xdr:rowOff>
              </to>
            </anchor>
          </controlPr>
        </control>
      </mc:Choice>
      <mc:Fallback>
        <control shapeId="12303" r:id="rId515" name="Control 15"/>
      </mc:Fallback>
    </mc:AlternateContent>
    <mc:AlternateContent xmlns:mc="http://schemas.openxmlformats.org/markup-compatibility/2006">
      <mc:Choice Requires="x14">
        <control shapeId="12302" r:id="rId516" name="Control 14">
          <controlPr defaultSize="0" r:id="rId335">
            <anchor moveWithCells="1">
              <from>
                <xdr:col>1</xdr:col>
                <xdr:colOff>0</xdr:colOff>
                <xdr:row>31</xdr:row>
                <xdr:rowOff>0</xdr:rowOff>
              </from>
              <to>
                <xdr:col>1</xdr:col>
                <xdr:colOff>257175</xdr:colOff>
                <xdr:row>32</xdr:row>
                <xdr:rowOff>76200</xdr:rowOff>
              </to>
            </anchor>
          </controlPr>
        </control>
      </mc:Choice>
      <mc:Fallback>
        <control shapeId="12302" r:id="rId516" name="Control 14"/>
      </mc:Fallback>
    </mc:AlternateContent>
    <mc:AlternateContent xmlns:mc="http://schemas.openxmlformats.org/markup-compatibility/2006">
      <mc:Choice Requires="x14">
        <control shapeId="12301" r:id="rId517" name="Control 13">
          <controlPr defaultSize="0" r:id="rId335">
            <anchor moveWithCells="1">
              <from>
                <xdr:col>1</xdr:col>
                <xdr:colOff>0</xdr:colOff>
                <xdr:row>21</xdr:row>
                <xdr:rowOff>0</xdr:rowOff>
              </from>
              <to>
                <xdr:col>1</xdr:col>
                <xdr:colOff>257175</xdr:colOff>
                <xdr:row>22</xdr:row>
                <xdr:rowOff>76200</xdr:rowOff>
              </to>
            </anchor>
          </controlPr>
        </control>
      </mc:Choice>
      <mc:Fallback>
        <control shapeId="12301" r:id="rId517" name="Control 13"/>
      </mc:Fallback>
    </mc:AlternateContent>
    <mc:AlternateContent xmlns:mc="http://schemas.openxmlformats.org/markup-compatibility/2006">
      <mc:Choice Requires="x14">
        <control shapeId="12300" r:id="rId518" name="Control 12">
          <controlPr defaultSize="0" r:id="rId335">
            <anchor moveWithCells="1">
              <from>
                <xdr:col>1</xdr:col>
                <xdr:colOff>0</xdr:colOff>
                <xdr:row>20</xdr:row>
                <xdr:rowOff>0</xdr:rowOff>
              </from>
              <to>
                <xdr:col>1</xdr:col>
                <xdr:colOff>257175</xdr:colOff>
                <xdr:row>21</xdr:row>
                <xdr:rowOff>76200</xdr:rowOff>
              </to>
            </anchor>
          </controlPr>
        </control>
      </mc:Choice>
      <mc:Fallback>
        <control shapeId="12300" r:id="rId518" name="Control 12"/>
      </mc:Fallback>
    </mc:AlternateContent>
    <mc:AlternateContent xmlns:mc="http://schemas.openxmlformats.org/markup-compatibility/2006">
      <mc:Choice Requires="x14">
        <control shapeId="12299" r:id="rId519" name="Control 11">
          <controlPr defaultSize="0" r:id="rId335">
            <anchor moveWithCells="1">
              <from>
                <xdr:col>1</xdr:col>
                <xdr:colOff>0</xdr:colOff>
                <xdr:row>19</xdr:row>
                <xdr:rowOff>0</xdr:rowOff>
              </from>
              <to>
                <xdr:col>1</xdr:col>
                <xdr:colOff>257175</xdr:colOff>
                <xdr:row>20</xdr:row>
                <xdr:rowOff>76200</xdr:rowOff>
              </to>
            </anchor>
          </controlPr>
        </control>
      </mc:Choice>
      <mc:Fallback>
        <control shapeId="12299" r:id="rId519" name="Control 11"/>
      </mc:Fallback>
    </mc:AlternateContent>
    <mc:AlternateContent xmlns:mc="http://schemas.openxmlformats.org/markup-compatibility/2006">
      <mc:Choice Requires="x14">
        <control shapeId="12298" r:id="rId520" name="Control 10">
          <controlPr defaultSize="0" r:id="rId335">
            <anchor moveWithCells="1">
              <from>
                <xdr:col>1</xdr:col>
                <xdr:colOff>0</xdr:colOff>
                <xdr:row>18</xdr:row>
                <xdr:rowOff>0</xdr:rowOff>
              </from>
              <to>
                <xdr:col>1</xdr:col>
                <xdr:colOff>257175</xdr:colOff>
                <xdr:row>19</xdr:row>
                <xdr:rowOff>76200</xdr:rowOff>
              </to>
            </anchor>
          </controlPr>
        </control>
      </mc:Choice>
      <mc:Fallback>
        <control shapeId="12298" r:id="rId520" name="Control 10"/>
      </mc:Fallback>
    </mc:AlternateContent>
    <mc:AlternateContent xmlns:mc="http://schemas.openxmlformats.org/markup-compatibility/2006">
      <mc:Choice Requires="x14">
        <control shapeId="12297" r:id="rId521" name="Control 9">
          <controlPr defaultSize="0" r:id="rId335">
            <anchor moveWithCells="1">
              <from>
                <xdr:col>1</xdr:col>
                <xdr:colOff>0</xdr:colOff>
                <xdr:row>17</xdr:row>
                <xdr:rowOff>0</xdr:rowOff>
              </from>
              <to>
                <xdr:col>1</xdr:col>
                <xdr:colOff>257175</xdr:colOff>
                <xdr:row>18</xdr:row>
                <xdr:rowOff>76200</xdr:rowOff>
              </to>
            </anchor>
          </controlPr>
        </control>
      </mc:Choice>
      <mc:Fallback>
        <control shapeId="12297" r:id="rId521" name="Control 9"/>
      </mc:Fallback>
    </mc:AlternateContent>
    <mc:AlternateContent xmlns:mc="http://schemas.openxmlformats.org/markup-compatibility/2006">
      <mc:Choice Requires="x14">
        <control shapeId="12296" r:id="rId522" name="Control 8">
          <controlPr defaultSize="0" r:id="rId335">
            <anchor moveWithCells="1">
              <from>
                <xdr:col>1</xdr:col>
                <xdr:colOff>0</xdr:colOff>
                <xdr:row>16</xdr:row>
                <xdr:rowOff>0</xdr:rowOff>
              </from>
              <to>
                <xdr:col>1</xdr:col>
                <xdr:colOff>257175</xdr:colOff>
                <xdr:row>17</xdr:row>
                <xdr:rowOff>76200</xdr:rowOff>
              </to>
            </anchor>
          </controlPr>
        </control>
      </mc:Choice>
      <mc:Fallback>
        <control shapeId="12296" r:id="rId522" name="Control 8"/>
      </mc:Fallback>
    </mc:AlternateContent>
    <mc:AlternateContent xmlns:mc="http://schemas.openxmlformats.org/markup-compatibility/2006">
      <mc:Choice Requires="x14">
        <control shapeId="12295" r:id="rId523" name="Control 7">
          <controlPr defaultSize="0" r:id="rId335">
            <anchor moveWithCells="1">
              <from>
                <xdr:col>1</xdr:col>
                <xdr:colOff>0</xdr:colOff>
                <xdr:row>9</xdr:row>
                <xdr:rowOff>0</xdr:rowOff>
              </from>
              <to>
                <xdr:col>1</xdr:col>
                <xdr:colOff>257175</xdr:colOff>
                <xdr:row>10</xdr:row>
                <xdr:rowOff>76200</xdr:rowOff>
              </to>
            </anchor>
          </controlPr>
        </control>
      </mc:Choice>
      <mc:Fallback>
        <control shapeId="12295" r:id="rId523" name="Control 7"/>
      </mc:Fallback>
    </mc:AlternateContent>
    <mc:AlternateContent xmlns:mc="http://schemas.openxmlformats.org/markup-compatibility/2006">
      <mc:Choice Requires="x14">
        <control shapeId="12294" r:id="rId524" name="Control 6">
          <controlPr defaultSize="0" r:id="rId335">
            <anchor moveWithCells="1">
              <from>
                <xdr:col>1</xdr:col>
                <xdr:colOff>0</xdr:colOff>
                <xdr:row>8</xdr:row>
                <xdr:rowOff>0</xdr:rowOff>
              </from>
              <to>
                <xdr:col>1</xdr:col>
                <xdr:colOff>257175</xdr:colOff>
                <xdr:row>9</xdr:row>
                <xdr:rowOff>76200</xdr:rowOff>
              </to>
            </anchor>
          </controlPr>
        </control>
      </mc:Choice>
      <mc:Fallback>
        <control shapeId="12294" r:id="rId524" name="Control 6"/>
      </mc:Fallback>
    </mc:AlternateContent>
    <mc:AlternateContent xmlns:mc="http://schemas.openxmlformats.org/markup-compatibility/2006">
      <mc:Choice Requires="x14">
        <control shapeId="12293" r:id="rId525" name="Control 5">
          <controlPr defaultSize="0" r:id="rId335">
            <anchor moveWithCells="1">
              <from>
                <xdr:col>1</xdr:col>
                <xdr:colOff>0</xdr:colOff>
                <xdr:row>7</xdr:row>
                <xdr:rowOff>0</xdr:rowOff>
              </from>
              <to>
                <xdr:col>1</xdr:col>
                <xdr:colOff>257175</xdr:colOff>
                <xdr:row>8</xdr:row>
                <xdr:rowOff>76200</xdr:rowOff>
              </to>
            </anchor>
          </controlPr>
        </control>
      </mc:Choice>
      <mc:Fallback>
        <control shapeId="12293" r:id="rId525" name="Control 5"/>
      </mc:Fallback>
    </mc:AlternateContent>
    <mc:AlternateContent xmlns:mc="http://schemas.openxmlformats.org/markup-compatibility/2006">
      <mc:Choice Requires="x14">
        <control shapeId="12292" r:id="rId526" name="Control 4">
          <controlPr defaultSize="0" r:id="rId335">
            <anchor moveWithCells="1">
              <from>
                <xdr:col>1</xdr:col>
                <xdr:colOff>0</xdr:colOff>
                <xdr:row>6</xdr:row>
                <xdr:rowOff>0</xdr:rowOff>
              </from>
              <to>
                <xdr:col>1</xdr:col>
                <xdr:colOff>257175</xdr:colOff>
                <xdr:row>7</xdr:row>
                <xdr:rowOff>76200</xdr:rowOff>
              </to>
            </anchor>
          </controlPr>
        </control>
      </mc:Choice>
      <mc:Fallback>
        <control shapeId="12292" r:id="rId526" name="Control 4"/>
      </mc:Fallback>
    </mc:AlternateContent>
    <mc:AlternateContent xmlns:mc="http://schemas.openxmlformats.org/markup-compatibility/2006">
      <mc:Choice Requires="x14">
        <control shapeId="12291" r:id="rId527" name="Control 3">
          <controlPr defaultSize="0" r:id="rId335">
            <anchor moveWithCells="1">
              <from>
                <xdr:col>1</xdr:col>
                <xdr:colOff>0</xdr:colOff>
                <xdr:row>5</xdr:row>
                <xdr:rowOff>0</xdr:rowOff>
              </from>
              <to>
                <xdr:col>1</xdr:col>
                <xdr:colOff>257175</xdr:colOff>
                <xdr:row>6</xdr:row>
                <xdr:rowOff>76200</xdr:rowOff>
              </to>
            </anchor>
          </controlPr>
        </control>
      </mc:Choice>
      <mc:Fallback>
        <control shapeId="12291" r:id="rId527" name="Control 3"/>
      </mc:Fallback>
    </mc:AlternateContent>
    <mc:AlternateContent xmlns:mc="http://schemas.openxmlformats.org/markup-compatibility/2006">
      <mc:Choice Requires="x14">
        <control shapeId="12290" r:id="rId528" name="Control 2">
          <controlPr defaultSize="0" r:id="rId335">
            <anchor moveWithCells="1">
              <from>
                <xdr:col>1</xdr:col>
                <xdr:colOff>0</xdr:colOff>
                <xdr:row>4</xdr:row>
                <xdr:rowOff>0</xdr:rowOff>
              </from>
              <to>
                <xdr:col>1</xdr:col>
                <xdr:colOff>257175</xdr:colOff>
                <xdr:row>5</xdr:row>
                <xdr:rowOff>76200</xdr:rowOff>
              </to>
            </anchor>
          </controlPr>
        </control>
      </mc:Choice>
      <mc:Fallback>
        <control shapeId="12290" r:id="rId528" name="Control 2"/>
      </mc:Fallback>
    </mc:AlternateContent>
    <mc:AlternateContent xmlns:mc="http://schemas.openxmlformats.org/markup-compatibility/2006">
      <mc:Choice Requires="x14">
        <control shapeId="12289" r:id="rId529" name="Control 1">
          <controlPr defaultSize="0" r:id="rId335">
            <anchor moveWithCells="1">
              <from>
                <xdr:col>1</xdr:col>
                <xdr:colOff>0</xdr:colOff>
                <xdr:row>3</xdr:row>
                <xdr:rowOff>0</xdr:rowOff>
              </from>
              <to>
                <xdr:col>1</xdr:col>
                <xdr:colOff>257175</xdr:colOff>
                <xdr:row>4</xdr:row>
                <xdr:rowOff>76200</xdr:rowOff>
              </to>
            </anchor>
          </controlPr>
        </control>
      </mc:Choice>
      <mc:Fallback>
        <control shapeId="12289" r:id="rId529" name="Control 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BD1E8-121D-480A-BD58-3264EAEAC414}">
  <sheetPr codeName="Sheet13"/>
  <dimension ref="A2:N275"/>
  <sheetViews>
    <sheetView workbookViewId="0">
      <selection activeCell="M3" sqref="M3"/>
    </sheetView>
  </sheetViews>
  <sheetFormatPr defaultRowHeight="15" x14ac:dyDescent="0.25"/>
  <cols>
    <col min="2" max="2" width="11.42578125" bestFit="1" customWidth="1"/>
    <col min="3" max="3" width="10.7109375" bestFit="1" customWidth="1"/>
    <col min="4" max="4" width="15.5703125" customWidth="1"/>
    <col min="11" max="11" width="29.85546875" bestFit="1" customWidth="1"/>
    <col min="12" max="12" width="13.42578125" customWidth="1"/>
    <col min="13" max="13" width="10.42578125" customWidth="1"/>
    <col min="14" max="14" width="19" customWidth="1"/>
  </cols>
  <sheetData>
    <row r="2" spans="1:14" x14ac:dyDescent="0.25">
      <c r="A2" s="90"/>
      <c r="B2" s="90"/>
      <c r="C2" s="90"/>
      <c r="D2" s="59" t="s">
        <v>7850</v>
      </c>
    </row>
    <row r="3" spans="1:14" x14ac:dyDescent="0.25">
      <c r="A3" s="127">
        <f>Daily!A168</f>
        <v>24</v>
      </c>
      <c r="B3" s="99">
        <f>Daily!B168</f>
        <v>45383</v>
      </c>
      <c r="C3" s="27">
        <f>Daily!C168</f>
        <v>45383</v>
      </c>
      <c r="D3" s="90"/>
      <c r="J3" s="90"/>
      <c r="K3" s="90"/>
      <c r="L3" s="61" t="s">
        <v>8392</v>
      </c>
      <c r="M3" s="98" t="s">
        <v>8391</v>
      </c>
      <c r="N3" s="98" t="s">
        <v>8393</v>
      </c>
    </row>
    <row r="4" spans="1:14" x14ac:dyDescent="0.25">
      <c r="A4" s="127"/>
      <c r="B4" s="99">
        <f>Daily!B169</f>
        <v>45384</v>
      </c>
      <c r="C4" s="27">
        <f>Daily!C169</f>
        <v>45384</v>
      </c>
      <c r="D4" s="90" t="s">
        <v>293</v>
      </c>
      <c r="J4" s="90">
        <v>1</v>
      </c>
      <c r="K4" s="90" t="s">
        <v>293</v>
      </c>
      <c r="L4" s="90" t="s">
        <v>8394</v>
      </c>
      <c r="M4" s="90" t="s">
        <v>8394</v>
      </c>
      <c r="N4" s="90" t="s">
        <v>8394</v>
      </c>
    </row>
    <row r="5" spans="1:14" x14ac:dyDescent="0.25">
      <c r="A5" s="127"/>
      <c r="B5" s="99">
        <f>Daily!B170</f>
        <v>45385</v>
      </c>
      <c r="C5" s="27">
        <f>Daily!C170</f>
        <v>45385</v>
      </c>
      <c r="D5" s="90"/>
      <c r="J5" s="90">
        <v>2</v>
      </c>
      <c r="K5" s="90" t="s">
        <v>8067</v>
      </c>
      <c r="L5" s="90" t="s">
        <v>8394</v>
      </c>
      <c r="M5" s="90" t="s">
        <v>8394</v>
      </c>
      <c r="N5" s="90" t="s">
        <v>8394</v>
      </c>
    </row>
    <row r="6" spans="1:14" x14ac:dyDescent="0.25">
      <c r="A6" s="127"/>
      <c r="B6" s="99">
        <f>Daily!B171</f>
        <v>45386</v>
      </c>
      <c r="C6" s="27">
        <f>Daily!C171</f>
        <v>45386</v>
      </c>
      <c r="D6" s="90"/>
      <c r="J6" s="90">
        <v>3</v>
      </c>
      <c r="K6" s="90" t="s">
        <v>156</v>
      </c>
      <c r="L6" s="90" t="s">
        <v>8394</v>
      </c>
      <c r="M6" s="90" t="s">
        <v>8394</v>
      </c>
      <c r="N6" s="90" t="s">
        <v>8394</v>
      </c>
    </row>
    <row r="7" spans="1:14" x14ac:dyDescent="0.25">
      <c r="A7" s="127"/>
      <c r="B7" s="99">
        <f>Daily!B172</f>
        <v>45387</v>
      </c>
      <c r="C7" s="27">
        <f>Daily!C172</f>
        <v>45387</v>
      </c>
      <c r="D7" s="90"/>
      <c r="J7" s="90">
        <v>4</v>
      </c>
      <c r="K7" s="90" t="s">
        <v>150</v>
      </c>
      <c r="L7" s="90" t="s">
        <v>8394</v>
      </c>
      <c r="M7" s="90" t="s">
        <v>8394</v>
      </c>
      <c r="N7" s="90" t="s">
        <v>8394</v>
      </c>
    </row>
    <row r="8" spans="1:14" x14ac:dyDescent="0.25">
      <c r="A8" s="127"/>
      <c r="B8" s="99">
        <f>Daily!B173</f>
        <v>45388</v>
      </c>
      <c r="C8" s="27">
        <f>Daily!C173</f>
        <v>45388</v>
      </c>
      <c r="D8" s="90"/>
      <c r="J8" s="90">
        <v>5</v>
      </c>
      <c r="K8" s="90" t="s">
        <v>189</v>
      </c>
      <c r="L8" s="90"/>
      <c r="M8" s="90" t="s">
        <v>8394</v>
      </c>
      <c r="N8" s="90"/>
    </row>
    <row r="9" spans="1:14" x14ac:dyDescent="0.25">
      <c r="A9" s="127"/>
      <c r="B9" s="99">
        <f>Daily!B174</f>
        <v>45389</v>
      </c>
      <c r="C9" s="27">
        <f>Daily!C174</f>
        <v>45389</v>
      </c>
      <c r="D9" s="90"/>
      <c r="J9" s="90">
        <v>6</v>
      </c>
      <c r="K9" s="90" t="s">
        <v>8397</v>
      </c>
      <c r="L9" s="90" t="s">
        <v>8394</v>
      </c>
      <c r="M9" s="90" t="s">
        <v>8394</v>
      </c>
      <c r="N9" s="90" t="s">
        <v>8394</v>
      </c>
    </row>
    <row r="10" spans="1:14" x14ac:dyDescent="0.25">
      <c r="A10" s="127">
        <f>Daily!A175</f>
        <v>25</v>
      </c>
      <c r="B10" s="99">
        <f>Daily!B175</f>
        <v>45390</v>
      </c>
      <c r="C10" s="27">
        <f>Daily!C175</f>
        <v>45390</v>
      </c>
      <c r="D10" s="90"/>
      <c r="J10" s="90">
        <v>7</v>
      </c>
      <c r="K10" s="90" t="s">
        <v>8084</v>
      </c>
      <c r="L10" s="90" t="s">
        <v>8394</v>
      </c>
      <c r="M10" s="90" t="s">
        <v>8394</v>
      </c>
      <c r="N10" s="90" t="s">
        <v>8394</v>
      </c>
    </row>
    <row r="11" spans="1:14" x14ac:dyDescent="0.25">
      <c r="A11" s="127"/>
      <c r="B11" s="99">
        <f>Daily!B176</f>
        <v>45391</v>
      </c>
      <c r="C11" s="27">
        <f>Daily!C176</f>
        <v>45391</v>
      </c>
      <c r="D11" s="90"/>
      <c r="J11" s="90">
        <f t="shared" ref="J11:J21" si="0">J10+1</f>
        <v>8</v>
      </c>
      <c r="K11" s="90" t="s">
        <v>8266</v>
      </c>
      <c r="L11" s="90" t="s">
        <v>8394</v>
      </c>
      <c r="M11" s="90"/>
      <c r="N11" s="90" t="s">
        <v>8394</v>
      </c>
    </row>
    <row r="12" spans="1:14" x14ac:dyDescent="0.25">
      <c r="A12" s="127"/>
      <c r="B12" s="99">
        <f>Daily!B177</f>
        <v>45392</v>
      </c>
      <c r="C12" s="27">
        <f>Daily!C177</f>
        <v>45392</v>
      </c>
      <c r="D12" s="90"/>
      <c r="J12" s="90">
        <f t="shared" si="0"/>
        <v>9</v>
      </c>
      <c r="K12" s="90" t="s">
        <v>8398</v>
      </c>
      <c r="L12" s="90"/>
      <c r="M12" s="90"/>
      <c r="N12" s="90" t="s">
        <v>8394</v>
      </c>
    </row>
    <row r="13" spans="1:14" x14ac:dyDescent="0.25">
      <c r="A13" s="127"/>
      <c r="B13" s="99">
        <f>Daily!B178</f>
        <v>45393</v>
      </c>
      <c r="C13" s="27">
        <f>Daily!C178</f>
        <v>45393</v>
      </c>
      <c r="D13" s="90"/>
      <c r="J13" s="90">
        <f t="shared" si="0"/>
        <v>10</v>
      </c>
      <c r="K13" s="90" t="s">
        <v>8309</v>
      </c>
      <c r="L13" s="90" t="s">
        <v>8394</v>
      </c>
      <c r="M13" s="90"/>
      <c r="N13" s="90" t="s">
        <v>8394</v>
      </c>
    </row>
    <row r="14" spans="1:14" x14ac:dyDescent="0.25">
      <c r="A14" s="127"/>
      <c r="B14" s="99">
        <f>Daily!B179</f>
        <v>45394</v>
      </c>
      <c r="C14" s="27">
        <f>Daily!C179</f>
        <v>45394</v>
      </c>
      <c r="D14" s="90"/>
      <c r="J14" s="90">
        <f t="shared" si="0"/>
        <v>11</v>
      </c>
      <c r="K14" s="90" t="s">
        <v>29</v>
      </c>
      <c r="L14" s="90" t="s">
        <v>8394</v>
      </c>
      <c r="M14" s="90" t="s">
        <v>8394</v>
      </c>
      <c r="N14" s="90" t="s">
        <v>8394</v>
      </c>
    </row>
    <row r="15" spans="1:14" x14ac:dyDescent="0.25">
      <c r="A15" s="127"/>
      <c r="B15" s="99">
        <f>Daily!B180</f>
        <v>45395</v>
      </c>
      <c r="C15" s="27">
        <f>Daily!C180</f>
        <v>45395</v>
      </c>
      <c r="D15" s="90"/>
      <c r="J15" s="90">
        <f t="shared" si="0"/>
        <v>12</v>
      </c>
      <c r="K15" s="90" t="s">
        <v>66</v>
      </c>
      <c r="L15" s="90" t="s">
        <v>8394</v>
      </c>
      <c r="M15" s="90" t="s">
        <v>8394</v>
      </c>
      <c r="N15" s="90" t="s">
        <v>8394</v>
      </c>
    </row>
    <row r="16" spans="1:14" x14ac:dyDescent="0.25">
      <c r="A16" s="127"/>
      <c r="B16" s="99">
        <f>Daily!B181</f>
        <v>45396</v>
      </c>
      <c r="C16" s="27">
        <f>Daily!C181</f>
        <v>45396</v>
      </c>
      <c r="D16" s="90"/>
      <c r="J16" s="90">
        <f t="shared" si="0"/>
        <v>13</v>
      </c>
      <c r="K16" s="90" t="s">
        <v>7833</v>
      </c>
      <c r="L16" s="90" t="s">
        <v>8394</v>
      </c>
      <c r="M16" s="90" t="s">
        <v>8394</v>
      </c>
      <c r="N16" s="90" t="s">
        <v>8394</v>
      </c>
    </row>
    <row r="17" spans="1:14" x14ac:dyDescent="0.25">
      <c r="A17" s="127">
        <f>Daily!A182</f>
        <v>26</v>
      </c>
      <c r="B17" s="99">
        <f>Daily!B182</f>
        <v>45397</v>
      </c>
      <c r="C17" s="27">
        <f>Daily!C182</f>
        <v>45397</v>
      </c>
      <c r="D17" s="90"/>
      <c r="J17" s="90">
        <f t="shared" si="0"/>
        <v>14</v>
      </c>
      <c r="K17" s="90" t="s">
        <v>8399</v>
      </c>
      <c r="L17" s="90" t="s">
        <v>8394</v>
      </c>
      <c r="M17" s="90"/>
      <c r="N17" s="90" t="s">
        <v>8394</v>
      </c>
    </row>
    <row r="18" spans="1:14" x14ac:dyDescent="0.25">
      <c r="A18" s="127"/>
      <c r="B18" s="99">
        <f>Daily!B183</f>
        <v>45398</v>
      </c>
      <c r="C18" s="27">
        <f>Daily!C183</f>
        <v>45398</v>
      </c>
      <c r="D18" s="90"/>
      <c r="J18" s="90">
        <f t="shared" si="0"/>
        <v>15</v>
      </c>
      <c r="K18" s="90" t="s">
        <v>8395</v>
      </c>
      <c r="L18" s="90" t="s">
        <v>8394</v>
      </c>
      <c r="M18" s="90" t="s">
        <v>8394</v>
      </c>
      <c r="N18" s="90" t="s">
        <v>8394</v>
      </c>
    </row>
    <row r="19" spans="1:14" x14ac:dyDescent="0.25">
      <c r="A19" s="127"/>
      <c r="B19" s="99">
        <f>Daily!B184</f>
        <v>45399</v>
      </c>
      <c r="C19" s="27">
        <f>Daily!C184</f>
        <v>45399</v>
      </c>
      <c r="D19" s="90"/>
      <c r="J19" s="90">
        <f t="shared" si="0"/>
        <v>16</v>
      </c>
      <c r="K19" s="90" t="s">
        <v>33</v>
      </c>
      <c r="L19" s="90" t="s">
        <v>8394</v>
      </c>
      <c r="M19" s="90"/>
      <c r="N19" s="90" t="s">
        <v>8394</v>
      </c>
    </row>
    <row r="20" spans="1:14" x14ac:dyDescent="0.25">
      <c r="A20" s="127"/>
      <c r="B20" s="99">
        <f>Daily!B185</f>
        <v>45400</v>
      </c>
      <c r="C20" s="27">
        <f>Daily!C185</f>
        <v>45400</v>
      </c>
      <c r="D20" s="90"/>
      <c r="J20" s="90">
        <f t="shared" si="0"/>
        <v>17</v>
      </c>
      <c r="K20" s="90" t="s">
        <v>47</v>
      </c>
      <c r="L20" s="90" t="s">
        <v>8394</v>
      </c>
      <c r="M20" s="90" t="s">
        <v>8394</v>
      </c>
      <c r="N20" s="90" t="s">
        <v>8394</v>
      </c>
    </row>
    <row r="21" spans="1:14" x14ac:dyDescent="0.25">
      <c r="A21" s="127"/>
      <c r="B21" s="99">
        <f>Daily!B186</f>
        <v>45401</v>
      </c>
      <c r="C21" s="27">
        <f>Daily!C186</f>
        <v>45401</v>
      </c>
      <c r="D21" s="90"/>
      <c r="J21" s="90">
        <f t="shared" si="0"/>
        <v>18</v>
      </c>
      <c r="K21" s="90" t="s">
        <v>8341</v>
      </c>
      <c r="L21" s="90" t="s">
        <v>8394</v>
      </c>
      <c r="M21" s="90" t="s">
        <v>8394</v>
      </c>
      <c r="N21" s="90" t="s">
        <v>8394</v>
      </c>
    </row>
    <row r="22" spans="1:14" x14ac:dyDescent="0.25">
      <c r="A22" s="127"/>
      <c r="B22" s="99">
        <f>Daily!B187</f>
        <v>45402</v>
      </c>
      <c r="C22" s="27">
        <f>Daily!C187</f>
        <v>45402</v>
      </c>
      <c r="D22" s="90"/>
      <c r="J22" s="90">
        <v>19</v>
      </c>
      <c r="K22" s="90" t="s">
        <v>8140</v>
      </c>
      <c r="L22" s="90" t="s">
        <v>8394</v>
      </c>
      <c r="M22" s="90"/>
      <c r="N22" s="90" t="s">
        <v>8394</v>
      </c>
    </row>
    <row r="23" spans="1:14" x14ac:dyDescent="0.25">
      <c r="A23" s="127"/>
      <c r="B23" s="99">
        <f>Daily!B188</f>
        <v>45403</v>
      </c>
      <c r="C23" s="27">
        <f>Daily!C188</f>
        <v>45403</v>
      </c>
      <c r="D23" s="90"/>
      <c r="J23" s="90">
        <v>20</v>
      </c>
      <c r="K23" s="90" t="s">
        <v>8143</v>
      </c>
      <c r="L23" s="90" t="s">
        <v>8394</v>
      </c>
      <c r="M23" s="90"/>
      <c r="N23" s="90" t="s">
        <v>8394</v>
      </c>
    </row>
    <row r="24" spans="1:14" x14ac:dyDescent="0.25">
      <c r="A24" s="127">
        <f>Daily!A189</f>
        <v>27</v>
      </c>
      <c r="B24" s="99">
        <f>Daily!B189</f>
        <v>45404</v>
      </c>
      <c r="C24" s="27">
        <f>Daily!C189</f>
        <v>45404</v>
      </c>
      <c r="D24" s="90"/>
      <c r="J24" s="90">
        <v>21</v>
      </c>
      <c r="K24" s="90" t="s">
        <v>8223</v>
      </c>
      <c r="L24" s="90" t="s">
        <v>8394</v>
      </c>
      <c r="M24" s="90" t="s">
        <v>8394</v>
      </c>
      <c r="N24" s="90" t="s">
        <v>8394</v>
      </c>
    </row>
    <row r="25" spans="1:14" x14ac:dyDescent="0.25">
      <c r="A25" s="127"/>
      <c r="B25" s="99">
        <f>Daily!B190</f>
        <v>45405</v>
      </c>
      <c r="C25" s="27">
        <f>Daily!C190</f>
        <v>45405</v>
      </c>
      <c r="D25" s="90"/>
      <c r="J25" s="90">
        <v>22</v>
      </c>
      <c r="K25" s="90" t="s">
        <v>8148</v>
      </c>
      <c r="L25" s="90" t="s">
        <v>8394</v>
      </c>
      <c r="M25" s="90"/>
      <c r="N25" s="90" t="s">
        <v>8394</v>
      </c>
    </row>
    <row r="26" spans="1:14" x14ac:dyDescent="0.25">
      <c r="A26" s="127"/>
      <c r="B26" s="99">
        <f>Daily!B191</f>
        <v>45406</v>
      </c>
      <c r="C26" s="27">
        <f>Daily!C191</f>
        <v>45406</v>
      </c>
      <c r="D26" s="90"/>
      <c r="J26" s="90">
        <v>23</v>
      </c>
      <c r="K26" s="90" t="s">
        <v>109</v>
      </c>
      <c r="L26" s="90" t="s">
        <v>8394</v>
      </c>
      <c r="M26" s="90" t="s">
        <v>8394</v>
      </c>
      <c r="N26" s="90"/>
    </row>
    <row r="27" spans="1:14" x14ac:dyDescent="0.25">
      <c r="A27" s="127"/>
      <c r="B27" s="99">
        <f>Daily!B192</f>
        <v>45407</v>
      </c>
      <c r="C27" s="27">
        <f>Daily!C192</f>
        <v>45407</v>
      </c>
      <c r="D27" s="90"/>
      <c r="J27" s="90">
        <v>24</v>
      </c>
      <c r="K27" s="90" t="s">
        <v>30</v>
      </c>
      <c r="L27" s="90" t="s">
        <v>8394</v>
      </c>
      <c r="M27" s="90" t="s">
        <v>8394</v>
      </c>
      <c r="N27" s="90" t="s">
        <v>8394</v>
      </c>
    </row>
    <row r="28" spans="1:14" x14ac:dyDescent="0.25">
      <c r="A28" s="127"/>
      <c r="B28" s="99">
        <f>Daily!B193</f>
        <v>45408</v>
      </c>
      <c r="C28" s="27">
        <f>Daily!C193</f>
        <v>45408</v>
      </c>
      <c r="D28" s="90"/>
      <c r="J28" s="90">
        <v>25</v>
      </c>
      <c r="K28" s="90" t="s">
        <v>7831</v>
      </c>
      <c r="L28" s="90" t="s">
        <v>8394</v>
      </c>
      <c r="M28" s="90" t="s">
        <v>8394</v>
      </c>
      <c r="N28" s="90" t="s">
        <v>8394</v>
      </c>
    </row>
    <row r="29" spans="1:14" x14ac:dyDescent="0.25">
      <c r="A29" s="127"/>
      <c r="B29" s="99">
        <f>Daily!B194</f>
        <v>45409</v>
      </c>
      <c r="C29" s="27">
        <f>Daily!C194</f>
        <v>45409</v>
      </c>
      <c r="D29" s="90"/>
      <c r="J29" s="90">
        <v>26</v>
      </c>
      <c r="K29" s="90" t="s">
        <v>8157</v>
      </c>
      <c r="L29" s="90" t="s">
        <v>8394</v>
      </c>
      <c r="M29" s="90" t="s">
        <v>8394</v>
      </c>
      <c r="N29" s="90" t="s">
        <v>8394</v>
      </c>
    </row>
    <row r="30" spans="1:14" x14ac:dyDescent="0.25">
      <c r="A30" s="127"/>
      <c r="B30" s="99">
        <f>Daily!B195</f>
        <v>45410</v>
      </c>
      <c r="C30" s="27">
        <f>Daily!C195</f>
        <v>45410</v>
      </c>
      <c r="D30" s="90"/>
      <c r="J30" s="90">
        <v>27</v>
      </c>
      <c r="K30" s="90" t="s">
        <v>8328</v>
      </c>
      <c r="L30" s="90" t="s">
        <v>8394</v>
      </c>
      <c r="M30" s="90" t="s">
        <v>8394</v>
      </c>
      <c r="N30" s="90" t="s">
        <v>8394</v>
      </c>
    </row>
    <row r="31" spans="1:14" x14ac:dyDescent="0.25">
      <c r="A31" s="127">
        <f>Daily!A196</f>
        <v>28</v>
      </c>
      <c r="B31" s="99">
        <f>Daily!B196</f>
        <v>45411</v>
      </c>
      <c r="C31" s="27">
        <f>Daily!C196</f>
        <v>45411</v>
      </c>
      <c r="D31" s="90"/>
      <c r="J31" s="90">
        <v>28</v>
      </c>
      <c r="K31" s="90" t="s">
        <v>8400</v>
      </c>
      <c r="L31" s="90"/>
      <c r="M31" s="90"/>
      <c r="N31" s="90" t="s">
        <v>8394</v>
      </c>
    </row>
    <row r="32" spans="1:14" x14ac:dyDescent="0.25">
      <c r="A32" s="127"/>
      <c r="B32" s="99">
        <f>Daily!B197</f>
        <v>45412</v>
      </c>
      <c r="C32" s="27">
        <f>Daily!C197</f>
        <v>45412</v>
      </c>
      <c r="D32" s="90"/>
      <c r="J32" s="90">
        <v>29</v>
      </c>
      <c r="K32" s="90" t="s">
        <v>8401</v>
      </c>
      <c r="L32" s="90"/>
      <c r="M32" s="90"/>
      <c r="N32" s="90" t="s">
        <v>8394</v>
      </c>
    </row>
    <row r="33" spans="1:14" x14ac:dyDescent="0.25">
      <c r="A33" s="127"/>
      <c r="B33" s="99">
        <f>Daily!B198</f>
        <v>45413</v>
      </c>
      <c r="C33" s="27">
        <f>Daily!C198</f>
        <v>45413</v>
      </c>
      <c r="D33" s="90"/>
      <c r="J33" s="90">
        <v>30</v>
      </c>
      <c r="K33" s="90" t="s">
        <v>64</v>
      </c>
      <c r="L33" s="90"/>
      <c r="M33" s="90" t="s">
        <v>8394</v>
      </c>
      <c r="N33" s="90"/>
    </row>
    <row r="34" spans="1:14" x14ac:dyDescent="0.25">
      <c r="A34" s="127"/>
      <c r="B34" s="99">
        <f>Daily!B199</f>
        <v>45414</v>
      </c>
      <c r="C34" s="27">
        <f>Daily!C199</f>
        <v>45414</v>
      </c>
      <c r="D34" s="90"/>
      <c r="J34" s="90">
        <v>31</v>
      </c>
      <c r="K34" s="90" t="s">
        <v>8396</v>
      </c>
      <c r="L34" s="90"/>
      <c r="M34" s="90" t="s">
        <v>8394</v>
      </c>
      <c r="N34" s="90"/>
    </row>
    <row r="35" spans="1:14" x14ac:dyDescent="0.25">
      <c r="A35" s="127"/>
      <c r="B35" s="99">
        <f>Daily!B200</f>
        <v>45415</v>
      </c>
      <c r="C35" s="27">
        <f>Daily!C200</f>
        <v>45415</v>
      </c>
      <c r="D35" s="90"/>
      <c r="J35" s="90">
        <v>32</v>
      </c>
      <c r="K35" s="90" t="s">
        <v>8318</v>
      </c>
      <c r="L35" s="90" t="s">
        <v>8394</v>
      </c>
      <c r="M35" s="90"/>
      <c r="N35" s="90"/>
    </row>
    <row r="36" spans="1:14" x14ac:dyDescent="0.25">
      <c r="A36" s="127"/>
      <c r="B36" s="99">
        <f>Daily!B201</f>
        <v>45416</v>
      </c>
      <c r="C36" s="27">
        <f>Daily!C201</f>
        <v>45416</v>
      </c>
      <c r="D36" s="90"/>
      <c r="J36" s="90">
        <v>33</v>
      </c>
      <c r="K36" s="90" t="s">
        <v>85</v>
      </c>
      <c r="L36" s="90"/>
      <c r="M36" s="90" t="s">
        <v>8394</v>
      </c>
      <c r="N36" s="90"/>
    </row>
    <row r="37" spans="1:14" x14ac:dyDescent="0.25">
      <c r="A37" s="127"/>
      <c r="B37" s="99">
        <f>Daily!B202</f>
        <v>45417</v>
      </c>
      <c r="C37" s="27">
        <f>Daily!C202</f>
        <v>45417</v>
      </c>
      <c r="D37" s="90"/>
      <c r="J37" s="90">
        <v>34</v>
      </c>
      <c r="K37" s="90" t="s">
        <v>8335</v>
      </c>
      <c r="L37" s="90" t="s">
        <v>8394</v>
      </c>
      <c r="M37" s="90"/>
      <c r="N37" s="90"/>
    </row>
    <row r="38" spans="1:14" x14ac:dyDescent="0.25">
      <c r="A38" s="127">
        <f>Daily!A203</f>
        <v>29</v>
      </c>
      <c r="B38" s="99">
        <f>Daily!B203</f>
        <v>45418</v>
      </c>
      <c r="C38" s="27">
        <f>Daily!C203</f>
        <v>45418</v>
      </c>
      <c r="D38" s="90"/>
    </row>
    <row r="39" spans="1:14" x14ac:dyDescent="0.25">
      <c r="A39" s="127"/>
      <c r="B39" s="99">
        <f>Daily!B204</f>
        <v>45419</v>
      </c>
      <c r="C39" s="27">
        <f>Daily!C204</f>
        <v>45419</v>
      </c>
      <c r="D39" s="90"/>
    </row>
    <row r="40" spans="1:14" x14ac:dyDescent="0.25">
      <c r="A40" s="127"/>
      <c r="B40" s="99">
        <f>Daily!B205</f>
        <v>45420</v>
      </c>
      <c r="C40" s="27">
        <f>Daily!C205</f>
        <v>45420</v>
      </c>
      <c r="D40" s="90"/>
    </row>
    <row r="41" spans="1:14" x14ac:dyDescent="0.25">
      <c r="A41" s="127"/>
      <c r="B41" s="99">
        <f>Daily!B206</f>
        <v>45421</v>
      </c>
      <c r="C41" s="27">
        <f>Daily!C206</f>
        <v>45421</v>
      </c>
      <c r="D41" s="90"/>
    </row>
    <row r="42" spans="1:14" x14ac:dyDescent="0.25">
      <c r="A42" s="127"/>
      <c r="B42" s="99">
        <f>Daily!B207</f>
        <v>45422</v>
      </c>
      <c r="C42" s="27">
        <f>Daily!C207</f>
        <v>45422</v>
      </c>
      <c r="D42" s="90"/>
    </row>
    <row r="43" spans="1:14" x14ac:dyDescent="0.25">
      <c r="A43" s="127"/>
      <c r="B43" s="99">
        <f>Daily!B208</f>
        <v>45423</v>
      </c>
      <c r="C43" s="27">
        <f>Daily!C208</f>
        <v>45423</v>
      </c>
      <c r="D43" s="90"/>
    </row>
    <row r="44" spans="1:14" x14ac:dyDescent="0.25">
      <c r="A44" s="127"/>
      <c r="B44" s="99">
        <f>Daily!B209</f>
        <v>45424</v>
      </c>
      <c r="C44" s="27">
        <f>Daily!C209</f>
        <v>45424</v>
      </c>
      <c r="D44" s="90"/>
    </row>
    <row r="45" spans="1:14" x14ac:dyDescent="0.25">
      <c r="A45" s="127">
        <f>Daily!A210</f>
        <v>30</v>
      </c>
      <c r="B45" s="99">
        <f>Daily!B210</f>
        <v>45425</v>
      </c>
      <c r="C45" s="27">
        <f>Daily!C210</f>
        <v>45425</v>
      </c>
      <c r="D45" s="90"/>
    </row>
    <row r="46" spans="1:14" x14ac:dyDescent="0.25">
      <c r="A46" s="127"/>
      <c r="B46" s="99">
        <f>Daily!B211</f>
        <v>45426</v>
      </c>
      <c r="C46" s="27">
        <f>Daily!C211</f>
        <v>45426</v>
      </c>
      <c r="D46" s="90"/>
    </row>
    <row r="47" spans="1:14" x14ac:dyDescent="0.25">
      <c r="A47" s="127"/>
      <c r="B47" s="99">
        <f>Daily!B212</f>
        <v>45427</v>
      </c>
      <c r="C47" s="27">
        <f>Daily!C212</f>
        <v>45427</v>
      </c>
      <c r="D47" s="90"/>
    </row>
    <row r="48" spans="1:14" x14ac:dyDescent="0.25">
      <c r="A48" s="127"/>
      <c r="B48" s="99">
        <f>Daily!B213</f>
        <v>45428</v>
      </c>
      <c r="C48" s="27">
        <f>Daily!C213</f>
        <v>45428</v>
      </c>
      <c r="D48" s="90"/>
    </row>
    <row r="49" spans="1:4" x14ac:dyDescent="0.25">
      <c r="A49" s="127"/>
      <c r="B49" s="99">
        <f>Daily!B214</f>
        <v>45429</v>
      </c>
      <c r="C49" s="27">
        <f>Daily!C214</f>
        <v>45429</v>
      </c>
      <c r="D49" s="90"/>
    </row>
    <row r="50" spans="1:4" x14ac:dyDescent="0.25">
      <c r="A50" s="127"/>
      <c r="B50" s="99">
        <f>Daily!B215</f>
        <v>45430</v>
      </c>
      <c r="C50" s="27">
        <f>Daily!C215</f>
        <v>45430</v>
      </c>
      <c r="D50" s="90"/>
    </row>
    <row r="51" spans="1:4" x14ac:dyDescent="0.25">
      <c r="A51" s="127"/>
      <c r="B51" s="99">
        <f>Daily!B216</f>
        <v>45431</v>
      </c>
      <c r="C51" s="27">
        <f>Daily!C216</f>
        <v>45431</v>
      </c>
      <c r="D51" s="90"/>
    </row>
    <row r="52" spans="1:4" x14ac:dyDescent="0.25">
      <c r="A52" s="127">
        <f>Daily!A217</f>
        <v>31</v>
      </c>
      <c r="B52" s="99">
        <f>Daily!B217</f>
        <v>45432</v>
      </c>
      <c r="C52" s="27">
        <f>Daily!C217</f>
        <v>45432</v>
      </c>
      <c r="D52" s="90"/>
    </row>
    <row r="53" spans="1:4" x14ac:dyDescent="0.25">
      <c r="A53" s="127"/>
      <c r="B53" s="99">
        <f>Daily!B218</f>
        <v>45433</v>
      </c>
      <c r="C53" s="27">
        <f>Daily!C218</f>
        <v>45433</v>
      </c>
      <c r="D53" s="90"/>
    </row>
    <row r="54" spans="1:4" x14ac:dyDescent="0.25">
      <c r="A54" s="127"/>
      <c r="B54" s="99">
        <f>Daily!B219</f>
        <v>45434</v>
      </c>
      <c r="C54" s="27">
        <f>Daily!C219</f>
        <v>45434</v>
      </c>
      <c r="D54" s="90"/>
    </row>
    <row r="55" spans="1:4" x14ac:dyDescent="0.25">
      <c r="A55" s="127"/>
      <c r="B55" s="99">
        <f>Daily!B220</f>
        <v>45435</v>
      </c>
      <c r="C55" s="27">
        <f>Daily!C220</f>
        <v>45435</v>
      </c>
      <c r="D55" s="90"/>
    </row>
    <row r="56" spans="1:4" x14ac:dyDescent="0.25">
      <c r="A56" s="127"/>
      <c r="B56" s="99">
        <f>Daily!B221</f>
        <v>45436</v>
      </c>
      <c r="C56" s="27">
        <f>Daily!C221</f>
        <v>45436</v>
      </c>
      <c r="D56" s="90"/>
    </row>
    <row r="57" spans="1:4" x14ac:dyDescent="0.25">
      <c r="A57" s="127"/>
      <c r="B57" s="99">
        <f>Daily!B222</f>
        <v>45437</v>
      </c>
      <c r="C57" s="27">
        <f>Daily!C222</f>
        <v>45437</v>
      </c>
      <c r="D57" s="90"/>
    </row>
    <row r="58" spans="1:4" x14ac:dyDescent="0.25">
      <c r="A58" s="127"/>
      <c r="B58" s="99">
        <f>Daily!B223</f>
        <v>45438</v>
      </c>
      <c r="C58" s="27">
        <f>Daily!C223</f>
        <v>45438</v>
      </c>
      <c r="D58" s="90"/>
    </row>
    <row r="59" spans="1:4" x14ac:dyDescent="0.25">
      <c r="A59" s="127">
        <f>Daily!A224</f>
        <v>32</v>
      </c>
      <c r="B59" s="99">
        <f>Daily!B224</f>
        <v>45439</v>
      </c>
      <c r="C59" s="27">
        <f>Daily!C224</f>
        <v>45439</v>
      </c>
      <c r="D59" s="90"/>
    </row>
    <row r="60" spans="1:4" x14ac:dyDescent="0.25">
      <c r="A60" s="127"/>
      <c r="B60" s="99">
        <f>Daily!B225</f>
        <v>45440</v>
      </c>
      <c r="C60" s="27">
        <f>Daily!C225</f>
        <v>45440</v>
      </c>
      <c r="D60" s="90"/>
    </row>
    <row r="61" spans="1:4" x14ac:dyDescent="0.25">
      <c r="A61" s="127"/>
      <c r="B61" s="99">
        <f>Daily!B226</f>
        <v>45441</v>
      </c>
      <c r="C61" s="27">
        <f>Daily!C226</f>
        <v>45441</v>
      </c>
      <c r="D61" s="90"/>
    </row>
    <row r="62" spans="1:4" x14ac:dyDescent="0.25">
      <c r="A62" s="127"/>
      <c r="B62" s="99">
        <f>Daily!B227</f>
        <v>45442</v>
      </c>
      <c r="C62" s="27">
        <f>Daily!C227</f>
        <v>45442</v>
      </c>
      <c r="D62" s="90"/>
    </row>
    <row r="63" spans="1:4" x14ac:dyDescent="0.25">
      <c r="A63" s="127"/>
      <c r="B63" s="99">
        <f>Daily!B228</f>
        <v>45443</v>
      </c>
      <c r="C63" s="27">
        <f>Daily!C228</f>
        <v>45443</v>
      </c>
      <c r="D63" s="90"/>
    </row>
    <row r="64" spans="1:4" x14ac:dyDescent="0.25">
      <c r="A64" s="127"/>
      <c r="B64" s="99">
        <f>Daily!B229</f>
        <v>45444</v>
      </c>
      <c r="C64" s="27">
        <f>Daily!C229</f>
        <v>45444</v>
      </c>
      <c r="D64" s="90"/>
    </row>
    <row r="65" spans="1:4" x14ac:dyDescent="0.25">
      <c r="A65" s="127"/>
      <c r="B65" s="99">
        <f>Daily!B230</f>
        <v>45445</v>
      </c>
      <c r="C65" s="27">
        <f>Daily!C230</f>
        <v>45445</v>
      </c>
      <c r="D65" s="90"/>
    </row>
    <row r="66" spans="1:4" x14ac:dyDescent="0.25">
      <c r="A66" s="127">
        <f>Daily!A231</f>
        <v>33</v>
      </c>
      <c r="B66" s="99">
        <f>Daily!B231</f>
        <v>45446</v>
      </c>
      <c r="C66" s="27">
        <f>Daily!C231</f>
        <v>45446</v>
      </c>
      <c r="D66" s="90"/>
    </row>
    <row r="67" spans="1:4" x14ac:dyDescent="0.25">
      <c r="A67" s="127"/>
      <c r="B67" s="99">
        <f>Daily!B232</f>
        <v>45447</v>
      </c>
      <c r="C67" s="27">
        <f>Daily!C232</f>
        <v>45447</v>
      </c>
      <c r="D67" s="90"/>
    </row>
    <row r="68" spans="1:4" x14ac:dyDescent="0.25">
      <c r="A68" s="127"/>
      <c r="B68" s="99">
        <f>Daily!B233</f>
        <v>45448</v>
      </c>
      <c r="C68" s="27">
        <f>Daily!C233</f>
        <v>45448</v>
      </c>
      <c r="D68" s="90"/>
    </row>
    <row r="69" spans="1:4" x14ac:dyDescent="0.25">
      <c r="A69" s="127"/>
      <c r="B69" s="99">
        <f>Daily!B234</f>
        <v>45449</v>
      </c>
      <c r="C69" s="27">
        <f>Daily!C234</f>
        <v>45449</v>
      </c>
      <c r="D69" s="90"/>
    </row>
    <row r="70" spans="1:4" x14ac:dyDescent="0.25">
      <c r="A70" s="127"/>
      <c r="B70" s="99">
        <f>Daily!B235</f>
        <v>45450</v>
      </c>
      <c r="C70" s="27">
        <f>Daily!C235</f>
        <v>45450</v>
      </c>
      <c r="D70" s="90"/>
    </row>
    <row r="71" spans="1:4" x14ac:dyDescent="0.25">
      <c r="A71" s="127"/>
      <c r="B71" s="99">
        <f>Daily!B236</f>
        <v>45451</v>
      </c>
      <c r="C71" s="27">
        <f>Daily!C236</f>
        <v>45451</v>
      </c>
      <c r="D71" s="90"/>
    </row>
    <row r="72" spans="1:4" x14ac:dyDescent="0.25">
      <c r="A72" s="127"/>
      <c r="B72" s="99">
        <f>Daily!B237</f>
        <v>45452</v>
      </c>
      <c r="C72" s="27">
        <f>Daily!C237</f>
        <v>45452</v>
      </c>
      <c r="D72" s="90"/>
    </row>
    <row r="73" spans="1:4" x14ac:dyDescent="0.25">
      <c r="A73" s="127">
        <f>Daily!A238</f>
        <v>34</v>
      </c>
      <c r="B73" s="99">
        <f>Daily!B238</f>
        <v>45453</v>
      </c>
      <c r="C73" s="27">
        <f>Daily!C238</f>
        <v>45453</v>
      </c>
      <c r="D73" s="90"/>
    </row>
    <row r="74" spans="1:4" x14ac:dyDescent="0.25">
      <c r="A74" s="127"/>
      <c r="B74" s="99">
        <f>Daily!B239</f>
        <v>45454</v>
      </c>
      <c r="C74" s="27">
        <f>Daily!C239</f>
        <v>45454</v>
      </c>
      <c r="D74" s="90"/>
    </row>
    <row r="75" spans="1:4" x14ac:dyDescent="0.25">
      <c r="A75" s="127"/>
      <c r="B75" s="99">
        <f>Daily!B240</f>
        <v>45455</v>
      </c>
      <c r="C75" s="27">
        <f>Daily!C240</f>
        <v>45455</v>
      </c>
      <c r="D75" s="90"/>
    </row>
    <row r="76" spans="1:4" x14ac:dyDescent="0.25">
      <c r="A76" s="127"/>
      <c r="B76" s="99">
        <f>Daily!B241</f>
        <v>45456</v>
      </c>
      <c r="C76" s="27">
        <f>Daily!C241</f>
        <v>45456</v>
      </c>
      <c r="D76" s="90"/>
    </row>
    <row r="77" spans="1:4" x14ac:dyDescent="0.25">
      <c r="A77" s="127"/>
      <c r="B77" s="99">
        <f>Daily!B242</f>
        <v>45457</v>
      </c>
      <c r="C77" s="27">
        <f>Daily!C242</f>
        <v>45457</v>
      </c>
      <c r="D77" s="90"/>
    </row>
    <row r="78" spans="1:4" x14ac:dyDescent="0.25">
      <c r="A78" s="127"/>
      <c r="B78" s="99">
        <f>Daily!B243</f>
        <v>45458</v>
      </c>
      <c r="C78" s="27">
        <f>Daily!C243</f>
        <v>45458</v>
      </c>
      <c r="D78" s="90"/>
    </row>
    <row r="79" spans="1:4" x14ac:dyDescent="0.25">
      <c r="A79" s="127"/>
      <c r="B79" s="99">
        <f>Daily!B244</f>
        <v>45459</v>
      </c>
      <c r="C79" s="27">
        <f>Daily!C244</f>
        <v>45459</v>
      </c>
      <c r="D79" s="90"/>
    </row>
    <row r="80" spans="1:4" x14ac:dyDescent="0.25">
      <c r="A80" s="127">
        <f>Daily!A245</f>
        <v>35</v>
      </c>
      <c r="B80" s="99">
        <f>Daily!B245</f>
        <v>45460</v>
      </c>
      <c r="C80" s="27">
        <f>Daily!C245</f>
        <v>45460</v>
      </c>
      <c r="D80" s="90"/>
    </row>
    <row r="81" spans="1:4" x14ac:dyDescent="0.25">
      <c r="A81" s="127"/>
      <c r="B81" s="99">
        <f>Daily!B246</f>
        <v>45461</v>
      </c>
      <c r="C81" s="27">
        <f>Daily!C246</f>
        <v>45461</v>
      </c>
      <c r="D81" s="90"/>
    </row>
    <row r="82" spans="1:4" x14ac:dyDescent="0.25">
      <c r="A82" s="127"/>
      <c r="B82" s="99">
        <f>Daily!B247</f>
        <v>45462</v>
      </c>
      <c r="C82" s="27">
        <f>Daily!C247</f>
        <v>45462</v>
      </c>
      <c r="D82" s="90"/>
    </row>
    <row r="83" spans="1:4" x14ac:dyDescent="0.25">
      <c r="A83" s="127"/>
      <c r="B83" s="99">
        <f>Daily!B248</f>
        <v>45463</v>
      </c>
      <c r="C83" s="27">
        <f>Daily!C248</f>
        <v>45463</v>
      </c>
      <c r="D83" s="90"/>
    </row>
    <row r="84" spans="1:4" x14ac:dyDescent="0.25">
      <c r="A84" s="127"/>
      <c r="B84" s="99">
        <f>Daily!B249</f>
        <v>45464</v>
      </c>
      <c r="C84" s="27">
        <f>Daily!C249</f>
        <v>45464</v>
      </c>
      <c r="D84" s="90"/>
    </row>
    <row r="85" spans="1:4" x14ac:dyDescent="0.25">
      <c r="A85" s="127"/>
      <c r="B85" s="99">
        <f>Daily!B250</f>
        <v>45465</v>
      </c>
      <c r="C85" s="27">
        <f>Daily!C250</f>
        <v>45465</v>
      </c>
      <c r="D85" s="90"/>
    </row>
    <row r="86" spans="1:4" x14ac:dyDescent="0.25">
      <c r="A86" s="127"/>
      <c r="B86" s="99">
        <f>Daily!B251</f>
        <v>45466</v>
      </c>
      <c r="C86" s="27">
        <f>Daily!C251</f>
        <v>45466</v>
      </c>
      <c r="D86" s="90"/>
    </row>
    <row r="87" spans="1:4" x14ac:dyDescent="0.25">
      <c r="A87" s="127">
        <f>Daily!A252</f>
        <v>36</v>
      </c>
      <c r="B87" s="99">
        <f>Daily!B252</f>
        <v>45467</v>
      </c>
      <c r="C87" s="27">
        <f>Daily!C252</f>
        <v>45467</v>
      </c>
      <c r="D87" s="90"/>
    </row>
    <row r="88" spans="1:4" x14ac:dyDescent="0.25">
      <c r="A88" s="127"/>
      <c r="B88" s="99">
        <f>Daily!B253</f>
        <v>45468</v>
      </c>
      <c r="C88" s="27">
        <f>Daily!C253</f>
        <v>45468</v>
      </c>
      <c r="D88" s="90"/>
    </row>
    <row r="89" spans="1:4" x14ac:dyDescent="0.25">
      <c r="A89" s="127"/>
      <c r="B89" s="99">
        <f>Daily!B254</f>
        <v>45469</v>
      </c>
      <c r="C89" s="27">
        <f>Daily!C254</f>
        <v>45469</v>
      </c>
      <c r="D89" s="90"/>
    </row>
    <row r="90" spans="1:4" x14ac:dyDescent="0.25">
      <c r="A90" s="127"/>
      <c r="B90" s="99">
        <f>Daily!B255</f>
        <v>45470</v>
      </c>
      <c r="C90" s="27">
        <f>Daily!C255</f>
        <v>45470</v>
      </c>
      <c r="D90" s="90"/>
    </row>
    <row r="91" spans="1:4" x14ac:dyDescent="0.25">
      <c r="A91" s="127"/>
      <c r="B91" s="99">
        <f>Daily!B256</f>
        <v>45471</v>
      </c>
      <c r="C91" s="27">
        <f>Daily!C256</f>
        <v>45471</v>
      </c>
      <c r="D91" s="90"/>
    </row>
    <row r="92" spans="1:4" x14ac:dyDescent="0.25">
      <c r="A92" s="127"/>
      <c r="B92" s="99">
        <f>Daily!B257</f>
        <v>45472</v>
      </c>
      <c r="C92" s="27">
        <f>Daily!C257</f>
        <v>45472</v>
      </c>
      <c r="D92" s="90"/>
    </row>
    <row r="93" spans="1:4" x14ac:dyDescent="0.25">
      <c r="A93" s="127"/>
      <c r="B93" s="99">
        <f>Daily!B258</f>
        <v>45473</v>
      </c>
      <c r="C93" s="27">
        <f>Daily!C258</f>
        <v>45473</v>
      </c>
      <c r="D93" s="90"/>
    </row>
    <row r="94" spans="1:4" x14ac:dyDescent="0.25">
      <c r="A94" s="127">
        <f>Daily!A259</f>
        <v>37</v>
      </c>
      <c r="B94" s="99">
        <f>Daily!B259</f>
        <v>45474</v>
      </c>
      <c r="C94" s="27">
        <f>Daily!C259</f>
        <v>45474</v>
      </c>
      <c r="D94" s="90"/>
    </row>
    <row r="95" spans="1:4" x14ac:dyDescent="0.25">
      <c r="A95" s="127"/>
      <c r="B95" s="99">
        <f>Daily!B260</f>
        <v>45475</v>
      </c>
      <c r="C95" s="27">
        <f>Daily!C260</f>
        <v>45475</v>
      </c>
      <c r="D95" s="90"/>
    </row>
    <row r="96" spans="1:4" x14ac:dyDescent="0.25">
      <c r="A96" s="127"/>
      <c r="B96" s="99">
        <f>Daily!B261</f>
        <v>45476</v>
      </c>
      <c r="C96" s="27">
        <f>Daily!C261</f>
        <v>45476</v>
      </c>
      <c r="D96" s="90"/>
    </row>
    <row r="97" spans="1:4" x14ac:dyDescent="0.25">
      <c r="A97" s="127"/>
      <c r="B97" s="99">
        <f>Daily!B262</f>
        <v>45477</v>
      </c>
      <c r="C97" s="27">
        <f>Daily!C262</f>
        <v>45477</v>
      </c>
      <c r="D97" s="90"/>
    </row>
    <row r="98" spans="1:4" x14ac:dyDescent="0.25">
      <c r="A98" s="127"/>
      <c r="B98" s="99">
        <f>Daily!B263</f>
        <v>45478</v>
      </c>
      <c r="C98" s="27">
        <f>Daily!C263</f>
        <v>45478</v>
      </c>
      <c r="D98" s="90"/>
    </row>
    <row r="99" spans="1:4" x14ac:dyDescent="0.25">
      <c r="A99" s="127"/>
      <c r="B99" s="99">
        <f>Daily!B264</f>
        <v>45479</v>
      </c>
      <c r="C99" s="27">
        <f>Daily!C264</f>
        <v>45479</v>
      </c>
      <c r="D99" s="90"/>
    </row>
    <row r="100" spans="1:4" x14ac:dyDescent="0.25">
      <c r="A100" s="127"/>
      <c r="B100" s="99">
        <f>Daily!B265</f>
        <v>45480</v>
      </c>
      <c r="C100" s="27">
        <f>Daily!C265</f>
        <v>45480</v>
      </c>
      <c r="D100" s="90"/>
    </row>
    <row r="101" spans="1:4" x14ac:dyDescent="0.25">
      <c r="A101" s="127">
        <f>Daily!A266</f>
        <v>38</v>
      </c>
      <c r="B101" s="99">
        <f>Daily!B266</f>
        <v>45481</v>
      </c>
      <c r="C101" s="27">
        <f>Daily!C266</f>
        <v>45481</v>
      </c>
      <c r="D101" s="90"/>
    </row>
    <row r="102" spans="1:4" x14ac:dyDescent="0.25">
      <c r="A102" s="127"/>
      <c r="B102" s="99">
        <f>Daily!B267</f>
        <v>45482</v>
      </c>
      <c r="C102" s="27">
        <f>Daily!C267</f>
        <v>45482</v>
      </c>
      <c r="D102" s="90"/>
    </row>
    <row r="103" spans="1:4" x14ac:dyDescent="0.25">
      <c r="A103" s="127"/>
      <c r="B103" s="99">
        <f>Daily!B268</f>
        <v>45483</v>
      </c>
      <c r="C103" s="27">
        <f>Daily!C268</f>
        <v>45483</v>
      </c>
      <c r="D103" s="90"/>
    </row>
    <row r="104" spans="1:4" x14ac:dyDescent="0.25">
      <c r="A104" s="127"/>
      <c r="B104" s="99">
        <f>Daily!B269</f>
        <v>45484</v>
      </c>
      <c r="C104" s="27">
        <f>Daily!C269</f>
        <v>45484</v>
      </c>
      <c r="D104" s="90"/>
    </row>
    <row r="105" spans="1:4" x14ac:dyDescent="0.25">
      <c r="A105" s="127"/>
      <c r="B105" s="99">
        <f>Daily!B270</f>
        <v>45485</v>
      </c>
      <c r="C105" s="27">
        <f>Daily!C270</f>
        <v>45485</v>
      </c>
      <c r="D105" s="90"/>
    </row>
    <row r="106" spans="1:4" x14ac:dyDescent="0.25">
      <c r="A106" s="127"/>
      <c r="B106" s="99">
        <f>Daily!B271</f>
        <v>45486</v>
      </c>
      <c r="C106" s="27">
        <f>Daily!C271</f>
        <v>45486</v>
      </c>
      <c r="D106" s="90"/>
    </row>
    <row r="107" spans="1:4" x14ac:dyDescent="0.25">
      <c r="A107" s="127"/>
      <c r="B107" s="99">
        <f>Daily!B272</f>
        <v>45487</v>
      </c>
      <c r="C107" s="27">
        <f>Daily!C272</f>
        <v>45487</v>
      </c>
      <c r="D107" s="90"/>
    </row>
    <row r="108" spans="1:4" x14ac:dyDescent="0.25">
      <c r="A108" s="127">
        <f>Daily!A273</f>
        <v>39</v>
      </c>
      <c r="B108" s="99">
        <f>Daily!B273</f>
        <v>45488</v>
      </c>
      <c r="C108" s="27">
        <f>Daily!C273</f>
        <v>45488</v>
      </c>
      <c r="D108" s="90"/>
    </row>
    <row r="109" spans="1:4" x14ac:dyDescent="0.25">
      <c r="A109" s="127"/>
      <c r="B109" s="99">
        <f>Daily!B274</f>
        <v>45489</v>
      </c>
      <c r="C109" s="27">
        <f>Daily!C274</f>
        <v>45489</v>
      </c>
      <c r="D109" s="90"/>
    </row>
    <row r="110" spans="1:4" x14ac:dyDescent="0.25">
      <c r="A110" s="127"/>
      <c r="B110" s="99">
        <f>Daily!B275</f>
        <v>45490</v>
      </c>
      <c r="C110" s="27">
        <f>Daily!C275</f>
        <v>45490</v>
      </c>
      <c r="D110" s="90"/>
    </row>
    <row r="111" spans="1:4" x14ac:dyDescent="0.25">
      <c r="A111" s="127"/>
      <c r="B111" s="99">
        <f>Daily!B276</f>
        <v>45491</v>
      </c>
      <c r="C111" s="27">
        <f>Daily!C276</f>
        <v>45491</v>
      </c>
      <c r="D111" s="90"/>
    </row>
    <row r="112" spans="1:4" x14ac:dyDescent="0.25">
      <c r="A112" s="127"/>
      <c r="B112" s="99">
        <f>Daily!B277</f>
        <v>45492</v>
      </c>
      <c r="C112" s="27">
        <f>Daily!C277</f>
        <v>45492</v>
      </c>
      <c r="D112" s="90"/>
    </row>
    <row r="113" spans="1:4" x14ac:dyDescent="0.25">
      <c r="A113" s="127"/>
      <c r="B113" s="99">
        <f>Daily!B278</f>
        <v>45493</v>
      </c>
      <c r="C113" s="27">
        <f>Daily!C278</f>
        <v>45493</v>
      </c>
      <c r="D113" s="90"/>
    </row>
    <row r="114" spans="1:4" x14ac:dyDescent="0.25">
      <c r="A114" s="127"/>
      <c r="B114" s="99">
        <f>Daily!B279</f>
        <v>45494</v>
      </c>
      <c r="C114" s="27">
        <f>Daily!C279</f>
        <v>45494</v>
      </c>
      <c r="D114" s="90"/>
    </row>
    <row r="115" spans="1:4" x14ac:dyDescent="0.25">
      <c r="A115" s="127">
        <f>Daily!A280</f>
        <v>40</v>
      </c>
      <c r="B115" s="99">
        <f>Daily!B280</f>
        <v>45495</v>
      </c>
      <c r="C115" s="27">
        <f>Daily!C280</f>
        <v>45495</v>
      </c>
      <c r="D115" s="90"/>
    </row>
    <row r="116" spans="1:4" x14ac:dyDescent="0.25">
      <c r="A116" s="127"/>
      <c r="B116" s="99">
        <f>Daily!B281</f>
        <v>45496</v>
      </c>
      <c r="C116" s="27">
        <f>Daily!C281</f>
        <v>45496</v>
      </c>
      <c r="D116" s="90"/>
    </row>
    <row r="117" spans="1:4" x14ac:dyDescent="0.25">
      <c r="A117" s="127"/>
      <c r="B117" s="99">
        <f>Daily!B282</f>
        <v>45497</v>
      </c>
      <c r="C117" s="27">
        <f>Daily!C282</f>
        <v>45497</v>
      </c>
      <c r="D117" s="90"/>
    </row>
    <row r="118" spans="1:4" x14ac:dyDescent="0.25">
      <c r="A118" s="127"/>
      <c r="B118" s="99">
        <f>Daily!B283</f>
        <v>45498</v>
      </c>
      <c r="C118" s="27">
        <f>Daily!C283</f>
        <v>45498</v>
      </c>
      <c r="D118" s="90"/>
    </row>
    <row r="119" spans="1:4" x14ac:dyDescent="0.25">
      <c r="A119" s="127"/>
      <c r="B119" s="99">
        <f>Daily!B284</f>
        <v>45499</v>
      </c>
      <c r="C119" s="27">
        <f>Daily!C284</f>
        <v>45499</v>
      </c>
      <c r="D119" s="90"/>
    </row>
    <row r="120" spans="1:4" x14ac:dyDescent="0.25">
      <c r="A120" s="127"/>
      <c r="B120" s="99">
        <f>Daily!B285</f>
        <v>45500</v>
      </c>
      <c r="C120" s="27">
        <f>Daily!C285</f>
        <v>45500</v>
      </c>
      <c r="D120" s="90"/>
    </row>
    <row r="121" spans="1:4" x14ac:dyDescent="0.25">
      <c r="A121" s="127"/>
      <c r="B121" s="99">
        <f>Daily!B286</f>
        <v>45501</v>
      </c>
      <c r="C121" s="27">
        <f>Daily!C286</f>
        <v>45501</v>
      </c>
      <c r="D121" s="90"/>
    </row>
    <row r="122" spans="1:4" x14ac:dyDescent="0.25">
      <c r="A122" s="127">
        <f>Daily!A287</f>
        <v>41</v>
      </c>
      <c r="B122" s="99">
        <f>Daily!B287</f>
        <v>45502</v>
      </c>
      <c r="C122" s="27">
        <f>Daily!C287</f>
        <v>45502</v>
      </c>
      <c r="D122" s="90"/>
    </row>
    <row r="123" spans="1:4" x14ac:dyDescent="0.25">
      <c r="A123" s="127"/>
      <c r="B123" s="99">
        <f>Daily!B288</f>
        <v>45503</v>
      </c>
      <c r="C123" s="27">
        <f>Daily!C288</f>
        <v>45503</v>
      </c>
      <c r="D123" s="90"/>
    </row>
    <row r="124" spans="1:4" x14ac:dyDescent="0.25">
      <c r="A124" s="127"/>
      <c r="B124" s="99">
        <f>Daily!B289</f>
        <v>45504</v>
      </c>
      <c r="C124" s="27">
        <f>Daily!C289</f>
        <v>45504</v>
      </c>
      <c r="D124" s="90"/>
    </row>
    <row r="125" spans="1:4" x14ac:dyDescent="0.25">
      <c r="A125" s="127"/>
      <c r="B125" s="99">
        <f>Daily!B290</f>
        <v>45505</v>
      </c>
      <c r="C125" s="27">
        <f>Daily!C290</f>
        <v>45505</v>
      </c>
      <c r="D125" s="90"/>
    </row>
    <row r="126" spans="1:4" x14ac:dyDescent="0.25">
      <c r="A126" s="127"/>
      <c r="B126" s="99">
        <f>Daily!B291</f>
        <v>45506</v>
      </c>
      <c r="C126" s="27">
        <f>Daily!C291</f>
        <v>45506</v>
      </c>
      <c r="D126" s="90"/>
    </row>
    <row r="127" spans="1:4" x14ac:dyDescent="0.25">
      <c r="A127" s="127"/>
      <c r="B127" s="99">
        <f>Daily!B292</f>
        <v>45507</v>
      </c>
      <c r="C127" s="27">
        <f>Daily!C292</f>
        <v>45507</v>
      </c>
      <c r="D127" s="90"/>
    </row>
    <row r="128" spans="1:4" x14ac:dyDescent="0.25">
      <c r="A128" s="127"/>
      <c r="B128" s="99">
        <f>Daily!B293</f>
        <v>45508</v>
      </c>
      <c r="C128" s="27">
        <f>Daily!C293</f>
        <v>45508</v>
      </c>
      <c r="D128" s="90"/>
    </row>
    <row r="129" spans="1:4" x14ac:dyDescent="0.25">
      <c r="A129" s="127">
        <f>Daily!A294</f>
        <v>42</v>
      </c>
      <c r="B129" s="99">
        <f>Daily!B294</f>
        <v>45509</v>
      </c>
      <c r="C129" s="27">
        <f>Daily!C294</f>
        <v>45509</v>
      </c>
      <c r="D129" s="90"/>
    </row>
    <row r="130" spans="1:4" x14ac:dyDescent="0.25">
      <c r="A130" s="127"/>
      <c r="B130" s="99">
        <f>Daily!B295</f>
        <v>45510</v>
      </c>
      <c r="C130" s="27">
        <f>Daily!C295</f>
        <v>45510</v>
      </c>
      <c r="D130" s="90"/>
    </row>
    <row r="131" spans="1:4" x14ac:dyDescent="0.25">
      <c r="A131" s="127"/>
      <c r="B131" s="99">
        <f>Daily!B296</f>
        <v>45511</v>
      </c>
      <c r="C131" s="27">
        <f>Daily!C296</f>
        <v>45511</v>
      </c>
      <c r="D131" s="90"/>
    </row>
    <row r="132" spans="1:4" x14ac:dyDescent="0.25">
      <c r="A132" s="127"/>
      <c r="B132" s="99">
        <f>Daily!B297</f>
        <v>45512</v>
      </c>
      <c r="C132" s="27">
        <f>Daily!C297</f>
        <v>45512</v>
      </c>
      <c r="D132" s="90"/>
    </row>
    <row r="133" spans="1:4" x14ac:dyDescent="0.25">
      <c r="A133" s="127"/>
      <c r="B133" s="99">
        <f>Daily!B298</f>
        <v>45513</v>
      </c>
      <c r="C133" s="27">
        <f>Daily!C298</f>
        <v>45513</v>
      </c>
      <c r="D133" s="90"/>
    </row>
    <row r="134" spans="1:4" x14ac:dyDescent="0.25">
      <c r="A134" s="127"/>
      <c r="B134" s="99">
        <f>Daily!B299</f>
        <v>45514</v>
      </c>
      <c r="C134" s="27">
        <f>Daily!C299</f>
        <v>45514</v>
      </c>
      <c r="D134" s="90"/>
    </row>
    <row r="135" spans="1:4" x14ac:dyDescent="0.25">
      <c r="A135" s="127"/>
      <c r="B135" s="99">
        <f>Daily!B300</f>
        <v>45515</v>
      </c>
      <c r="C135" s="27">
        <f>Daily!C300</f>
        <v>45515</v>
      </c>
      <c r="D135" s="90"/>
    </row>
    <row r="136" spans="1:4" x14ac:dyDescent="0.25">
      <c r="A136" s="127">
        <f>Daily!A301</f>
        <v>43</v>
      </c>
      <c r="B136" s="99">
        <f>Daily!B301</f>
        <v>45516</v>
      </c>
      <c r="C136" s="27">
        <f>Daily!C301</f>
        <v>45516</v>
      </c>
      <c r="D136" s="90"/>
    </row>
    <row r="137" spans="1:4" x14ac:dyDescent="0.25">
      <c r="A137" s="127"/>
      <c r="B137" s="99">
        <f>Daily!B302</f>
        <v>45517</v>
      </c>
      <c r="C137" s="27">
        <f>Daily!C302</f>
        <v>45517</v>
      </c>
      <c r="D137" s="90"/>
    </row>
    <row r="138" spans="1:4" x14ac:dyDescent="0.25">
      <c r="A138" s="127"/>
      <c r="B138" s="99">
        <f>Daily!B303</f>
        <v>45518</v>
      </c>
      <c r="C138" s="27">
        <f>Daily!C303</f>
        <v>45518</v>
      </c>
      <c r="D138" s="90"/>
    </row>
    <row r="139" spans="1:4" x14ac:dyDescent="0.25">
      <c r="A139" s="127"/>
      <c r="B139" s="99">
        <f>Daily!B304</f>
        <v>45519</v>
      </c>
      <c r="C139" s="27">
        <f>Daily!C304</f>
        <v>45519</v>
      </c>
      <c r="D139" s="90"/>
    </row>
    <row r="140" spans="1:4" x14ac:dyDescent="0.25">
      <c r="A140" s="127"/>
      <c r="B140" s="99">
        <f>Daily!B305</f>
        <v>45520</v>
      </c>
      <c r="C140" s="27">
        <f>Daily!C305</f>
        <v>45520</v>
      </c>
      <c r="D140" s="90"/>
    </row>
    <row r="141" spans="1:4" x14ac:dyDescent="0.25">
      <c r="A141" s="127"/>
      <c r="B141" s="99">
        <f>Daily!B306</f>
        <v>45521</v>
      </c>
      <c r="C141" s="27">
        <f>Daily!C306</f>
        <v>45521</v>
      </c>
      <c r="D141" s="90"/>
    </row>
    <row r="142" spans="1:4" x14ac:dyDescent="0.25">
      <c r="A142" s="127"/>
      <c r="B142" s="99">
        <f>Daily!B307</f>
        <v>45522</v>
      </c>
      <c r="C142" s="27">
        <f>Daily!C307</f>
        <v>45522</v>
      </c>
      <c r="D142" s="90"/>
    </row>
    <row r="143" spans="1:4" x14ac:dyDescent="0.25">
      <c r="A143" s="127">
        <f>Daily!A308</f>
        <v>44</v>
      </c>
      <c r="B143" s="99">
        <f>Daily!B308</f>
        <v>45523</v>
      </c>
      <c r="C143" s="27">
        <f>Daily!C308</f>
        <v>45523</v>
      </c>
      <c r="D143" s="90"/>
    </row>
    <row r="144" spans="1:4" x14ac:dyDescent="0.25">
      <c r="A144" s="127"/>
      <c r="B144" s="99">
        <f>Daily!B309</f>
        <v>45524</v>
      </c>
      <c r="C144" s="27">
        <f>Daily!C309</f>
        <v>45524</v>
      </c>
      <c r="D144" s="90"/>
    </row>
    <row r="145" spans="1:4" x14ac:dyDescent="0.25">
      <c r="A145" s="127"/>
      <c r="B145" s="99">
        <f>Daily!B310</f>
        <v>45525</v>
      </c>
      <c r="C145" s="27">
        <f>Daily!C310</f>
        <v>45525</v>
      </c>
      <c r="D145" s="90"/>
    </row>
    <row r="146" spans="1:4" x14ac:dyDescent="0.25">
      <c r="A146" s="127"/>
      <c r="B146" s="99">
        <f>Daily!B311</f>
        <v>45526</v>
      </c>
      <c r="C146" s="27">
        <f>Daily!C311</f>
        <v>45526</v>
      </c>
      <c r="D146" s="90"/>
    </row>
    <row r="147" spans="1:4" x14ac:dyDescent="0.25">
      <c r="A147" s="127"/>
      <c r="B147" s="99">
        <f>Daily!B312</f>
        <v>45527</v>
      </c>
      <c r="C147" s="27">
        <f>Daily!C312</f>
        <v>45527</v>
      </c>
      <c r="D147" s="90"/>
    </row>
    <row r="148" spans="1:4" x14ac:dyDescent="0.25">
      <c r="A148" s="127"/>
      <c r="B148" s="99">
        <f>Daily!B313</f>
        <v>45528</v>
      </c>
      <c r="C148" s="27">
        <f>Daily!C313</f>
        <v>45528</v>
      </c>
      <c r="D148" s="90"/>
    </row>
    <row r="149" spans="1:4" x14ac:dyDescent="0.25">
      <c r="A149" s="127"/>
      <c r="B149" s="99">
        <f>Daily!B314</f>
        <v>45529</v>
      </c>
      <c r="C149" s="27">
        <f>Daily!C314</f>
        <v>45529</v>
      </c>
      <c r="D149" s="90"/>
    </row>
    <row r="150" spans="1:4" x14ac:dyDescent="0.25">
      <c r="A150" s="127">
        <f>Daily!A315</f>
        <v>45</v>
      </c>
      <c r="B150" s="99">
        <f>Daily!B315</f>
        <v>45530</v>
      </c>
      <c r="C150" s="27">
        <f>Daily!C315</f>
        <v>45530</v>
      </c>
      <c r="D150" s="90"/>
    </row>
    <row r="151" spans="1:4" x14ac:dyDescent="0.25">
      <c r="A151" s="127"/>
      <c r="B151" s="99">
        <f>Daily!B316</f>
        <v>45531</v>
      </c>
      <c r="C151" s="27">
        <f>Daily!C316</f>
        <v>45531</v>
      </c>
      <c r="D151" s="90"/>
    </row>
    <row r="152" spans="1:4" x14ac:dyDescent="0.25">
      <c r="A152" s="127"/>
      <c r="B152" s="99">
        <f>Daily!B317</f>
        <v>45532</v>
      </c>
      <c r="C152" s="27">
        <f>Daily!C317</f>
        <v>45532</v>
      </c>
      <c r="D152" s="90"/>
    </row>
    <row r="153" spans="1:4" x14ac:dyDescent="0.25">
      <c r="A153" s="127"/>
      <c r="B153" s="99">
        <f>Daily!B318</f>
        <v>45533</v>
      </c>
      <c r="C153" s="27">
        <f>Daily!C318</f>
        <v>45533</v>
      </c>
      <c r="D153" s="90"/>
    </row>
    <row r="154" spans="1:4" x14ac:dyDescent="0.25">
      <c r="A154" s="127"/>
      <c r="B154" s="99">
        <f>Daily!B319</f>
        <v>45534</v>
      </c>
      <c r="C154" s="27">
        <f>Daily!C319</f>
        <v>45534</v>
      </c>
      <c r="D154" s="90"/>
    </row>
    <row r="155" spans="1:4" x14ac:dyDescent="0.25">
      <c r="A155" s="127"/>
      <c r="B155" s="99">
        <f>Daily!B320</f>
        <v>45535</v>
      </c>
      <c r="C155" s="27">
        <f>Daily!C320</f>
        <v>45535</v>
      </c>
      <c r="D155" s="90"/>
    </row>
    <row r="156" spans="1:4" x14ac:dyDescent="0.25">
      <c r="A156" s="127"/>
      <c r="B156" s="99">
        <f>Daily!B321</f>
        <v>45536</v>
      </c>
      <c r="C156" s="27">
        <f>Daily!C321</f>
        <v>45536</v>
      </c>
      <c r="D156" s="90"/>
    </row>
    <row r="157" spans="1:4" x14ac:dyDescent="0.25">
      <c r="A157" s="127">
        <f>Daily!A322</f>
        <v>46</v>
      </c>
      <c r="B157" s="99">
        <f>Daily!B322</f>
        <v>45537</v>
      </c>
      <c r="C157" s="27">
        <f>Daily!C322</f>
        <v>45537</v>
      </c>
      <c r="D157" s="90"/>
    </row>
    <row r="158" spans="1:4" x14ac:dyDescent="0.25">
      <c r="A158" s="127"/>
      <c r="B158" s="99">
        <f>Daily!B323</f>
        <v>45538</v>
      </c>
      <c r="C158" s="27">
        <f>Daily!C323</f>
        <v>45538</v>
      </c>
      <c r="D158" s="90"/>
    </row>
    <row r="159" spans="1:4" x14ac:dyDescent="0.25">
      <c r="A159" s="127"/>
      <c r="B159" s="99">
        <f>Daily!B324</f>
        <v>45539</v>
      </c>
      <c r="C159" s="27">
        <f>Daily!C324</f>
        <v>45539</v>
      </c>
      <c r="D159" s="90"/>
    </row>
    <row r="160" spans="1:4" x14ac:dyDescent="0.25">
      <c r="A160" s="127"/>
      <c r="B160" s="99">
        <f>Daily!B325</f>
        <v>45540</v>
      </c>
      <c r="C160" s="27">
        <f>Daily!C325</f>
        <v>45540</v>
      </c>
      <c r="D160" s="90"/>
    </row>
    <row r="161" spans="1:4" x14ac:dyDescent="0.25">
      <c r="A161" s="127"/>
      <c r="B161" s="99">
        <f>Daily!B326</f>
        <v>45541</v>
      </c>
      <c r="C161" s="27">
        <f>Daily!C326</f>
        <v>45541</v>
      </c>
      <c r="D161" s="90"/>
    </row>
    <row r="162" spans="1:4" x14ac:dyDescent="0.25">
      <c r="A162" s="127"/>
      <c r="B162" s="99">
        <f>Daily!B327</f>
        <v>45542</v>
      </c>
      <c r="C162" s="27">
        <f>Daily!C327</f>
        <v>45542</v>
      </c>
      <c r="D162" s="90"/>
    </row>
    <row r="163" spans="1:4" x14ac:dyDescent="0.25">
      <c r="A163" s="127"/>
      <c r="B163" s="99">
        <f>Daily!B328</f>
        <v>45543</v>
      </c>
      <c r="C163" s="27">
        <f>Daily!C328</f>
        <v>45543</v>
      </c>
      <c r="D163" s="90"/>
    </row>
    <row r="164" spans="1:4" x14ac:dyDescent="0.25">
      <c r="A164" s="127">
        <f>Daily!A329</f>
        <v>47</v>
      </c>
      <c r="B164" s="99">
        <f>Daily!B329</f>
        <v>45544</v>
      </c>
      <c r="C164" s="27">
        <f>Daily!C329</f>
        <v>45544</v>
      </c>
      <c r="D164" s="90"/>
    </row>
    <row r="165" spans="1:4" x14ac:dyDescent="0.25">
      <c r="A165" s="127"/>
      <c r="B165" s="99">
        <f>Daily!B330</f>
        <v>45545</v>
      </c>
      <c r="C165" s="27">
        <f>Daily!C330</f>
        <v>45545</v>
      </c>
      <c r="D165" s="90"/>
    </row>
    <row r="166" spans="1:4" x14ac:dyDescent="0.25">
      <c r="A166" s="127"/>
      <c r="B166" s="99">
        <f>Daily!B331</f>
        <v>45546</v>
      </c>
      <c r="C166" s="27">
        <f>Daily!C331</f>
        <v>45546</v>
      </c>
      <c r="D166" s="90"/>
    </row>
    <row r="167" spans="1:4" x14ac:dyDescent="0.25">
      <c r="A167" s="127"/>
      <c r="B167" s="99">
        <f>Daily!B332</f>
        <v>45547</v>
      </c>
      <c r="C167" s="27">
        <f>Daily!C332</f>
        <v>45547</v>
      </c>
      <c r="D167" s="90"/>
    </row>
    <row r="168" spans="1:4" x14ac:dyDescent="0.25">
      <c r="A168" s="127"/>
      <c r="B168" s="99">
        <f>Daily!B333</f>
        <v>45548</v>
      </c>
      <c r="C168" s="27">
        <f>Daily!C333</f>
        <v>45548</v>
      </c>
      <c r="D168" s="90"/>
    </row>
    <row r="169" spans="1:4" x14ac:dyDescent="0.25">
      <c r="A169" s="127"/>
      <c r="B169" s="99">
        <f>Daily!B334</f>
        <v>45549</v>
      </c>
      <c r="C169" s="27">
        <f>Daily!C334</f>
        <v>45549</v>
      </c>
      <c r="D169" s="90"/>
    </row>
    <row r="170" spans="1:4" x14ac:dyDescent="0.25">
      <c r="A170" s="127"/>
      <c r="B170" s="99">
        <f>Daily!B335</f>
        <v>45550</v>
      </c>
      <c r="C170" s="27">
        <f>Daily!C335</f>
        <v>45550</v>
      </c>
      <c r="D170" s="90"/>
    </row>
    <row r="171" spans="1:4" x14ac:dyDescent="0.25">
      <c r="A171" s="127">
        <f>Daily!A336</f>
        <v>48</v>
      </c>
      <c r="B171" s="99">
        <f>Daily!B336</f>
        <v>45551</v>
      </c>
      <c r="C171" s="27">
        <f>Daily!C336</f>
        <v>45551</v>
      </c>
      <c r="D171" s="90"/>
    </row>
    <row r="172" spans="1:4" x14ac:dyDescent="0.25">
      <c r="A172" s="127"/>
      <c r="B172" s="99">
        <f>Daily!B337</f>
        <v>45552</v>
      </c>
      <c r="C172" s="27">
        <f>Daily!C337</f>
        <v>45552</v>
      </c>
      <c r="D172" s="90"/>
    </row>
    <row r="173" spans="1:4" x14ac:dyDescent="0.25">
      <c r="A173" s="127"/>
      <c r="B173" s="99">
        <f>Daily!B338</f>
        <v>45553</v>
      </c>
      <c r="C173" s="27">
        <f>Daily!C338</f>
        <v>45553</v>
      </c>
      <c r="D173" s="90"/>
    </row>
    <row r="174" spans="1:4" x14ac:dyDescent="0.25">
      <c r="A174" s="127"/>
      <c r="B174" s="99">
        <f>Daily!B339</f>
        <v>45554</v>
      </c>
      <c r="C174" s="27">
        <f>Daily!C339</f>
        <v>45554</v>
      </c>
      <c r="D174" s="90"/>
    </row>
    <row r="175" spans="1:4" x14ac:dyDescent="0.25">
      <c r="A175" s="127"/>
      <c r="B175" s="99">
        <f>Daily!B340</f>
        <v>45555</v>
      </c>
      <c r="C175" s="27">
        <f>Daily!C340</f>
        <v>45555</v>
      </c>
      <c r="D175" s="90"/>
    </row>
    <row r="176" spans="1:4" x14ac:dyDescent="0.25">
      <c r="A176" s="127"/>
      <c r="B176" s="99">
        <f>Daily!B341</f>
        <v>45556</v>
      </c>
      <c r="C176" s="27">
        <f>Daily!C341</f>
        <v>45556</v>
      </c>
      <c r="D176" s="90"/>
    </row>
    <row r="177" spans="1:4" x14ac:dyDescent="0.25">
      <c r="A177" s="127"/>
      <c r="B177" s="99">
        <f>Daily!B342</f>
        <v>45557</v>
      </c>
      <c r="C177" s="27">
        <f>Daily!C342</f>
        <v>45557</v>
      </c>
      <c r="D177" s="90"/>
    </row>
    <row r="178" spans="1:4" x14ac:dyDescent="0.25">
      <c r="A178" s="127">
        <f>Daily!A343</f>
        <v>49</v>
      </c>
      <c r="B178" s="99">
        <f>Daily!B343</f>
        <v>45558</v>
      </c>
      <c r="C178" s="27">
        <f>Daily!C343</f>
        <v>45558</v>
      </c>
      <c r="D178" s="90"/>
    </row>
    <row r="179" spans="1:4" x14ac:dyDescent="0.25">
      <c r="A179" s="127"/>
      <c r="B179" s="99">
        <f>Daily!B344</f>
        <v>45559</v>
      </c>
      <c r="C179" s="27">
        <f>Daily!C344</f>
        <v>45559</v>
      </c>
      <c r="D179" s="90"/>
    </row>
    <row r="180" spans="1:4" x14ac:dyDescent="0.25">
      <c r="A180" s="127"/>
      <c r="B180" s="99">
        <f>Daily!B345</f>
        <v>45560</v>
      </c>
      <c r="C180" s="27">
        <f>Daily!C345</f>
        <v>45560</v>
      </c>
      <c r="D180" s="90"/>
    </row>
    <row r="181" spans="1:4" x14ac:dyDescent="0.25">
      <c r="A181" s="127"/>
      <c r="B181" s="99">
        <f>Daily!B346</f>
        <v>45561</v>
      </c>
      <c r="C181" s="27">
        <f>Daily!C346</f>
        <v>45561</v>
      </c>
      <c r="D181" s="90"/>
    </row>
    <row r="182" spans="1:4" x14ac:dyDescent="0.25">
      <c r="A182" s="127"/>
      <c r="B182" s="99">
        <f>Daily!B347</f>
        <v>45562</v>
      </c>
      <c r="C182" s="27">
        <f>Daily!C347</f>
        <v>45562</v>
      </c>
      <c r="D182" s="90"/>
    </row>
    <row r="183" spans="1:4" x14ac:dyDescent="0.25">
      <c r="A183" s="127"/>
      <c r="B183" s="99">
        <f>Daily!B348</f>
        <v>45563</v>
      </c>
      <c r="C183" s="27">
        <f>Daily!C348</f>
        <v>45563</v>
      </c>
      <c r="D183" s="90"/>
    </row>
    <row r="184" spans="1:4" x14ac:dyDescent="0.25">
      <c r="A184" s="127"/>
      <c r="B184" s="99">
        <f>Daily!B349</f>
        <v>45564</v>
      </c>
      <c r="C184" s="27">
        <f>Daily!C349</f>
        <v>45564</v>
      </c>
      <c r="D184" s="90"/>
    </row>
    <row r="185" spans="1:4" x14ac:dyDescent="0.25">
      <c r="A185" s="127">
        <f>Daily!A350</f>
        <v>50</v>
      </c>
      <c r="B185" s="99">
        <f>Daily!B350</f>
        <v>45565</v>
      </c>
      <c r="C185" s="27">
        <f>Daily!C350</f>
        <v>45565</v>
      </c>
      <c r="D185" s="90"/>
    </row>
    <row r="186" spans="1:4" x14ac:dyDescent="0.25">
      <c r="A186" s="127"/>
      <c r="B186" s="99">
        <f>Daily!B351</f>
        <v>45566</v>
      </c>
      <c r="C186" s="27">
        <f>Daily!C351</f>
        <v>45566</v>
      </c>
      <c r="D186" s="90"/>
    </row>
    <row r="187" spans="1:4" x14ac:dyDescent="0.25">
      <c r="A187" s="127"/>
      <c r="B187" s="99">
        <f>Daily!B352</f>
        <v>45567</v>
      </c>
      <c r="C187" s="27">
        <f>Daily!C352</f>
        <v>45567</v>
      </c>
      <c r="D187" s="90"/>
    </row>
    <row r="188" spans="1:4" x14ac:dyDescent="0.25">
      <c r="A188" s="127"/>
      <c r="B188" s="99">
        <f>Daily!B353</f>
        <v>45568</v>
      </c>
      <c r="C188" s="27">
        <f>Daily!C353</f>
        <v>45568</v>
      </c>
      <c r="D188" s="90"/>
    </row>
    <row r="189" spans="1:4" x14ac:dyDescent="0.25">
      <c r="A189" s="127"/>
      <c r="B189" s="99">
        <f>Daily!B354</f>
        <v>45569</v>
      </c>
      <c r="C189" s="27">
        <f>Daily!C354</f>
        <v>45569</v>
      </c>
      <c r="D189" s="90"/>
    </row>
    <row r="190" spans="1:4" x14ac:dyDescent="0.25">
      <c r="A190" s="127"/>
      <c r="B190" s="99">
        <f>Daily!B355</f>
        <v>45570</v>
      </c>
      <c r="C190" s="27">
        <f>Daily!C355</f>
        <v>45570</v>
      </c>
      <c r="D190" s="90"/>
    </row>
    <row r="191" spans="1:4" x14ac:dyDescent="0.25">
      <c r="A191" s="127"/>
      <c r="B191" s="99">
        <f>Daily!B356</f>
        <v>45571</v>
      </c>
      <c r="C191" s="27">
        <f>Daily!C356</f>
        <v>45571</v>
      </c>
      <c r="D191" s="90"/>
    </row>
    <row r="192" spans="1:4" x14ac:dyDescent="0.25">
      <c r="A192" s="127">
        <f>Daily!A357</f>
        <v>51</v>
      </c>
      <c r="B192" s="99">
        <f>Daily!B357</f>
        <v>45572</v>
      </c>
      <c r="C192" s="27">
        <f>Daily!C357</f>
        <v>45572</v>
      </c>
      <c r="D192" s="90"/>
    </row>
    <row r="193" spans="1:4" x14ac:dyDescent="0.25">
      <c r="A193" s="127"/>
      <c r="B193" s="99">
        <f>Daily!B358</f>
        <v>45573</v>
      </c>
      <c r="C193" s="27">
        <f>Daily!C358</f>
        <v>45573</v>
      </c>
      <c r="D193" s="90"/>
    </row>
    <row r="194" spans="1:4" x14ac:dyDescent="0.25">
      <c r="A194" s="127"/>
      <c r="B194" s="99">
        <f>Daily!B359</f>
        <v>45574</v>
      </c>
      <c r="C194" s="27">
        <f>Daily!C359</f>
        <v>45574</v>
      </c>
      <c r="D194" s="90"/>
    </row>
    <row r="195" spans="1:4" x14ac:dyDescent="0.25">
      <c r="A195" s="127"/>
      <c r="B195" s="99">
        <f>Daily!B360</f>
        <v>45575</v>
      </c>
      <c r="C195" s="27">
        <f>Daily!C360</f>
        <v>45575</v>
      </c>
      <c r="D195" s="90"/>
    </row>
    <row r="196" spans="1:4" x14ac:dyDescent="0.25">
      <c r="A196" s="127"/>
      <c r="B196" s="99">
        <f>Daily!B361</f>
        <v>45576</v>
      </c>
      <c r="C196" s="27">
        <f>Daily!C361</f>
        <v>45576</v>
      </c>
      <c r="D196" s="90"/>
    </row>
    <row r="197" spans="1:4" x14ac:dyDescent="0.25">
      <c r="A197" s="127"/>
      <c r="B197" s="99">
        <f>Daily!B362</f>
        <v>45577</v>
      </c>
      <c r="C197" s="27">
        <f>Daily!C362</f>
        <v>45577</v>
      </c>
      <c r="D197" s="90"/>
    </row>
    <row r="198" spans="1:4" x14ac:dyDescent="0.25">
      <c r="A198" s="127"/>
      <c r="B198" s="99">
        <f>Daily!B363</f>
        <v>45578</v>
      </c>
      <c r="C198" s="27">
        <f>Daily!C363</f>
        <v>45578</v>
      </c>
      <c r="D198" s="90"/>
    </row>
    <row r="199" spans="1:4" x14ac:dyDescent="0.25">
      <c r="A199" s="127">
        <f>Daily!A364</f>
        <v>52</v>
      </c>
      <c r="B199" s="99">
        <f>Daily!B364</f>
        <v>45579</v>
      </c>
      <c r="C199" s="27">
        <f>Daily!C364</f>
        <v>45579</v>
      </c>
      <c r="D199" s="90"/>
    </row>
    <row r="200" spans="1:4" x14ac:dyDescent="0.25">
      <c r="A200" s="127"/>
      <c r="B200" s="99">
        <f>Daily!B365</f>
        <v>45580</v>
      </c>
      <c r="C200" s="27">
        <f>Daily!C365</f>
        <v>45580</v>
      </c>
      <c r="D200" s="90"/>
    </row>
    <row r="201" spans="1:4" x14ac:dyDescent="0.25">
      <c r="A201" s="127"/>
      <c r="B201" s="99">
        <f>Daily!B366</f>
        <v>45581</v>
      </c>
      <c r="C201" s="27">
        <f>Daily!C366</f>
        <v>45581</v>
      </c>
      <c r="D201" s="90"/>
    </row>
    <row r="202" spans="1:4" x14ac:dyDescent="0.25">
      <c r="A202" s="127"/>
      <c r="B202" s="99">
        <f>Daily!B367</f>
        <v>45582</v>
      </c>
      <c r="C202" s="27">
        <f>Daily!C367</f>
        <v>45582</v>
      </c>
      <c r="D202" s="90"/>
    </row>
    <row r="203" spans="1:4" x14ac:dyDescent="0.25">
      <c r="A203" s="127"/>
      <c r="B203" s="99">
        <f>Daily!B368</f>
        <v>45583</v>
      </c>
      <c r="C203" s="27">
        <f>Daily!C368</f>
        <v>45583</v>
      </c>
      <c r="D203" s="90"/>
    </row>
    <row r="204" spans="1:4" x14ac:dyDescent="0.25">
      <c r="A204" s="127"/>
      <c r="B204" s="99">
        <f>Daily!B369</f>
        <v>45584</v>
      </c>
      <c r="C204" s="27">
        <f>Daily!C369</f>
        <v>45584</v>
      </c>
      <c r="D204" s="90"/>
    </row>
    <row r="205" spans="1:4" x14ac:dyDescent="0.25">
      <c r="A205" s="127"/>
      <c r="B205" s="99">
        <f>Daily!B370</f>
        <v>45585</v>
      </c>
      <c r="C205" s="27">
        <f>Daily!C370</f>
        <v>45585</v>
      </c>
      <c r="D205" s="90"/>
    </row>
    <row r="206" spans="1:4" x14ac:dyDescent="0.25">
      <c r="A206" s="127">
        <f>Daily!A371</f>
        <v>53</v>
      </c>
      <c r="B206" s="99">
        <f>Daily!B371</f>
        <v>45586</v>
      </c>
      <c r="C206" s="27">
        <f>Daily!C371</f>
        <v>45586</v>
      </c>
      <c r="D206" s="90"/>
    </row>
    <row r="207" spans="1:4" x14ac:dyDescent="0.25">
      <c r="A207" s="127"/>
      <c r="B207" s="99">
        <f>Daily!B372</f>
        <v>45587</v>
      </c>
      <c r="C207" s="27">
        <f>Daily!C372</f>
        <v>45587</v>
      </c>
      <c r="D207" s="90"/>
    </row>
    <row r="208" spans="1:4" x14ac:dyDescent="0.25">
      <c r="A208" s="127"/>
      <c r="B208" s="99">
        <f>Daily!B373</f>
        <v>45588</v>
      </c>
      <c r="C208" s="27">
        <f>Daily!C373</f>
        <v>45588</v>
      </c>
      <c r="D208" s="90"/>
    </row>
    <row r="209" spans="1:4" x14ac:dyDescent="0.25">
      <c r="A209" s="127"/>
      <c r="B209" s="99">
        <f>Daily!B374</f>
        <v>45589</v>
      </c>
      <c r="C209" s="27">
        <f>Daily!C374</f>
        <v>45589</v>
      </c>
      <c r="D209" s="90"/>
    </row>
    <row r="210" spans="1:4" x14ac:dyDescent="0.25">
      <c r="A210" s="127"/>
      <c r="B210" s="99">
        <f>Daily!B375</f>
        <v>45590</v>
      </c>
      <c r="C210" s="27">
        <f>Daily!C375</f>
        <v>45590</v>
      </c>
      <c r="D210" s="90"/>
    </row>
    <row r="211" spans="1:4" x14ac:dyDescent="0.25">
      <c r="A211" s="127"/>
      <c r="B211" s="99">
        <f>Daily!B376</f>
        <v>45591</v>
      </c>
      <c r="C211" s="27">
        <f>Daily!C376</f>
        <v>45591</v>
      </c>
      <c r="D211" s="90"/>
    </row>
    <row r="212" spans="1:4" x14ac:dyDescent="0.25">
      <c r="A212" s="127"/>
      <c r="B212" s="99">
        <f>Daily!B377</f>
        <v>45592</v>
      </c>
      <c r="C212" s="27">
        <f>Daily!C377</f>
        <v>45592</v>
      </c>
      <c r="D212" s="90"/>
    </row>
    <row r="213" spans="1:4" x14ac:dyDescent="0.25">
      <c r="A213" s="127">
        <f>Daily!A378</f>
        <v>54</v>
      </c>
      <c r="B213" s="99">
        <f>Daily!B378</f>
        <v>45593</v>
      </c>
      <c r="C213" s="27">
        <f>Daily!C378</f>
        <v>45593</v>
      </c>
      <c r="D213" s="90"/>
    </row>
    <row r="214" spans="1:4" x14ac:dyDescent="0.25">
      <c r="A214" s="127"/>
      <c r="B214" s="99">
        <f>Daily!B379</f>
        <v>45594</v>
      </c>
      <c r="C214" s="27">
        <f>Daily!C379</f>
        <v>45594</v>
      </c>
      <c r="D214" s="90"/>
    </row>
    <row r="215" spans="1:4" x14ac:dyDescent="0.25">
      <c r="A215" s="127"/>
      <c r="B215" s="99">
        <f>Daily!B380</f>
        <v>45595</v>
      </c>
      <c r="C215" s="27">
        <f>Daily!C380</f>
        <v>45595</v>
      </c>
      <c r="D215" s="90"/>
    </row>
    <row r="216" spans="1:4" x14ac:dyDescent="0.25">
      <c r="A216" s="127"/>
      <c r="B216" s="99">
        <f>Daily!B381</f>
        <v>45596</v>
      </c>
      <c r="C216" s="27">
        <f>Daily!C381</f>
        <v>45596</v>
      </c>
      <c r="D216" s="90"/>
    </row>
    <row r="217" spans="1:4" x14ac:dyDescent="0.25">
      <c r="A217" s="127"/>
      <c r="B217" s="99">
        <f>Daily!B382</f>
        <v>45597</v>
      </c>
      <c r="C217" s="27">
        <f>Daily!C382</f>
        <v>45597</v>
      </c>
      <c r="D217" s="90"/>
    </row>
    <row r="218" spans="1:4" x14ac:dyDescent="0.25">
      <c r="A218" s="127"/>
      <c r="B218" s="99">
        <f>Daily!B383</f>
        <v>45598</v>
      </c>
      <c r="C218" s="27">
        <f>Daily!C383</f>
        <v>45598</v>
      </c>
      <c r="D218" s="90"/>
    </row>
    <row r="219" spans="1:4" x14ac:dyDescent="0.25">
      <c r="A219" s="127"/>
      <c r="B219" s="99">
        <f>Daily!B384</f>
        <v>45599</v>
      </c>
      <c r="C219" s="27">
        <f>Daily!C384</f>
        <v>45599</v>
      </c>
      <c r="D219" s="90"/>
    </row>
    <row r="220" spans="1:4" x14ac:dyDescent="0.25">
      <c r="A220" s="127">
        <f>Daily!A385</f>
        <v>55</v>
      </c>
      <c r="B220" s="99">
        <f>Daily!B385</f>
        <v>45600</v>
      </c>
      <c r="C220" s="27">
        <f>Daily!C385</f>
        <v>45600</v>
      </c>
      <c r="D220" s="90"/>
    </row>
    <row r="221" spans="1:4" x14ac:dyDescent="0.25">
      <c r="A221" s="127"/>
      <c r="B221" s="99">
        <f>Daily!B386</f>
        <v>45601</v>
      </c>
      <c r="C221" s="27">
        <f>Daily!C386</f>
        <v>45601</v>
      </c>
      <c r="D221" s="90"/>
    </row>
    <row r="222" spans="1:4" x14ac:dyDescent="0.25">
      <c r="A222" s="127"/>
      <c r="B222" s="99">
        <f>Daily!B387</f>
        <v>45602</v>
      </c>
      <c r="C222" s="27">
        <f>Daily!C387</f>
        <v>45602</v>
      </c>
      <c r="D222" s="90"/>
    </row>
    <row r="223" spans="1:4" x14ac:dyDescent="0.25">
      <c r="A223" s="127"/>
      <c r="B223" s="99">
        <f>Daily!B388</f>
        <v>45603</v>
      </c>
      <c r="C223" s="27">
        <f>Daily!C388</f>
        <v>45603</v>
      </c>
      <c r="D223" s="90"/>
    </row>
    <row r="224" spans="1:4" x14ac:dyDescent="0.25">
      <c r="A224" s="127"/>
      <c r="B224" s="99">
        <f>Daily!B389</f>
        <v>45604</v>
      </c>
      <c r="C224" s="27">
        <f>Daily!C389</f>
        <v>45604</v>
      </c>
      <c r="D224" s="90"/>
    </row>
    <row r="225" spans="1:4" x14ac:dyDescent="0.25">
      <c r="A225" s="127"/>
      <c r="B225" s="99">
        <f>Daily!B390</f>
        <v>45605</v>
      </c>
      <c r="C225" s="27">
        <f>Daily!C390</f>
        <v>45605</v>
      </c>
      <c r="D225" s="90"/>
    </row>
    <row r="226" spans="1:4" x14ac:dyDescent="0.25">
      <c r="A226" s="127"/>
      <c r="B226" s="99">
        <f>Daily!B391</f>
        <v>45606</v>
      </c>
      <c r="C226" s="27">
        <f>Daily!C391</f>
        <v>45606</v>
      </c>
      <c r="D226" s="90"/>
    </row>
    <row r="227" spans="1:4" x14ac:dyDescent="0.25">
      <c r="A227" s="127">
        <f>Daily!A392</f>
        <v>56</v>
      </c>
      <c r="B227" s="99">
        <f>Daily!B392</f>
        <v>45607</v>
      </c>
      <c r="C227" s="27">
        <f>Daily!C392</f>
        <v>45607</v>
      </c>
      <c r="D227" s="90"/>
    </row>
    <row r="228" spans="1:4" x14ac:dyDescent="0.25">
      <c r="A228" s="127"/>
      <c r="B228" s="99">
        <f>Daily!B393</f>
        <v>45608</v>
      </c>
      <c r="C228" s="27">
        <f>Daily!C393</f>
        <v>45608</v>
      </c>
      <c r="D228" s="90"/>
    </row>
    <row r="229" spans="1:4" x14ac:dyDescent="0.25">
      <c r="A229" s="127"/>
      <c r="B229" s="99">
        <f>Daily!B394</f>
        <v>45609</v>
      </c>
      <c r="C229" s="27">
        <f>Daily!C394</f>
        <v>45609</v>
      </c>
      <c r="D229" s="90"/>
    </row>
    <row r="230" spans="1:4" x14ac:dyDescent="0.25">
      <c r="A230" s="127"/>
      <c r="B230" s="99">
        <f>Daily!B395</f>
        <v>45610</v>
      </c>
      <c r="C230" s="27">
        <f>Daily!C395</f>
        <v>45610</v>
      </c>
      <c r="D230" s="90"/>
    </row>
    <row r="231" spans="1:4" x14ac:dyDescent="0.25">
      <c r="A231" s="127"/>
      <c r="B231" s="99">
        <f>Daily!B396</f>
        <v>45611</v>
      </c>
      <c r="C231" s="27">
        <f>Daily!C396</f>
        <v>45611</v>
      </c>
      <c r="D231" s="90"/>
    </row>
    <row r="232" spans="1:4" x14ac:dyDescent="0.25">
      <c r="A232" s="127"/>
      <c r="B232" s="99">
        <f>Daily!B397</f>
        <v>45612</v>
      </c>
      <c r="C232" s="27">
        <f>Daily!C397</f>
        <v>45612</v>
      </c>
      <c r="D232" s="90"/>
    </row>
    <row r="233" spans="1:4" x14ac:dyDescent="0.25">
      <c r="A233" s="127"/>
      <c r="B233" s="99">
        <f>Daily!B398</f>
        <v>45613</v>
      </c>
      <c r="C233" s="27">
        <f>Daily!C398</f>
        <v>45613</v>
      </c>
      <c r="D233" s="90"/>
    </row>
    <row r="234" spans="1:4" x14ac:dyDescent="0.25">
      <c r="A234" s="127">
        <f>Daily!A399</f>
        <v>57</v>
      </c>
      <c r="B234" s="99">
        <f>Daily!B399</f>
        <v>45614</v>
      </c>
      <c r="C234" s="27">
        <f>Daily!C399</f>
        <v>45614</v>
      </c>
      <c r="D234" s="90"/>
    </row>
    <row r="235" spans="1:4" x14ac:dyDescent="0.25">
      <c r="A235" s="127"/>
      <c r="B235" s="99">
        <f>Daily!B400</f>
        <v>45615</v>
      </c>
      <c r="C235" s="27">
        <f>Daily!C400</f>
        <v>45615</v>
      </c>
      <c r="D235" s="90"/>
    </row>
    <row r="236" spans="1:4" x14ac:dyDescent="0.25">
      <c r="A236" s="127"/>
      <c r="B236" s="99">
        <f>Daily!B401</f>
        <v>45616</v>
      </c>
      <c r="C236" s="27">
        <f>Daily!C401</f>
        <v>45616</v>
      </c>
      <c r="D236" s="90"/>
    </row>
    <row r="237" spans="1:4" x14ac:dyDescent="0.25">
      <c r="A237" s="127"/>
      <c r="B237" s="99">
        <f>Daily!B402</f>
        <v>45617</v>
      </c>
      <c r="C237" s="27">
        <f>Daily!C402</f>
        <v>45617</v>
      </c>
      <c r="D237" s="90"/>
    </row>
    <row r="238" spans="1:4" x14ac:dyDescent="0.25">
      <c r="A238" s="127"/>
      <c r="B238" s="99">
        <f>Daily!B403</f>
        <v>45618</v>
      </c>
      <c r="C238" s="27">
        <f>Daily!C403</f>
        <v>45618</v>
      </c>
      <c r="D238" s="90"/>
    </row>
    <row r="239" spans="1:4" x14ac:dyDescent="0.25">
      <c r="A239" s="127"/>
      <c r="B239" s="99">
        <f>Daily!B404</f>
        <v>45619</v>
      </c>
      <c r="C239" s="27">
        <f>Daily!C404</f>
        <v>45619</v>
      </c>
      <c r="D239" s="90"/>
    </row>
    <row r="240" spans="1:4" x14ac:dyDescent="0.25">
      <c r="A240" s="127"/>
      <c r="B240" s="99">
        <f>Daily!B405</f>
        <v>45620</v>
      </c>
      <c r="C240" s="27">
        <f>Daily!C405</f>
        <v>45620</v>
      </c>
      <c r="D240" s="90"/>
    </row>
    <row r="241" spans="1:4" x14ac:dyDescent="0.25">
      <c r="A241" s="127">
        <f>Daily!A406</f>
        <v>58</v>
      </c>
      <c r="B241" s="99">
        <f>Daily!B406</f>
        <v>45621</v>
      </c>
      <c r="C241" s="27">
        <f>Daily!C406</f>
        <v>45621</v>
      </c>
      <c r="D241" s="90"/>
    </row>
    <row r="242" spans="1:4" x14ac:dyDescent="0.25">
      <c r="A242" s="127"/>
      <c r="B242" s="99">
        <f>Daily!B407</f>
        <v>45622</v>
      </c>
      <c r="C242" s="27">
        <f>Daily!C407</f>
        <v>45622</v>
      </c>
      <c r="D242" s="90"/>
    </row>
    <row r="243" spans="1:4" x14ac:dyDescent="0.25">
      <c r="A243" s="127"/>
      <c r="B243" s="99">
        <f>Daily!B408</f>
        <v>45623</v>
      </c>
      <c r="C243" s="27">
        <f>Daily!C408</f>
        <v>45623</v>
      </c>
      <c r="D243" s="90"/>
    </row>
    <row r="244" spans="1:4" x14ac:dyDescent="0.25">
      <c r="A244" s="127"/>
      <c r="B244" s="99">
        <f>Daily!B409</f>
        <v>45624</v>
      </c>
      <c r="C244" s="27">
        <f>Daily!C409</f>
        <v>45624</v>
      </c>
      <c r="D244" s="90"/>
    </row>
    <row r="245" spans="1:4" x14ac:dyDescent="0.25">
      <c r="A245" s="127"/>
      <c r="B245" s="99">
        <f>Daily!B410</f>
        <v>45625</v>
      </c>
      <c r="C245" s="27">
        <f>Daily!C410</f>
        <v>45625</v>
      </c>
      <c r="D245" s="90"/>
    </row>
    <row r="246" spans="1:4" x14ac:dyDescent="0.25">
      <c r="A246" s="127"/>
      <c r="B246" s="99">
        <f>Daily!B411</f>
        <v>45626</v>
      </c>
      <c r="C246" s="27">
        <f>Daily!C411</f>
        <v>45626</v>
      </c>
      <c r="D246" s="90"/>
    </row>
    <row r="247" spans="1:4" x14ac:dyDescent="0.25">
      <c r="A247" s="127"/>
      <c r="B247" s="99">
        <f>Daily!B412</f>
        <v>45627</v>
      </c>
      <c r="C247" s="27">
        <f>Daily!C412</f>
        <v>45627</v>
      </c>
      <c r="D247" s="90"/>
    </row>
    <row r="248" spans="1:4" x14ac:dyDescent="0.25">
      <c r="A248" s="127">
        <f>Daily!A413</f>
        <v>59</v>
      </c>
      <c r="B248" s="99">
        <f>Daily!B413</f>
        <v>45628</v>
      </c>
      <c r="C248" s="27">
        <f>Daily!C413</f>
        <v>45628</v>
      </c>
      <c r="D248" s="90"/>
    </row>
    <row r="249" spans="1:4" x14ac:dyDescent="0.25">
      <c r="A249" s="127"/>
      <c r="B249" s="99">
        <f>Daily!B414</f>
        <v>45629</v>
      </c>
      <c r="C249" s="27">
        <f>Daily!C414</f>
        <v>45629</v>
      </c>
      <c r="D249" s="90"/>
    </row>
    <row r="250" spans="1:4" x14ac:dyDescent="0.25">
      <c r="A250" s="127"/>
      <c r="B250" s="99">
        <f>Daily!B415</f>
        <v>45630</v>
      </c>
      <c r="C250" s="27">
        <f>Daily!C415</f>
        <v>45630</v>
      </c>
      <c r="D250" s="90"/>
    </row>
    <row r="251" spans="1:4" x14ac:dyDescent="0.25">
      <c r="A251" s="127"/>
      <c r="B251" s="99">
        <f>Daily!B416</f>
        <v>45631</v>
      </c>
      <c r="C251" s="27">
        <f>Daily!C416</f>
        <v>45631</v>
      </c>
      <c r="D251" s="90"/>
    </row>
    <row r="252" spans="1:4" x14ac:dyDescent="0.25">
      <c r="A252" s="127"/>
      <c r="B252" s="99">
        <f>Daily!B417</f>
        <v>45632</v>
      </c>
      <c r="C252" s="27">
        <f>Daily!C417</f>
        <v>45632</v>
      </c>
      <c r="D252" s="90"/>
    </row>
    <row r="253" spans="1:4" x14ac:dyDescent="0.25">
      <c r="A253" s="127"/>
      <c r="B253" s="99">
        <f>Daily!B418</f>
        <v>45633</v>
      </c>
      <c r="C253" s="27">
        <f>Daily!C418</f>
        <v>45633</v>
      </c>
      <c r="D253" s="90"/>
    </row>
    <row r="254" spans="1:4" x14ac:dyDescent="0.25">
      <c r="A254" s="127"/>
      <c r="B254" s="99">
        <f>Daily!B419</f>
        <v>45634</v>
      </c>
      <c r="C254" s="27">
        <f>Daily!C419</f>
        <v>45634</v>
      </c>
      <c r="D254" s="90"/>
    </row>
    <row r="255" spans="1:4" x14ac:dyDescent="0.25">
      <c r="A255" s="127">
        <f>Daily!A420</f>
        <v>60</v>
      </c>
      <c r="B255" s="99">
        <f>Daily!B420</f>
        <v>45635</v>
      </c>
      <c r="C255" s="27">
        <f>Daily!C420</f>
        <v>45635</v>
      </c>
      <c r="D255" s="90"/>
    </row>
    <row r="256" spans="1:4" x14ac:dyDescent="0.25">
      <c r="A256" s="127"/>
      <c r="B256" s="99">
        <f>Daily!B421</f>
        <v>45636</v>
      </c>
      <c r="C256" s="27">
        <f>Daily!C421</f>
        <v>45636</v>
      </c>
      <c r="D256" s="90"/>
    </row>
    <row r="257" spans="1:4" x14ac:dyDescent="0.25">
      <c r="A257" s="127"/>
      <c r="B257" s="99">
        <f>Daily!B422</f>
        <v>45637</v>
      </c>
      <c r="C257" s="27">
        <f>Daily!C422</f>
        <v>45637</v>
      </c>
      <c r="D257" s="90"/>
    </row>
    <row r="258" spans="1:4" x14ac:dyDescent="0.25">
      <c r="A258" s="127"/>
      <c r="B258" s="99">
        <f>Daily!B423</f>
        <v>45638</v>
      </c>
      <c r="C258" s="27">
        <f>Daily!C423</f>
        <v>45638</v>
      </c>
      <c r="D258" s="90"/>
    </row>
    <row r="259" spans="1:4" x14ac:dyDescent="0.25">
      <c r="A259" s="127"/>
      <c r="B259" s="99">
        <f>Daily!B424</f>
        <v>45639</v>
      </c>
      <c r="C259" s="27">
        <f>Daily!C424</f>
        <v>45639</v>
      </c>
      <c r="D259" s="90"/>
    </row>
    <row r="260" spans="1:4" x14ac:dyDescent="0.25">
      <c r="A260" s="127"/>
      <c r="B260" s="99">
        <f>Daily!B425</f>
        <v>45640</v>
      </c>
      <c r="C260" s="27">
        <f>Daily!C425</f>
        <v>45640</v>
      </c>
      <c r="D260" s="90"/>
    </row>
    <row r="261" spans="1:4" x14ac:dyDescent="0.25">
      <c r="A261" s="127"/>
      <c r="B261" s="99">
        <f>Daily!B426</f>
        <v>45641</v>
      </c>
      <c r="C261" s="27">
        <f>Daily!C426</f>
        <v>45641</v>
      </c>
      <c r="D261" s="90"/>
    </row>
    <row r="262" spans="1:4" x14ac:dyDescent="0.25">
      <c r="A262" s="127">
        <f>Daily!A427</f>
        <v>61</v>
      </c>
      <c r="B262" s="99">
        <f>Daily!B427</f>
        <v>45642</v>
      </c>
      <c r="C262" s="27">
        <f>Daily!C427</f>
        <v>45642</v>
      </c>
      <c r="D262" s="90"/>
    </row>
    <row r="263" spans="1:4" x14ac:dyDescent="0.25">
      <c r="A263" s="127"/>
      <c r="B263" s="99">
        <f>Daily!B428</f>
        <v>45643</v>
      </c>
      <c r="C263" s="27">
        <f>Daily!C428</f>
        <v>45643</v>
      </c>
      <c r="D263" s="90"/>
    </row>
    <row r="264" spans="1:4" x14ac:dyDescent="0.25">
      <c r="A264" s="127"/>
      <c r="B264" s="99">
        <f>Daily!B429</f>
        <v>45644</v>
      </c>
      <c r="C264" s="27">
        <f>Daily!C429</f>
        <v>45644</v>
      </c>
      <c r="D264" s="90"/>
    </row>
    <row r="265" spans="1:4" x14ac:dyDescent="0.25">
      <c r="A265" s="127"/>
      <c r="B265" s="99">
        <f>Daily!B430</f>
        <v>45645</v>
      </c>
      <c r="C265" s="27">
        <f>Daily!C430</f>
        <v>45645</v>
      </c>
      <c r="D265" s="90"/>
    </row>
    <row r="266" spans="1:4" x14ac:dyDescent="0.25">
      <c r="A266" s="127"/>
      <c r="B266" s="99">
        <f>Daily!B431</f>
        <v>45646</v>
      </c>
      <c r="C266" s="27">
        <f>Daily!C431</f>
        <v>45646</v>
      </c>
      <c r="D266" s="90"/>
    </row>
    <row r="267" spans="1:4" x14ac:dyDescent="0.25">
      <c r="A267" s="127"/>
      <c r="B267" s="99">
        <f>Daily!B432</f>
        <v>45647</v>
      </c>
      <c r="C267" s="27">
        <f>Daily!C432</f>
        <v>45647</v>
      </c>
      <c r="D267" s="90"/>
    </row>
    <row r="268" spans="1:4" x14ac:dyDescent="0.25">
      <c r="A268" s="127"/>
      <c r="B268" s="99">
        <f>Daily!B433</f>
        <v>45648</v>
      </c>
      <c r="C268" s="27">
        <f>Daily!C433</f>
        <v>45648</v>
      </c>
      <c r="D268" s="90"/>
    </row>
    <row r="269" spans="1:4" x14ac:dyDescent="0.25">
      <c r="A269" s="127">
        <f>Daily!A434</f>
        <v>62</v>
      </c>
      <c r="B269" s="99">
        <f>Daily!B434</f>
        <v>45649</v>
      </c>
      <c r="C269" s="27">
        <f>Daily!C434</f>
        <v>45649</v>
      </c>
      <c r="D269" s="90"/>
    </row>
    <row r="270" spans="1:4" x14ac:dyDescent="0.25">
      <c r="A270" s="127"/>
      <c r="B270" s="99">
        <f>Daily!B435</f>
        <v>45650</v>
      </c>
      <c r="C270" s="27">
        <f>Daily!C435</f>
        <v>45650</v>
      </c>
      <c r="D270" s="90"/>
    </row>
    <row r="271" spans="1:4" x14ac:dyDescent="0.25">
      <c r="A271" s="127"/>
      <c r="B271" s="99">
        <f>Daily!B436</f>
        <v>45651</v>
      </c>
      <c r="C271" s="27">
        <f>Daily!C436</f>
        <v>45651</v>
      </c>
      <c r="D271" s="90"/>
    </row>
    <row r="272" spans="1:4" x14ac:dyDescent="0.25">
      <c r="A272" s="127"/>
      <c r="B272" s="99">
        <f>Daily!B437</f>
        <v>45652</v>
      </c>
      <c r="C272" s="27">
        <f>Daily!C437</f>
        <v>45652</v>
      </c>
      <c r="D272" s="90"/>
    </row>
    <row r="273" spans="1:4" x14ac:dyDescent="0.25">
      <c r="A273" s="127"/>
      <c r="B273" s="99">
        <f>Daily!B438</f>
        <v>45653</v>
      </c>
      <c r="C273" s="27">
        <f>Daily!C438</f>
        <v>45653</v>
      </c>
      <c r="D273" s="90"/>
    </row>
    <row r="274" spans="1:4" x14ac:dyDescent="0.25">
      <c r="A274" s="127"/>
      <c r="B274" s="99">
        <f>Daily!B439</f>
        <v>45654</v>
      </c>
      <c r="C274" s="27">
        <f>Daily!C439</f>
        <v>45654</v>
      </c>
      <c r="D274" s="90"/>
    </row>
    <row r="275" spans="1:4" x14ac:dyDescent="0.25">
      <c r="A275" s="127"/>
      <c r="B275" s="99">
        <f>Daily!B440</f>
        <v>45655</v>
      </c>
      <c r="C275" s="27">
        <f>Daily!C440</f>
        <v>45655</v>
      </c>
      <c r="D275" s="90"/>
    </row>
  </sheetData>
  <autoFilter ref="J3:Q37" xr:uid="{1FDBD1E8-121D-480A-BD58-3264EAEAC414}">
    <sortState xmlns:xlrd2="http://schemas.microsoft.com/office/spreadsheetml/2017/richdata2" ref="J4:Q37">
      <sortCondition ref="J3:J37"/>
    </sortState>
  </autoFilter>
  <mergeCells count="39">
    <mergeCell ref="A255:A261"/>
    <mergeCell ref="A262:A268"/>
    <mergeCell ref="A269:A275"/>
    <mergeCell ref="A213:A219"/>
    <mergeCell ref="A220:A226"/>
    <mergeCell ref="A227:A233"/>
    <mergeCell ref="A234:A240"/>
    <mergeCell ref="A241:A247"/>
    <mergeCell ref="A248:A254"/>
    <mergeCell ref="A206:A212"/>
    <mergeCell ref="A129:A135"/>
    <mergeCell ref="A136:A142"/>
    <mergeCell ref="A143:A149"/>
    <mergeCell ref="A150:A156"/>
    <mergeCell ref="A157:A163"/>
    <mergeCell ref="A164:A170"/>
    <mergeCell ref="A171:A177"/>
    <mergeCell ref="A178:A184"/>
    <mergeCell ref="A185:A191"/>
    <mergeCell ref="A192:A198"/>
    <mergeCell ref="A199:A205"/>
    <mergeCell ref="A122:A128"/>
    <mergeCell ref="A45:A51"/>
    <mergeCell ref="A52:A58"/>
    <mergeCell ref="A59:A65"/>
    <mergeCell ref="A66:A72"/>
    <mergeCell ref="A73:A79"/>
    <mergeCell ref="A80:A86"/>
    <mergeCell ref="A87:A93"/>
    <mergeCell ref="A94:A100"/>
    <mergeCell ref="A101:A107"/>
    <mergeCell ref="A108:A114"/>
    <mergeCell ref="A115:A121"/>
    <mergeCell ref="A38:A44"/>
    <mergeCell ref="A3:A9"/>
    <mergeCell ref="A10:A16"/>
    <mergeCell ref="A17:A23"/>
    <mergeCell ref="A24:A30"/>
    <mergeCell ref="A31:A37"/>
  </mergeCells>
  <conditionalFormatting sqref="C3:C275">
    <cfRule type="cellIs" dxfId="0" priority="1" operator="equal">
      <formula>TODAY()</formula>
    </cfRule>
  </conditionalFormatting>
  <hyperlinks>
    <hyperlink ref="M3" r:id="rId1" xr:uid="{7D27D3B7-7024-4967-88DB-67BCC2E83CA8}"/>
    <hyperlink ref="N3" r:id="rId2" display="https://www.designgurus.io/course/grokking-the-coding-interview" xr:uid="{A1D57563-E54B-401E-84A1-ABC8ECCA6427}"/>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C8D53-D100-4A81-9453-5AFE1F430D94}">
  <sheetPr codeName="Sheet14"/>
  <dimension ref="A1:D5"/>
  <sheetViews>
    <sheetView workbookViewId="0">
      <selection activeCell="D5" sqref="D5"/>
    </sheetView>
  </sheetViews>
  <sheetFormatPr defaultRowHeight="15" x14ac:dyDescent="0.25"/>
  <cols>
    <col min="1" max="1" width="6" style="16" customWidth="1"/>
    <col min="2" max="2" width="12.85546875" style="16" bestFit="1" customWidth="1"/>
    <col min="3" max="3" width="177" style="103" bestFit="1" customWidth="1"/>
    <col min="4" max="4" width="56" style="103" customWidth="1"/>
    <col min="5" max="16384" width="9.140625" style="16"/>
  </cols>
  <sheetData>
    <row r="1" spans="1:4" x14ac:dyDescent="0.25">
      <c r="A1" s="15" t="s">
        <v>8037</v>
      </c>
      <c r="B1" s="15" t="s">
        <v>7850</v>
      </c>
      <c r="C1" s="104" t="s">
        <v>8414</v>
      </c>
      <c r="D1" s="104" t="s">
        <v>8413</v>
      </c>
    </row>
    <row r="2" spans="1:4" x14ac:dyDescent="0.25">
      <c r="A2" s="16">
        <v>1</v>
      </c>
      <c r="B2" s="16" t="s">
        <v>47</v>
      </c>
      <c r="C2" s="103" t="s">
        <v>8408</v>
      </c>
      <c r="D2" s="103" t="s">
        <v>8409</v>
      </c>
    </row>
    <row r="3" spans="1:4" ht="90" x14ac:dyDescent="0.25">
      <c r="A3" s="16">
        <v>2</v>
      </c>
      <c r="B3" s="16" t="s">
        <v>47</v>
      </c>
      <c r="C3" s="103" t="s">
        <v>8411</v>
      </c>
      <c r="D3" s="103" t="s">
        <v>8412</v>
      </c>
    </row>
    <row r="4" spans="1:4" ht="90" x14ac:dyDescent="0.25">
      <c r="A4" s="16">
        <v>3</v>
      </c>
      <c r="B4" s="16" t="s">
        <v>47</v>
      </c>
      <c r="C4" s="103" t="s">
        <v>8415</v>
      </c>
      <c r="D4" s="103" t="s">
        <v>8416</v>
      </c>
    </row>
    <row r="5" spans="1:4" ht="120" x14ac:dyDescent="0.25">
      <c r="A5" s="16">
        <v>4</v>
      </c>
      <c r="B5" s="16" t="s">
        <v>8417</v>
      </c>
      <c r="C5" s="103" t="s">
        <v>8418</v>
      </c>
      <c r="D5" s="103" t="s">
        <v>8419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414C-DF55-4A00-9F11-799732B660FA}">
  <sheetPr codeName="Sheet15"/>
  <dimension ref="A1:C4"/>
  <sheetViews>
    <sheetView showGridLines="0" workbookViewId="0"/>
  </sheetViews>
  <sheetFormatPr defaultRowHeight="15" x14ac:dyDescent="0.25"/>
  <cols>
    <col min="1" max="1" width="9.7109375" style="105" customWidth="1"/>
    <col min="2" max="2" width="17" style="105" bestFit="1" customWidth="1"/>
    <col min="3" max="3" width="40.28515625" style="105" bestFit="1" customWidth="1"/>
  </cols>
  <sheetData>
    <row r="1" spans="1:3" s="4" customFormat="1" x14ac:dyDescent="0.25">
      <c r="A1" s="59" t="s">
        <v>8037</v>
      </c>
      <c r="B1" s="59" t="s">
        <v>8429</v>
      </c>
      <c r="C1" s="59" t="s">
        <v>8426</v>
      </c>
    </row>
    <row r="2" spans="1:3" x14ac:dyDescent="0.25">
      <c r="A2" s="105">
        <v>1</v>
      </c>
      <c r="B2" s="105" t="s">
        <v>8424</v>
      </c>
      <c r="C2" s="105" t="s">
        <v>8425</v>
      </c>
    </row>
    <row r="3" spans="1:3" x14ac:dyDescent="0.25">
      <c r="A3" s="105">
        <v>2</v>
      </c>
      <c r="B3" s="105" t="s">
        <v>8428</v>
      </c>
      <c r="C3" s="105" t="s">
        <v>8427</v>
      </c>
    </row>
    <row r="4" spans="1:3" x14ac:dyDescent="0.25">
      <c r="A4" s="105">
        <v>3</v>
      </c>
      <c r="B4" s="105" t="s">
        <v>8430</v>
      </c>
      <c r="C4" s="105" t="s">
        <v>8431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C318D-6E0B-4C01-BCBF-7C1BE73CDDAE}">
  <sheetPr codeName="Sheet7"/>
  <dimension ref="A1:I2331"/>
  <sheetViews>
    <sheetView topLeftCell="A106" workbookViewId="0">
      <selection activeCell="A119" sqref="A119:XFD119"/>
    </sheetView>
  </sheetViews>
  <sheetFormatPr defaultColWidth="8.85546875" defaultRowHeight="15" x14ac:dyDescent="0.25"/>
  <cols>
    <col min="1" max="1" width="15.28515625" bestFit="1" customWidth="1"/>
    <col min="2" max="2" width="64.42578125" bestFit="1" customWidth="1"/>
    <col min="3" max="3" width="91.28515625" bestFit="1" customWidth="1"/>
    <col min="4" max="4" width="7.85546875" bestFit="1" customWidth="1"/>
    <col min="5" max="5" width="7.7109375" bestFit="1" customWidth="1"/>
    <col min="6" max="6" width="111" bestFit="1" customWidth="1"/>
    <col min="7" max="7" width="8.28515625" bestFit="1" customWidth="1"/>
    <col min="8" max="8" width="15" bestFit="1" customWidth="1"/>
    <col min="9" max="9" width="15.7109375" bestFit="1" customWidth="1"/>
  </cols>
  <sheetData>
    <row r="1" spans="1:9" x14ac:dyDescent="0.25">
      <c r="A1" s="11" t="s">
        <v>318</v>
      </c>
      <c r="B1" s="11" t="s">
        <v>319</v>
      </c>
      <c r="C1" s="11" t="s">
        <v>320</v>
      </c>
      <c r="D1" s="11" t="s">
        <v>3</v>
      </c>
      <c r="E1" s="11" t="s">
        <v>321</v>
      </c>
      <c r="F1" s="11" t="s">
        <v>322</v>
      </c>
      <c r="G1" s="11" t="s">
        <v>323</v>
      </c>
      <c r="H1" s="11" t="s">
        <v>324</v>
      </c>
      <c r="I1" s="11" t="s">
        <v>325</v>
      </c>
    </row>
    <row r="2" spans="1:9" x14ac:dyDescent="0.25">
      <c r="A2" s="12">
        <v>1</v>
      </c>
      <c r="B2" s="12" t="s">
        <v>180</v>
      </c>
      <c r="C2" s="12" t="s">
        <v>326</v>
      </c>
      <c r="D2" s="12" t="s">
        <v>10</v>
      </c>
      <c r="E2" s="12" t="s">
        <v>327</v>
      </c>
      <c r="F2" s="12" t="s">
        <v>328</v>
      </c>
      <c r="G2" s="12" t="b">
        <v>0</v>
      </c>
      <c r="H2" s="12" t="b">
        <v>1</v>
      </c>
      <c r="I2" s="12" t="b">
        <v>1</v>
      </c>
    </row>
    <row r="3" spans="1:9" x14ac:dyDescent="0.25">
      <c r="A3" s="12">
        <v>2</v>
      </c>
      <c r="B3" s="12" t="s">
        <v>117</v>
      </c>
      <c r="C3" s="12" t="s">
        <v>329</v>
      </c>
      <c r="D3" s="12" t="s">
        <v>14</v>
      </c>
      <c r="E3" s="12" t="s">
        <v>330</v>
      </c>
      <c r="F3" s="12" t="s">
        <v>331</v>
      </c>
      <c r="G3" s="12" t="b">
        <v>0</v>
      </c>
      <c r="H3" s="12" t="b">
        <v>1</v>
      </c>
      <c r="I3" s="12" t="b">
        <v>1</v>
      </c>
    </row>
    <row r="4" spans="1:9" x14ac:dyDescent="0.25">
      <c r="A4" s="12">
        <v>3</v>
      </c>
      <c r="B4" s="12" t="s">
        <v>161</v>
      </c>
      <c r="C4" s="12" t="s">
        <v>332</v>
      </c>
      <c r="D4" s="12" t="s">
        <v>14</v>
      </c>
      <c r="E4" s="12" t="s">
        <v>333</v>
      </c>
      <c r="F4" s="12" t="s">
        <v>334</v>
      </c>
      <c r="G4" s="12" t="b">
        <v>0</v>
      </c>
      <c r="H4" s="12" t="b">
        <v>1</v>
      </c>
      <c r="I4" s="12" t="b">
        <v>1</v>
      </c>
    </row>
    <row r="5" spans="1:9" x14ac:dyDescent="0.25">
      <c r="A5" s="12">
        <v>4</v>
      </c>
      <c r="B5" s="12" t="s">
        <v>60</v>
      </c>
      <c r="C5" s="12" t="s">
        <v>335</v>
      </c>
      <c r="D5" s="12" t="s">
        <v>45</v>
      </c>
      <c r="E5" s="12" t="s">
        <v>336</v>
      </c>
      <c r="F5" s="12" t="s">
        <v>337</v>
      </c>
      <c r="G5" s="12" t="b">
        <v>0</v>
      </c>
      <c r="H5" s="12" t="b">
        <v>0</v>
      </c>
      <c r="I5" s="12" t="b">
        <v>0</v>
      </c>
    </row>
    <row r="6" spans="1:9" x14ac:dyDescent="0.25">
      <c r="A6" s="12">
        <v>5</v>
      </c>
      <c r="B6" s="12" t="s">
        <v>97</v>
      </c>
      <c r="C6" s="12" t="s">
        <v>338</v>
      </c>
      <c r="D6" s="12" t="s">
        <v>14</v>
      </c>
      <c r="E6" s="12" t="s">
        <v>339</v>
      </c>
      <c r="F6" s="12" t="s">
        <v>340</v>
      </c>
      <c r="G6" s="12" t="b">
        <v>0</v>
      </c>
      <c r="H6" s="12" t="b">
        <v>1</v>
      </c>
      <c r="I6" s="12" t="b">
        <v>1</v>
      </c>
    </row>
    <row r="7" spans="1:9" x14ac:dyDescent="0.25">
      <c r="A7" s="12">
        <v>6</v>
      </c>
      <c r="B7" s="12" t="s">
        <v>341</v>
      </c>
      <c r="C7" s="12" t="s">
        <v>342</v>
      </c>
      <c r="D7" s="12" t="s">
        <v>14</v>
      </c>
      <c r="E7" s="12" t="s">
        <v>343</v>
      </c>
      <c r="F7" s="12" t="s">
        <v>316</v>
      </c>
      <c r="G7" s="12" t="b">
        <v>0</v>
      </c>
      <c r="H7" s="12" t="b">
        <v>1</v>
      </c>
      <c r="I7" s="12" t="b">
        <v>1</v>
      </c>
    </row>
    <row r="8" spans="1:9" x14ac:dyDescent="0.25">
      <c r="A8" s="12">
        <v>7</v>
      </c>
      <c r="B8" s="12" t="s">
        <v>344</v>
      </c>
      <c r="C8" s="12" t="s">
        <v>345</v>
      </c>
      <c r="D8" s="12" t="s">
        <v>14</v>
      </c>
      <c r="E8" s="12" t="s">
        <v>346</v>
      </c>
      <c r="F8" s="12" t="s">
        <v>315</v>
      </c>
      <c r="G8" s="12" t="b">
        <v>0</v>
      </c>
      <c r="H8" s="12" t="b">
        <v>1</v>
      </c>
      <c r="I8" s="12" t="b">
        <v>1</v>
      </c>
    </row>
    <row r="9" spans="1:9" x14ac:dyDescent="0.25">
      <c r="A9" s="12">
        <v>8</v>
      </c>
      <c r="B9" s="12" t="s">
        <v>347</v>
      </c>
      <c r="C9" s="12" t="s">
        <v>348</v>
      </c>
      <c r="D9" s="12" t="s">
        <v>14</v>
      </c>
      <c r="E9" s="12" t="s">
        <v>349</v>
      </c>
      <c r="F9" s="12" t="s">
        <v>316</v>
      </c>
      <c r="G9" s="12" t="b">
        <v>0</v>
      </c>
      <c r="H9" s="12" t="b">
        <v>1</v>
      </c>
      <c r="I9" s="12" t="b">
        <v>1</v>
      </c>
    </row>
    <row r="10" spans="1:9" x14ac:dyDescent="0.25">
      <c r="A10" s="12">
        <v>9</v>
      </c>
      <c r="B10" s="12" t="s">
        <v>350</v>
      </c>
      <c r="C10" s="12" t="s">
        <v>351</v>
      </c>
      <c r="D10" s="12" t="s">
        <v>10</v>
      </c>
      <c r="E10" s="12" t="s">
        <v>352</v>
      </c>
      <c r="F10" s="12" t="s">
        <v>315</v>
      </c>
      <c r="G10" s="12" t="b">
        <v>0</v>
      </c>
      <c r="H10" s="12" t="b">
        <v>1</v>
      </c>
      <c r="I10" s="12" t="b">
        <v>1</v>
      </c>
    </row>
    <row r="11" spans="1:9" x14ac:dyDescent="0.25">
      <c r="A11" s="12">
        <v>10</v>
      </c>
      <c r="B11" s="12" t="s">
        <v>353</v>
      </c>
      <c r="C11" s="12" t="s">
        <v>354</v>
      </c>
      <c r="D11" s="12" t="s">
        <v>45</v>
      </c>
      <c r="E11" s="12" t="s">
        <v>355</v>
      </c>
      <c r="F11" s="12" t="s">
        <v>356</v>
      </c>
      <c r="G11" s="12" t="b">
        <v>0</v>
      </c>
      <c r="H11" s="12" t="b">
        <v>1</v>
      </c>
      <c r="I11" s="12" t="b">
        <v>1</v>
      </c>
    </row>
    <row r="12" spans="1:9" x14ac:dyDescent="0.25">
      <c r="A12" s="12">
        <v>11</v>
      </c>
      <c r="B12" s="12" t="s">
        <v>187</v>
      </c>
      <c r="C12" s="12" t="s">
        <v>357</v>
      </c>
      <c r="D12" s="12" t="s">
        <v>14</v>
      </c>
      <c r="E12" s="12" t="s">
        <v>358</v>
      </c>
      <c r="F12" s="12" t="s">
        <v>359</v>
      </c>
      <c r="G12" s="12" t="b">
        <v>0</v>
      </c>
      <c r="H12" s="12" t="b">
        <v>1</v>
      </c>
      <c r="I12" s="12" t="b">
        <v>1</v>
      </c>
    </row>
    <row r="13" spans="1:9" x14ac:dyDescent="0.25">
      <c r="A13" s="12">
        <v>12</v>
      </c>
      <c r="B13" s="12" t="s">
        <v>360</v>
      </c>
      <c r="C13" s="12" t="s">
        <v>361</v>
      </c>
      <c r="D13" s="12" t="s">
        <v>14</v>
      </c>
      <c r="E13" s="12" t="s">
        <v>362</v>
      </c>
      <c r="F13" s="12" t="s">
        <v>363</v>
      </c>
      <c r="G13" s="12" t="b">
        <v>0</v>
      </c>
      <c r="H13" s="12" t="b">
        <v>1</v>
      </c>
      <c r="I13" s="12" t="b">
        <v>1</v>
      </c>
    </row>
    <row r="14" spans="1:9" x14ac:dyDescent="0.25">
      <c r="A14" s="12">
        <v>13</v>
      </c>
      <c r="B14" s="12" t="s">
        <v>364</v>
      </c>
      <c r="C14" s="12" t="s">
        <v>365</v>
      </c>
      <c r="D14" s="12" t="s">
        <v>10</v>
      </c>
      <c r="E14" s="12" t="s">
        <v>366</v>
      </c>
      <c r="F14" s="12" t="s">
        <v>363</v>
      </c>
      <c r="G14" s="12" t="b">
        <v>0</v>
      </c>
      <c r="H14" s="12" t="b">
        <v>1</v>
      </c>
      <c r="I14" s="12" t="b">
        <v>1</v>
      </c>
    </row>
    <row r="15" spans="1:9" x14ac:dyDescent="0.25">
      <c r="A15" s="12">
        <v>14</v>
      </c>
      <c r="B15" s="12" t="s">
        <v>367</v>
      </c>
      <c r="C15" s="12" t="s">
        <v>368</v>
      </c>
      <c r="D15" s="12" t="s">
        <v>10</v>
      </c>
      <c r="E15" s="12" t="s">
        <v>369</v>
      </c>
      <c r="F15" s="12" t="s">
        <v>316</v>
      </c>
      <c r="G15" s="12" t="b">
        <v>0</v>
      </c>
      <c r="H15" s="12" t="b">
        <v>1</v>
      </c>
      <c r="I15" s="12" t="b">
        <v>1</v>
      </c>
    </row>
    <row r="16" spans="1:9" x14ac:dyDescent="0.25">
      <c r="A16" s="12">
        <v>15</v>
      </c>
      <c r="B16" s="12" t="s">
        <v>305</v>
      </c>
      <c r="C16" s="12" t="s">
        <v>370</v>
      </c>
      <c r="D16" s="12" t="s">
        <v>14</v>
      </c>
      <c r="E16" s="12" t="s">
        <v>371</v>
      </c>
      <c r="F16" s="12" t="s">
        <v>372</v>
      </c>
      <c r="G16" s="12" t="b">
        <v>0</v>
      </c>
      <c r="H16" s="12" t="b">
        <v>1</v>
      </c>
      <c r="I16" s="12" t="b">
        <v>1</v>
      </c>
    </row>
    <row r="17" spans="1:9" x14ac:dyDescent="0.25">
      <c r="A17" s="12">
        <v>16</v>
      </c>
      <c r="B17" s="12" t="s">
        <v>306</v>
      </c>
      <c r="C17" s="12" t="s">
        <v>373</v>
      </c>
      <c r="D17" s="12" t="s">
        <v>14</v>
      </c>
      <c r="E17" s="12" t="s">
        <v>374</v>
      </c>
      <c r="F17" s="12" t="s">
        <v>372</v>
      </c>
      <c r="G17" s="12" t="b">
        <v>0</v>
      </c>
      <c r="H17" s="12" t="b">
        <v>1</v>
      </c>
      <c r="I17" s="12" t="b">
        <v>1</v>
      </c>
    </row>
    <row r="18" spans="1:9" x14ac:dyDescent="0.25">
      <c r="A18" s="12">
        <v>17</v>
      </c>
      <c r="B18" s="12" t="s">
        <v>302</v>
      </c>
      <c r="C18" s="12" t="s">
        <v>375</v>
      </c>
      <c r="D18" s="12" t="s">
        <v>14</v>
      </c>
      <c r="E18" s="12" t="s">
        <v>376</v>
      </c>
      <c r="F18" s="12" t="s">
        <v>377</v>
      </c>
      <c r="G18" s="12" t="b">
        <v>0</v>
      </c>
      <c r="H18" s="12" t="b">
        <v>1</v>
      </c>
      <c r="I18" s="12" t="b">
        <v>1</v>
      </c>
    </row>
    <row r="19" spans="1:9" x14ac:dyDescent="0.25">
      <c r="A19" s="12">
        <v>18</v>
      </c>
      <c r="B19" s="12" t="s">
        <v>378</v>
      </c>
      <c r="C19" s="12" t="s">
        <v>379</v>
      </c>
      <c r="D19" s="12" t="s">
        <v>14</v>
      </c>
      <c r="E19" s="12" t="s">
        <v>380</v>
      </c>
      <c r="F19" s="12" t="s">
        <v>372</v>
      </c>
      <c r="G19" s="12" t="b">
        <v>0</v>
      </c>
      <c r="H19" s="12" t="b">
        <v>1</v>
      </c>
      <c r="I19" s="12" t="b">
        <v>1</v>
      </c>
    </row>
    <row r="20" spans="1:9" x14ac:dyDescent="0.25">
      <c r="A20" s="12">
        <v>19</v>
      </c>
      <c r="B20" s="12" t="s">
        <v>303</v>
      </c>
      <c r="C20" s="12" t="s">
        <v>381</v>
      </c>
      <c r="D20" s="12" t="s">
        <v>14</v>
      </c>
      <c r="E20" s="12" t="s">
        <v>382</v>
      </c>
      <c r="F20" s="12" t="s">
        <v>383</v>
      </c>
      <c r="G20" s="12" t="b">
        <v>0</v>
      </c>
      <c r="H20" s="12" t="b">
        <v>1</v>
      </c>
      <c r="I20" s="12" t="b">
        <v>1</v>
      </c>
    </row>
    <row r="21" spans="1:9" x14ac:dyDescent="0.25">
      <c r="A21" s="12">
        <v>20</v>
      </c>
      <c r="B21" s="12" t="s">
        <v>384</v>
      </c>
      <c r="C21" s="12" t="s">
        <v>385</v>
      </c>
      <c r="D21" s="12" t="s">
        <v>10</v>
      </c>
      <c r="E21" s="12" t="s">
        <v>386</v>
      </c>
      <c r="F21" s="12" t="s">
        <v>387</v>
      </c>
      <c r="G21" s="12" t="b">
        <v>0</v>
      </c>
      <c r="H21" s="12" t="b">
        <v>1</v>
      </c>
      <c r="I21" s="12" t="b">
        <v>1</v>
      </c>
    </row>
    <row r="22" spans="1:9" x14ac:dyDescent="0.25">
      <c r="A22" s="12">
        <v>21</v>
      </c>
      <c r="B22" s="12" t="s">
        <v>179</v>
      </c>
      <c r="C22" s="12" t="s">
        <v>388</v>
      </c>
      <c r="D22" s="12" t="s">
        <v>10</v>
      </c>
      <c r="E22" s="12" t="s">
        <v>389</v>
      </c>
      <c r="F22" s="12" t="s">
        <v>390</v>
      </c>
      <c r="G22" s="12" t="b">
        <v>0</v>
      </c>
      <c r="H22" s="12" t="b">
        <v>1</v>
      </c>
      <c r="I22" s="12" t="b">
        <v>1</v>
      </c>
    </row>
    <row r="23" spans="1:9" x14ac:dyDescent="0.25">
      <c r="A23" s="12">
        <v>22</v>
      </c>
      <c r="B23" s="12" t="s">
        <v>40</v>
      </c>
      <c r="C23" s="12" t="s">
        <v>391</v>
      </c>
      <c r="D23" s="12" t="s">
        <v>14</v>
      </c>
      <c r="E23" s="12" t="s">
        <v>392</v>
      </c>
      <c r="F23" s="12" t="s">
        <v>393</v>
      </c>
      <c r="G23" s="12" t="b">
        <v>0</v>
      </c>
      <c r="H23" s="12" t="b">
        <v>1</v>
      </c>
      <c r="I23" s="12" t="b">
        <v>1</v>
      </c>
    </row>
    <row r="24" spans="1:9" x14ac:dyDescent="0.25">
      <c r="A24" s="12">
        <v>23</v>
      </c>
      <c r="B24" s="12" t="s">
        <v>139</v>
      </c>
      <c r="C24" s="12" t="s">
        <v>394</v>
      </c>
      <c r="D24" s="12" t="s">
        <v>45</v>
      </c>
      <c r="E24" s="12" t="s">
        <v>395</v>
      </c>
      <c r="F24" s="12" t="s">
        <v>396</v>
      </c>
      <c r="G24" s="12" t="b">
        <v>0</v>
      </c>
      <c r="H24" s="12" t="b">
        <v>1</v>
      </c>
      <c r="I24" s="12" t="b">
        <v>1</v>
      </c>
    </row>
    <row r="25" spans="1:9" x14ac:dyDescent="0.25">
      <c r="A25" s="12">
        <v>24</v>
      </c>
      <c r="B25" s="12" t="s">
        <v>147</v>
      </c>
      <c r="C25" s="12" t="s">
        <v>397</v>
      </c>
      <c r="D25" s="12" t="s">
        <v>14</v>
      </c>
      <c r="E25" s="12" t="s">
        <v>398</v>
      </c>
      <c r="F25" s="12" t="s">
        <v>390</v>
      </c>
      <c r="G25" s="12" t="b">
        <v>0</v>
      </c>
      <c r="H25" s="12" t="b">
        <v>1</v>
      </c>
      <c r="I25" s="12" t="b">
        <v>1</v>
      </c>
    </row>
    <row r="26" spans="1:9" x14ac:dyDescent="0.25">
      <c r="A26" s="12">
        <v>25</v>
      </c>
      <c r="B26" s="12" t="s">
        <v>149</v>
      </c>
      <c r="C26" s="12" t="s">
        <v>399</v>
      </c>
      <c r="D26" s="12" t="s">
        <v>45</v>
      </c>
      <c r="E26" s="12" t="s">
        <v>400</v>
      </c>
      <c r="F26" s="12" t="s">
        <v>390</v>
      </c>
      <c r="G26" s="12" t="b">
        <v>0</v>
      </c>
      <c r="H26" s="12" t="b">
        <v>1</v>
      </c>
      <c r="I26" s="12" t="b">
        <v>1</v>
      </c>
    </row>
    <row r="27" spans="1:9" x14ac:dyDescent="0.25">
      <c r="A27" s="12">
        <v>26</v>
      </c>
      <c r="B27" s="12" t="s">
        <v>401</v>
      </c>
      <c r="C27" s="12" t="s">
        <v>402</v>
      </c>
      <c r="D27" s="12" t="s">
        <v>10</v>
      </c>
      <c r="E27" s="12" t="s">
        <v>403</v>
      </c>
      <c r="F27" s="12" t="s">
        <v>404</v>
      </c>
      <c r="G27" s="12" t="b">
        <v>0</v>
      </c>
      <c r="H27" s="12" t="b">
        <v>1</v>
      </c>
      <c r="I27" s="12" t="b">
        <v>1</v>
      </c>
    </row>
    <row r="28" spans="1:9" x14ac:dyDescent="0.25">
      <c r="A28" s="12">
        <v>27</v>
      </c>
      <c r="B28" s="12" t="s">
        <v>405</v>
      </c>
      <c r="C28" s="12" t="s">
        <v>406</v>
      </c>
      <c r="D28" s="12" t="s">
        <v>10</v>
      </c>
      <c r="E28" s="12" t="s">
        <v>407</v>
      </c>
      <c r="F28" s="12" t="s">
        <v>404</v>
      </c>
      <c r="G28" s="12" t="b">
        <v>0</v>
      </c>
      <c r="H28" s="12" t="b">
        <v>1</v>
      </c>
      <c r="I28" s="12" t="b">
        <v>1</v>
      </c>
    </row>
    <row r="29" spans="1:9" x14ac:dyDescent="0.25">
      <c r="A29" s="12">
        <v>28</v>
      </c>
      <c r="B29" s="12" t="s">
        <v>7842</v>
      </c>
      <c r="C29" s="12" t="s">
        <v>408</v>
      </c>
      <c r="D29" s="12" t="s">
        <v>10</v>
      </c>
      <c r="E29" s="12" t="s">
        <v>409</v>
      </c>
      <c r="F29" s="12" t="s">
        <v>410</v>
      </c>
      <c r="G29" s="12" t="b">
        <v>0</v>
      </c>
      <c r="H29" s="12" t="b">
        <v>0</v>
      </c>
      <c r="I29" s="12" t="b">
        <v>0</v>
      </c>
    </row>
    <row r="30" spans="1:9" x14ac:dyDescent="0.25">
      <c r="A30" s="12">
        <v>29</v>
      </c>
      <c r="B30" s="12" t="s">
        <v>411</v>
      </c>
      <c r="C30" s="12" t="s">
        <v>412</v>
      </c>
      <c r="D30" s="12" t="s">
        <v>14</v>
      </c>
      <c r="E30" s="12" t="s">
        <v>413</v>
      </c>
      <c r="F30" s="12" t="s">
        <v>414</v>
      </c>
      <c r="G30" s="12" t="b">
        <v>0</v>
      </c>
      <c r="H30" s="12" t="b">
        <v>1</v>
      </c>
      <c r="I30" s="12" t="b">
        <v>1</v>
      </c>
    </row>
    <row r="31" spans="1:9" x14ac:dyDescent="0.25">
      <c r="A31" s="12">
        <v>30</v>
      </c>
      <c r="B31" s="12" t="s">
        <v>166</v>
      </c>
      <c r="C31" s="12" t="s">
        <v>415</v>
      </c>
      <c r="D31" s="12" t="s">
        <v>45</v>
      </c>
      <c r="E31" s="12" t="s">
        <v>416</v>
      </c>
      <c r="F31" s="12" t="s">
        <v>334</v>
      </c>
      <c r="G31" s="12" t="b">
        <v>0</v>
      </c>
      <c r="H31" s="12" t="b">
        <v>1</v>
      </c>
      <c r="I31" s="12" t="b">
        <v>1</v>
      </c>
    </row>
    <row r="32" spans="1:9" x14ac:dyDescent="0.25">
      <c r="A32" s="12">
        <v>31</v>
      </c>
      <c r="B32" s="12" t="s">
        <v>417</v>
      </c>
      <c r="C32" s="12" t="s">
        <v>418</v>
      </c>
      <c r="D32" s="12" t="s">
        <v>14</v>
      </c>
      <c r="E32" s="12" t="s">
        <v>419</v>
      </c>
      <c r="F32" s="12" t="s">
        <v>404</v>
      </c>
      <c r="G32" s="12" t="b">
        <v>0</v>
      </c>
      <c r="H32" s="12" t="b">
        <v>1</v>
      </c>
      <c r="I32" s="12" t="b">
        <v>1</v>
      </c>
    </row>
    <row r="33" spans="1:9" x14ac:dyDescent="0.25">
      <c r="A33" s="12">
        <v>32</v>
      </c>
      <c r="B33" s="12" t="s">
        <v>420</v>
      </c>
      <c r="C33" s="12" t="s">
        <v>421</v>
      </c>
      <c r="D33" s="12" t="s">
        <v>45</v>
      </c>
      <c r="E33" s="12" t="s">
        <v>422</v>
      </c>
      <c r="F33" s="12" t="s">
        <v>423</v>
      </c>
      <c r="G33" s="12" t="b">
        <v>0</v>
      </c>
      <c r="H33" s="12" t="b">
        <v>1</v>
      </c>
      <c r="I33" s="12" t="b">
        <v>1</v>
      </c>
    </row>
    <row r="34" spans="1:9" x14ac:dyDescent="0.25">
      <c r="A34" s="12">
        <v>33</v>
      </c>
      <c r="B34" s="12" t="s">
        <v>54</v>
      </c>
      <c r="C34" s="12" t="s">
        <v>424</v>
      </c>
      <c r="D34" s="12" t="s">
        <v>14</v>
      </c>
      <c r="E34" s="12" t="s">
        <v>425</v>
      </c>
      <c r="F34" s="12" t="s">
        <v>426</v>
      </c>
      <c r="G34" s="12" t="b">
        <v>0</v>
      </c>
      <c r="H34" s="12" t="b">
        <v>1</v>
      </c>
      <c r="I34" s="12" t="b">
        <v>1</v>
      </c>
    </row>
    <row r="35" spans="1:9" x14ac:dyDescent="0.25">
      <c r="A35" s="12">
        <v>34</v>
      </c>
      <c r="B35" s="12" t="s">
        <v>427</v>
      </c>
      <c r="C35" s="12" t="s">
        <v>428</v>
      </c>
      <c r="D35" s="12" t="s">
        <v>14</v>
      </c>
      <c r="E35" s="12" t="s">
        <v>429</v>
      </c>
      <c r="F35" s="12" t="s">
        <v>426</v>
      </c>
      <c r="G35" s="12" t="b">
        <v>0</v>
      </c>
      <c r="H35" s="12" t="b">
        <v>1</v>
      </c>
      <c r="I35" s="12" t="b">
        <v>1</v>
      </c>
    </row>
    <row r="36" spans="1:9" x14ac:dyDescent="0.25">
      <c r="A36" s="12">
        <v>35</v>
      </c>
      <c r="B36" s="12" t="s">
        <v>430</v>
      </c>
      <c r="C36" s="12" t="s">
        <v>431</v>
      </c>
      <c r="D36" s="12" t="s">
        <v>10</v>
      </c>
      <c r="E36" s="12" t="s">
        <v>432</v>
      </c>
      <c r="F36" s="12" t="s">
        <v>426</v>
      </c>
      <c r="G36" s="12" t="b">
        <v>0</v>
      </c>
      <c r="H36" s="12" t="b">
        <v>1</v>
      </c>
      <c r="I36" s="12" t="b">
        <v>1</v>
      </c>
    </row>
    <row r="37" spans="1:9" x14ac:dyDescent="0.25">
      <c r="A37" s="12">
        <v>36</v>
      </c>
      <c r="B37" s="12" t="s">
        <v>433</v>
      </c>
      <c r="C37" s="12" t="s">
        <v>434</v>
      </c>
      <c r="D37" s="12" t="s">
        <v>14</v>
      </c>
      <c r="E37" s="12" t="s">
        <v>435</v>
      </c>
      <c r="F37" s="12" t="s">
        <v>436</v>
      </c>
      <c r="G37" s="12" t="b">
        <v>0</v>
      </c>
      <c r="H37" s="12" t="b">
        <v>1</v>
      </c>
      <c r="I37" s="12" t="b">
        <v>1</v>
      </c>
    </row>
    <row r="38" spans="1:9" x14ac:dyDescent="0.25">
      <c r="A38" s="12">
        <v>37</v>
      </c>
      <c r="B38" s="12" t="s">
        <v>313</v>
      </c>
      <c r="C38" s="12" t="s">
        <v>437</v>
      </c>
      <c r="D38" s="12" t="s">
        <v>45</v>
      </c>
      <c r="E38" s="12" t="s">
        <v>438</v>
      </c>
      <c r="F38" s="12" t="s">
        <v>439</v>
      </c>
      <c r="G38" s="12" t="b">
        <v>0</v>
      </c>
      <c r="H38" s="12" t="b">
        <v>1</v>
      </c>
      <c r="I38" s="12" t="b">
        <v>1</v>
      </c>
    </row>
    <row r="39" spans="1:9" x14ac:dyDescent="0.25">
      <c r="A39" s="12">
        <v>38</v>
      </c>
      <c r="B39" s="12" t="s">
        <v>440</v>
      </c>
      <c r="C39" s="12" t="s">
        <v>441</v>
      </c>
      <c r="D39" s="12" t="s">
        <v>14</v>
      </c>
      <c r="E39" s="12" t="s">
        <v>442</v>
      </c>
      <c r="F39" s="12" t="s">
        <v>316</v>
      </c>
      <c r="G39" s="12" t="b">
        <v>0</v>
      </c>
      <c r="H39" s="12" t="b">
        <v>0</v>
      </c>
      <c r="I39" s="12" t="b">
        <v>0</v>
      </c>
    </row>
    <row r="40" spans="1:9" x14ac:dyDescent="0.25">
      <c r="A40" s="12">
        <v>39</v>
      </c>
      <c r="B40" s="12" t="s">
        <v>37</v>
      </c>
      <c r="C40" s="12" t="s">
        <v>443</v>
      </c>
      <c r="D40" s="12" t="s">
        <v>14</v>
      </c>
      <c r="E40" s="12" t="s">
        <v>444</v>
      </c>
      <c r="F40" s="12" t="s">
        <v>445</v>
      </c>
      <c r="G40" s="12" t="b">
        <v>0</v>
      </c>
      <c r="H40" s="12" t="b">
        <v>1</v>
      </c>
      <c r="I40" s="12" t="b">
        <v>1</v>
      </c>
    </row>
    <row r="41" spans="1:9" x14ac:dyDescent="0.25">
      <c r="A41" s="12">
        <v>40</v>
      </c>
      <c r="B41" s="12" t="s">
        <v>38</v>
      </c>
      <c r="C41" s="12" t="s">
        <v>446</v>
      </c>
      <c r="D41" s="12" t="s">
        <v>14</v>
      </c>
      <c r="E41" s="12" t="s">
        <v>447</v>
      </c>
      <c r="F41" s="12" t="s">
        <v>445</v>
      </c>
      <c r="G41" s="12" t="b">
        <v>0</v>
      </c>
      <c r="H41" s="12" t="b">
        <v>1</v>
      </c>
      <c r="I41" s="12" t="b">
        <v>1</v>
      </c>
    </row>
    <row r="42" spans="1:9" x14ac:dyDescent="0.25">
      <c r="A42" s="12">
        <v>41</v>
      </c>
      <c r="B42" s="12" t="s">
        <v>196</v>
      </c>
      <c r="C42" s="12" t="s">
        <v>448</v>
      </c>
      <c r="D42" s="12" t="s">
        <v>45</v>
      </c>
      <c r="E42" s="12" t="s">
        <v>449</v>
      </c>
      <c r="F42" s="12" t="s">
        <v>328</v>
      </c>
      <c r="G42" s="12" t="b">
        <v>0</v>
      </c>
      <c r="H42" s="12" t="b">
        <v>1</v>
      </c>
      <c r="I42" s="12" t="b">
        <v>1</v>
      </c>
    </row>
    <row r="43" spans="1:9" x14ac:dyDescent="0.25">
      <c r="A43" s="12">
        <v>42</v>
      </c>
      <c r="B43" s="12" t="s">
        <v>188</v>
      </c>
      <c r="C43" s="12" t="s">
        <v>450</v>
      </c>
      <c r="D43" s="12" t="s">
        <v>45</v>
      </c>
      <c r="E43" s="12" t="s">
        <v>451</v>
      </c>
      <c r="F43" s="12" t="s">
        <v>452</v>
      </c>
      <c r="G43" s="12" t="b">
        <v>0</v>
      </c>
      <c r="H43" s="12" t="b">
        <v>1</v>
      </c>
      <c r="I43" s="12" t="b">
        <v>1</v>
      </c>
    </row>
    <row r="44" spans="1:9" x14ac:dyDescent="0.25">
      <c r="A44" s="12">
        <v>43</v>
      </c>
      <c r="B44" s="12" t="s">
        <v>453</v>
      </c>
      <c r="C44" s="12" t="s">
        <v>454</v>
      </c>
      <c r="D44" s="12" t="s">
        <v>14</v>
      </c>
      <c r="E44" s="12" t="s">
        <v>455</v>
      </c>
      <c r="F44" s="12" t="s">
        <v>456</v>
      </c>
      <c r="G44" s="12" t="b">
        <v>0</v>
      </c>
      <c r="H44" s="12" t="b">
        <v>1</v>
      </c>
      <c r="I44" s="12" t="b">
        <v>1</v>
      </c>
    </row>
    <row r="45" spans="1:9" x14ac:dyDescent="0.25">
      <c r="A45" s="12">
        <v>44</v>
      </c>
      <c r="B45" s="12" t="s">
        <v>457</v>
      </c>
      <c r="C45" s="12" t="s">
        <v>458</v>
      </c>
      <c r="D45" s="12" t="s">
        <v>45</v>
      </c>
      <c r="E45" s="12" t="s">
        <v>459</v>
      </c>
      <c r="F45" s="12" t="s">
        <v>460</v>
      </c>
      <c r="G45" s="12" t="b">
        <v>0</v>
      </c>
      <c r="H45" s="12" t="b">
        <v>1</v>
      </c>
      <c r="I45" s="12" t="b">
        <v>1</v>
      </c>
    </row>
    <row r="46" spans="1:9" x14ac:dyDescent="0.25">
      <c r="A46" s="12">
        <v>45</v>
      </c>
      <c r="B46" s="12" t="s">
        <v>461</v>
      </c>
      <c r="C46" s="12" t="s">
        <v>462</v>
      </c>
      <c r="D46" s="12" t="s">
        <v>14</v>
      </c>
      <c r="E46" s="12" t="s">
        <v>463</v>
      </c>
      <c r="F46" s="12" t="s">
        <v>464</v>
      </c>
      <c r="G46" s="12" t="b">
        <v>0</v>
      </c>
      <c r="H46" s="12" t="b">
        <v>1</v>
      </c>
      <c r="I46" s="12" t="b">
        <v>1</v>
      </c>
    </row>
    <row r="47" spans="1:9" x14ac:dyDescent="0.25">
      <c r="A47" s="12">
        <v>46</v>
      </c>
      <c r="B47" s="12" t="s">
        <v>35</v>
      </c>
      <c r="C47" s="12" t="s">
        <v>465</v>
      </c>
      <c r="D47" s="12" t="s">
        <v>14</v>
      </c>
      <c r="E47" s="12" t="s">
        <v>466</v>
      </c>
      <c r="F47" s="12" t="s">
        <v>445</v>
      </c>
      <c r="G47" s="12" t="b">
        <v>0</v>
      </c>
      <c r="H47" s="12" t="b">
        <v>1</v>
      </c>
      <c r="I47" s="12" t="b">
        <v>1</v>
      </c>
    </row>
    <row r="48" spans="1:9" x14ac:dyDescent="0.25">
      <c r="A48" s="12">
        <v>47</v>
      </c>
      <c r="B48" s="12" t="s">
        <v>301</v>
      </c>
      <c r="C48" s="12" t="s">
        <v>467</v>
      </c>
      <c r="D48" s="12" t="s">
        <v>14</v>
      </c>
      <c r="E48" s="12" t="s">
        <v>468</v>
      </c>
      <c r="F48" s="12" t="s">
        <v>445</v>
      </c>
      <c r="G48" s="12" t="b">
        <v>0</v>
      </c>
      <c r="H48" s="12" t="b">
        <v>1</v>
      </c>
      <c r="I48" s="12" t="b">
        <v>1</v>
      </c>
    </row>
    <row r="49" spans="1:9" x14ac:dyDescent="0.25">
      <c r="A49" s="12">
        <v>48</v>
      </c>
      <c r="B49" s="12" t="s">
        <v>195</v>
      </c>
      <c r="C49" s="12" t="s">
        <v>469</v>
      </c>
      <c r="D49" s="12" t="s">
        <v>14</v>
      </c>
      <c r="E49" s="12" t="s">
        <v>470</v>
      </c>
      <c r="F49" s="12" t="s">
        <v>471</v>
      </c>
      <c r="G49" s="12" t="b">
        <v>0</v>
      </c>
      <c r="H49" s="12" t="b">
        <v>1</v>
      </c>
      <c r="I49" s="12" t="b">
        <v>1</v>
      </c>
    </row>
    <row r="50" spans="1:9" x14ac:dyDescent="0.25">
      <c r="A50" s="12">
        <v>49</v>
      </c>
      <c r="B50" s="12" t="s">
        <v>472</v>
      </c>
      <c r="C50" s="12" t="s">
        <v>473</v>
      </c>
      <c r="D50" s="12" t="s">
        <v>14</v>
      </c>
      <c r="E50" s="12" t="s">
        <v>474</v>
      </c>
      <c r="F50" s="12" t="s">
        <v>475</v>
      </c>
      <c r="G50" s="12" t="b">
        <v>0</v>
      </c>
      <c r="H50" s="12" t="b">
        <v>1</v>
      </c>
      <c r="I50" s="12" t="b">
        <v>1</v>
      </c>
    </row>
    <row r="51" spans="1:9" x14ac:dyDescent="0.25">
      <c r="A51" s="12">
        <v>50</v>
      </c>
      <c r="B51" s="12" t="s">
        <v>476</v>
      </c>
      <c r="C51" s="12" t="s">
        <v>477</v>
      </c>
      <c r="D51" s="12" t="s">
        <v>14</v>
      </c>
      <c r="E51" s="12" t="s">
        <v>478</v>
      </c>
      <c r="F51" s="12" t="s">
        <v>479</v>
      </c>
      <c r="G51" s="12" t="b">
        <v>0</v>
      </c>
      <c r="H51" s="12" t="b">
        <v>1</v>
      </c>
      <c r="I51" s="12" t="b">
        <v>1</v>
      </c>
    </row>
    <row r="52" spans="1:9" x14ac:dyDescent="0.25">
      <c r="A52" s="12">
        <v>51</v>
      </c>
      <c r="B52" s="12" t="s">
        <v>46</v>
      </c>
      <c r="C52" s="12" t="s">
        <v>480</v>
      </c>
      <c r="D52" s="12" t="s">
        <v>45</v>
      </c>
      <c r="E52" s="12" t="s">
        <v>481</v>
      </c>
      <c r="F52" s="12" t="s">
        <v>445</v>
      </c>
      <c r="G52" s="12" t="b">
        <v>0</v>
      </c>
      <c r="H52" s="12" t="b">
        <v>1</v>
      </c>
      <c r="I52" s="12" t="b">
        <v>1</v>
      </c>
    </row>
    <row r="53" spans="1:9" x14ac:dyDescent="0.25">
      <c r="A53" s="12">
        <v>52</v>
      </c>
      <c r="B53" s="12" t="s">
        <v>482</v>
      </c>
      <c r="C53" s="12" t="s">
        <v>483</v>
      </c>
      <c r="D53" s="12" t="s">
        <v>45</v>
      </c>
      <c r="E53" s="12" t="s">
        <v>484</v>
      </c>
      <c r="F53" s="12" t="s">
        <v>30</v>
      </c>
      <c r="G53" s="12" t="b">
        <v>0</v>
      </c>
      <c r="H53" s="12" t="b">
        <v>1</v>
      </c>
      <c r="I53" s="12" t="b">
        <v>1</v>
      </c>
    </row>
    <row r="54" spans="1:9" x14ac:dyDescent="0.25">
      <c r="A54" s="12">
        <v>53</v>
      </c>
      <c r="B54" s="12" t="s">
        <v>90</v>
      </c>
      <c r="C54" s="12" t="s">
        <v>485</v>
      </c>
      <c r="D54" s="12" t="s">
        <v>14</v>
      </c>
      <c r="E54" s="12" t="s">
        <v>486</v>
      </c>
      <c r="F54" s="12" t="s">
        <v>487</v>
      </c>
      <c r="G54" s="12" t="b">
        <v>0</v>
      </c>
      <c r="H54" s="12" t="b">
        <v>1</v>
      </c>
      <c r="I54" s="12" t="b">
        <v>1</v>
      </c>
    </row>
    <row r="55" spans="1:9" x14ac:dyDescent="0.25">
      <c r="A55" s="12">
        <v>54</v>
      </c>
      <c r="B55" s="12" t="s">
        <v>194</v>
      </c>
      <c r="C55" s="12" t="s">
        <v>488</v>
      </c>
      <c r="D55" s="12" t="s">
        <v>14</v>
      </c>
      <c r="E55" s="12" t="s">
        <v>489</v>
      </c>
      <c r="F55" s="12" t="s">
        <v>490</v>
      </c>
      <c r="G55" s="12" t="b">
        <v>0</v>
      </c>
      <c r="H55" s="12" t="b">
        <v>1</v>
      </c>
      <c r="I55" s="12" t="b">
        <v>1</v>
      </c>
    </row>
    <row r="56" spans="1:9" x14ac:dyDescent="0.25">
      <c r="A56" s="12">
        <v>55</v>
      </c>
      <c r="B56" s="12" t="s">
        <v>102</v>
      </c>
      <c r="C56" s="12" t="s">
        <v>491</v>
      </c>
      <c r="D56" s="12" t="s">
        <v>14</v>
      </c>
      <c r="E56" s="12" t="s">
        <v>492</v>
      </c>
      <c r="F56" s="12" t="s">
        <v>464</v>
      </c>
      <c r="G56" s="12" t="b">
        <v>0</v>
      </c>
      <c r="H56" s="12" t="b">
        <v>1</v>
      </c>
      <c r="I56" s="12" t="b">
        <v>1</v>
      </c>
    </row>
    <row r="57" spans="1:9" x14ac:dyDescent="0.25">
      <c r="A57" s="12">
        <v>56</v>
      </c>
      <c r="B57" s="12" t="s">
        <v>152</v>
      </c>
      <c r="C57" s="12" t="s">
        <v>493</v>
      </c>
      <c r="D57" s="12" t="s">
        <v>14</v>
      </c>
      <c r="E57" s="12" t="s">
        <v>494</v>
      </c>
      <c r="F57" s="12" t="s">
        <v>495</v>
      </c>
      <c r="G57" s="12" t="b">
        <v>0</v>
      </c>
      <c r="H57" s="12" t="b">
        <v>1</v>
      </c>
      <c r="I57" s="12" t="b">
        <v>1</v>
      </c>
    </row>
    <row r="58" spans="1:9" x14ac:dyDescent="0.25">
      <c r="A58" s="12">
        <v>57</v>
      </c>
      <c r="B58" s="12" t="s">
        <v>155</v>
      </c>
      <c r="C58" s="12" t="s">
        <v>496</v>
      </c>
      <c r="D58" s="12" t="s">
        <v>14</v>
      </c>
      <c r="E58" s="12" t="s">
        <v>497</v>
      </c>
      <c r="F58" s="12" t="s">
        <v>317</v>
      </c>
      <c r="G58" s="12" t="b">
        <v>0</v>
      </c>
      <c r="H58" s="12" t="b">
        <v>1</v>
      </c>
      <c r="I58" s="12" t="b">
        <v>1</v>
      </c>
    </row>
    <row r="59" spans="1:9" x14ac:dyDescent="0.25">
      <c r="A59" s="12">
        <v>58</v>
      </c>
      <c r="B59" s="12" t="s">
        <v>498</v>
      </c>
      <c r="C59" s="12" t="s">
        <v>499</v>
      </c>
      <c r="D59" s="12" t="s">
        <v>10</v>
      </c>
      <c r="E59" s="12" t="s">
        <v>500</v>
      </c>
      <c r="F59" s="12" t="s">
        <v>316</v>
      </c>
      <c r="G59" s="12" t="b">
        <v>0</v>
      </c>
      <c r="H59" s="12" t="b">
        <v>1</v>
      </c>
      <c r="I59" s="12" t="b">
        <v>1</v>
      </c>
    </row>
    <row r="60" spans="1:9" x14ac:dyDescent="0.25">
      <c r="A60" s="12">
        <v>59</v>
      </c>
      <c r="B60" s="12" t="s">
        <v>501</v>
      </c>
      <c r="C60" s="12" t="s">
        <v>502</v>
      </c>
      <c r="D60" s="12" t="s">
        <v>14</v>
      </c>
      <c r="E60" s="12" t="s">
        <v>503</v>
      </c>
      <c r="F60" s="12" t="s">
        <v>490</v>
      </c>
      <c r="G60" s="12" t="b">
        <v>0</v>
      </c>
      <c r="H60" s="12" t="b">
        <v>1</v>
      </c>
      <c r="I60" s="12" t="b">
        <v>1</v>
      </c>
    </row>
    <row r="61" spans="1:9" x14ac:dyDescent="0.25">
      <c r="A61" s="12">
        <v>60</v>
      </c>
      <c r="B61" s="12" t="s">
        <v>504</v>
      </c>
      <c r="C61" s="12" t="s">
        <v>505</v>
      </c>
      <c r="D61" s="12" t="s">
        <v>45</v>
      </c>
      <c r="E61" s="12" t="s">
        <v>506</v>
      </c>
      <c r="F61" s="12" t="s">
        <v>479</v>
      </c>
      <c r="G61" s="12" t="b">
        <v>0</v>
      </c>
      <c r="H61" s="12" t="b">
        <v>1</v>
      </c>
      <c r="I61" s="12" t="b">
        <v>1</v>
      </c>
    </row>
    <row r="62" spans="1:9" x14ac:dyDescent="0.25">
      <c r="A62" s="12">
        <v>61</v>
      </c>
      <c r="B62" s="12" t="s">
        <v>146</v>
      </c>
      <c r="C62" s="12" t="s">
        <v>507</v>
      </c>
      <c r="D62" s="12" t="s">
        <v>14</v>
      </c>
      <c r="E62" s="12" t="s">
        <v>508</v>
      </c>
      <c r="F62" s="12" t="s">
        <v>383</v>
      </c>
      <c r="G62" s="12" t="b">
        <v>0</v>
      </c>
      <c r="H62" s="12" t="b">
        <v>1</v>
      </c>
      <c r="I62" s="12" t="b">
        <v>1</v>
      </c>
    </row>
    <row r="63" spans="1:9" x14ac:dyDescent="0.25">
      <c r="A63" s="12">
        <v>62</v>
      </c>
      <c r="B63" s="12" t="s">
        <v>101</v>
      </c>
      <c r="C63" s="12" t="s">
        <v>509</v>
      </c>
      <c r="D63" s="12" t="s">
        <v>14</v>
      </c>
      <c r="E63" s="12" t="s">
        <v>510</v>
      </c>
      <c r="F63" s="12" t="s">
        <v>511</v>
      </c>
      <c r="G63" s="12" t="b">
        <v>0</v>
      </c>
      <c r="H63" s="12" t="b">
        <v>1</v>
      </c>
      <c r="I63" s="12" t="b">
        <v>1</v>
      </c>
    </row>
    <row r="64" spans="1:9" x14ac:dyDescent="0.25">
      <c r="A64" s="12">
        <v>63</v>
      </c>
      <c r="B64" s="12" t="s">
        <v>512</v>
      </c>
      <c r="C64" s="12" t="s">
        <v>513</v>
      </c>
      <c r="D64" s="12" t="s">
        <v>14</v>
      </c>
      <c r="E64" s="12" t="s">
        <v>514</v>
      </c>
      <c r="F64" s="12" t="s">
        <v>515</v>
      </c>
      <c r="G64" s="12" t="b">
        <v>0</v>
      </c>
      <c r="H64" s="12" t="b">
        <v>1</v>
      </c>
      <c r="I64" s="12" t="b">
        <v>1</v>
      </c>
    </row>
    <row r="65" spans="1:9" x14ac:dyDescent="0.25">
      <c r="A65" s="12">
        <v>64</v>
      </c>
      <c r="B65" s="12" t="s">
        <v>516</v>
      </c>
      <c r="C65" s="12" t="s">
        <v>517</v>
      </c>
      <c r="D65" s="12" t="s">
        <v>14</v>
      </c>
      <c r="E65" s="12" t="s">
        <v>518</v>
      </c>
      <c r="F65" s="12" t="s">
        <v>515</v>
      </c>
      <c r="G65" s="12" t="b">
        <v>0</v>
      </c>
      <c r="H65" s="12" t="b">
        <v>1</v>
      </c>
      <c r="I65" s="12" t="b">
        <v>1</v>
      </c>
    </row>
    <row r="66" spans="1:9" x14ac:dyDescent="0.25">
      <c r="A66" s="12">
        <v>65</v>
      </c>
      <c r="B66" s="12" t="s">
        <v>519</v>
      </c>
      <c r="C66" s="12" t="s">
        <v>520</v>
      </c>
      <c r="D66" s="12" t="s">
        <v>45</v>
      </c>
      <c r="E66" s="12" t="s">
        <v>521</v>
      </c>
      <c r="F66" s="12" t="s">
        <v>316</v>
      </c>
      <c r="G66" s="12" t="b">
        <v>0</v>
      </c>
      <c r="H66" s="12" t="b">
        <v>1</v>
      </c>
      <c r="I66" s="12" t="b">
        <v>1</v>
      </c>
    </row>
    <row r="67" spans="1:9" x14ac:dyDescent="0.25">
      <c r="A67" s="12">
        <v>66</v>
      </c>
      <c r="B67" s="12" t="s">
        <v>522</v>
      </c>
      <c r="C67" s="12" t="s">
        <v>523</v>
      </c>
      <c r="D67" s="12" t="s">
        <v>10</v>
      </c>
      <c r="E67" s="12" t="s">
        <v>524</v>
      </c>
      <c r="F67" s="12" t="s">
        <v>525</v>
      </c>
      <c r="G67" s="12" t="b">
        <v>0</v>
      </c>
      <c r="H67" s="12" t="b">
        <v>1</v>
      </c>
      <c r="I67" s="12" t="b">
        <v>1</v>
      </c>
    </row>
    <row r="68" spans="1:9" x14ac:dyDescent="0.25">
      <c r="A68" s="12">
        <v>67</v>
      </c>
      <c r="B68" s="12" t="s">
        <v>526</v>
      </c>
      <c r="C68" s="12" t="s">
        <v>527</v>
      </c>
      <c r="D68" s="12" t="s">
        <v>10</v>
      </c>
      <c r="E68" s="12" t="s">
        <v>528</v>
      </c>
      <c r="F68" s="12" t="s">
        <v>529</v>
      </c>
      <c r="G68" s="12" t="b">
        <v>0</v>
      </c>
      <c r="H68" s="12" t="b">
        <v>1</v>
      </c>
      <c r="I68" s="12" t="b">
        <v>1</v>
      </c>
    </row>
    <row r="69" spans="1:9" x14ac:dyDescent="0.25">
      <c r="A69" s="12">
        <v>68</v>
      </c>
      <c r="B69" s="12" t="s">
        <v>530</v>
      </c>
      <c r="C69" s="12" t="s">
        <v>531</v>
      </c>
      <c r="D69" s="12" t="s">
        <v>45</v>
      </c>
      <c r="E69" s="12" t="s">
        <v>532</v>
      </c>
      <c r="F69" s="12" t="s">
        <v>533</v>
      </c>
      <c r="G69" s="12" t="b">
        <v>0</v>
      </c>
      <c r="H69" s="12" t="b">
        <v>0</v>
      </c>
      <c r="I69" s="12" t="b">
        <v>0</v>
      </c>
    </row>
    <row r="70" spans="1:9" x14ac:dyDescent="0.25">
      <c r="A70" s="12">
        <v>69</v>
      </c>
      <c r="B70" s="12" t="s">
        <v>534</v>
      </c>
      <c r="C70" s="12" t="s">
        <v>535</v>
      </c>
      <c r="D70" s="12" t="s">
        <v>10</v>
      </c>
      <c r="E70" s="12" t="s">
        <v>536</v>
      </c>
      <c r="F70" s="12" t="s">
        <v>537</v>
      </c>
      <c r="G70" s="12" t="b">
        <v>0</v>
      </c>
      <c r="H70" s="12" t="b">
        <v>1</v>
      </c>
      <c r="I70" s="12" t="b">
        <v>1</v>
      </c>
    </row>
    <row r="71" spans="1:9" x14ac:dyDescent="0.25">
      <c r="A71" s="12">
        <v>70</v>
      </c>
      <c r="B71" s="12" t="s">
        <v>88</v>
      </c>
      <c r="C71" s="12" t="s">
        <v>538</v>
      </c>
      <c r="D71" s="12" t="s">
        <v>10</v>
      </c>
      <c r="E71" s="12" t="s">
        <v>539</v>
      </c>
      <c r="F71" s="12" t="s">
        <v>540</v>
      </c>
      <c r="G71" s="12" t="b">
        <v>0</v>
      </c>
      <c r="H71" s="12" t="b">
        <v>1</v>
      </c>
      <c r="I71" s="12" t="b">
        <v>1</v>
      </c>
    </row>
    <row r="72" spans="1:9" x14ac:dyDescent="0.25">
      <c r="A72" s="12">
        <v>71</v>
      </c>
      <c r="B72" s="12" t="s">
        <v>541</v>
      </c>
      <c r="C72" s="12" t="s">
        <v>542</v>
      </c>
      <c r="D72" s="12" t="s">
        <v>14</v>
      </c>
      <c r="E72" s="12" t="s">
        <v>543</v>
      </c>
      <c r="F72" s="12" t="s">
        <v>387</v>
      </c>
      <c r="G72" s="12" t="b">
        <v>0</v>
      </c>
      <c r="H72" s="12" t="b">
        <v>1</v>
      </c>
      <c r="I72" s="12" t="b">
        <v>1</v>
      </c>
    </row>
    <row r="73" spans="1:9" x14ac:dyDescent="0.25">
      <c r="A73" s="12">
        <v>72</v>
      </c>
      <c r="B73" s="12" t="s">
        <v>544</v>
      </c>
      <c r="C73" s="12" t="s">
        <v>545</v>
      </c>
      <c r="D73" s="12" t="s">
        <v>45</v>
      </c>
      <c r="E73" s="12" t="s">
        <v>546</v>
      </c>
      <c r="F73" s="12" t="s">
        <v>340</v>
      </c>
      <c r="G73" s="12" t="b">
        <v>0</v>
      </c>
      <c r="H73" s="12" t="b">
        <v>1</v>
      </c>
      <c r="I73" s="12" t="b">
        <v>1</v>
      </c>
    </row>
    <row r="74" spans="1:9" x14ac:dyDescent="0.25">
      <c r="A74" s="12">
        <v>73</v>
      </c>
      <c r="B74" s="12" t="s">
        <v>193</v>
      </c>
      <c r="C74" s="12" t="s">
        <v>547</v>
      </c>
      <c r="D74" s="12" t="s">
        <v>14</v>
      </c>
      <c r="E74" s="12" t="s">
        <v>548</v>
      </c>
      <c r="F74" s="12" t="s">
        <v>436</v>
      </c>
      <c r="G74" s="12" t="b">
        <v>0</v>
      </c>
      <c r="H74" s="12" t="b">
        <v>1</v>
      </c>
      <c r="I74" s="12" t="b">
        <v>1</v>
      </c>
    </row>
    <row r="75" spans="1:9" x14ac:dyDescent="0.25">
      <c r="A75" s="12">
        <v>74</v>
      </c>
      <c r="B75" s="12" t="s">
        <v>56</v>
      </c>
      <c r="C75" s="12" t="s">
        <v>549</v>
      </c>
      <c r="D75" s="12" t="s">
        <v>14</v>
      </c>
      <c r="E75" s="12" t="s">
        <v>550</v>
      </c>
      <c r="F75" s="12" t="s">
        <v>551</v>
      </c>
      <c r="G75" s="12" t="b">
        <v>0</v>
      </c>
      <c r="H75" s="12" t="b">
        <v>1</v>
      </c>
      <c r="I75" s="12" t="b">
        <v>1</v>
      </c>
    </row>
    <row r="76" spans="1:9" x14ac:dyDescent="0.25">
      <c r="A76" s="12">
        <v>75</v>
      </c>
      <c r="B76" s="12" t="s">
        <v>308</v>
      </c>
      <c r="C76" s="12" t="s">
        <v>552</v>
      </c>
      <c r="D76" s="12" t="s">
        <v>14</v>
      </c>
      <c r="E76" s="12" t="s">
        <v>553</v>
      </c>
      <c r="F76" s="12" t="s">
        <v>372</v>
      </c>
      <c r="G76" s="12" t="b">
        <v>0</v>
      </c>
      <c r="H76" s="12" t="b">
        <v>1</v>
      </c>
      <c r="I76" s="12" t="b">
        <v>1</v>
      </c>
    </row>
    <row r="77" spans="1:9" x14ac:dyDescent="0.25">
      <c r="A77" s="12">
        <v>76</v>
      </c>
      <c r="B77" s="12" t="s">
        <v>165</v>
      </c>
      <c r="C77" s="12" t="s">
        <v>554</v>
      </c>
      <c r="D77" s="12" t="s">
        <v>45</v>
      </c>
      <c r="E77" s="12" t="s">
        <v>555</v>
      </c>
      <c r="F77" s="12" t="s">
        <v>334</v>
      </c>
      <c r="G77" s="12" t="b">
        <v>0</v>
      </c>
      <c r="H77" s="12" t="b">
        <v>1</v>
      </c>
      <c r="I77" s="12" t="b">
        <v>1</v>
      </c>
    </row>
    <row r="78" spans="1:9" x14ac:dyDescent="0.25">
      <c r="A78" s="12">
        <v>77</v>
      </c>
      <c r="B78" s="12" t="s">
        <v>36</v>
      </c>
      <c r="C78" s="12" t="s">
        <v>556</v>
      </c>
      <c r="D78" s="12" t="s">
        <v>14</v>
      </c>
      <c r="E78" s="12" t="s">
        <v>557</v>
      </c>
      <c r="F78" s="12" t="s">
        <v>30</v>
      </c>
      <c r="G78" s="12" t="b">
        <v>0</v>
      </c>
      <c r="H78" s="12" t="b">
        <v>1</v>
      </c>
      <c r="I78" s="12" t="b">
        <v>1</v>
      </c>
    </row>
    <row r="79" spans="1:9" x14ac:dyDescent="0.25">
      <c r="A79" s="12">
        <v>78</v>
      </c>
      <c r="B79" s="12" t="s">
        <v>33</v>
      </c>
      <c r="C79" s="12" t="s">
        <v>558</v>
      </c>
      <c r="D79" s="12" t="s">
        <v>14</v>
      </c>
      <c r="E79" s="12" t="s">
        <v>559</v>
      </c>
      <c r="F79" s="12" t="s">
        <v>560</v>
      </c>
      <c r="G79" s="12" t="b">
        <v>0</v>
      </c>
      <c r="H79" s="12" t="b">
        <v>1</v>
      </c>
      <c r="I79" s="12" t="b">
        <v>1</v>
      </c>
    </row>
    <row r="80" spans="1:9" x14ac:dyDescent="0.25">
      <c r="A80" s="12">
        <v>79</v>
      </c>
      <c r="B80" s="12" t="s">
        <v>31</v>
      </c>
      <c r="C80" s="12" t="s">
        <v>561</v>
      </c>
      <c r="D80" s="12" t="s">
        <v>14</v>
      </c>
      <c r="E80" s="12" t="s">
        <v>562</v>
      </c>
      <c r="F80" s="12" t="s">
        <v>439</v>
      </c>
      <c r="G80" s="12" t="b">
        <v>0</v>
      </c>
      <c r="H80" s="12" t="b">
        <v>1</v>
      </c>
      <c r="I80" s="12" t="b">
        <v>1</v>
      </c>
    </row>
    <row r="81" spans="1:9" x14ac:dyDescent="0.25">
      <c r="A81" s="12">
        <v>80</v>
      </c>
      <c r="B81" s="12" t="s">
        <v>563</v>
      </c>
      <c r="C81" s="12" t="s">
        <v>564</v>
      </c>
      <c r="D81" s="12" t="s">
        <v>14</v>
      </c>
      <c r="E81" s="12" t="s">
        <v>565</v>
      </c>
      <c r="F81" s="12" t="s">
        <v>404</v>
      </c>
      <c r="G81" s="12" t="b">
        <v>0</v>
      </c>
      <c r="H81" s="12" t="b">
        <v>1</v>
      </c>
      <c r="I81" s="12" t="b">
        <v>1</v>
      </c>
    </row>
    <row r="82" spans="1:9" x14ac:dyDescent="0.25">
      <c r="A82" s="12">
        <v>81</v>
      </c>
      <c r="B82" s="12" t="s">
        <v>55</v>
      </c>
      <c r="C82" s="12" t="s">
        <v>566</v>
      </c>
      <c r="D82" s="12" t="s">
        <v>14</v>
      </c>
      <c r="E82" s="12" t="s">
        <v>567</v>
      </c>
      <c r="F82" s="12" t="s">
        <v>426</v>
      </c>
      <c r="G82" s="12" t="b">
        <v>0</v>
      </c>
      <c r="H82" s="12" t="b">
        <v>1</v>
      </c>
      <c r="I82" s="12" t="b">
        <v>1</v>
      </c>
    </row>
    <row r="83" spans="1:9" x14ac:dyDescent="0.25">
      <c r="A83" s="12">
        <v>82</v>
      </c>
      <c r="B83" s="12" t="s">
        <v>568</v>
      </c>
      <c r="C83" s="12" t="s">
        <v>569</v>
      </c>
      <c r="D83" s="12" t="s">
        <v>14</v>
      </c>
      <c r="E83" s="12" t="s">
        <v>570</v>
      </c>
      <c r="F83" s="12" t="s">
        <v>383</v>
      </c>
      <c r="G83" s="12" t="b">
        <v>0</v>
      </c>
      <c r="H83" s="12" t="b">
        <v>1</v>
      </c>
      <c r="I83" s="12" t="b">
        <v>1</v>
      </c>
    </row>
    <row r="84" spans="1:9" x14ac:dyDescent="0.25">
      <c r="A84" s="12">
        <v>83</v>
      </c>
      <c r="B84" s="12" t="s">
        <v>115</v>
      </c>
      <c r="C84" s="12" t="s">
        <v>571</v>
      </c>
      <c r="D84" s="12" t="s">
        <v>10</v>
      </c>
      <c r="E84" s="12" t="s">
        <v>572</v>
      </c>
      <c r="F84" s="12" t="s">
        <v>573</v>
      </c>
      <c r="G84" s="12" t="b">
        <v>0</v>
      </c>
      <c r="H84" s="12" t="b">
        <v>1</v>
      </c>
      <c r="I84" s="12" t="b">
        <v>1</v>
      </c>
    </row>
    <row r="85" spans="1:9" x14ac:dyDescent="0.25">
      <c r="A85" s="12">
        <v>84</v>
      </c>
      <c r="B85" s="12" t="s">
        <v>574</v>
      </c>
      <c r="C85" s="12" t="s">
        <v>575</v>
      </c>
      <c r="D85" s="12" t="s">
        <v>45</v>
      </c>
      <c r="E85" s="12" t="s">
        <v>576</v>
      </c>
      <c r="F85" s="12" t="s">
        <v>577</v>
      </c>
      <c r="G85" s="12" t="b">
        <v>0</v>
      </c>
      <c r="H85" s="12" t="b">
        <v>1</v>
      </c>
      <c r="I85" s="12" t="b">
        <v>1</v>
      </c>
    </row>
    <row r="86" spans="1:9" x14ac:dyDescent="0.25">
      <c r="A86" s="12">
        <v>85</v>
      </c>
      <c r="B86" s="12" t="s">
        <v>578</v>
      </c>
      <c r="C86" s="12" t="s">
        <v>579</v>
      </c>
      <c r="D86" s="12" t="s">
        <v>45</v>
      </c>
      <c r="E86" s="12" t="s">
        <v>580</v>
      </c>
      <c r="F86" s="12" t="s">
        <v>581</v>
      </c>
      <c r="G86" s="12" t="b">
        <v>0</v>
      </c>
      <c r="H86" s="12" t="b">
        <v>1</v>
      </c>
      <c r="I86" s="12" t="b">
        <v>1</v>
      </c>
    </row>
    <row r="87" spans="1:9" x14ac:dyDescent="0.25">
      <c r="A87" s="12">
        <v>86</v>
      </c>
      <c r="B87" s="12" t="s">
        <v>582</v>
      </c>
      <c r="C87" s="12" t="s">
        <v>583</v>
      </c>
      <c r="D87" s="12" t="s">
        <v>14</v>
      </c>
      <c r="E87" s="12" t="s">
        <v>584</v>
      </c>
      <c r="F87" s="12" t="s">
        <v>383</v>
      </c>
      <c r="G87" s="12" t="b">
        <v>0</v>
      </c>
      <c r="H87" s="12" t="b">
        <v>1</v>
      </c>
      <c r="I87" s="12" t="b">
        <v>1</v>
      </c>
    </row>
    <row r="88" spans="1:9" x14ac:dyDescent="0.25">
      <c r="A88" s="12">
        <v>87</v>
      </c>
      <c r="B88" s="12" t="s">
        <v>585</v>
      </c>
      <c r="C88" s="12" t="s">
        <v>586</v>
      </c>
      <c r="D88" s="12" t="s">
        <v>45</v>
      </c>
      <c r="E88" s="12" t="s">
        <v>587</v>
      </c>
      <c r="F88" s="12" t="s">
        <v>340</v>
      </c>
      <c r="G88" s="12" t="b">
        <v>0</v>
      </c>
      <c r="H88" s="12" t="b">
        <v>0</v>
      </c>
      <c r="I88" s="12" t="b">
        <v>0</v>
      </c>
    </row>
    <row r="89" spans="1:9" x14ac:dyDescent="0.25">
      <c r="A89" s="12">
        <v>88</v>
      </c>
      <c r="B89" s="12" t="s">
        <v>588</v>
      </c>
      <c r="C89" s="12" t="s">
        <v>589</v>
      </c>
      <c r="D89" s="12" t="s">
        <v>10</v>
      </c>
      <c r="E89" s="12" t="s">
        <v>590</v>
      </c>
      <c r="F89" s="12" t="s">
        <v>372</v>
      </c>
      <c r="G89" s="12" t="b">
        <v>0</v>
      </c>
      <c r="H89" s="12" t="b">
        <v>1</v>
      </c>
      <c r="I89" s="12" t="b">
        <v>1</v>
      </c>
    </row>
    <row r="90" spans="1:9" x14ac:dyDescent="0.25">
      <c r="A90" s="12">
        <v>89</v>
      </c>
      <c r="B90" s="12" t="s">
        <v>591</v>
      </c>
      <c r="C90" s="12" t="s">
        <v>592</v>
      </c>
      <c r="D90" s="12" t="s">
        <v>14</v>
      </c>
      <c r="E90" s="12" t="s">
        <v>593</v>
      </c>
      <c r="F90" s="12" t="s">
        <v>594</v>
      </c>
      <c r="G90" s="12" t="b">
        <v>0</v>
      </c>
      <c r="H90" s="12" t="b">
        <v>1</v>
      </c>
      <c r="I90" s="12" t="b">
        <v>1</v>
      </c>
    </row>
    <row r="91" spans="1:9" x14ac:dyDescent="0.25">
      <c r="A91" s="12">
        <v>90</v>
      </c>
      <c r="B91" s="12" t="s">
        <v>34</v>
      </c>
      <c r="C91" s="12" t="s">
        <v>595</v>
      </c>
      <c r="D91" s="12" t="s">
        <v>14</v>
      </c>
      <c r="E91" s="12" t="s">
        <v>596</v>
      </c>
      <c r="F91" s="12" t="s">
        <v>560</v>
      </c>
      <c r="G91" s="12" t="b">
        <v>0</v>
      </c>
      <c r="H91" s="12" t="b">
        <v>1</v>
      </c>
      <c r="I91" s="12" t="b">
        <v>1</v>
      </c>
    </row>
    <row r="92" spans="1:9" x14ac:dyDescent="0.25">
      <c r="A92" s="12">
        <v>91</v>
      </c>
      <c r="B92" s="12" t="s">
        <v>100</v>
      </c>
      <c r="C92" s="12" t="s">
        <v>597</v>
      </c>
      <c r="D92" s="12" t="s">
        <v>14</v>
      </c>
      <c r="E92" s="12" t="s">
        <v>598</v>
      </c>
      <c r="F92" s="12" t="s">
        <v>340</v>
      </c>
      <c r="G92" s="12" t="b">
        <v>0</v>
      </c>
      <c r="H92" s="12" t="b">
        <v>1</v>
      </c>
      <c r="I92" s="12" t="b">
        <v>1</v>
      </c>
    </row>
    <row r="93" spans="1:9" x14ac:dyDescent="0.25">
      <c r="A93" s="12">
        <v>92</v>
      </c>
      <c r="B93" s="12" t="s">
        <v>145</v>
      </c>
      <c r="C93" s="12" t="s">
        <v>599</v>
      </c>
      <c r="D93" s="12" t="s">
        <v>14</v>
      </c>
      <c r="E93" s="12" t="s">
        <v>600</v>
      </c>
      <c r="F93" s="12" t="s">
        <v>573</v>
      </c>
      <c r="G93" s="12" t="b">
        <v>0</v>
      </c>
      <c r="H93" s="12" t="b">
        <v>1</v>
      </c>
      <c r="I93" s="12" t="b">
        <v>1</v>
      </c>
    </row>
    <row r="94" spans="1:9" x14ac:dyDescent="0.25">
      <c r="A94" s="12">
        <v>93</v>
      </c>
      <c r="B94" s="12" t="s">
        <v>601</v>
      </c>
      <c r="C94" s="12" t="s">
        <v>602</v>
      </c>
      <c r="D94" s="12" t="s">
        <v>14</v>
      </c>
      <c r="E94" s="12" t="s">
        <v>603</v>
      </c>
      <c r="F94" s="12" t="s">
        <v>604</v>
      </c>
      <c r="G94" s="12" t="b">
        <v>0</v>
      </c>
      <c r="H94" s="12" t="b">
        <v>1</v>
      </c>
      <c r="I94" s="12" t="b">
        <v>1</v>
      </c>
    </row>
    <row r="95" spans="1:9" x14ac:dyDescent="0.25">
      <c r="A95" s="12">
        <v>94</v>
      </c>
      <c r="B95" s="12" t="s">
        <v>605</v>
      </c>
      <c r="C95" s="12" t="s">
        <v>606</v>
      </c>
      <c r="D95" s="12" t="s">
        <v>10</v>
      </c>
      <c r="E95" s="12" t="s">
        <v>607</v>
      </c>
      <c r="F95" s="12" t="s">
        <v>608</v>
      </c>
      <c r="G95" s="12" t="b">
        <v>0</v>
      </c>
      <c r="H95" s="12" t="b">
        <v>1</v>
      </c>
      <c r="I95" s="12" t="b">
        <v>1</v>
      </c>
    </row>
    <row r="96" spans="1:9" x14ac:dyDescent="0.25">
      <c r="A96" s="12">
        <v>95</v>
      </c>
      <c r="B96" s="12" t="s">
        <v>609</v>
      </c>
      <c r="C96" s="12" t="s">
        <v>610</v>
      </c>
      <c r="D96" s="12" t="s">
        <v>14</v>
      </c>
      <c r="E96" s="12" t="s">
        <v>611</v>
      </c>
      <c r="F96" s="12" t="s">
        <v>612</v>
      </c>
      <c r="G96" s="12" t="b">
        <v>0</v>
      </c>
      <c r="H96" s="12" t="b">
        <v>1</v>
      </c>
      <c r="I96" s="12" t="b">
        <v>1</v>
      </c>
    </row>
    <row r="97" spans="1:9" x14ac:dyDescent="0.25">
      <c r="A97" s="12">
        <v>96</v>
      </c>
      <c r="B97" s="12" t="s">
        <v>613</v>
      </c>
      <c r="C97" s="12" t="s">
        <v>614</v>
      </c>
      <c r="D97" s="12" t="s">
        <v>14</v>
      </c>
      <c r="E97" s="12" t="s">
        <v>615</v>
      </c>
      <c r="F97" s="12" t="s">
        <v>616</v>
      </c>
      <c r="G97" s="12" t="b">
        <v>0</v>
      </c>
      <c r="H97" s="12" t="b">
        <v>1</v>
      </c>
      <c r="I97" s="12" t="b">
        <v>1</v>
      </c>
    </row>
    <row r="98" spans="1:9" x14ac:dyDescent="0.25">
      <c r="A98" s="12">
        <v>97</v>
      </c>
      <c r="B98" s="12" t="s">
        <v>617</v>
      </c>
      <c r="C98" s="12" t="s">
        <v>618</v>
      </c>
      <c r="D98" s="12" t="s">
        <v>14</v>
      </c>
      <c r="E98" s="12" t="s">
        <v>619</v>
      </c>
      <c r="F98" s="12" t="s">
        <v>340</v>
      </c>
      <c r="G98" s="12" t="b">
        <v>0</v>
      </c>
      <c r="H98" s="12" t="b">
        <v>1</v>
      </c>
      <c r="I98" s="12" t="b">
        <v>1</v>
      </c>
    </row>
    <row r="99" spans="1:9" x14ac:dyDescent="0.25">
      <c r="A99" s="12">
        <v>98</v>
      </c>
      <c r="B99" s="12" t="s">
        <v>81</v>
      </c>
      <c r="C99" s="12" t="s">
        <v>620</v>
      </c>
      <c r="D99" s="12" t="s">
        <v>14</v>
      </c>
      <c r="E99" s="12" t="s">
        <v>621</v>
      </c>
      <c r="F99" s="12" t="s">
        <v>622</v>
      </c>
      <c r="G99" s="12" t="b">
        <v>0</v>
      </c>
      <c r="H99" s="12" t="b">
        <v>1</v>
      </c>
      <c r="I99" s="12" t="b">
        <v>1</v>
      </c>
    </row>
    <row r="100" spans="1:9" x14ac:dyDescent="0.25">
      <c r="A100" s="12">
        <v>99</v>
      </c>
      <c r="B100" s="12" t="s">
        <v>623</v>
      </c>
      <c r="C100" s="12" t="s">
        <v>624</v>
      </c>
      <c r="D100" s="12" t="s">
        <v>14</v>
      </c>
      <c r="E100" s="12" t="s">
        <v>625</v>
      </c>
      <c r="F100" s="12" t="s">
        <v>622</v>
      </c>
      <c r="G100" s="12" t="b">
        <v>0</v>
      </c>
      <c r="H100" s="12" t="b">
        <v>1</v>
      </c>
      <c r="I100" s="12" t="b">
        <v>1</v>
      </c>
    </row>
    <row r="101" spans="1:9" x14ac:dyDescent="0.25">
      <c r="A101" s="12">
        <v>100</v>
      </c>
      <c r="B101" s="12" t="s">
        <v>67</v>
      </c>
      <c r="C101" s="12" t="s">
        <v>626</v>
      </c>
      <c r="D101" s="12" t="s">
        <v>10</v>
      </c>
      <c r="E101" s="12" t="s">
        <v>627</v>
      </c>
      <c r="F101" s="12" t="s">
        <v>628</v>
      </c>
      <c r="G101" s="12" t="b">
        <v>0</v>
      </c>
      <c r="H101" s="12" t="b">
        <v>1</v>
      </c>
      <c r="I101" s="12" t="b">
        <v>1</v>
      </c>
    </row>
    <row r="102" spans="1:9" x14ac:dyDescent="0.25">
      <c r="A102" s="12">
        <v>101</v>
      </c>
      <c r="B102" s="12" t="s">
        <v>629</v>
      </c>
      <c r="C102" s="12" t="s">
        <v>630</v>
      </c>
      <c r="D102" s="12" t="s">
        <v>10</v>
      </c>
      <c r="E102" s="12" t="s">
        <v>631</v>
      </c>
      <c r="F102" s="12" t="s">
        <v>628</v>
      </c>
      <c r="G102" s="12" t="b">
        <v>0</v>
      </c>
      <c r="H102" s="12" t="b">
        <v>1</v>
      </c>
      <c r="I102" s="12" t="b">
        <v>1</v>
      </c>
    </row>
    <row r="103" spans="1:9" x14ac:dyDescent="0.25">
      <c r="A103" s="12">
        <v>102</v>
      </c>
      <c r="B103" s="12" t="s">
        <v>23</v>
      </c>
      <c r="C103" s="12" t="s">
        <v>632</v>
      </c>
      <c r="D103" s="12" t="s">
        <v>14</v>
      </c>
      <c r="E103" s="12" t="s">
        <v>633</v>
      </c>
      <c r="F103" s="12" t="s">
        <v>634</v>
      </c>
      <c r="G103" s="12" t="b">
        <v>0</v>
      </c>
      <c r="H103" s="12" t="b">
        <v>1</v>
      </c>
      <c r="I103" s="12" t="b">
        <v>1</v>
      </c>
    </row>
    <row r="104" spans="1:9" x14ac:dyDescent="0.25">
      <c r="A104" s="12">
        <v>103</v>
      </c>
      <c r="B104" s="12" t="s">
        <v>24</v>
      </c>
      <c r="C104" s="12" t="s">
        <v>635</v>
      </c>
      <c r="D104" s="12" t="s">
        <v>14</v>
      </c>
      <c r="E104" s="12" t="s">
        <v>636</v>
      </c>
      <c r="F104" s="12" t="s">
        <v>634</v>
      </c>
      <c r="G104" s="12" t="b">
        <v>0</v>
      </c>
      <c r="H104" s="12" t="b">
        <v>1</v>
      </c>
      <c r="I104" s="12" t="b">
        <v>1</v>
      </c>
    </row>
    <row r="105" spans="1:9" x14ac:dyDescent="0.25">
      <c r="A105" s="12">
        <v>104</v>
      </c>
      <c r="B105" s="12" t="s">
        <v>69</v>
      </c>
      <c r="C105" s="12" t="s">
        <v>637</v>
      </c>
      <c r="D105" s="12" t="s">
        <v>10</v>
      </c>
      <c r="E105" s="12" t="s">
        <v>638</v>
      </c>
      <c r="F105" s="12" t="s">
        <v>628</v>
      </c>
      <c r="G105" s="12" t="b">
        <v>0</v>
      </c>
      <c r="H105" s="12" t="b">
        <v>1</v>
      </c>
      <c r="I105" s="12" t="b">
        <v>1</v>
      </c>
    </row>
    <row r="106" spans="1:9" x14ac:dyDescent="0.25">
      <c r="A106" s="12">
        <v>105</v>
      </c>
      <c r="B106" s="12" t="s">
        <v>80</v>
      </c>
      <c r="C106" s="12" t="s">
        <v>639</v>
      </c>
      <c r="D106" s="12" t="s">
        <v>14</v>
      </c>
      <c r="E106" s="12" t="s">
        <v>640</v>
      </c>
      <c r="F106" s="12" t="s">
        <v>641</v>
      </c>
      <c r="G106" s="12" t="b">
        <v>0</v>
      </c>
      <c r="H106" s="12" t="b">
        <v>1</v>
      </c>
      <c r="I106" s="12" t="b">
        <v>1</v>
      </c>
    </row>
    <row r="107" spans="1:9" x14ac:dyDescent="0.25">
      <c r="A107" s="12">
        <v>106</v>
      </c>
      <c r="B107" s="12" t="s">
        <v>642</v>
      </c>
      <c r="C107" s="12" t="s">
        <v>643</v>
      </c>
      <c r="D107" s="12" t="s">
        <v>14</v>
      </c>
      <c r="E107" s="12" t="s">
        <v>644</v>
      </c>
      <c r="F107" s="12" t="s">
        <v>641</v>
      </c>
      <c r="G107" s="12" t="b">
        <v>0</v>
      </c>
      <c r="H107" s="12" t="b">
        <v>1</v>
      </c>
      <c r="I107" s="12" t="b">
        <v>1</v>
      </c>
    </row>
    <row r="108" spans="1:9" x14ac:dyDescent="0.25">
      <c r="A108" s="12">
        <v>107</v>
      </c>
      <c r="B108" s="12" t="s">
        <v>22</v>
      </c>
      <c r="C108" s="12" t="s">
        <v>645</v>
      </c>
      <c r="D108" s="12" t="s">
        <v>14</v>
      </c>
      <c r="E108" s="12" t="s">
        <v>646</v>
      </c>
      <c r="F108" s="12" t="s">
        <v>634</v>
      </c>
      <c r="G108" s="12" t="b">
        <v>0</v>
      </c>
      <c r="H108" s="12" t="b">
        <v>1</v>
      </c>
      <c r="I108" s="12" t="b">
        <v>1</v>
      </c>
    </row>
    <row r="109" spans="1:9" x14ac:dyDescent="0.25">
      <c r="A109" s="12">
        <v>108</v>
      </c>
      <c r="B109" s="12" t="s">
        <v>647</v>
      </c>
      <c r="C109" s="12" t="s">
        <v>648</v>
      </c>
      <c r="D109" s="12" t="s">
        <v>10</v>
      </c>
      <c r="E109" s="12" t="s">
        <v>649</v>
      </c>
      <c r="F109" s="12" t="s">
        <v>650</v>
      </c>
      <c r="G109" s="12" t="b">
        <v>0</v>
      </c>
      <c r="H109" s="12" t="b">
        <v>1</v>
      </c>
      <c r="I109" s="12" t="b">
        <v>1</v>
      </c>
    </row>
    <row r="110" spans="1:9" x14ac:dyDescent="0.25">
      <c r="A110" s="12">
        <v>109</v>
      </c>
      <c r="B110" s="12" t="s">
        <v>651</v>
      </c>
      <c r="C110" s="12" t="s">
        <v>652</v>
      </c>
      <c r="D110" s="12" t="s">
        <v>14</v>
      </c>
      <c r="E110" s="12" t="s">
        <v>653</v>
      </c>
      <c r="F110" s="12" t="s">
        <v>654</v>
      </c>
      <c r="G110" s="12" t="b">
        <v>0</v>
      </c>
      <c r="H110" s="12" t="b">
        <v>1</v>
      </c>
      <c r="I110" s="12" t="b">
        <v>1</v>
      </c>
    </row>
    <row r="111" spans="1:9" x14ac:dyDescent="0.25">
      <c r="A111" s="12">
        <v>110</v>
      </c>
      <c r="B111" s="12" t="s">
        <v>655</v>
      </c>
      <c r="C111" s="12" t="s">
        <v>656</v>
      </c>
      <c r="D111" s="12" t="s">
        <v>10</v>
      </c>
      <c r="E111" s="12" t="s">
        <v>657</v>
      </c>
      <c r="F111" s="12" t="s">
        <v>658</v>
      </c>
      <c r="G111" s="12" t="b">
        <v>0</v>
      </c>
      <c r="H111" s="12" t="b">
        <v>1</v>
      </c>
      <c r="I111" s="12" t="b">
        <v>1</v>
      </c>
    </row>
    <row r="112" spans="1:9" x14ac:dyDescent="0.25">
      <c r="A112" s="12">
        <v>111</v>
      </c>
      <c r="B112" s="12" t="s">
        <v>12</v>
      </c>
      <c r="C112" s="12" t="s">
        <v>659</v>
      </c>
      <c r="D112" s="12" t="s">
        <v>10</v>
      </c>
      <c r="E112" s="12" t="s">
        <v>660</v>
      </c>
      <c r="F112" s="12" t="s">
        <v>628</v>
      </c>
      <c r="G112" s="12" t="b">
        <v>0</v>
      </c>
      <c r="H112" s="12" t="b">
        <v>1</v>
      </c>
      <c r="I112" s="12" t="b">
        <v>1</v>
      </c>
    </row>
    <row r="113" spans="1:9" x14ac:dyDescent="0.25">
      <c r="A113" s="12">
        <v>112</v>
      </c>
      <c r="B113" s="12" t="s">
        <v>294</v>
      </c>
      <c r="C113" s="12" t="s">
        <v>661</v>
      </c>
      <c r="D113" s="12" t="s">
        <v>10</v>
      </c>
      <c r="E113" s="12" t="s">
        <v>662</v>
      </c>
      <c r="F113" s="12" t="s">
        <v>628</v>
      </c>
      <c r="G113" s="12" t="b">
        <v>0</v>
      </c>
      <c r="H113" s="12" t="b">
        <v>1</v>
      </c>
      <c r="I113" s="12" t="b">
        <v>1</v>
      </c>
    </row>
    <row r="114" spans="1:9" x14ac:dyDescent="0.25">
      <c r="A114" s="12">
        <v>113</v>
      </c>
      <c r="B114" s="12" t="s">
        <v>75</v>
      </c>
      <c r="C114" s="12" t="s">
        <v>663</v>
      </c>
      <c r="D114" s="12" t="s">
        <v>14</v>
      </c>
      <c r="E114" s="12" t="s">
        <v>664</v>
      </c>
      <c r="F114" s="12" t="s">
        <v>665</v>
      </c>
      <c r="G114" s="12" t="b">
        <v>0</v>
      </c>
      <c r="H114" s="12" t="b">
        <v>1</v>
      </c>
      <c r="I114" s="12" t="b">
        <v>1</v>
      </c>
    </row>
    <row r="115" spans="1:9" x14ac:dyDescent="0.25">
      <c r="A115" s="12">
        <v>114</v>
      </c>
      <c r="B115" s="12" t="s">
        <v>666</v>
      </c>
      <c r="C115" s="12" t="s">
        <v>667</v>
      </c>
      <c r="D115" s="12" t="s">
        <v>14</v>
      </c>
      <c r="E115" s="12" t="s">
        <v>668</v>
      </c>
      <c r="F115" s="12" t="s">
        <v>669</v>
      </c>
      <c r="G115" s="12" t="b">
        <v>0</v>
      </c>
      <c r="H115" s="12" t="b">
        <v>1</v>
      </c>
      <c r="I115" s="12" t="b">
        <v>1</v>
      </c>
    </row>
    <row r="116" spans="1:9" x14ac:dyDescent="0.25">
      <c r="A116" s="12">
        <v>115</v>
      </c>
      <c r="B116" s="12" t="s">
        <v>670</v>
      </c>
      <c r="C116" s="12" t="s">
        <v>671</v>
      </c>
      <c r="D116" s="12" t="s">
        <v>45</v>
      </c>
      <c r="E116" s="12" t="s">
        <v>672</v>
      </c>
      <c r="F116" s="12" t="s">
        <v>340</v>
      </c>
      <c r="G116" s="12" t="b">
        <v>0</v>
      </c>
      <c r="H116" s="12" t="b">
        <v>1</v>
      </c>
      <c r="I116" s="12" t="b">
        <v>1</v>
      </c>
    </row>
    <row r="117" spans="1:9" x14ac:dyDescent="0.25">
      <c r="A117" s="12">
        <v>116</v>
      </c>
      <c r="B117" s="12" t="s">
        <v>25</v>
      </c>
      <c r="C117" s="12" t="s">
        <v>673</v>
      </c>
      <c r="D117" s="12" t="s">
        <v>14</v>
      </c>
      <c r="E117" s="12" t="s">
        <v>674</v>
      </c>
      <c r="F117" s="12" t="s">
        <v>675</v>
      </c>
      <c r="G117" s="12" t="b">
        <v>0</v>
      </c>
      <c r="H117" s="12" t="b">
        <v>1</v>
      </c>
      <c r="I117" s="12" t="b">
        <v>1</v>
      </c>
    </row>
    <row r="118" spans="1:9" x14ac:dyDescent="0.25">
      <c r="A118" s="12">
        <v>117</v>
      </c>
      <c r="B118" s="12" t="s">
        <v>26</v>
      </c>
      <c r="C118" s="12" t="s">
        <v>676</v>
      </c>
      <c r="D118" s="12" t="s">
        <v>14</v>
      </c>
      <c r="E118" s="12" t="s">
        <v>677</v>
      </c>
      <c r="F118" s="12" t="s">
        <v>675</v>
      </c>
      <c r="G118" s="12" t="b">
        <v>0</v>
      </c>
      <c r="H118" s="12" t="b">
        <v>1</v>
      </c>
      <c r="I118" s="12" t="b">
        <v>1</v>
      </c>
    </row>
    <row r="119" spans="1:9" x14ac:dyDescent="0.25">
      <c r="A119" s="12">
        <v>118</v>
      </c>
      <c r="B119" s="12" t="s">
        <v>678</v>
      </c>
      <c r="C119" s="12" t="s">
        <v>679</v>
      </c>
      <c r="D119" s="12" t="s">
        <v>10</v>
      </c>
      <c r="E119" s="12" t="s">
        <v>680</v>
      </c>
      <c r="F119" s="12" t="s">
        <v>681</v>
      </c>
      <c r="G119" s="12" t="b">
        <v>0</v>
      </c>
      <c r="H119" s="12" t="b">
        <v>1</v>
      </c>
      <c r="I119" s="12" t="b">
        <v>1</v>
      </c>
    </row>
    <row r="120" spans="1:9" x14ac:dyDescent="0.25">
      <c r="A120" s="12">
        <v>119</v>
      </c>
      <c r="B120" s="12" t="s">
        <v>682</v>
      </c>
      <c r="C120" s="12" t="s">
        <v>683</v>
      </c>
      <c r="D120" s="12" t="s">
        <v>10</v>
      </c>
      <c r="E120" s="12" t="s">
        <v>684</v>
      </c>
      <c r="F120" s="12" t="s">
        <v>681</v>
      </c>
      <c r="G120" s="12" t="b">
        <v>0</v>
      </c>
      <c r="H120" s="12" t="b">
        <v>1</v>
      </c>
      <c r="I120" s="12" t="b">
        <v>1</v>
      </c>
    </row>
    <row r="121" spans="1:9" x14ac:dyDescent="0.25">
      <c r="A121" s="12">
        <v>120</v>
      </c>
      <c r="B121" s="12" t="s">
        <v>685</v>
      </c>
      <c r="C121" s="12" t="s">
        <v>686</v>
      </c>
      <c r="D121" s="12" t="s">
        <v>14</v>
      </c>
      <c r="E121" s="12" t="s">
        <v>687</v>
      </c>
      <c r="F121" s="12" t="s">
        <v>681</v>
      </c>
      <c r="G121" s="12" t="b">
        <v>0</v>
      </c>
      <c r="H121" s="12" t="b">
        <v>1</v>
      </c>
      <c r="I121" s="12" t="b">
        <v>1</v>
      </c>
    </row>
    <row r="122" spans="1:9" x14ac:dyDescent="0.25">
      <c r="A122" s="12">
        <v>121</v>
      </c>
      <c r="B122" s="12" t="s">
        <v>89</v>
      </c>
      <c r="C122" s="12" t="s">
        <v>688</v>
      </c>
      <c r="D122" s="12" t="s">
        <v>10</v>
      </c>
      <c r="E122" s="12" t="s">
        <v>689</v>
      </c>
      <c r="F122" s="12" t="s">
        <v>681</v>
      </c>
      <c r="G122" s="12" t="b">
        <v>0</v>
      </c>
      <c r="H122" s="12" t="b">
        <v>1</v>
      </c>
      <c r="I122" s="12" t="b">
        <v>1</v>
      </c>
    </row>
    <row r="123" spans="1:9" x14ac:dyDescent="0.25">
      <c r="A123" s="12">
        <v>122</v>
      </c>
      <c r="B123" s="12" t="s">
        <v>690</v>
      </c>
      <c r="C123" s="12" t="s">
        <v>691</v>
      </c>
      <c r="D123" s="12" t="s">
        <v>14</v>
      </c>
      <c r="E123" s="12" t="s">
        <v>692</v>
      </c>
      <c r="F123" s="12" t="s">
        <v>464</v>
      </c>
      <c r="G123" s="12" t="b">
        <v>0</v>
      </c>
      <c r="H123" s="12" t="b">
        <v>1</v>
      </c>
      <c r="I123" s="12" t="b">
        <v>1</v>
      </c>
    </row>
    <row r="124" spans="1:9" x14ac:dyDescent="0.25">
      <c r="A124" s="12">
        <v>123</v>
      </c>
      <c r="B124" s="12" t="s">
        <v>693</v>
      </c>
      <c r="C124" s="12" t="s">
        <v>694</v>
      </c>
      <c r="D124" s="12" t="s">
        <v>45</v>
      </c>
      <c r="E124" s="12" t="s">
        <v>695</v>
      </c>
      <c r="F124" s="12" t="s">
        <v>681</v>
      </c>
      <c r="G124" s="12" t="b">
        <v>0</v>
      </c>
      <c r="H124" s="12" t="b">
        <v>1</v>
      </c>
      <c r="I124" s="12" t="b">
        <v>1</v>
      </c>
    </row>
    <row r="125" spans="1:9" x14ac:dyDescent="0.25">
      <c r="A125" s="12">
        <v>124</v>
      </c>
      <c r="B125" s="12" t="s">
        <v>82</v>
      </c>
      <c r="C125" s="12" t="s">
        <v>696</v>
      </c>
      <c r="D125" s="12" t="s">
        <v>45</v>
      </c>
      <c r="E125" s="12" t="s">
        <v>697</v>
      </c>
      <c r="F125" s="12" t="s">
        <v>698</v>
      </c>
      <c r="G125" s="12" t="b">
        <v>0</v>
      </c>
      <c r="H125" s="12" t="b">
        <v>1</v>
      </c>
      <c r="I125" s="12" t="b">
        <v>1</v>
      </c>
    </row>
    <row r="126" spans="1:9" x14ac:dyDescent="0.25">
      <c r="A126" s="12">
        <v>125</v>
      </c>
      <c r="B126" s="12" t="s">
        <v>699</v>
      </c>
      <c r="C126" s="12" t="s">
        <v>700</v>
      </c>
      <c r="D126" s="12" t="s">
        <v>10</v>
      </c>
      <c r="E126" s="12" t="s">
        <v>701</v>
      </c>
      <c r="F126" s="12" t="s">
        <v>702</v>
      </c>
      <c r="G126" s="12" t="b">
        <v>0</v>
      </c>
      <c r="H126" s="12" t="b">
        <v>1</v>
      </c>
      <c r="I126" s="12" t="b">
        <v>1</v>
      </c>
    </row>
    <row r="127" spans="1:9" x14ac:dyDescent="0.25">
      <c r="A127" s="12">
        <v>126</v>
      </c>
      <c r="B127" s="12" t="s">
        <v>703</v>
      </c>
      <c r="C127" s="12" t="s">
        <v>704</v>
      </c>
      <c r="D127" s="12" t="s">
        <v>45</v>
      </c>
      <c r="E127" s="12" t="s">
        <v>705</v>
      </c>
      <c r="F127" s="12" t="s">
        <v>706</v>
      </c>
      <c r="G127" s="12" t="b">
        <v>0</v>
      </c>
      <c r="H127" s="12" t="b">
        <v>1</v>
      </c>
      <c r="I127" s="12" t="b">
        <v>1</v>
      </c>
    </row>
    <row r="128" spans="1:9" x14ac:dyDescent="0.25">
      <c r="A128" s="12">
        <v>127</v>
      </c>
      <c r="B128" s="12" t="s">
        <v>707</v>
      </c>
      <c r="C128" s="12" t="s">
        <v>708</v>
      </c>
      <c r="D128" s="12" t="s">
        <v>45</v>
      </c>
      <c r="E128" s="12" t="s">
        <v>709</v>
      </c>
      <c r="F128" s="12" t="s">
        <v>710</v>
      </c>
      <c r="G128" s="12" t="b">
        <v>0</v>
      </c>
      <c r="H128" s="12" t="b">
        <v>1</v>
      </c>
      <c r="I128" s="12" t="b">
        <v>1</v>
      </c>
    </row>
    <row r="129" spans="1:9" x14ac:dyDescent="0.25">
      <c r="A129" s="12">
        <v>128</v>
      </c>
      <c r="B129" s="12" t="s">
        <v>197</v>
      </c>
      <c r="C129" s="12" t="s">
        <v>711</v>
      </c>
      <c r="D129" s="12" t="s">
        <v>14</v>
      </c>
      <c r="E129" s="12" t="s">
        <v>712</v>
      </c>
      <c r="F129" s="12" t="s">
        <v>713</v>
      </c>
      <c r="G129" s="12" t="b">
        <v>0</v>
      </c>
      <c r="H129" s="12" t="b">
        <v>1</v>
      </c>
      <c r="I129" s="12" t="b">
        <v>1</v>
      </c>
    </row>
    <row r="130" spans="1:9" x14ac:dyDescent="0.25">
      <c r="A130" s="12">
        <v>129</v>
      </c>
      <c r="B130" s="12" t="s">
        <v>714</v>
      </c>
      <c r="C130" s="12" t="s">
        <v>715</v>
      </c>
      <c r="D130" s="12" t="s">
        <v>14</v>
      </c>
      <c r="E130" s="12" t="s">
        <v>716</v>
      </c>
      <c r="F130" s="12" t="s">
        <v>658</v>
      </c>
      <c r="G130" s="12" t="b">
        <v>0</v>
      </c>
      <c r="H130" s="12" t="b">
        <v>1</v>
      </c>
      <c r="I130" s="12" t="b">
        <v>1</v>
      </c>
    </row>
    <row r="131" spans="1:9" x14ac:dyDescent="0.25">
      <c r="A131" s="12">
        <v>130</v>
      </c>
      <c r="B131" s="12" t="s">
        <v>717</v>
      </c>
      <c r="C131" s="12" t="s">
        <v>718</v>
      </c>
      <c r="D131" s="12" t="s">
        <v>14</v>
      </c>
      <c r="E131" s="12" t="s">
        <v>719</v>
      </c>
      <c r="F131" s="12" t="s">
        <v>720</v>
      </c>
      <c r="G131" s="12" t="b">
        <v>0</v>
      </c>
      <c r="H131" s="12" t="b">
        <v>1</v>
      </c>
      <c r="I131" s="12" t="b">
        <v>1</v>
      </c>
    </row>
    <row r="132" spans="1:9" x14ac:dyDescent="0.25">
      <c r="A132" s="12">
        <v>131</v>
      </c>
      <c r="B132" s="12" t="s">
        <v>41</v>
      </c>
      <c r="C132" s="12" t="s">
        <v>721</v>
      </c>
      <c r="D132" s="12" t="s">
        <v>14</v>
      </c>
      <c r="E132" s="12" t="s">
        <v>722</v>
      </c>
      <c r="F132" s="12" t="s">
        <v>393</v>
      </c>
      <c r="G132" s="12" t="b">
        <v>0</v>
      </c>
      <c r="H132" s="12" t="b">
        <v>1</v>
      </c>
      <c r="I132" s="12" t="b">
        <v>1</v>
      </c>
    </row>
    <row r="133" spans="1:9" x14ac:dyDescent="0.25">
      <c r="A133" s="12">
        <v>132</v>
      </c>
      <c r="B133" s="12" t="s">
        <v>723</v>
      </c>
      <c r="C133" s="12" t="s">
        <v>724</v>
      </c>
      <c r="D133" s="12" t="s">
        <v>45</v>
      </c>
      <c r="E133" s="12" t="s">
        <v>725</v>
      </c>
      <c r="F133" s="12" t="s">
        <v>340</v>
      </c>
      <c r="G133" s="12" t="b">
        <v>0</v>
      </c>
      <c r="H133" s="12" t="b">
        <v>1</v>
      </c>
      <c r="I133" s="12" t="b">
        <v>1</v>
      </c>
    </row>
    <row r="134" spans="1:9" x14ac:dyDescent="0.25">
      <c r="A134" s="12">
        <v>133</v>
      </c>
      <c r="B134" s="12" t="s">
        <v>13</v>
      </c>
      <c r="C134" s="12" t="s">
        <v>726</v>
      </c>
      <c r="D134" s="12" t="s">
        <v>14</v>
      </c>
      <c r="E134" s="12" t="s">
        <v>727</v>
      </c>
      <c r="F134" s="12" t="s">
        <v>728</v>
      </c>
      <c r="G134" s="12" t="b">
        <v>0</v>
      </c>
      <c r="H134" s="12" t="b">
        <v>1</v>
      </c>
      <c r="I134" s="12" t="b">
        <v>1</v>
      </c>
    </row>
    <row r="135" spans="1:9" x14ac:dyDescent="0.25">
      <c r="A135" s="12">
        <v>134</v>
      </c>
      <c r="B135" s="12" t="s">
        <v>729</v>
      </c>
      <c r="C135" s="12" t="s">
        <v>730</v>
      </c>
      <c r="D135" s="12" t="s">
        <v>14</v>
      </c>
      <c r="E135" s="12" t="s">
        <v>731</v>
      </c>
      <c r="F135" s="12" t="s">
        <v>732</v>
      </c>
      <c r="G135" s="12" t="b">
        <v>0</v>
      </c>
      <c r="H135" s="12" t="b">
        <v>1</v>
      </c>
      <c r="I135" s="12" t="b">
        <v>1</v>
      </c>
    </row>
    <row r="136" spans="1:9" x14ac:dyDescent="0.25">
      <c r="A136" s="12">
        <v>135</v>
      </c>
      <c r="B136" s="12" t="s">
        <v>733</v>
      </c>
      <c r="C136" s="12" t="s">
        <v>734</v>
      </c>
      <c r="D136" s="12" t="s">
        <v>45</v>
      </c>
      <c r="E136" s="12" t="s">
        <v>735</v>
      </c>
      <c r="F136" s="12" t="s">
        <v>732</v>
      </c>
      <c r="G136" s="12" t="b">
        <v>0</v>
      </c>
      <c r="H136" s="12" t="b">
        <v>1</v>
      </c>
      <c r="I136" s="12" t="b">
        <v>1</v>
      </c>
    </row>
    <row r="137" spans="1:9" x14ac:dyDescent="0.25">
      <c r="A137" s="12">
        <v>136</v>
      </c>
      <c r="B137" s="12" t="s">
        <v>63</v>
      </c>
      <c r="C137" s="12" t="s">
        <v>736</v>
      </c>
      <c r="D137" s="12" t="s">
        <v>10</v>
      </c>
      <c r="E137" s="12" t="s">
        <v>737</v>
      </c>
      <c r="F137" s="12" t="s">
        <v>738</v>
      </c>
      <c r="G137" s="12" t="b">
        <v>0</v>
      </c>
      <c r="H137" s="12" t="b">
        <v>1</v>
      </c>
      <c r="I137" s="12" t="b">
        <v>1</v>
      </c>
    </row>
    <row r="138" spans="1:9" x14ac:dyDescent="0.25">
      <c r="A138" s="12">
        <v>137</v>
      </c>
      <c r="B138" s="12" t="s">
        <v>739</v>
      </c>
      <c r="C138" s="12" t="s">
        <v>740</v>
      </c>
      <c r="D138" s="12" t="s">
        <v>14</v>
      </c>
      <c r="E138" s="12" t="s">
        <v>741</v>
      </c>
      <c r="F138" s="12" t="s">
        <v>738</v>
      </c>
      <c r="G138" s="12" t="b">
        <v>0</v>
      </c>
      <c r="H138" s="12" t="b">
        <v>1</v>
      </c>
      <c r="I138" s="12" t="b">
        <v>1</v>
      </c>
    </row>
    <row r="139" spans="1:9" x14ac:dyDescent="0.25">
      <c r="A139" s="12">
        <v>138</v>
      </c>
      <c r="B139" s="12" t="s">
        <v>742</v>
      </c>
      <c r="C139" s="12" t="s">
        <v>743</v>
      </c>
      <c r="D139" s="12" t="s">
        <v>14</v>
      </c>
      <c r="E139" s="12" t="s">
        <v>744</v>
      </c>
      <c r="F139" s="12" t="s">
        <v>745</v>
      </c>
      <c r="G139" s="12" t="b">
        <v>0</v>
      </c>
      <c r="H139" s="12" t="b">
        <v>1</v>
      </c>
      <c r="I139" s="12" t="b">
        <v>1</v>
      </c>
    </row>
    <row r="140" spans="1:9" x14ac:dyDescent="0.25">
      <c r="A140" s="12">
        <v>139</v>
      </c>
      <c r="B140" s="12" t="s">
        <v>98</v>
      </c>
      <c r="C140" s="12" t="s">
        <v>746</v>
      </c>
      <c r="D140" s="12" t="s">
        <v>14</v>
      </c>
      <c r="E140" s="12" t="s">
        <v>747</v>
      </c>
      <c r="F140" s="12" t="s">
        <v>748</v>
      </c>
      <c r="G140" s="12" t="b">
        <v>0</v>
      </c>
      <c r="H140" s="12" t="b">
        <v>1</v>
      </c>
      <c r="I140" s="12" t="b">
        <v>1</v>
      </c>
    </row>
    <row r="141" spans="1:9" x14ac:dyDescent="0.25">
      <c r="A141" s="12">
        <v>140</v>
      </c>
      <c r="B141" s="12" t="s">
        <v>749</v>
      </c>
      <c r="C141" s="12" t="s">
        <v>750</v>
      </c>
      <c r="D141" s="12" t="s">
        <v>45</v>
      </c>
      <c r="E141" s="12" t="s">
        <v>751</v>
      </c>
      <c r="F141" s="12" t="s">
        <v>752</v>
      </c>
      <c r="G141" s="12" t="b">
        <v>0</v>
      </c>
      <c r="H141" s="12" t="b">
        <v>1</v>
      </c>
      <c r="I141" s="12" t="b">
        <v>1</v>
      </c>
    </row>
    <row r="142" spans="1:9" x14ac:dyDescent="0.25">
      <c r="A142" s="12">
        <v>141</v>
      </c>
      <c r="B142" s="12" t="s">
        <v>111</v>
      </c>
      <c r="C142" s="12" t="s">
        <v>753</v>
      </c>
      <c r="D142" s="12" t="s">
        <v>10</v>
      </c>
      <c r="E142" s="12" t="s">
        <v>754</v>
      </c>
      <c r="F142" s="12" t="s">
        <v>755</v>
      </c>
      <c r="G142" s="12" t="b">
        <v>0</v>
      </c>
      <c r="H142" s="12" t="b">
        <v>1</v>
      </c>
      <c r="I142" s="12" t="b">
        <v>1</v>
      </c>
    </row>
    <row r="143" spans="1:9" x14ac:dyDescent="0.25">
      <c r="A143" s="12">
        <v>142</v>
      </c>
      <c r="B143" s="12" t="s">
        <v>116</v>
      </c>
      <c r="C143" s="12" t="s">
        <v>756</v>
      </c>
      <c r="D143" s="12" t="s">
        <v>14</v>
      </c>
      <c r="E143" s="12" t="s">
        <v>757</v>
      </c>
      <c r="F143" s="12" t="s">
        <v>755</v>
      </c>
      <c r="G143" s="12" t="b">
        <v>0</v>
      </c>
      <c r="H143" s="12" t="b">
        <v>1</v>
      </c>
      <c r="I143" s="12" t="b">
        <v>1</v>
      </c>
    </row>
    <row r="144" spans="1:9" x14ac:dyDescent="0.25">
      <c r="A144" s="12">
        <v>143</v>
      </c>
      <c r="B144" s="12" t="s">
        <v>120</v>
      </c>
      <c r="C144" s="12" t="s">
        <v>758</v>
      </c>
      <c r="D144" s="12" t="s">
        <v>14</v>
      </c>
      <c r="E144" s="12" t="s">
        <v>759</v>
      </c>
      <c r="F144" s="12" t="s">
        <v>760</v>
      </c>
      <c r="G144" s="12" t="b">
        <v>0</v>
      </c>
      <c r="H144" s="12" t="b">
        <v>1</v>
      </c>
      <c r="I144" s="12" t="b">
        <v>1</v>
      </c>
    </row>
    <row r="145" spans="1:9" x14ac:dyDescent="0.25">
      <c r="A145" s="12">
        <v>144</v>
      </c>
      <c r="B145" s="12" t="s">
        <v>761</v>
      </c>
      <c r="C145" s="12" t="s">
        <v>762</v>
      </c>
      <c r="D145" s="12" t="s">
        <v>10</v>
      </c>
      <c r="E145" s="12" t="s">
        <v>763</v>
      </c>
      <c r="F145" s="12" t="s">
        <v>608</v>
      </c>
      <c r="G145" s="12" t="b">
        <v>0</v>
      </c>
      <c r="H145" s="12" t="b">
        <v>1</v>
      </c>
      <c r="I145" s="12" t="b">
        <v>1</v>
      </c>
    </row>
    <row r="146" spans="1:9" x14ac:dyDescent="0.25">
      <c r="A146" s="12">
        <v>145</v>
      </c>
      <c r="B146" s="12" t="s">
        <v>764</v>
      </c>
      <c r="C146" s="12" t="s">
        <v>765</v>
      </c>
      <c r="D146" s="12" t="s">
        <v>10</v>
      </c>
      <c r="E146" s="12" t="s">
        <v>766</v>
      </c>
      <c r="F146" s="12" t="s">
        <v>608</v>
      </c>
      <c r="G146" s="12" t="b">
        <v>0</v>
      </c>
      <c r="H146" s="12" t="b">
        <v>0</v>
      </c>
      <c r="I146" s="12" t="b">
        <v>0</v>
      </c>
    </row>
    <row r="147" spans="1:9" x14ac:dyDescent="0.25">
      <c r="A147" s="12">
        <v>146</v>
      </c>
      <c r="B147" s="12" t="s">
        <v>767</v>
      </c>
      <c r="C147" s="12" t="s">
        <v>768</v>
      </c>
      <c r="D147" s="12" t="s">
        <v>14</v>
      </c>
      <c r="E147" s="12" t="s">
        <v>769</v>
      </c>
      <c r="F147" s="12" t="s">
        <v>770</v>
      </c>
      <c r="G147" s="12" t="b">
        <v>0</v>
      </c>
      <c r="H147" s="12" t="b">
        <v>1</v>
      </c>
      <c r="I147" s="12" t="b">
        <v>1</v>
      </c>
    </row>
    <row r="148" spans="1:9" x14ac:dyDescent="0.25">
      <c r="A148" s="12">
        <v>147</v>
      </c>
      <c r="B148" s="12" t="s">
        <v>771</v>
      </c>
      <c r="C148" s="12" t="s">
        <v>772</v>
      </c>
      <c r="D148" s="12" t="s">
        <v>14</v>
      </c>
      <c r="E148" s="12" t="s">
        <v>773</v>
      </c>
      <c r="F148" s="12" t="s">
        <v>774</v>
      </c>
      <c r="G148" s="12" t="b">
        <v>0</v>
      </c>
      <c r="H148" s="12" t="b">
        <v>1</v>
      </c>
      <c r="I148" s="12" t="b">
        <v>1</v>
      </c>
    </row>
    <row r="149" spans="1:9" x14ac:dyDescent="0.25">
      <c r="A149" s="12">
        <v>148</v>
      </c>
      <c r="B149" s="12" t="s">
        <v>119</v>
      </c>
      <c r="C149" s="12" t="s">
        <v>775</v>
      </c>
      <c r="D149" s="12" t="s">
        <v>14</v>
      </c>
      <c r="E149" s="12" t="s">
        <v>776</v>
      </c>
      <c r="F149" s="12" t="s">
        <v>777</v>
      </c>
      <c r="G149" s="12" t="b">
        <v>0</v>
      </c>
      <c r="H149" s="12" t="b">
        <v>1</v>
      </c>
      <c r="I149" s="12" t="b">
        <v>1</v>
      </c>
    </row>
    <row r="150" spans="1:9" x14ac:dyDescent="0.25">
      <c r="A150" s="12">
        <v>149</v>
      </c>
      <c r="B150" s="12" t="s">
        <v>778</v>
      </c>
      <c r="C150" s="12" t="s">
        <v>779</v>
      </c>
      <c r="D150" s="12" t="s">
        <v>45</v>
      </c>
      <c r="E150" s="12" t="s">
        <v>780</v>
      </c>
      <c r="F150" s="12" t="s">
        <v>781</v>
      </c>
      <c r="G150" s="12" t="b">
        <v>0</v>
      </c>
      <c r="H150" s="12" t="b">
        <v>1</v>
      </c>
      <c r="I150" s="12" t="b">
        <v>1</v>
      </c>
    </row>
    <row r="151" spans="1:9" x14ac:dyDescent="0.25">
      <c r="A151" s="12">
        <v>150</v>
      </c>
      <c r="B151" s="12" t="s">
        <v>782</v>
      </c>
      <c r="C151" s="12" t="s">
        <v>783</v>
      </c>
      <c r="D151" s="12" t="s">
        <v>14</v>
      </c>
      <c r="E151" s="12" t="s">
        <v>784</v>
      </c>
      <c r="F151" s="12" t="s">
        <v>785</v>
      </c>
      <c r="G151" s="12" t="b">
        <v>0</v>
      </c>
      <c r="H151" s="12" t="b">
        <v>1</v>
      </c>
      <c r="I151" s="12" t="b">
        <v>1</v>
      </c>
    </row>
    <row r="152" spans="1:9" x14ac:dyDescent="0.25">
      <c r="A152" s="12">
        <v>151</v>
      </c>
      <c r="B152" s="12" t="s">
        <v>786</v>
      </c>
      <c r="C152" s="12" t="s">
        <v>787</v>
      </c>
      <c r="D152" s="12" t="s">
        <v>14</v>
      </c>
      <c r="E152" s="12" t="s">
        <v>788</v>
      </c>
      <c r="F152" s="12" t="s">
        <v>702</v>
      </c>
      <c r="G152" s="12" t="b">
        <v>0</v>
      </c>
      <c r="H152" s="12" t="b">
        <v>1</v>
      </c>
      <c r="I152" s="12" t="b">
        <v>1</v>
      </c>
    </row>
    <row r="153" spans="1:9" x14ac:dyDescent="0.25">
      <c r="A153" s="12">
        <v>152</v>
      </c>
      <c r="B153" s="12" t="s">
        <v>95</v>
      </c>
      <c r="C153" s="12" t="s">
        <v>789</v>
      </c>
      <c r="D153" s="12" t="s">
        <v>14</v>
      </c>
      <c r="E153" s="12" t="s">
        <v>790</v>
      </c>
      <c r="F153" s="12" t="s">
        <v>681</v>
      </c>
      <c r="G153" s="12" t="b">
        <v>0</v>
      </c>
      <c r="H153" s="12" t="b">
        <v>1</v>
      </c>
      <c r="I153" s="12" t="b">
        <v>1</v>
      </c>
    </row>
    <row r="154" spans="1:9" x14ac:dyDescent="0.25">
      <c r="A154" s="12">
        <v>153</v>
      </c>
      <c r="B154" s="12" t="s">
        <v>52</v>
      </c>
      <c r="C154" s="12" t="s">
        <v>791</v>
      </c>
      <c r="D154" s="12" t="s">
        <v>14</v>
      </c>
      <c r="E154" s="12" t="s">
        <v>792</v>
      </c>
      <c r="F154" s="12" t="s">
        <v>426</v>
      </c>
      <c r="G154" s="12" t="b">
        <v>0</v>
      </c>
      <c r="H154" s="12" t="b">
        <v>1</v>
      </c>
      <c r="I154" s="12" t="b">
        <v>1</v>
      </c>
    </row>
    <row r="155" spans="1:9" x14ac:dyDescent="0.25">
      <c r="A155" s="12">
        <v>154</v>
      </c>
      <c r="B155" s="12" t="s">
        <v>793</v>
      </c>
      <c r="C155" s="12" t="s">
        <v>794</v>
      </c>
      <c r="D155" s="12" t="s">
        <v>45</v>
      </c>
      <c r="E155" s="12" t="s">
        <v>795</v>
      </c>
      <c r="F155" s="12" t="s">
        <v>426</v>
      </c>
      <c r="G155" s="12" t="b">
        <v>0</v>
      </c>
      <c r="H155" s="12" t="b">
        <v>1</v>
      </c>
      <c r="I155" s="12" t="b">
        <v>1</v>
      </c>
    </row>
    <row r="156" spans="1:9" x14ac:dyDescent="0.25">
      <c r="A156" s="12">
        <v>155</v>
      </c>
      <c r="B156" s="12" t="s">
        <v>796</v>
      </c>
      <c r="C156" s="12" t="s">
        <v>797</v>
      </c>
      <c r="D156" s="12" t="s">
        <v>14</v>
      </c>
      <c r="E156" s="12" t="s">
        <v>798</v>
      </c>
      <c r="F156" s="12" t="s">
        <v>799</v>
      </c>
      <c r="G156" s="12" t="b">
        <v>0</v>
      </c>
      <c r="H156" s="12" t="b">
        <v>1</v>
      </c>
      <c r="I156" s="12" t="b">
        <v>1</v>
      </c>
    </row>
    <row r="157" spans="1:9" x14ac:dyDescent="0.25">
      <c r="A157" s="12">
        <v>156</v>
      </c>
      <c r="B157" s="12" t="s">
        <v>800</v>
      </c>
      <c r="C157" s="12" t="s">
        <v>801</v>
      </c>
      <c r="D157" s="12" t="s">
        <v>14</v>
      </c>
      <c r="E157" s="12" t="s">
        <v>802</v>
      </c>
      <c r="F157" s="12" t="s">
        <v>658</v>
      </c>
      <c r="G157" s="12" t="b">
        <v>1</v>
      </c>
      <c r="H157" s="12" t="b">
        <v>0</v>
      </c>
      <c r="I157" s="12" t="b">
        <v>0</v>
      </c>
    </row>
    <row r="158" spans="1:9" x14ac:dyDescent="0.25">
      <c r="A158" s="12">
        <v>157</v>
      </c>
      <c r="B158" s="12" t="s">
        <v>198</v>
      </c>
      <c r="C158" s="12" t="s">
        <v>803</v>
      </c>
      <c r="D158" s="12" t="s">
        <v>10</v>
      </c>
      <c r="E158" s="12" t="s">
        <v>804</v>
      </c>
      <c r="F158" s="12" t="s">
        <v>805</v>
      </c>
      <c r="G158" s="12" t="b">
        <v>1</v>
      </c>
      <c r="H158" s="12" t="b">
        <v>1</v>
      </c>
      <c r="I158" s="12" t="b">
        <v>1</v>
      </c>
    </row>
    <row r="159" spans="1:9" x14ac:dyDescent="0.25">
      <c r="A159" s="12">
        <v>158</v>
      </c>
      <c r="B159" s="12" t="s">
        <v>199</v>
      </c>
      <c r="C159" s="12" t="s">
        <v>806</v>
      </c>
      <c r="D159" s="12" t="s">
        <v>45</v>
      </c>
      <c r="E159" s="12" t="s">
        <v>807</v>
      </c>
      <c r="F159" s="12" t="s">
        <v>805</v>
      </c>
      <c r="G159" s="12" t="b">
        <v>1</v>
      </c>
      <c r="H159" s="12" t="b">
        <v>0</v>
      </c>
      <c r="I159" s="12" t="b">
        <v>0</v>
      </c>
    </row>
    <row r="160" spans="1:9" x14ac:dyDescent="0.25">
      <c r="A160" s="12">
        <v>159</v>
      </c>
      <c r="B160" s="12" t="s">
        <v>200</v>
      </c>
      <c r="C160" s="12" t="s">
        <v>808</v>
      </c>
      <c r="D160" s="12" t="s">
        <v>14</v>
      </c>
      <c r="E160" s="12" t="s">
        <v>809</v>
      </c>
      <c r="F160" s="12" t="s">
        <v>334</v>
      </c>
      <c r="G160" s="12" t="b">
        <v>1</v>
      </c>
      <c r="H160" s="12" t="b">
        <v>1</v>
      </c>
      <c r="I160" s="12" t="b">
        <v>1</v>
      </c>
    </row>
    <row r="161" spans="1:9" x14ac:dyDescent="0.25">
      <c r="A161" s="12">
        <v>160</v>
      </c>
      <c r="B161" s="12" t="s">
        <v>810</v>
      </c>
      <c r="C161" s="12" t="s">
        <v>811</v>
      </c>
      <c r="D161" s="12" t="s">
        <v>10</v>
      </c>
      <c r="E161" s="12" t="s">
        <v>812</v>
      </c>
      <c r="F161" s="12" t="s">
        <v>755</v>
      </c>
      <c r="G161" s="12" t="b">
        <v>0</v>
      </c>
      <c r="H161" s="12" t="b">
        <v>1</v>
      </c>
      <c r="I161" s="12" t="b">
        <v>1</v>
      </c>
    </row>
    <row r="162" spans="1:9" x14ac:dyDescent="0.25">
      <c r="A162" s="12">
        <v>161</v>
      </c>
      <c r="B162" s="12" t="s">
        <v>201</v>
      </c>
      <c r="C162" s="12" t="s">
        <v>813</v>
      </c>
      <c r="D162" s="12" t="s">
        <v>14</v>
      </c>
      <c r="E162" s="12" t="s">
        <v>814</v>
      </c>
      <c r="F162" s="12" t="s">
        <v>702</v>
      </c>
      <c r="G162" s="12" t="b">
        <v>1</v>
      </c>
      <c r="H162" s="12" t="b">
        <v>1</v>
      </c>
      <c r="I162" s="12" t="b">
        <v>1</v>
      </c>
    </row>
    <row r="163" spans="1:9" x14ac:dyDescent="0.25">
      <c r="A163" s="12">
        <v>162</v>
      </c>
      <c r="B163" s="12" t="s">
        <v>53</v>
      </c>
      <c r="C163" s="12" t="s">
        <v>815</v>
      </c>
      <c r="D163" s="12" t="s">
        <v>14</v>
      </c>
      <c r="E163" s="12" t="s">
        <v>816</v>
      </c>
      <c r="F163" s="12" t="s">
        <v>426</v>
      </c>
      <c r="G163" s="12" t="b">
        <v>0</v>
      </c>
      <c r="H163" s="12" t="b">
        <v>1</v>
      </c>
      <c r="I163" s="12" t="b">
        <v>1</v>
      </c>
    </row>
    <row r="164" spans="1:9" x14ac:dyDescent="0.25">
      <c r="A164" s="12">
        <v>163</v>
      </c>
      <c r="B164" s="12" t="s">
        <v>202</v>
      </c>
      <c r="C164" s="12" t="s">
        <v>817</v>
      </c>
      <c r="D164" s="12" t="s">
        <v>10</v>
      </c>
      <c r="E164" s="12" t="s">
        <v>818</v>
      </c>
      <c r="F164" s="12" t="s">
        <v>317</v>
      </c>
      <c r="G164" s="12" t="b">
        <v>1</v>
      </c>
      <c r="H164" s="12" t="b">
        <v>1</v>
      </c>
      <c r="I164" s="12" t="b">
        <v>1</v>
      </c>
    </row>
    <row r="165" spans="1:9" x14ac:dyDescent="0.25">
      <c r="A165" s="12">
        <v>164</v>
      </c>
      <c r="B165" s="12" t="s">
        <v>819</v>
      </c>
      <c r="C165" s="12" t="s">
        <v>820</v>
      </c>
      <c r="D165" s="12" t="s">
        <v>45</v>
      </c>
      <c r="E165" s="12" t="s">
        <v>821</v>
      </c>
      <c r="F165" s="12" t="s">
        <v>822</v>
      </c>
      <c r="G165" s="12" t="b">
        <v>0</v>
      </c>
      <c r="H165" s="12" t="b">
        <v>1</v>
      </c>
      <c r="I165" s="12" t="b">
        <v>1</v>
      </c>
    </row>
    <row r="166" spans="1:9" x14ac:dyDescent="0.25">
      <c r="A166" s="12">
        <v>165</v>
      </c>
      <c r="B166" s="12" t="s">
        <v>823</v>
      </c>
      <c r="C166" s="12" t="s">
        <v>824</v>
      </c>
      <c r="D166" s="12" t="s">
        <v>14</v>
      </c>
      <c r="E166" s="12" t="s">
        <v>825</v>
      </c>
      <c r="F166" s="12" t="s">
        <v>702</v>
      </c>
      <c r="G166" s="12" t="b">
        <v>0</v>
      </c>
      <c r="H166" s="12" t="b">
        <v>1</v>
      </c>
      <c r="I166" s="12" t="b">
        <v>1</v>
      </c>
    </row>
    <row r="167" spans="1:9" x14ac:dyDescent="0.25">
      <c r="A167" s="12">
        <v>166</v>
      </c>
      <c r="B167" s="12" t="s">
        <v>826</v>
      </c>
      <c r="C167" s="12" t="s">
        <v>827</v>
      </c>
      <c r="D167" s="12" t="s">
        <v>14</v>
      </c>
      <c r="E167" s="12" t="s">
        <v>828</v>
      </c>
      <c r="F167" s="12" t="s">
        <v>363</v>
      </c>
      <c r="G167" s="12" t="b">
        <v>0</v>
      </c>
      <c r="H167" s="12" t="b">
        <v>1</v>
      </c>
      <c r="I167" s="12" t="b">
        <v>1</v>
      </c>
    </row>
    <row r="168" spans="1:9" x14ac:dyDescent="0.25">
      <c r="A168" s="12">
        <v>167</v>
      </c>
      <c r="B168" s="12" t="s">
        <v>829</v>
      </c>
      <c r="C168" s="12" t="s">
        <v>830</v>
      </c>
      <c r="D168" s="12" t="s">
        <v>14</v>
      </c>
      <c r="E168" s="12" t="s">
        <v>831</v>
      </c>
      <c r="F168" s="12" t="s">
        <v>832</v>
      </c>
      <c r="G168" s="12" t="b">
        <v>0</v>
      </c>
      <c r="H168" s="12" t="b">
        <v>1</v>
      </c>
      <c r="I168" s="12" t="b">
        <v>1</v>
      </c>
    </row>
    <row r="169" spans="1:9" x14ac:dyDescent="0.25">
      <c r="A169" s="12">
        <v>168</v>
      </c>
      <c r="B169" s="12" t="s">
        <v>833</v>
      </c>
      <c r="C169" s="12" t="s">
        <v>834</v>
      </c>
      <c r="D169" s="12" t="s">
        <v>10</v>
      </c>
      <c r="E169" s="12" t="s">
        <v>835</v>
      </c>
      <c r="F169" s="12" t="s">
        <v>836</v>
      </c>
      <c r="G169" s="12" t="b">
        <v>0</v>
      </c>
      <c r="H169" s="12" t="b">
        <v>0</v>
      </c>
      <c r="I169" s="12" t="b">
        <v>0</v>
      </c>
    </row>
    <row r="170" spans="1:9" x14ac:dyDescent="0.25">
      <c r="A170" s="12">
        <v>169</v>
      </c>
      <c r="B170" s="12" t="s">
        <v>168</v>
      </c>
      <c r="C170" s="12" t="s">
        <v>837</v>
      </c>
      <c r="D170" s="12" t="s">
        <v>10</v>
      </c>
      <c r="E170" s="12" t="s">
        <v>838</v>
      </c>
      <c r="F170" s="12" t="s">
        <v>839</v>
      </c>
      <c r="G170" s="12" t="b">
        <v>0</v>
      </c>
      <c r="H170" s="12" t="b">
        <v>1</v>
      </c>
      <c r="I170" s="12" t="b">
        <v>1</v>
      </c>
    </row>
    <row r="171" spans="1:9" x14ac:dyDescent="0.25">
      <c r="A171" s="12">
        <v>170</v>
      </c>
      <c r="B171" s="12" t="s">
        <v>203</v>
      </c>
      <c r="C171" s="12" t="s">
        <v>840</v>
      </c>
      <c r="D171" s="12" t="s">
        <v>10</v>
      </c>
      <c r="E171" s="12" t="s">
        <v>841</v>
      </c>
      <c r="F171" s="12" t="s">
        <v>842</v>
      </c>
      <c r="G171" s="12" t="b">
        <v>1</v>
      </c>
      <c r="H171" s="12" t="b">
        <v>1</v>
      </c>
      <c r="I171" s="12" t="b">
        <v>1</v>
      </c>
    </row>
    <row r="172" spans="1:9" x14ac:dyDescent="0.25">
      <c r="A172" s="12">
        <v>171</v>
      </c>
      <c r="B172" s="12" t="s">
        <v>843</v>
      </c>
      <c r="C172" s="12" t="s">
        <v>844</v>
      </c>
      <c r="D172" s="12" t="s">
        <v>10</v>
      </c>
      <c r="E172" s="12" t="s">
        <v>845</v>
      </c>
      <c r="F172" s="12" t="s">
        <v>836</v>
      </c>
      <c r="G172" s="12" t="b">
        <v>0</v>
      </c>
      <c r="H172" s="12" t="b">
        <v>1</v>
      </c>
      <c r="I172" s="12" t="b">
        <v>1</v>
      </c>
    </row>
    <row r="173" spans="1:9" x14ac:dyDescent="0.25">
      <c r="A173" s="12">
        <v>172</v>
      </c>
      <c r="B173" s="12" t="s">
        <v>846</v>
      </c>
      <c r="C173" s="12" t="s">
        <v>847</v>
      </c>
      <c r="D173" s="12" t="s">
        <v>14</v>
      </c>
      <c r="E173" s="12" t="s">
        <v>848</v>
      </c>
      <c r="F173" s="12" t="s">
        <v>315</v>
      </c>
      <c r="G173" s="12" t="b">
        <v>0</v>
      </c>
      <c r="H173" s="12" t="b">
        <v>1</v>
      </c>
      <c r="I173" s="12" t="b">
        <v>1</v>
      </c>
    </row>
    <row r="174" spans="1:9" x14ac:dyDescent="0.25">
      <c r="A174" s="12">
        <v>173</v>
      </c>
      <c r="B174" s="12" t="s">
        <v>849</v>
      </c>
      <c r="C174" s="12" t="s">
        <v>850</v>
      </c>
      <c r="D174" s="12" t="s">
        <v>14</v>
      </c>
      <c r="E174" s="12" t="s">
        <v>851</v>
      </c>
      <c r="F174" s="12" t="s">
        <v>852</v>
      </c>
      <c r="G174" s="12" t="b">
        <v>0</v>
      </c>
      <c r="H174" s="12" t="b">
        <v>1</v>
      </c>
      <c r="I174" s="12" t="b">
        <v>1</v>
      </c>
    </row>
    <row r="175" spans="1:9" x14ac:dyDescent="0.25">
      <c r="A175" s="12">
        <v>174</v>
      </c>
      <c r="B175" s="12" t="s">
        <v>853</v>
      </c>
      <c r="C175" s="12" t="s">
        <v>854</v>
      </c>
      <c r="D175" s="12" t="s">
        <v>45</v>
      </c>
      <c r="E175" s="12" t="s">
        <v>855</v>
      </c>
      <c r="F175" s="12" t="s">
        <v>515</v>
      </c>
      <c r="G175" s="12" t="b">
        <v>0</v>
      </c>
      <c r="H175" s="12" t="b">
        <v>1</v>
      </c>
      <c r="I175" s="12" t="b">
        <v>1</v>
      </c>
    </row>
    <row r="176" spans="1:9" x14ac:dyDescent="0.25">
      <c r="A176" s="12">
        <v>175</v>
      </c>
      <c r="B176" s="12" t="s">
        <v>856</v>
      </c>
      <c r="C176" s="12" t="s">
        <v>857</v>
      </c>
      <c r="D176" s="12" t="s">
        <v>10</v>
      </c>
      <c r="E176" s="12" t="s">
        <v>858</v>
      </c>
      <c r="F176" s="12" t="s">
        <v>859</v>
      </c>
      <c r="G176" s="12" t="b">
        <v>0</v>
      </c>
      <c r="H176" s="12" t="b">
        <v>1</v>
      </c>
      <c r="I176" s="12" t="b">
        <v>1</v>
      </c>
    </row>
    <row r="177" spans="1:9" x14ac:dyDescent="0.25">
      <c r="A177" s="12">
        <v>176</v>
      </c>
      <c r="B177" s="12" t="s">
        <v>860</v>
      </c>
      <c r="C177" s="12" t="s">
        <v>861</v>
      </c>
      <c r="D177" s="12" t="s">
        <v>14</v>
      </c>
      <c r="E177" s="12" t="s">
        <v>862</v>
      </c>
      <c r="F177" s="12" t="s">
        <v>859</v>
      </c>
      <c r="G177" s="12" t="b">
        <v>0</v>
      </c>
      <c r="H177" s="12" t="b">
        <v>1</v>
      </c>
      <c r="I177" s="12" t="b">
        <v>1</v>
      </c>
    </row>
    <row r="178" spans="1:9" x14ac:dyDescent="0.25">
      <c r="A178" s="12">
        <v>177</v>
      </c>
      <c r="B178" s="12" t="s">
        <v>863</v>
      </c>
      <c r="C178" s="12" t="s">
        <v>864</v>
      </c>
      <c r="D178" s="12" t="s">
        <v>14</v>
      </c>
      <c r="E178" s="12" t="s">
        <v>865</v>
      </c>
      <c r="F178" s="12" t="s">
        <v>859</v>
      </c>
      <c r="G178" s="12" t="b">
        <v>0</v>
      </c>
      <c r="H178" s="12" t="b">
        <v>0</v>
      </c>
      <c r="I178" s="12" t="b">
        <v>0</v>
      </c>
    </row>
    <row r="179" spans="1:9" x14ac:dyDescent="0.25">
      <c r="A179" s="12">
        <v>178</v>
      </c>
      <c r="B179" s="12" t="s">
        <v>866</v>
      </c>
      <c r="C179" s="12" t="s">
        <v>867</v>
      </c>
      <c r="D179" s="12" t="s">
        <v>14</v>
      </c>
      <c r="E179" s="12" t="s">
        <v>868</v>
      </c>
      <c r="F179" s="12" t="s">
        <v>859</v>
      </c>
      <c r="G179" s="12" t="b">
        <v>0</v>
      </c>
      <c r="H179" s="12" t="b">
        <v>0</v>
      </c>
      <c r="I179" s="12" t="b">
        <v>0</v>
      </c>
    </row>
    <row r="180" spans="1:9" x14ac:dyDescent="0.25">
      <c r="A180" s="12">
        <v>179</v>
      </c>
      <c r="B180" s="12" t="s">
        <v>869</v>
      </c>
      <c r="C180" s="12" t="s">
        <v>870</v>
      </c>
      <c r="D180" s="12" t="s">
        <v>14</v>
      </c>
      <c r="E180" s="12" t="s">
        <v>871</v>
      </c>
      <c r="F180" s="12" t="s">
        <v>872</v>
      </c>
      <c r="G180" s="12" t="b">
        <v>0</v>
      </c>
      <c r="H180" s="12" t="b">
        <v>1</v>
      </c>
      <c r="I180" s="12" t="b">
        <v>1</v>
      </c>
    </row>
    <row r="181" spans="1:9" x14ac:dyDescent="0.25">
      <c r="A181" s="12">
        <v>180</v>
      </c>
      <c r="B181" s="12" t="s">
        <v>873</v>
      </c>
      <c r="C181" s="12" t="s">
        <v>874</v>
      </c>
      <c r="D181" s="12" t="s">
        <v>14</v>
      </c>
      <c r="E181" s="12" t="s">
        <v>875</v>
      </c>
      <c r="F181" s="12" t="s">
        <v>859</v>
      </c>
      <c r="G181" s="12" t="b">
        <v>0</v>
      </c>
      <c r="H181" s="12" t="b">
        <v>1</v>
      </c>
      <c r="I181" s="12" t="b">
        <v>1</v>
      </c>
    </row>
    <row r="182" spans="1:9" x14ac:dyDescent="0.25">
      <c r="A182" s="12">
        <v>181</v>
      </c>
      <c r="B182" s="12" t="s">
        <v>876</v>
      </c>
      <c r="C182" s="12" t="s">
        <v>877</v>
      </c>
      <c r="D182" s="12" t="s">
        <v>10</v>
      </c>
      <c r="E182" s="12" t="s">
        <v>878</v>
      </c>
      <c r="F182" s="12" t="s">
        <v>859</v>
      </c>
      <c r="G182" s="12" t="b">
        <v>0</v>
      </c>
      <c r="H182" s="12" t="b">
        <v>1</v>
      </c>
      <c r="I182" s="12" t="b">
        <v>1</v>
      </c>
    </row>
    <row r="183" spans="1:9" x14ac:dyDescent="0.25">
      <c r="A183" s="12">
        <v>182</v>
      </c>
      <c r="B183" s="12" t="s">
        <v>879</v>
      </c>
      <c r="C183" s="12" t="s">
        <v>880</v>
      </c>
      <c r="D183" s="12" t="s">
        <v>10</v>
      </c>
      <c r="E183" s="12" t="s">
        <v>881</v>
      </c>
      <c r="F183" s="12" t="s">
        <v>859</v>
      </c>
      <c r="G183" s="12" t="b">
        <v>0</v>
      </c>
      <c r="H183" s="12" t="b">
        <v>1</v>
      </c>
      <c r="I183" s="12" t="b">
        <v>1</v>
      </c>
    </row>
    <row r="184" spans="1:9" x14ac:dyDescent="0.25">
      <c r="A184" s="12">
        <v>183</v>
      </c>
      <c r="B184" s="12" t="s">
        <v>882</v>
      </c>
      <c r="C184" s="12" t="s">
        <v>883</v>
      </c>
      <c r="D184" s="12" t="s">
        <v>10</v>
      </c>
      <c r="E184" s="12" t="s">
        <v>884</v>
      </c>
      <c r="F184" s="12" t="s">
        <v>859</v>
      </c>
      <c r="G184" s="12" t="b">
        <v>0</v>
      </c>
      <c r="H184" s="12" t="b">
        <v>1</v>
      </c>
      <c r="I184" s="12" t="b">
        <v>1</v>
      </c>
    </row>
    <row r="185" spans="1:9" x14ac:dyDescent="0.25">
      <c r="A185" s="12">
        <v>184</v>
      </c>
      <c r="B185" s="12" t="s">
        <v>885</v>
      </c>
      <c r="C185" s="12" t="s">
        <v>886</v>
      </c>
      <c r="D185" s="12" t="s">
        <v>14</v>
      </c>
      <c r="E185" s="12" t="s">
        <v>887</v>
      </c>
      <c r="F185" s="12" t="s">
        <v>859</v>
      </c>
      <c r="G185" s="12" t="b">
        <v>0</v>
      </c>
      <c r="H185" s="12" t="b">
        <v>1</v>
      </c>
      <c r="I185" s="12" t="b">
        <v>1</v>
      </c>
    </row>
    <row r="186" spans="1:9" x14ac:dyDescent="0.25">
      <c r="A186" s="12">
        <v>185</v>
      </c>
      <c r="B186" s="12" t="s">
        <v>888</v>
      </c>
      <c r="C186" s="12" t="s">
        <v>889</v>
      </c>
      <c r="D186" s="12" t="s">
        <v>45</v>
      </c>
      <c r="E186" s="12" t="s">
        <v>890</v>
      </c>
      <c r="F186" s="12" t="s">
        <v>859</v>
      </c>
      <c r="G186" s="12" t="b">
        <v>0</v>
      </c>
      <c r="H186" s="12" t="b">
        <v>1</v>
      </c>
      <c r="I186" s="12" t="b">
        <v>1</v>
      </c>
    </row>
    <row r="187" spans="1:9" x14ac:dyDescent="0.25">
      <c r="A187" s="12">
        <v>186</v>
      </c>
      <c r="B187" s="12" t="s">
        <v>204</v>
      </c>
      <c r="C187" s="12" t="s">
        <v>891</v>
      </c>
      <c r="D187" s="12" t="s">
        <v>14</v>
      </c>
      <c r="E187" s="12" t="s">
        <v>892</v>
      </c>
      <c r="F187" s="12" t="s">
        <v>702</v>
      </c>
      <c r="G187" s="12" t="b">
        <v>1</v>
      </c>
      <c r="H187" s="12" t="b">
        <v>1</v>
      </c>
      <c r="I187" s="12" t="b">
        <v>1</v>
      </c>
    </row>
    <row r="188" spans="1:9" x14ac:dyDescent="0.25">
      <c r="A188" s="12">
        <v>187</v>
      </c>
      <c r="B188" s="12" t="s">
        <v>893</v>
      </c>
      <c r="C188" s="12" t="s">
        <v>894</v>
      </c>
      <c r="D188" s="12" t="s">
        <v>14</v>
      </c>
      <c r="E188" s="12" t="s">
        <v>895</v>
      </c>
      <c r="F188" s="12" t="s">
        <v>896</v>
      </c>
      <c r="G188" s="12" t="b">
        <v>0</v>
      </c>
      <c r="H188" s="12" t="b">
        <v>1</v>
      </c>
      <c r="I188" s="12" t="b">
        <v>1</v>
      </c>
    </row>
    <row r="189" spans="1:9" x14ac:dyDescent="0.25">
      <c r="A189" s="12">
        <v>188</v>
      </c>
      <c r="B189" s="12" t="s">
        <v>897</v>
      </c>
      <c r="C189" s="12" t="s">
        <v>898</v>
      </c>
      <c r="D189" s="12" t="s">
        <v>45</v>
      </c>
      <c r="E189" s="12" t="s">
        <v>899</v>
      </c>
      <c r="F189" s="12" t="s">
        <v>681</v>
      </c>
      <c r="G189" s="12" t="b">
        <v>0</v>
      </c>
      <c r="H189" s="12" t="b">
        <v>1</v>
      </c>
      <c r="I189" s="12" t="b">
        <v>1</v>
      </c>
    </row>
    <row r="190" spans="1:9" x14ac:dyDescent="0.25">
      <c r="A190" s="12">
        <v>189</v>
      </c>
      <c r="B190" s="12" t="s">
        <v>900</v>
      </c>
      <c r="C190" s="12" t="s">
        <v>901</v>
      </c>
      <c r="D190" s="12" t="s">
        <v>14</v>
      </c>
      <c r="E190" s="12" t="s">
        <v>902</v>
      </c>
      <c r="F190" s="12" t="s">
        <v>903</v>
      </c>
      <c r="G190" s="12" t="b">
        <v>0</v>
      </c>
      <c r="H190" s="12" t="b">
        <v>1</v>
      </c>
      <c r="I190" s="12" t="b">
        <v>1</v>
      </c>
    </row>
    <row r="191" spans="1:9" x14ac:dyDescent="0.25">
      <c r="A191" s="12">
        <v>190</v>
      </c>
      <c r="B191" s="12" t="s">
        <v>904</v>
      </c>
      <c r="C191" s="12" t="s">
        <v>905</v>
      </c>
      <c r="D191" s="12" t="s">
        <v>10</v>
      </c>
      <c r="E191" s="12" t="s">
        <v>906</v>
      </c>
      <c r="F191" s="12" t="s">
        <v>907</v>
      </c>
      <c r="G191" s="12" t="b">
        <v>0</v>
      </c>
      <c r="H191" s="12" t="b">
        <v>1</v>
      </c>
      <c r="I191" s="12" t="b">
        <v>1</v>
      </c>
    </row>
    <row r="192" spans="1:9" x14ac:dyDescent="0.25">
      <c r="A192" s="12">
        <v>191</v>
      </c>
      <c r="B192" s="12" t="s">
        <v>908</v>
      </c>
      <c r="C192" s="12" t="s">
        <v>909</v>
      </c>
      <c r="D192" s="12" t="s">
        <v>10</v>
      </c>
      <c r="E192" s="12" t="s">
        <v>910</v>
      </c>
      <c r="F192" s="12" t="s">
        <v>907</v>
      </c>
      <c r="G192" s="12" t="b">
        <v>0</v>
      </c>
      <c r="H192" s="12" t="b">
        <v>1</v>
      </c>
      <c r="I192" s="12" t="b">
        <v>1</v>
      </c>
    </row>
    <row r="193" spans="1:9" x14ac:dyDescent="0.25">
      <c r="A193" s="12">
        <v>192</v>
      </c>
      <c r="B193" s="12" t="s">
        <v>911</v>
      </c>
      <c r="C193" s="12" t="s">
        <v>912</v>
      </c>
      <c r="D193" s="12" t="s">
        <v>14</v>
      </c>
      <c r="E193" s="12" t="s">
        <v>913</v>
      </c>
      <c r="F193" s="12" t="s">
        <v>914</v>
      </c>
      <c r="G193" s="12" t="b">
        <v>0</v>
      </c>
      <c r="H193" s="12" t="b">
        <v>0</v>
      </c>
      <c r="I193" s="12" t="b">
        <v>0</v>
      </c>
    </row>
    <row r="194" spans="1:9" x14ac:dyDescent="0.25">
      <c r="A194" s="12">
        <v>193</v>
      </c>
      <c r="B194" s="12" t="s">
        <v>915</v>
      </c>
      <c r="C194" s="12" t="s">
        <v>916</v>
      </c>
      <c r="D194" s="12" t="s">
        <v>10</v>
      </c>
      <c r="E194" s="12" t="s">
        <v>917</v>
      </c>
      <c r="F194" s="12" t="s">
        <v>914</v>
      </c>
      <c r="G194" s="12" t="b">
        <v>0</v>
      </c>
      <c r="H194" s="12" t="b">
        <v>0</v>
      </c>
      <c r="I194" s="12" t="b">
        <v>0</v>
      </c>
    </row>
    <row r="195" spans="1:9" x14ac:dyDescent="0.25">
      <c r="A195" s="12">
        <v>194</v>
      </c>
      <c r="B195" s="12" t="s">
        <v>918</v>
      </c>
      <c r="C195" s="12" t="s">
        <v>919</v>
      </c>
      <c r="D195" s="12" t="s">
        <v>14</v>
      </c>
      <c r="E195" s="12" t="s">
        <v>920</v>
      </c>
      <c r="F195" s="12" t="s">
        <v>914</v>
      </c>
      <c r="G195" s="12" t="b">
        <v>0</v>
      </c>
      <c r="H195" s="12" t="b">
        <v>0</v>
      </c>
      <c r="I195" s="12" t="b">
        <v>0</v>
      </c>
    </row>
    <row r="196" spans="1:9" x14ac:dyDescent="0.25">
      <c r="A196" s="12">
        <v>195</v>
      </c>
      <c r="B196" s="12" t="s">
        <v>921</v>
      </c>
      <c r="C196" s="12" t="s">
        <v>922</v>
      </c>
      <c r="D196" s="12" t="s">
        <v>10</v>
      </c>
      <c r="E196" s="12" t="s">
        <v>923</v>
      </c>
      <c r="F196" s="12" t="s">
        <v>914</v>
      </c>
      <c r="G196" s="12" t="b">
        <v>0</v>
      </c>
      <c r="H196" s="12" t="b">
        <v>0</v>
      </c>
      <c r="I196" s="12" t="b">
        <v>0</v>
      </c>
    </row>
    <row r="197" spans="1:9" x14ac:dyDescent="0.25">
      <c r="A197" s="12">
        <v>196</v>
      </c>
      <c r="B197" s="12" t="s">
        <v>924</v>
      </c>
      <c r="C197" s="12" t="s">
        <v>925</v>
      </c>
      <c r="D197" s="12" t="s">
        <v>10</v>
      </c>
      <c r="E197" s="12" t="s">
        <v>926</v>
      </c>
      <c r="F197" s="12" t="s">
        <v>859</v>
      </c>
      <c r="G197" s="12" t="b">
        <v>0</v>
      </c>
      <c r="H197" s="12" t="b">
        <v>1</v>
      </c>
      <c r="I197" s="12" t="b">
        <v>1</v>
      </c>
    </row>
    <row r="198" spans="1:9" x14ac:dyDescent="0.25">
      <c r="A198" s="12">
        <v>197</v>
      </c>
      <c r="B198" s="12" t="s">
        <v>927</v>
      </c>
      <c r="C198" s="12" t="s">
        <v>928</v>
      </c>
      <c r="D198" s="12" t="s">
        <v>10</v>
      </c>
      <c r="E198" s="12" t="s">
        <v>929</v>
      </c>
      <c r="F198" s="12" t="s">
        <v>859</v>
      </c>
      <c r="G198" s="12" t="b">
        <v>0</v>
      </c>
      <c r="H198" s="12" t="b">
        <v>1</v>
      </c>
      <c r="I198" s="12" t="b">
        <v>1</v>
      </c>
    </row>
    <row r="199" spans="1:9" x14ac:dyDescent="0.25">
      <c r="A199" s="12">
        <v>198</v>
      </c>
      <c r="B199" s="12" t="s">
        <v>92</v>
      </c>
      <c r="C199" s="12" t="s">
        <v>930</v>
      </c>
      <c r="D199" s="12" t="s">
        <v>14</v>
      </c>
      <c r="E199" s="12" t="s">
        <v>931</v>
      </c>
      <c r="F199" s="12" t="s">
        <v>681</v>
      </c>
      <c r="G199" s="12" t="b">
        <v>0</v>
      </c>
      <c r="H199" s="12" t="b">
        <v>1</v>
      </c>
      <c r="I199" s="12" t="b">
        <v>1</v>
      </c>
    </row>
    <row r="200" spans="1:9" x14ac:dyDescent="0.25">
      <c r="A200" s="12">
        <v>199</v>
      </c>
      <c r="B200" s="12" t="s">
        <v>27</v>
      </c>
      <c r="C200" s="12" t="s">
        <v>932</v>
      </c>
      <c r="D200" s="12" t="s">
        <v>14</v>
      </c>
      <c r="E200" s="12" t="s">
        <v>933</v>
      </c>
      <c r="F200" s="12" t="s">
        <v>628</v>
      </c>
      <c r="G200" s="12" t="b">
        <v>0</v>
      </c>
      <c r="H200" s="12" t="b">
        <v>1</v>
      </c>
      <c r="I200" s="12" t="b">
        <v>1</v>
      </c>
    </row>
    <row r="201" spans="1:9" x14ac:dyDescent="0.25">
      <c r="A201" s="12">
        <v>200</v>
      </c>
      <c r="B201" s="12" t="s">
        <v>17</v>
      </c>
      <c r="C201" s="12" t="s">
        <v>934</v>
      </c>
      <c r="D201" s="12" t="s">
        <v>14</v>
      </c>
      <c r="E201" s="12" t="s">
        <v>935</v>
      </c>
      <c r="F201" s="12" t="s">
        <v>720</v>
      </c>
      <c r="G201" s="12" t="b">
        <v>0</v>
      </c>
      <c r="H201" s="12" t="b">
        <v>1</v>
      </c>
      <c r="I201" s="12" t="b">
        <v>1</v>
      </c>
    </row>
    <row r="202" spans="1:9" x14ac:dyDescent="0.25">
      <c r="A202" s="12">
        <v>201</v>
      </c>
      <c r="B202" s="12" t="s">
        <v>936</v>
      </c>
      <c r="C202" s="12" t="s">
        <v>937</v>
      </c>
      <c r="D202" s="12" t="s">
        <v>14</v>
      </c>
      <c r="E202" s="12" t="s">
        <v>938</v>
      </c>
      <c r="F202" s="12" t="s">
        <v>61</v>
      </c>
      <c r="G202" s="12" t="b">
        <v>0</v>
      </c>
      <c r="H202" s="12" t="b">
        <v>1</v>
      </c>
      <c r="I202" s="12" t="b">
        <v>1</v>
      </c>
    </row>
    <row r="203" spans="1:9" x14ac:dyDescent="0.25">
      <c r="A203" s="12">
        <v>202</v>
      </c>
      <c r="B203" s="12" t="s">
        <v>939</v>
      </c>
      <c r="C203" s="12" t="s">
        <v>940</v>
      </c>
      <c r="D203" s="12" t="s">
        <v>10</v>
      </c>
      <c r="E203" s="12" t="s">
        <v>941</v>
      </c>
      <c r="F203" s="12" t="s">
        <v>942</v>
      </c>
      <c r="G203" s="12" t="b">
        <v>0</v>
      </c>
      <c r="H203" s="12" t="b">
        <v>1</v>
      </c>
      <c r="I203" s="12" t="b">
        <v>1</v>
      </c>
    </row>
    <row r="204" spans="1:9" x14ac:dyDescent="0.25">
      <c r="A204" s="12">
        <v>203</v>
      </c>
      <c r="B204" s="12" t="s">
        <v>114</v>
      </c>
      <c r="C204" s="12" t="s">
        <v>943</v>
      </c>
      <c r="D204" s="12" t="s">
        <v>10</v>
      </c>
      <c r="E204" s="12" t="s">
        <v>944</v>
      </c>
      <c r="F204" s="12" t="s">
        <v>390</v>
      </c>
      <c r="G204" s="12" t="b">
        <v>0</v>
      </c>
      <c r="H204" s="12" t="b">
        <v>1</v>
      </c>
      <c r="I204" s="12" t="b">
        <v>1</v>
      </c>
    </row>
    <row r="205" spans="1:9" x14ac:dyDescent="0.25">
      <c r="A205" s="12">
        <v>204</v>
      </c>
      <c r="B205" s="12" t="s">
        <v>945</v>
      </c>
      <c r="C205" s="12" t="s">
        <v>946</v>
      </c>
      <c r="D205" s="12" t="s">
        <v>14</v>
      </c>
      <c r="E205" s="12" t="s">
        <v>947</v>
      </c>
      <c r="F205" s="12" t="s">
        <v>948</v>
      </c>
      <c r="G205" s="12" t="b">
        <v>0</v>
      </c>
      <c r="H205" s="12" t="b">
        <v>1</v>
      </c>
      <c r="I205" s="12" t="b">
        <v>1</v>
      </c>
    </row>
    <row r="206" spans="1:9" x14ac:dyDescent="0.25">
      <c r="A206" s="12">
        <v>205</v>
      </c>
      <c r="B206" s="12" t="s">
        <v>949</v>
      </c>
      <c r="C206" s="12" t="s">
        <v>950</v>
      </c>
      <c r="D206" s="12" t="s">
        <v>10</v>
      </c>
      <c r="E206" s="12" t="s">
        <v>951</v>
      </c>
      <c r="F206" s="12" t="s">
        <v>952</v>
      </c>
      <c r="G206" s="12" t="b">
        <v>0</v>
      </c>
      <c r="H206" s="12" t="b">
        <v>1</v>
      </c>
      <c r="I206" s="12" t="b">
        <v>1</v>
      </c>
    </row>
    <row r="207" spans="1:9" x14ac:dyDescent="0.25">
      <c r="A207" s="12">
        <v>206</v>
      </c>
      <c r="B207" s="12" t="s">
        <v>144</v>
      </c>
      <c r="C207" s="12" t="s">
        <v>953</v>
      </c>
      <c r="D207" s="12" t="s">
        <v>10</v>
      </c>
      <c r="E207" s="12" t="s">
        <v>954</v>
      </c>
      <c r="F207" s="12" t="s">
        <v>390</v>
      </c>
      <c r="G207" s="12" t="b">
        <v>0</v>
      </c>
      <c r="H207" s="12" t="b">
        <v>1</v>
      </c>
      <c r="I207" s="12" t="b">
        <v>1</v>
      </c>
    </row>
    <row r="208" spans="1:9" x14ac:dyDescent="0.25">
      <c r="A208" s="12">
        <v>207</v>
      </c>
      <c r="B208" s="12" t="s">
        <v>20</v>
      </c>
      <c r="C208" s="12" t="s">
        <v>955</v>
      </c>
      <c r="D208" s="12" t="s">
        <v>14</v>
      </c>
      <c r="E208" s="12" t="s">
        <v>956</v>
      </c>
      <c r="F208" s="12" t="s">
        <v>957</v>
      </c>
      <c r="G208" s="12" t="b">
        <v>0</v>
      </c>
      <c r="H208" s="12" t="b">
        <v>1</v>
      </c>
      <c r="I208" s="12" t="b">
        <v>1</v>
      </c>
    </row>
    <row r="209" spans="1:9" x14ac:dyDescent="0.25">
      <c r="A209" s="12">
        <v>208</v>
      </c>
      <c r="B209" s="12" t="s">
        <v>86</v>
      </c>
      <c r="C209" s="12" t="s">
        <v>958</v>
      </c>
      <c r="D209" s="12" t="s">
        <v>14</v>
      </c>
      <c r="E209" s="12" t="s">
        <v>959</v>
      </c>
      <c r="F209" s="12" t="s">
        <v>960</v>
      </c>
      <c r="G209" s="12" t="b">
        <v>0</v>
      </c>
      <c r="H209" s="12" t="b">
        <v>1</v>
      </c>
      <c r="I209" s="12" t="b">
        <v>1</v>
      </c>
    </row>
    <row r="210" spans="1:9" x14ac:dyDescent="0.25">
      <c r="A210" s="12">
        <v>209</v>
      </c>
      <c r="B210" s="12" t="s">
        <v>157</v>
      </c>
      <c r="C210" s="12" t="s">
        <v>961</v>
      </c>
      <c r="D210" s="12" t="s">
        <v>14</v>
      </c>
      <c r="E210" s="12" t="s">
        <v>962</v>
      </c>
      <c r="F210" s="12" t="s">
        <v>963</v>
      </c>
      <c r="G210" s="12" t="b">
        <v>0</v>
      </c>
      <c r="H210" s="12" t="b">
        <v>1</v>
      </c>
      <c r="I210" s="12" t="b">
        <v>1</v>
      </c>
    </row>
    <row r="211" spans="1:9" x14ac:dyDescent="0.25">
      <c r="A211" s="12">
        <v>210</v>
      </c>
      <c r="B211" s="12" t="s">
        <v>122</v>
      </c>
      <c r="C211" s="12" t="s">
        <v>964</v>
      </c>
      <c r="D211" s="12" t="s">
        <v>14</v>
      </c>
      <c r="E211" s="12" t="s">
        <v>965</v>
      </c>
      <c r="F211" s="12" t="s">
        <v>957</v>
      </c>
      <c r="G211" s="12" t="b">
        <v>0</v>
      </c>
      <c r="H211" s="12" t="b">
        <v>1</v>
      </c>
      <c r="I211" s="12" t="b">
        <v>1</v>
      </c>
    </row>
    <row r="212" spans="1:9" x14ac:dyDescent="0.25">
      <c r="A212" s="12">
        <v>211</v>
      </c>
      <c r="B212" s="12" t="s">
        <v>966</v>
      </c>
      <c r="C212" s="12" t="s">
        <v>967</v>
      </c>
      <c r="D212" s="12" t="s">
        <v>14</v>
      </c>
      <c r="E212" s="12" t="s">
        <v>968</v>
      </c>
      <c r="F212" s="12" t="s">
        <v>969</v>
      </c>
      <c r="G212" s="12" t="b">
        <v>0</v>
      </c>
      <c r="H212" s="12" t="b">
        <v>1</v>
      </c>
      <c r="I212" s="12" t="b">
        <v>1</v>
      </c>
    </row>
    <row r="213" spans="1:9" x14ac:dyDescent="0.25">
      <c r="A213" s="12">
        <v>212</v>
      </c>
      <c r="B213" s="12" t="s">
        <v>83</v>
      </c>
      <c r="C213" s="12" t="s">
        <v>970</v>
      </c>
      <c r="D213" s="12" t="s">
        <v>45</v>
      </c>
      <c r="E213" s="12" t="s">
        <v>971</v>
      </c>
      <c r="F213" s="12" t="s">
        <v>972</v>
      </c>
      <c r="G213" s="12" t="b">
        <v>0</v>
      </c>
      <c r="H213" s="12" t="b">
        <v>1</v>
      </c>
      <c r="I213" s="12" t="b">
        <v>1</v>
      </c>
    </row>
    <row r="214" spans="1:9" x14ac:dyDescent="0.25">
      <c r="A214" s="12">
        <v>213</v>
      </c>
      <c r="B214" s="12" t="s">
        <v>93</v>
      </c>
      <c r="C214" s="12" t="s">
        <v>973</v>
      </c>
      <c r="D214" s="12" t="s">
        <v>14</v>
      </c>
      <c r="E214" s="12" t="s">
        <v>974</v>
      </c>
      <c r="F214" s="12" t="s">
        <v>681</v>
      </c>
      <c r="G214" s="12" t="b">
        <v>0</v>
      </c>
      <c r="H214" s="12" t="b">
        <v>1</v>
      </c>
      <c r="I214" s="12" t="b">
        <v>1</v>
      </c>
    </row>
    <row r="215" spans="1:9" x14ac:dyDescent="0.25">
      <c r="A215" s="12">
        <v>214</v>
      </c>
      <c r="B215" s="12" t="s">
        <v>975</v>
      </c>
      <c r="C215" s="12" t="s">
        <v>976</v>
      </c>
      <c r="D215" s="12" t="s">
        <v>45</v>
      </c>
      <c r="E215" s="12" t="s">
        <v>977</v>
      </c>
      <c r="F215" s="12" t="s">
        <v>978</v>
      </c>
      <c r="G215" s="12" t="b">
        <v>0</v>
      </c>
      <c r="H215" s="12" t="b">
        <v>1</v>
      </c>
      <c r="I215" s="12" t="b">
        <v>1</v>
      </c>
    </row>
    <row r="216" spans="1:9" x14ac:dyDescent="0.25">
      <c r="A216" s="12">
        <v>215</v>
      </c>
      <c r="B216" s="12" t="s">
        <v>138</v>
      </c>
      <c r="C216" s="12" t="s">
        <v>979</v>
      </c>
      <c r="D216" s="12" t="s">
        <v>14</v>
      </c>
      <c r="E216" s="12" t="s">
        <v>980</v>
      </c>
      <c r="F216" s="12" t="s">
        <v>981</v>
      </c>
      <c r="G216" s="12" t="b">
        <v>0</v>
      </c>
      <c r="H216" s="12" t="b">
        <v>1</v>
      </c>
      <c r="I216" s="12" t="b">
        <v>1</v>
      </c>
    </row>
    <row r="217" spans="1:9" x14ac:dyDescent="0.25">
      <c r="A217" s="12">
        <v>216</v>
      </c>
      <c r="B217" s="12" t="s">
        <v>39</v>
      </c>
      <c r="C217" s="12" t="s">
        <v>982</v>
      </c>
      <c r="D217" s="12" t="s">
        <v>14</v>
      </c>
      <c r="E217" s="12" t="s">
        <v>983</v>
      </c>
      <c r="F217" s="12" t="s">
        <v>445</v>
      </c>
      <c r="G217" s="12" t="b">
        <v>0</v>
      </c>
      <c r="H217" s="12" t="b">
        <v>1</v>
      </c>
      <c r="I217" s="12" t="b">
        <v>1</v>
      </c>
    </row>
    <row r="218" spans="1:9" x14ac:dyDescent="0.25">
      <c r="A218" s="12">
        <v>217</v>
      </c>
      <c r="B218" s="12" t="s">
        <v>190</v>
      </c>
      <c r="C218" s="12" t="s">
        <v>984</v>
      </c>
      <c r="D218" s="12" t="s">
        <v>10</v>
      </c>
      <c r="E218" s="12" t="s">
        <v>985</v>
      </c>
      <c r="F218" s="12" t="s">
        <v>986</v>
      </c>
      <c r="G218" s="12" t="b">
        <v>0</v>
      </c>
      <c r="H218" s="12" t="b">
        <v>1</v>
      </c>
      <c r="I218" s="12" t="b">
        <v>1</v>
      </c>
    </row>
    <row r="219" spans="1:9" x14ac:dyDescent="0.25">
      <c r="A219" s="12">
        <v>218</v>
      </c>
      <c r="B219" s="12" t="s">
        <v>987</v>
      </c>
      <c r="C219" s="12" t="s">
        <v>988</v>
      </c>
      <c r="D219" s="12" t="s">
        <v>45</v>
      </c>
      <c r="E219" s="12" t="s">
        <v>989</v>
      </c>
      <c r="F219" s="12" t="s">
        <v>990</v>
      </c>
      <c r="G219" s="12" t="b">
        <v>0</v>
      </c>
      <c r="H219" s="12" t="b">
        <v>1</v>
      </c>
      <c r="I219" s="12" t="b">
        <v>1</v>
      </c>
    </row>
    <row r="220" spans="1:9" x14ac:dyDescent="0.25">
      <c r="A220" s="12">
        <v>219</v>
      </c>
      <c r="B220" s="12" t="s">
        <v>991</v>
      </c>
      <c r="C220" s="12" t="s">
        <v>992</v>
      </c>
      <c r="D220" s="12" t="s">
        <v>10</v>
      </c>
      <c r="E220" s="12" t="s">
        <v>993</v>
      </c>
      <c r="F220" s="12" t="s">
        <v>994</v>
      </c>
      <c r="G220" s="12" t="b">
        <v>0</v>
      </c>
      <c r="H220" s="12" t="b">
        <v>1</v>
      </c>
      <c r="I220" s="12" t="b">
        <v>1</v>
      </c>
    </row>
    <row r="221" spans="1:9" x14ac:dyDescent="0.25">
      <c r="A221" s="12">
        <v>220</v>
      </c>
      <c r="B221" s="12" t="s">
        <v>995</v>
      </c>
      <c r="C221" s="12" t="s">
        <v>996</v>
      </c>
      <c r="D221" s="12" t="s">
        <v>14</v>
      </c>
      <c r="E221" s="12" t="s">
        <v>997</v>
      </c>
      <c r="F221" s="12" t="s">
        <v>998</v>
      </c>
      <c r="G221" s="12" t="b">
        <v>0</v>
      </c>
      <c r="H221" s="12" t="b">
        <v>1</v>
      </c>
      <c r="I221" s="12" t="b">
        <v>1</v>
      </c>
    </row>
    <row r="222" spans="1:9" x14ac:dyDescent="0.25">
      <c r="A222" s="12">
        <v>221</v>
      </c>
      <c r="B222" s="12" t="s">
        <v>999</v>
      </c>
      <c r="C222" s="12" t="s">
        <v>1000</v>
      </c>
      <c r="D222" s="12" t="s">
        <v>14</v>
      </c>
      <c r="E222" s="12" t="s">
        <v>1001</v>
      </c>
      <c r="F222" s="12" t="s">
        <v>515</v>
      </c>
      <c r="G222" s="12" t="b">
        <v>0</v>
      </c>
      <c r="H222" s="12" t="b">
        <v>1</v>
      </c>
      <c r="I222" s="12" t="b">
        <v>1</v>
      </c>
    </row>
    <row r="223" spans="1:9" x14ac:dyDescent="0.25">
      <c r="A223" s="12">
        <v>222</v>
      </c>
      <c r="B223" s="12" t="s">
        <v>1002</v>
      </c>
      <c r="C223" s="12" t="s">
        <v>1003</v>
      </c>
      <c r="D223" s="12" t="s">
        <v>14</v>
      </c>
      <c r="E223" s="12" t="s">
        <v>1004</v>
      </c>
      <c r="F223" s="12" t="s">
        <v>1005</v>
      </c>
      <c r="G223" s="12" t="b">
        <v>0</v>
      </c>
      <c r="H223" s="12" t="b">
        <v>1</v>
      </c>
      <c r="I223" s="12" t="b">
        <v>1</v>
      </c>
    </row>
    <row r="224" spans="1:9" x14ac:dyDescent="0.25">
      <c r="A224" s="12">
        <v>223</v>
      </c>
      <c r="B224" s="12" t="s">
        <v>1006</v>
      </c>
      <c r="C224" s="12" t="s">
        <v>1007</v>
      </c>
      <c r="D224" s="12" t="s">
        <v>14</v>
      </c>
      <c r="E224" s="12" t="s">
        <v>1008</v>
      </c>
      <c r="F224" s="12" t="s">
        <v>1009</v>
      </c>
      <c r="G224" s="12" t="b">
        <v>0</v>
      </c>
      <c r="H224" s="12" t="b">
        <v>0</v>
      </c>
      <c r="I224" s="12" t="b">
        <v>0</v>
      </c>
    </row>
    <row r="225" spans="1:9" x14ac:dyDescent="0.25">
      <c r="A225" s="12">
        <v>224</v>
      </c>
      <c r="B225" s="12" t="s">
        <v>1010</v>
      </c>
      <c r="C225" s="12" t="s">
        <v>1011</v>
      </c>
      <c r="D225" s="12" t="s">
        <v>45</v>
      </c>
      <c r="E225" s="12" t="s">
        <v>1012</v>
      </c>
      <c r="F225" s="12" t="s">
        <v>1013</v>
      </c>
      <c r="G225" s="12" t="b">
        <v>0</v>
      </c>
      <c r="H225" s="12" t="b">
        <v>1</v>
      </c>
      <c r="I225" s="12" t="b">
        <v>1</v>
      </c>
    </row>
    <row r="226" spans="1:9" x14ac:dyDescent="0.25">
      <c r="A226" s="12">
        <v>225</v>
      </c>
      <c r="B226" s="12" t="s">
        <v>1014</v>
      </c>
      <c r="C226" s="12" t="s">
        <v>1015</v>
      </c>
      <c r="D226" s="12" t="s">
        <v>10</v>
      </c>
      <c r="E226" s="12" t="s">
        <v>1016</v>
      </c>
      <c r="F226" s="12" t="s">
        <v>1017</v>
      </c>
      <c r="G226" s="12" t="b">
        <v>0</v>
      </c>
      <c r="H226" s="12" t="b">
        <v>1</v>
      </c>
      <c r="I226" s="12" t="b">
        <v>1</v>
      </c>
    </row>
    <row r="227" spans="1:9" x14ac:dyDescent="0.25">
      <c r="A227" s="12">
        <v>226</v>
      </c>
      <c r="B227" s="12" t="s">
        <v>72</v>
      </c>
      <c r="C227" s="12" t="s">
        <v>1018</v>
      </c>
      <c r="D227" s="12" t="s">
        <v>10</v>
      </c>
      <c r="E227" s="12" t="s">
        <v>1019</v>
      </c>
      <c r="F227" s="12" t="s">
        <v>628</v>
      </c>
      <c r="G227" s="12" t="b">
        <v>0</v>
      </c>
      <c r="H227" s="12" t="b">
        <v>1</v>
      </c>
      <c r="I227" s="12" t="b">
        <v>1</v>
      </c>
    </row>
    <row r="228" spans="1:9" x14ac:dyDescent="0.25">
      <c r="A228" s="12">
        <v>227</v>
      </c>
      <c r="B228" s="12" t="s">
        <v>1020</v>
      </c>
      <c r="C228" s="12" t="s">
        <v>1021</v>
      </c>
      <c r="D228" s="12" t="s">
        <v>14</v>
      </c>
      <c r="E228" s="12" t="s">
        <v>1022</v>
      </c>
      <c r="F228" s="12" t="s">
        <v>1023</v>
      </c>
      <c r="G228" s="12" t="b">
        <v>0</v>
      </c>
      <c r="H228" s="12" t="b">
        <v>1</v>
      </c>
      <c r="I228" s="12" t="b">
        <v>1</v>
      </c>
    </row>
    <row r="229" spans="1:9" x14ac:dyDescent="0.25">
      <c r="A229" s="12">
        <v>228</v>
      </c>
      <c r="B229" s="12" t="s">
        <v>1024</v>
      </c>
      <c r="C229" s="12" t="s">
        <v>1025</v>
      </c>
      <c r="D229" s="12" t="s">
        <v>10</v>
      </c>
      <c r="E229" s="12" t="s">
        <v>1026</v>
      </c>
      <c r="F229" s="12" t="s">
        <v>317</v>
      </c>
      <c r="G229" s="12" t="b">
        <v>0</v>
      </c>
      <c r="H229" s="12" t="b">
        <v>1</v>
      </c>
      <c r="I229" s="12" t="b">
        <v>1</v>
      </c>
    </row>
    <row r="230" spans="1:9" x14ac:dyDescent="0.25">
      <c r="A230" s="12">
        <v>229</v>
      </c>
      <c r="B230" s="12" t="s">
        <v>1027</v>
      </c>
      <c r="C230" s="12" t="s">
        <v>1028</v>
      </c>
      <c r="D230" s="12" t="s">
        <v>14</v>
      </c>
      <c r="E230" s="12" t="s">
        <v>1029</v>
      </c>
      <c r="F230" s="12" t="s">
        <v>1030</v>
      </c>
      <c r="G230" s="12" t="b">
        <v>0</v>
      </c>
      <c r="H230" s="12" t="b">
        <v>1</v>
      </c>
      <c r="I230" s="12" t="b">
        <v>1</v>
      </c>
    </row>
    <row r="231" spans="1:9" x14ac:dyDescent="0.25">
      <c r="A231" s="12">
        <v>230</v>
      </c>
      <c r="B231" s="12" t="s">
        <v>74</v>
      </c>
      <c r="C231" s="12" t="s">
        <v>1031</v>
      </c>
      <c r="D231" s="12" t="s">
        <v>14</v>
      </c>
      <c r="E231" s="12" t="s">
        <v>1032</v>
      </c>
      <c r="F231" s="12" t="s">
        <v>622</v>
      </c>
      <c r="G231" s="12" t="b">
        <v>0</v>
      </c>
      <c r="H231" s="12" t="b">
        <v>1</v>
      </c>
      <c r="I231" s="12" t="b">
        <v>1</v>
      </c>
    </row>
    <row r="232" spans="1:9" x14ac:dyDescent="0.25">
      <c r="A232" s="12">
        <v>231</v>
      </c>
      <c r="B232" s="12" t="s">
        <v>1033</v>
      </c>
      <c r="C232" s="12" t="s">
        <v>1034</v>
      </c>
      <c r="D232" s="12" t="s">
        <v>10</v>
      </c>
      <c r="E232" s="12" t="s">
        <v>1035</v>
      </c>
      <c r="F232" s="12" t="s">
        <v>1036</v>
      </c>
      <c r="G232" s="12" t="b">
        <v>0</v>
      </c>
      <c r="H232" s="12" t="b">
        <v>1</v>
      </c>
      <c r="I232" s="12" t="b">
        <v>1</v>
      </c>
    </row>
    <row r="233" spans="1:9" x14ac:dyDescent="0.25">
      <c r="A233" s="12">
        <v>232</v>
      </c>
      <c r="B233" s="12" t="s">
        <v>1037</v>
      </c>
      <c r="C233" s="12" t="s">
        <v>1038</v>
      </c>
      <c r="D233" s="12" t="s">
        <v>10</v>
      </c>
      <c r="E233" s="12" t="s">
        <v>1039</v>
      </c>
      <c r="F233" s="12" t="s">
        <v>1017</v>
      </c>
      <c r="G233" s="12" t="b">
        <v>0</v>
      </c>
      <c r="H233" s="12" t="b">
        <v>1</v>
      </c>
      <c r="I233" s="12" t="b">
        <v>1</v>
      </c>
    </row>
    <row r="234" spans="1:9" x14ac:dyDescent="0.25">
      <c r="A234" s="12">
        <v>233</v>
      </c>
      <c r="B234" s="12" t="s">
        <v>1040</v>
      </c>
      <c r="C234" s="12" t="s">
        <v>1041</v>
      </c>
      <c r="D234" s="12" t="s">
        <v>45</v>
      </c>
      <c r="E234" s="12" t="s">
        <v>1042</v>
      </c>
      <c r="F234" s="12" t="s">
        <v>1043</v>
      </c>
      <c r="G234" s="12" t="b">
        <v>0</v>
      </c>
      <c r="H234" s="12" t="b">
        <v>1</v>
      </c>
      <c r="I234" s="12" t="b">
        <v>1</v>
      </c>
    </row>
    <row r="235" spans="1:9" x14ac:dyDescent="0.25">
      <c r="A235" s="12">
        <v>234</v>
      </c>
      <c r="B235" s="12" t="s">
        <v>113</v>
      </c>
      <c r="C235" s="12" t="s">
        <v>1044</v>
      </c>
      <c r="D235" s="12" t="s">
        <v>10</v>
      </c>
      <c r="E235" s="12" t="s">
        <v>1045</v>
      </c>
      <c r="F235" s="12" t="s">
        <v>760</v>
      </c>
      <c r="G235" s="12" t="b">
        <v>0</v>
      </c>
      <c r="H235" s="12" t="b">
        <v>1</v>
      </c>
      <c r="I235" s="12" t="b">
        <v>1</v>
      </c>
    </row>
    <row r="236" spans="1:9" x14ac:dyDescent="0.25">
      <c r="A236" s="12">
        <v>235</v>
      </c>
      <c r="B236" s="12" t="s">
        <v>70</v>
      </c>
      <c r="C236" s="12" t="s">
        <v>1046</v>
      </c>
      <c r="D236" s="12" t="s">
        <v>10</v>
      </c>
      <c r="E236" s="12" t="s">
        <v>1047</v>
      </c>
      <c r="F236" s="12" t="s">
        <v>622</v>
      </c>
      <c r="G236" s="12" t="b">
        <v>0</v>
      </c>
      <c r="H236" s="12" t="b">
        <v>1</v>
      </c>
      <c r="I236" s="12" t="b">
        <v>1</v>
      </c>
    </row>
    <row r="237" spans="1:9" x14ac:dyDescent="0.25">
      <c r="A237" s="12">
        <v>236</v>
      </c>
      <c r="B237" s="12" t="s">
        <v>77</v>
      </c>
      <c r="C237" s="12" t="s">
        <v>1048</v>
      </c>
      <c r="D237" s="12" t="s">
        <v>14</v>
      </c>
      <c r="E237" s="12" t="s">
        <v>1049</v>
      </c>
      <c r="F237" s="12" t="s">
        <v>658</v>
      </c>
      <c r="G237" s="12" t="b">
        <v>0</v>
      </c>
      <c r="H237" s="12" t="b">
        <v>1</v>
      </c>
      <c r="I237" s="12" t="b">
        <v>1</v>
      </c>
    </row>
    <row r="238" spans="1:9" x14ac:dyDescent="0.25">
      <c r="A238" s="12">
        <v>237</v>
      </c>
      <c r="B238" s="12" t="s">
        <v>1050</v>
      </c>
      <c r="C238" s="12" t="s">
        <v>1051</v>
      </c>
      <c r="D238" s="12" t="s">
        <v>10</v>
      </c>
      <c r="E238" s="12" t="s">
        <v>1052</v>
      </c>
      <c r="F238" s="12" t="s">
        <v>573</v>
      </c>
      <c r="G238" s="12" t="b">
        <v>0</v>
      </c>
      <c r="H238" s="12" t="b">
        <v>0</v>
      </c>
      <c r="I238" s="12" t="b">
        <v>0</v>
      </c>
    </row>
    <row r="239" spans="1:9" x14ac:dyDescent="0.25">
      <c r="A239" s="12">
        <v>238</v>
      </c>
      <c r="B239" s="12" t="s">
        <v>16</v>
      </c>
      <c r="C239" s="12" t="s">
        <v>1053</v>
      </c>
      <c r="D239" s="12" t="s">
        <v>14</v>
      </c>
      <c r="E239" s="12" t="s">
        <v>1054</v>
      </c>
      <c r="F239" s="12" t="s">
        <v>1055</v>
      </c>
      <c r="G239" s="12" t="b">
        <v>0</v>
      </c>
      <c r="H239" s="12" t="b">
        <v>1</v>
      </c>
      <c r="I239" s="12" t="b">
        <v>1</v>
      </c>
    </row>
    <row r="240" spans="1:9" x14ac:dyDescent="0.25">
      <c r="A240" s="12">
        <v>239</v>
      </c>
      <c r="B240" s="12" t="s">
        <v>162</v>
      </c>
      <c r="C240" s="12" t="s">
        <v>1056</v>
      </c>
      <c r="D240" s="12" t="s">
        <v>45</v>
      </c>
      <c r="E240" s="12" t="s">
        <v>1057</v>
      </c>
      <c r="F240" s="12" t="s">
        <v>1058</v>
      </c>
      <c r="G240" s="12" t="b">
        <v>0</v>
      </c>
      <c r="H240" s="12" t="b">
        <v>1</v>
      </c>
      <c r="I240" s="12" t="b">
        <v>1</v>
      </c>
    </row>
    <row r="241" spans="1:9" x14ac:dyDescent="0.25">
      <c r="A241" s="12">
        <v>240</v>
      </c>
      <c r="B241" s="12" t="s">
        <v>57</v>
      </c>
      <c r="C241" s="12" t="s">
        <v>1059</v>
      </c>
      <c r="D241" s="12" t="s">
        <v>14</v>
      </c>
      <c r="E241" s="12" t="s">
        <v>1060</v>
      </c>
      <c r="F241" s="12" t="s">
        <v>1061</v>
      </c>
      <c r="G241" s="12" t="b">
        <v>0</v>
      </c>
      <c r="H241" s="12" t="b">
        <v>1</v>
      </c>
      <c r="I241" s="12" t="b">
        <v>1</v>
      </c>
    </row>
    <row r="242" spans="1:9" x14ac:dyDescent="0.25">
      <c r="A242" s="12">
        <v>241</v>
      </c>
      <c r="B242" s="12" t="s">
        <v>1062</v>
      </c>
      <c r="C242" s="12" t="s">
        <v>1063</v>
      </c>
      <c r="D242" s="12" t="s">
        <v>14</v>
      </c>
      <c r="E242" s="12" t="s">
        <v>1064</v>
      </c>
      <c r="F242" s="12" t="s">
        <v>1065</v>
      </c>
      <c r="G242" s="12" t="b">
        <v>0</v>
      </c>
      <c r="H242" s="12" t="b">
        <v>0</v>
      </c>
      <c r="I242" s="12" t="b">
        <v>0</v>
      </c>
    </row>
    <row r="243" spans="1:9" x14ac:dyDescent="0.25">
      <c r="A243" s="12">
        <v>242</v>
      </c>
      <c r="B243" s="12" t="s">
        <v>1066</v>
      </c>
      <c r="C243" s="12" t="s">
        <v>1067</v>
      </c>
      <c r="D243" s="12" t="s">
        <v>10</v>
      </c>
      <c r="E243" s="12" t="s">
        <v>1068</v>
      </c>
      <c r="F243" s="12" t="s">
        <v>1069</v>
      </c>
      <c r="G243" s="12" t="b">
        <v>0</v>
      </c>
      <c r="H243" s="12" t="b">
        <v>1</v>
      </c>
      <c r="I243" s="12" t="b">
        <v>1</v>
      </c>
    </row>
    <row r="244" spans="1:9" x14ac:dyDescent="0.25">
      <c r="A244" s="12">
        <v>243</v>
      </c>
      <c r="B244" s="12" t="s">
        <v>205</v>
      </c>
      <c r="C244" s="12" t="s">
        <v>1070</v>
      </c>
      <c r="D244" s="12" t="s">
        <v>10</v>
      </c>
      <c r="E244" s="12" t="s">
        <v>1071</v>
      </c>
      <c r="F244" s="12" t="s">
        <v>1072</v>
      </c>
      <c r="G244" s="12" t="b">
        <v>1</v>
      </c>
      <c r="H244" s="12" t="b">
        <v>1</v>
      </c>
      <c r="I244" s="12" t="b">
        <v>1</v>
      </c>
    </row>
    <row r="245" spans="1:9" x14ac:dyDescent="0.25">
      <c r="A245" s="12">
        <v>244</v>
      </c>
      <c r="B245" s="12" t="s">
        <v>206</v>
      </c>
      <c r="C245" s="12" t="s">
        <v>1073</v>
      </c>
      <c r="D245" s="12" t="s">
        <v>14</v>
      </c>
      <c r="E245" s="12" t="s">
        <v>1074</v>
      </c>
      <c r="F245" s="12" t="s">
        <v>1075</v>
      </c>
      <c r="G245" s="12" t="b">
        <v>1</v>
      </c>
      <c r="H245" s="12" t="b">
        <v>1</v>
      </c>
      <c r="I245" s="12" t="b">
        <v>1</v>
      </c>
    </row>
    <row r="246" spans="1:9" x14ac:dyDescent="0.25">
      <c r="A246" s="12">
        <v>245</v>
      </c>
      <c r="B246" s="12" t="s">
        <v>207</v>
      </c>
      <c r="C246" s="12" t="s">
        <v>1076</v>
      </c>
      <c r="D246" s="12" t="s">
        <v>14</v>
      </c>
      <c r="E246" s="12" t="s">
        <v>1077</v>
      </c>
      <c r="F246" s="12" t="s">
        <v>1072</v>
      </c>
      <c r="G246" s="12" t="b">
        <v>1</v>
      </c>
      <c r="H246" s="12" t="b">
        <v>0</v>
      </c>
      <c r="I246" s="12" t="b">
        <v>0</v>
      </c>
    </row>
    <row r="247" spans="1:9" x14ac:dyDescent="0.25">
      <c r="A247" s="12">
        <v>246</v>
      </c>
      <c r="B247" s="12" t="s">
        <v>1078</v>
      </c>
      <c r="C247" s="12" t="s">
        <v>1079</v>
      </c>
      <c r="D247" s="12" t="s">
        <v>10</v>
      </c>
      <c r="E247" s="12" t="s">
        <v>1080</v>
      </c>
      <c r="F247" s="12" t="s">
        <v>1081</v>
      </c>
      <c r="G247" s="12" t="b">
        <v>1</v>
      </c>
      <c r="H247" s="12" t="b">
        <v>1</v>
      </c>
      <c r="I247" s="12" t="b">
        <v>1</v>
      </c>
    </row>
    <row r="248" spans="1:9" x14ac:dyDescent="0.25">
      <c r="A248" s="12">
        <v>247</v>
      </c>
      <c r="B248" s="12" t="s">
        <v>208</v>
      </c>
      <c r="C248" s="12" t="s">
        <v>1082</v>
      </c>
      <c r="D248" s="12" t="s">
        <v>14</v>
      </c>
      <c r="E248" s="12" t="s">
        <v>1083</v>
      </c>
      <c r="F248" s="12" t="s">
        <v>1084</v>
      </c>
      <c r="G248" s="12" t="b">
        <v>1</v>
      </c>
      <c r="H248" s="12" t="b">
        <v>1</v>
      </c>
      <c r="I248" s="12" t="b">
        <v>1</v>
      </c>
    </row>
    <row r="249" spans="1:9" x14ac:dyDescent="0.25">
      <c r="A249" s="12">
        <v>248</v>
      </c>
      <c r="B249" s="12" t="s">
        <v>1085</v>
      </c>
      <c r="C249" s="12" t="s">
        <v>1086</v>
      </c>
      <c r="D249" s="12" t="s">
        <v>45</v>
      </c>
      <c r="E249" s="12" t="s">
        <v>1087</v>
      </c>
      <c r="F249" s="12" t="s">
        <v>1084</v>
      </c>
      <c r="G249" s="12" t="b">
        <v>1</v>
      </c>
      <c r="H249" s="12" t="b">
        <v>0</v>
      </c>
      <c r="I249" s="12" t="b">
        <v>0</v>
      </c>
    </row>
    <row r="250" spans="1:9" x14ac:dyDescent="0.25">
      <c r="A250" s="12">
        <v>249</v>
      </c>
      <c r="B250" s="12" t="s">
        <v>209</v>
      </c>
      <c r="C250" s="12" t="s">
        <v>1088</v>
      </c>
      <c r="D250" s="12" t="s">
        <v>14</v>
      </c>
      <c r="E250" s="12" t="s">
        <v>1089</v>
      </c>
      <c r="F250" s="12" t="s">
        <v>1090</v>
      </c>
      <c r="G250" s="12" t="b">
        <v>1</v>
      </c>
      <c r="H250" s="12" t="b">
        <v>1</v>
      </c>
      <c r="I250" s="12" t="b">
        <v>1</v>
      </c>
    </row>
    <row r="251" spans="1:9" x14ac:dyDescent="0.25">
      <c r="A251" s="12">
        <v>250</v>
      </c>
      <c r="B251" s="12" t="s">
        <v>210</v>
      </c>
      <c r="C251" s="12" t="s">
        <v>1091</v>
      </c>
      <c r="D251" s="12" t="s">
        <v>14</v>
      </c>
      <c r="E251" s="12" t="s">
        <v>1092</v>
      </c>
      <c r="F251" s="12" t="s">
        <v>658</v>
      </c>
      <c r="G251" s="12" t="b">
        <v>1</v>
      </c>
      <c r="H251" s="12" t="b">
        <v>1</v>
      </c>
      <c r="I251" s="12" t="b">
        <v>1</v>
      </c>
    </row>
    <row r="252" spans="1:9" x14ac:dyDescent="0.25">
      <c r="A252" s="12">
        <v>251</v>
      </c>
      <c r="B252" s="12" t="s">
        <v>211</v>
      </c>
      <c r="C252" s="12" t="s">
        <v>1093</v>
      </c>
      <c r="D252" s="12" t="s">
        <v>14</v>
      </c>
      <c r="E252" s="12" t="s">
        <v>1094</v>
      </c>
      <c r="F252" s="12" t="s">
        <v>1095</v>
      </c>
      <c r="G252" s="12" t="b">
        <v>1</v>
      </c>
      <c r="H252" s="12" t="b">
        <v>1</v>
      </c>
      <c r="I252" s="12" t="b">
        <v>1</v>
      </c>
    </row>
    <row r="253" spans="1:9" x14ac:dyDescent="0.25">
      <c r="A253" s="12">
        <v>252</v>
      </c>
      <c r="B253" s="12" t="s">
        <v>151</v>
      </c>
      <c r="C253" s="12" t="s">
        <v>1096</v>
      </c>
      <c r="D253" s="12" t="s">
        <v>10</v>
      </c>
      <c r="E253" s="12" t="s">
        <v>1097</v>
      </c>
      <c r="F253" s="12" t="s">
        <v>495</v>
      </c>
      <c r="G253" s="12" t="b">
        <v>1</v>
      </c>
      <c r="H253" s="12" t="b">
        <v>1</v>
      </c>
      <c r="I253" s="12" t="b">
        <v>1</v>
      </c>
    </row>
    <row r="254" spans="1:9" x14ac:dyDescent="0.25">
      <c r="A254" s="12">
        <v>253</v>
      </c>
      <c r="B254" s="12" t="s">
        <v>134</v>
      </c>
      <c r="C254" s="12" t="s">
        <v>1098</v>
      </c>
      <c r="D254" s="12" t="s">
        <v>14</v>
      </c>
      <c r="E254" s="12" t="s">
        <v>1099</v>
      </c>
      <c r="F254" s="12" t="s">
        <v>1100</v>
      </c>
      <c r="G254" s="12" t="b">
        <v>1</v>
      </c>
      <c r="H254" s="12" t="b">
        <v>1</v>
      </c>
      <c r="I254" s="12" t="b">
        <v>1</v>
      </c>
    </row>
    <row r="255" spans="1:9" x14ac:dyDescent="0.25">
      <c r="A255" s="12">
        <v>254</v>
      </c>
      <c r="B255" s="12" t="s">
        <v>212</v>
      </c>
      <c r="C255" s="12" t="s">
        <v>1101</v>
      </c>
      <c r="D255" s="12" t="s">
        <v>14</v>
      </c>
      <c r="E255" s="12" t="s">
        <v>1102</v>
      </c>
      <c r="F255" s="12" t="s">
        <v>445</v>
      </c>
      <c r="G255" s="12" t="b">
        <v>1</v>
      </c>
      <c r="H255" s="12" t="b">
        <v>0</v>
      </c>
      <c r="I255" s="12" t="b">
        <v>0</v>
      </c>
    </row>
    <row r="256" spans="1:9" x14ac:dyDescent="0.25">
      <c r="A256" s="12">
        <v>255</v>
      </c>
      <c r="B256" s="12" t="s">
        <v>213</v>
      </c>
      <c r="C256" s="12" t="s">
        <v>1103</v>
      </c>
      <c r="D256" s="12" t="s">
        <v>14</v>
      </c>
      <c r="E256" s="12" t="s">
        <v>931</v>
      </c>
      <c r="F256" s="12" t="s">
        <v>1104</v>
      </c>
      <c r="G256" s="12" t="b">
        <v>1</v>
      </c>
      <c r="H256" s="12" t="b">
        <v>0</v>
      </c>
      <c r="I256" s="12" t="b">
        <v>0</v>
      </c>
    </row>
    <row r="257" spans="1:9" x14ac:dyDescent="0.25">
      <c r="A257" s="12">
        <v>256</v>
      </c>
      <c r="B257" s="12" t="s">
        <v>214</v>
      </c>
      <c r="C257" s="12" t="s">
        <v>1105</v>
      </c>
      <c r="D257" s="12" t="s">
        <v>14</v>
      </c>
      <c r="E257" s="12" t="s">
        <v>1106</v>
      </c>
      <c r="F257" s="12" t="s">
        <v>681</v>
      </c>
      <c r="G257" s="12" t="b">
        <v>1</v>
      </c>
      <c r="H257" s="12" t="b">
        <v>1</v>
      </c>
      <c r="I257" s="12" t="b">
        <v>1</v>
      </c>
    </row>
    <row r="258" spans="1:9" x14ac:dyDescent="0.25">
      <c r="A258" s="12">
        <v>257</v>
      </c>
      <c r="B258" s="12" t="s">
        <v>299</v>
      </c>
      <c r="C258" s="12" t="s">
        <v>1107</v>
      </c>
      <c r="D258" s="12" t="s">
        <v>10</v>
      </c>
      <c r="E258" s="12" t="s">
        <v>1108</v>
      </c>
      <c r="F258" s="12" t="s">
        <v>1109</v>
      </c>
      <c r="G258" s="12" t="b">
        <v>0</v>
      </c>
      <c r="H258" s="12" t="b">
        <v>1</v>
      </c>
      <c r="I258" s="12" t="b">
        <v>1</v>
      </c>
    </row>
    <row r="259" spans="1:9" x14ac:dyDescent="0.25">
      <c r="A259" s="12">
        <v>258</v>
      </c>
      <c r="B259" s="12" t="s">
        <v>1110</v>
      </c>
      <c r="C259" s="12" t="s">
        <v>1111</v>
      </c>
      <c r="D259" s="12" t="s">
        <v>10</v>
      </c>
      <c r="E259" s="12" t="s">
        <v>1112</v>
      </c>
      <c r="F259" s="12" t="s">
        <v>1113</v>
      </c>
      <c r="G259" s="12" t="b">
        <v>0</v>
      </c>
      <c r="H259" s="12" t="b">
        <v>1</v>
      </c>
      <c r="I259" s="12" t="b">
        <v>1</v>
      </c>
    </row>
    <row r="260" spans="1:9" x14ac:dyDescent="0.25">
      <c r="A260" s="12">
        <v>259</v>
      </c>
      <c r="B260" s="12" t="s">
        <v>215</v>
      </c>
      <c r="C260" s="12" t="s">
        <v>1114</v>
      </c>
      <c r="D260" s="12" t="s">
        <v>14</v>
      </c>
      <c r="E260" s="12" t="s">
        <v>1115</v>
      </c>
      <c r="F260" s="12" t="s">
        <v>1116</v>
      </c>
      <c r="G260" s="12" t="b">
        <v>1</v>
      </c>
      <c r="H260" s="12" t="b">
        <v>1</v>
      </c>
      <c r="I260" s="12" t="b">
        <v>1</v>
      </c>
    </row>
    <row r="261" spans="1:9" x14ac:dyDescent="0.25">
      <c r="A261" s="12">
        <v>260</v>
      </c>
      <c r="B261" s="12" t="s">
        <v>1117</v>
      </c>
      <c r="C261" s="12" t="s">
        <v>1118</v>
      </c>
      <c r="D261" s="12" t="s">
        <v>14</v>
      </c>
      <c r="E261" s="12" t="s">
        <v>1119</v>
      </c>
      <c r="F261" s="12" t="s">
        <v>738</v>
      </c>
      <c r="G261" s="12" t="b">
        <v>0</v>
      </c>
      <c r="H261" s="12" t="b">
        <v>1</v>
      </c>
      <c r="I261" s="12" t="b">
        <v>1</v>
      </c>
    </row>
    <row r="262" spans="1:9" x14ac:dyDescent="0.25">
      <c r="A262" s="12">
        <v>261</v>
      </c>
      <c r="B262" s="12" t="s">
        <v>18</v>
      </c>
      <c r="C262" s="12" t="s">
        <v>1120</v>
      </c>
      <c r="D262" s="12" t="s">
        <v>14</v>
      </c>
      <c r="E262" s="12" t="s">
        <v>1121</v>
      </c>
      <c r="F262" s="12" t="s">
        <v>1122</v>
      </c>
      <c r="G262" s="12" t="b">
        <v>1</v>
      </c>
      <c r="H262" s="12" t="b">
        <v>1</v>
      </c>
      <c r="I262" s="12" t="b">
        <v>1</v>
      </c>
    </row>
    <row r="263" spans="1:9" x14ac:dyDescent="0.25">
      <c r="A263" s="12">
        <v>262</v>
      </c>
      <c r="B263" s="12" t="s">
        <v>1123</v>
      </c>
      <c r="C263" s="12" t="s">
        <v>1124</v>
      </c>
      <c r="D263" s="12" t="s">
        <v>45</v>
      </c>
      <c r="E263" s="12" t="s">
        <v>1125</v>
      </c>
      <c r="F263" s="12" t="s">
        <v>859</v>
      </c>
      <c r="G263" s="12" t="b">
        <v>0</v>
      </c>
      <c r="H263" s="12" t="b">
        <v>0</v>
      </c>
      <c r="I263" s="12" t="b">
        <v>0</v>
      </c>
    </row>
    <row r="264" spans="1:9" x14ac:dyDescent="0.25">
      <c r="A264" s="12">
        <v>263</v>
      </c>
      <c r="B264" s="12" t="s">
        <v>1126</v>
      </c>
      <c r="C264" s="12" t="s">
        <v>1127</v>
      </c>
      <c r="D264" s="12" t="s">
        <v>10</v>
      </c>
      <c r="E264" s="12" t="s">
        <v>1128</v>
      </c>
      <c r="F264" s="12" t="s">
        <v>315</v>
      </c>
      <c r="G264" s="12" t="b">
        <v>0</v>
      </c>
      <c r="H264" s="12" t="b">
        <v>0</v>
      </c>
      <c r="I264" s="12" t="b">
        <v>0</v>
      </c>
    </row>
    <row r="265" spans="1:9" x14ac:dyDescent="0.25">
      <c r="A265" s="12">
        <v>264</v>
      </c>
      <c r="B265" s="12" t="s">
        <v>1129</v>
      </c>
      <c r="C265" s="12" t="s">
        <v>1130</v>
      </c>
      <c r="D265" s="12" t="s">
        <v>14</v>
      </c>
      <c r="E265" s="12" t="s">
        <v>1131</v>
      </c>
      <c r="F265" s="12" t="s">
        <v>1132</v>
      </c>
      <c r="G265" s="12" t="b">
        <v>0</v>
      </c>
      <c r="H265" s="12" t="b">
        <v>0</v>
      </c>
      <c r="I265" s="12" t="b">
        <v>0</v>
      </c>
    </row>
    <row r="266" spans="1:9" x14ac:dyDescent="0.25">
      <c r="A266" s="12">
        <v>265</v>
      </c>
      <c r="B266" s="12" t="s">
        <v>216</v>
      </c>
      <c r="C266" s="12" t="s">
        <v>1133</v>
      </c>
      <c r="D266" s="12" t="s">
        <v>45</v>
      </c>
      <c r="E266" s="12" t="s">
        <v>1134</v>
      </c>
      <c r="F266" s="12" t="s">
        <v>681</v>
      </c>
      <c r="G266" s="12" t="b">
        <v>1</v>
      </c>
      <c r="H266" s="12" t="b">
        <v>1</v>
      </c>
      <c r="I266" s="12" t="b">
        <v>1</v>
      </c>
    </row>
    <row r="267" spans="1:9" x14ac:dyDescent="0.25">
      <c r="A267" s="12">
        <v>266</v>
      </c>
      <c r="B267" s="12" t="s">
        <v>217</v>
      </c>
      <c r="C267" s="12" t="s">
        <v>1135</v>
      </c>
      <c r="D267" s="12" t="s">
        <v>10</v>
      </c>
      <c r="E267" s="12" t="s">
        <v>1136</v>
      </c>
      <c r="F267" s="12" t="s">
        <v>1137</v>
      </c>
      <c r="G267" s="12" t="b">
        <v>1</v>
      </c>
      <c r="H267" s="12" t="b">
        <v>1</v>
      </c>
      <c r="I267" s="12" t="b">
        <v>1</v>
      </c>
    </row>
    <row r="268" spans="1:9" x14ac:dyDescent="0.25">
      <c r="A268" s="12">
        <v>267</v>
      </c>
      <c r="B268" s="12" t="s">
        <v>218</v>
      </c>
      <c r="C268" s="12" t="s">
        <v>1138</v>
      </c>
      <c r="D268" s="12" t="s">
        <v>14</v>
      </c>
      <c r="E268" s="12" t="s">
        <v>1139</v>
      </c>
      <c r="F268" s="12" t="s">
        <v>377</v>
      </c>
      <c r="G268" s="12" t="b">
        <v>1</v>
      </c>
      <c r="H268" s="12" t="b">
        <v>1</v>
      </c>
      <c r="I268" s="12" t="b">
        <v>1</v>
      </c>
    </row>
    <row r="269" spans="1:9" x14ac:dyDescent="0.25">
      <c r="A269" s="12">
        <v>268</v>
      </c>
      <c r="B269" s="12" t="s">
        <v>62</v>
      </c>
      <c r="C269" s="12" t="s">
        <v>1140</v>
      </c>
      <c r="D269" s="12" t="s">
        <v>10</v>
      </c>
      <c r="E269" s="12" t="s">
        <v>1141</v>
      </c>
      <c r="F269" s="12" t="s">
        <v>1142</v>
      </c>
      <c r="G269" s="12" t="b">
        <v>0</v>
      </c>
      <c r="H269" s="12" t="b">
        <v>1</v>
      </c>
      <c r="I269" s="12" t="b">
        <v>1</v>
      </c>
    </row>
    <row r="270" spans="1:9" x14ac:dyDescent="0.25">
      <c r="A270" s="12">
        <v>269</v>
      </c>
      <c r="B270" s="12" t="s">
        <v>124</v>
      </c>
      <c r="C270" s="12" t="s">
        <v>1143</v>
      </c>
      <c r="D270" s="12" t="s">
        <v>45</v>
      </c>
      <c r="E270" s="12" t="s">
        <v>1144</v>
      </c>
      <c r="F270" s="12" t="s">
        <v>1145</v>
      </c>
      <c r="G270" s="12" t="b">
        <v>1</v>
      </c>
      <c r="H270" s="12" t="b">
        <v>1</v>
      </c>
      <c r="I270" s="12" t="b">
        <v>1</v>
      </c>
    </row>
    <row r="271" spans="1:9" x14ac:dyDescent="0.25">
      <c r="A271" s="12">
        <v>270</v>
      </c>
      <c r="B271" s="12" t="s">
        <v>219</v>
      </c>
      <c r="C271" s="12" t="s">
        <v>1146</v>
      </c>
      <c r="D271" s="12" t="s">
        <v>10</v>
      </c>
      <c r="E271" s="12" t="s">
        <v>1147</v>
      </c>
      <c r="F271" s="12" t="s">
        <v>1148</v>
      </c>
      <c r="G271" s="12" t="b">
        <v>1</v>
      </c>
      <c r="H271" s="12" t="b">
        <v>1</v>
      </c>
      <c r="I271" s="12" t="b">
        <v>1</v>
      </c>
    </row>
    <row r="272" spans="1:9" x14ac:dyDescent="0.25">
      <c r="A272" s="12">
        <v>271</v>
      </c>
      <c r="B272" s="12" t="s">
        <v>220</v>
      </c>
      <c r="C272" s="12" t="s">
        <v>1149</v>
      </c>
      <c r="D272" s="12" t="s">
        <v>14</v>
      </c>
      <c r="E272" s="12" t="s">
        <v>1150</v>
      </c>
      <c r="F272" s="12" t="s">
        <v>1151</v>
      </c>
      <c r="G272" s="12" t="b">
        <v>1</v>
      </c>
      <c r="H272" s="12" t="b">
        <v>1</v>
      </c>
      <c r="I272" s="12" t="b">
        <v>1</v>
      </c>
    </row>
    <row r="273" spans="1:9" x14ac:dyDescent="0.25">
      <c r="A273" s="12">
        <v>272</v>
      </c>
      <c r="B273" s="12" t="s">
        <v>221</v>
      </c>
      <c r="C273" s="12" t="s">
        <v>1152</v>
      </c>
      <c r="D273" s="12" t="s">
        <v>45</v>
      </c>
      <c r="E273" s="12" t="s">
        <v>1153</v>
      </c>
      <c r="F273" s="12" t="s">
        <v>1154</v>
      </c>
      <c r="G273" s="12" t="b">
        <v>1</v>
      </c>
      <c r="H273" s="12" t="b">
        <v>1</v>
      </c>
      <c r="I273" s="12" t="b">
        <v>1</v>
      </c>
    </row>
    <row r="274" spans="1:9" x14ac:dyDescent="0.25">
      <c r="A274" s="12">
        <v>273</v>
      </c>
      <c r="B274" s="12" t="s">
        <v>1155</v>
      </c>
      <c r="C274" s="12" t="s">
        <v>1156</v>
      </c>
      <c r="D274" s="12" t="s">
        <v>45</v>
      </c>
      <c r="E274" s="12" t="s">
        <v>1157</v>
      </c>
      <c r="F274" s="12" t="s">
        <v>1158</v>
      </c>
      <c r="G274" s="12" t="b">
        <v>0</v>
      </c>
      <c r="H274" s="12" t="b">
        <v>1</v>
      </c>
      <c r="I274" s="12" t="b">
        <v>1</v>
      </c>
    </row>
    <row r="275" spans="1:9" x14ac:dyDescent="0.25">
      <c r="A275" s="12">
        <v>274</v>
      </c>
      <c r="B275" s="12" t="s">
        <v>1159</v>
      </c>
      <c r="C275" s="12" t="s">
        <v>1160</v>
      </c>
      <c r="D275" s="12" t="s">
        <v>14</v>
      </c>
      <c r="E275" s="12" t="s">
        <v>1161</v>
      </c>
      <c r="F275" s="12" t="s">
        <v>1162</v>
      </c>
      <c r="G275" s="12" t="b">
        <v>0</v>
      </c>
      <c r="H275" s="12" t="b">
        <v>1</v>
      </c>
      <c r="I275" s="12" t="b">
        <v>1</v>
      </c>
    </row>
    <row r="276" spans="1:9" x14ac:dyDescent="0.25">
      <c r="A276" s="12">
        <v>275</v>
      </c>
      <c r="B276" s="12" t="s">
        <v>1163</v>
      </c>
      <c r="C276" s="12" t="s">
        <v>1164</v>
      </c>
      <c r="D276" s="12" t="s">
        <v>14</v>
      </c>
      <c r="E276" s="12" t="s">
        <v>1165</v>
      </c>
      <c r="F276" s="12" t="s">
        <v>426</v>
      </c>
      <c r="G276" s="12" t="b">
        <v>0</v>
      </c>
      <c r="H276" s="12" t="b">
        <v>1</v>
      </c>
      <c r="I276" s="12" t="b">
        <v>1</v>
      </c>
    </row>
    <row r="277" spans="1:9" x14ac:dyDescent="0.25">
      <c r="A277" s="12">
        <v>276</v>
      </c>
      <c r="B277" s="12" t="s">
        <v>222</v>
      </c>
      <c r="C277" s="12" t="s">
        <v>1166</v>
      </c>
      <c r="D277" s="12" t="s">
        <v>14</v>
      </c>
      <c r="E277" s="12" t="s">
        <v>1167</v>
      </c>
      <c r="F277" s="12" t="s">
        <v>292</v>
      </c>
      <c r="G277" s="12" t="b">
        <v>1</v>
      </c>
      <c r="H277" s="12" t="b">
        <v>1</v>
      </c>
      <c r="I277" s="12" t="b">
        <v>1</v>
      </c>
    </row>
    <row r="278" spans="1:9" x14ac:dyDescent="0.25">
      <c r="A278" s="12">
        <v>277</v>
      </c>
      <c r="B278" s="12" t="s">
        <v>223</v>
      </c>
      <c r="C278" s="12" t="s">
        <v>1168</v>
      </c>
      <c r="D278" s="12" t="s">
        <v>14</v>
      </c>
      <c r="E278" s="12" t="s">
        <v>1169</v>
      </c>
      <c r="F278" s="12" t="s">
        <v>1170</v>
      </c>
      <c r="G278" s="12" t="b">
        <v>1</v>
      </c>
      <c r="H278" s="12" t="b">
        <v>1</v>
      </c>
      <c r="I278" s="12" t="b">
        <v>1</v>
      </c>
    </row>
    <row r="279" spans="1:9" x14ac:dyDescent="0.25">
      <c r="A279" s="12">
        <v>278</v>
      </c>
      <c r="B279" s="12" t="s">
        <v>1171</v>
      </c>
      <c r="C279" s="12" t="s">
        <v>1172</v>
      </c>
      <c r="D279" s="12" t="s">
        <v>10</v>
      </c>
      <c r="E279" s="12" t="s">
        <v>1173</v>
      </c>
      <c r="F279" s="12" t="s">
        <v>1174</v>
      </c>
      <c r="G279" s="12" t="b">
        <v>0</v>
      </c>
      <c r="H279" s="12" t="b">
        <v>1</v>
      </c>
      <c r="I279" s="12" t="b">
        <v>1</v>
      </c>
    </row>
    <row r="280" spans="1:9" x14ac:dyDescent="0.25">
      <c r="A280" s="12">
        <v>279</v>
      </c>
      <c r="B280" s="12" t="s">
        <v>1175</v>
      </c>
      <c r="C280" s="12" t="s">
        <v>1176</v>
      </c>
      <c r="D280" s="12" t="s">
        <v>14</v>
      </c>
      <c r="E280" s="12" t="s">
        <v>1177</v>
      </c>
      <c r="F280" s="12" t="s">
        <v>1178</v>
      </c>
      <c r="G280" s="12" t="b">
        <v>0</v>
      </c>
      <c r="H280" s="12" t="b">
        <v>1</v>
      </c>
      <c r="I280" s="12" t="b">
        <v>1</v>
      </c>
    </row>
    <row r="281" spans="1:9" x14ac:dyDescent="0.25">
      <c r="A281" s="12">
        <v>280</v>
      </c>
      <c r="B281" s="12" t="s">
        <v>224</v>
      </c>
      <c r="C281" s="12" t="s">
        <v>1179</v>
      </c>
      <c r="D281" s="12" t="s">
        <v>14</v>
      </c>
      <c r="E281" s="12" t="s">
        <v>1180</v>
      </c>
      <c r="F281" s="12" t="s">
        <v>1181</v>
      </c>
      <c r="G281" s="12" t="b">
        <v>1</v>
      </c>
      <c r="H281" s="12" t="b">
        <v>1</v>
      </c>
      <c r="I281" s="12" t="b">
        <v>1</v>
      </c>
    </row>
    <row r="282" spans="1:9" x14ac:dyDescent="0.25">
      <c r="A282" s="12">
        <v>281</v>
      </c>
      <c r="B282" s="12" t="s">
        <v>225</v>
      </c>
      <c r="C282" s="12" t="s">
        <v>1182</v>
      </c>
      <c r="D282" s="12" t="s">
        <v>14</v>
      </c>
      <c r="E282" s="12" t="s">
        <v>1183</v>
      </c>
      <c r="F282" s="12" t="s">
        <v>1184</v>
      </c>
      <c r="G282" s="12" t="b">
        <v>1</v>
      </c>
      <c r="H282" s="12" t="b">
        <v>1</v>
      </c>
      <c r="I282" s="12" t="b">
        <v>1</v>
      </c>
    </row>
    <row r="283" spans="1:9" x14ac:dyDescent="0.25">
      <c r="A283" s="12">
        <v>282</v>
      </c>
      <c r="B283" s="12" t="s">
        <v>1185</v>
      </c>
      <c r="C283" s="12" t="s">
        <v>1186</v>
      </c>
      <c r="D283" s="12" t="s">
        <v>45</v>
      </c>
      <c r="E283" s="12" t="s">
        <v>1187</v>
      </c>
      <c r="F283" s="12" t="s">
        <v>1188</v>
      </c>
      <c r="G283" s="12" t="b">
        <v>0</v>
      </c>
      <c r="H283" s="12" t="b">
        <v>1</v>
      </c>
      <c r="I283" s="12" t="b">
        <v>1</v>
      </c>
    </row>
    <row r="284" spans="1:9" x14ac:dyDescent="0.25">
      <c r="A284" s="12">
        <v>283</v>
      </c>
      <c r="B284" s="12" t="s">
        <v>297</v>
      </c>
      <c r="C284" s="12" t="s">
        <v>1189</v>
      </c>
      <c r="D284" s="12" t="s">
        <v>10</v>
      </c>
      <c r="E284" s="12" t="s">
        <v>1190</v>
      </c>
      <c r="F284" s="12" t="s">
        <v>404</v>
      </c>
      <c r="G284" s="12" t="b">
        <v>0</v>
      </c>
      <c r="H284" s="12" t="b">
        <v>1</v>
      </c>
      <c r="I284" s="12" t="b">
        <v>1</v>
      </c>
    </row>
    <row r="285" spans="1:9" x14ac:dyDescent="0.25">
      <c r="A285" s="12">
        <v>284</v>
      </c>
      <c r="B285" s="12" t="s">
        <v>1191</v>
      </c>
      <c r="C285" s="12" t="s">
        <v>1192</v>
      </c>
      <c r="D285" s="12" t="s">
        <v>14</v>
      </c>
      <c r="E285" s="12" t="s">
        <v>1193</v>
      </c>
      <c r="F285" s="12" t="s">
        <v>1194</v>
      </c>
      <c r="G285" s="12" t="b">
        <v>0</v>
      </c>
      <c r="H285" s="12" t="b">
        <v>1</v>
      </c>
      <c r="I285" s="12" t="b">
        <v>1</v>
      </c>
    </row>
    <row r="286" spans="1:9" x14ac:dyDescent="0.25">
      <c r="A286" s="12">
        <v>285</v>
      </c>
      <c r="B286" s="12" t="s">
        <v>226</v>
      </c>
      <c r="C286" s="12" t="s">
        <v>1195</v>
      </c>
      <c r="D286" s="12" t="s">
        <v>14</v>
      </c>
      <c r="E286" s="12" t="s">
        <v>1196</v>
      </c>
      <c r="F286" s="12" t="s">
        <v>622</v>
      </c>
      <c r="G286" s="12" t="b">
        <v>1</v>
      </c>
      <c r="H286" s="12" t="b">
        <v>1</v>
      </c>
      <c r="I286" s="12" t="b">
        <v>1</v>
      </c>
    </row>
    <row r="287" spans="1:9" x14ac:dyDescent="0.25">
      <c r="A287" s="12">
        <v>286</v>
      </c>
      <c r="B287" s="12" t="s">
        <v>227</v>
      </c>
      <c r="C287" s="12" t="s">
        <v>1197</v>
      </c>
      <c r="D287" s="12" t="s">
        <v>14</v>
      </c>
      <c r="E287" s="12" t="s">
        <v>1198</v>
      </c>
      <c r="F287" s="12" t="s">
        <v>1199</v>
      </c>
      <c r="G287" s="12" t="b">
        <v>1</v>
      </c>
      <c r="H287" s="12" t="b">
        <v>1</v>
      </c>
      <c r="I287" s="12" t="b">
        <v>1</v>
      </c>
    </row>
    <row r="288" spans="1:9" x14ac:dyDescent="0.25">
      <c r="A288" s="12">
        <v>287</v>
      </c>
      <c r="B288" s="12" t="s">
        <v>50</v>
      </c>
      <c r="C288" s="12" t="s">
        <v>1200</v>
      </c>
      <c r="D288" s="12" t="s">
        <v>14</v>
      </c>
      <c r="E288" s="12" t="s">
        <v>1201</v>
      </c>
      <c r="F288" s="12" t="s">
        <v>1202</v>
      </c>
      <c r="G288" s="12" t="b">
        <v>0</v>
      </c>
      <c r="H288" s="12" t="b">
        <v>1</v>
      </c>
      <c r="I288" s="12" t="b">
        <v>1</v>
      </c>
    </row>
    <row r="289" spans="1:9" x14ac:dyDescent="0.25">
      <c r="A289" s="12">
        <v>288</v>
      </c>
      <c r="B289" s="12" t="s">
        <v>1203</v>
      </c>
      <c r="C289" s="12" t="s">
        <v>1204</v>
      </c>
      <c r="D289" s="12" t="s">
        <v>14</v>
      </c>
      <c r="E289" s="12" t="s">
        <v>1205</v>
      </c>
      <c r="F289" s="12" t="s">
        <v>1206</v>
      </c>
      <c r="G289" s="12" t="b">
        <v>1</v>
      </c>
      <c r="H289" s="12" t="b">
        <v>0</v>
      </c>
      <c r="I289" s="12" t="b">
        <v>0</v>
      </c>
    </row>
    <row r="290" spans="1:9" x14ac:dyDescent="0.25">
      <c r="A290" s="12">
        <v>289</v>
      </c>
      <c r="B290" s="12" t="s">
        <v>1207</v>
      </c>
      <c r="C290" s="12" t="s">
        <v>1208</v>
      </c>
      <c r="D290" s="12" t="s">
        <v>14</v>
      </c>
      <c r="E290" s="12" t="s">
        <v>1209</v>
      </c>
      <c r="F290" s="12" t="s">
        <v>490</v>
      </c>
      <c r="G290" s="12" t="b">
        <v>0</v>
      </c>
      <c r="H290" s="12" t="b">
        <v>1</v>
      </c>
      <c r="I290" s="12" t="b">
        <v>1</v>
      </c>
    </row>
    <row r="291" spans="1:9" x14ac:dyDescent="0.25">
      <c r="A291" s="12">
        <v>290</v>
      </c>
      <c r="B291" s="12" t="s">
        <v>1210</v>
      </c>
      <c r="C291" s="12" t="s">
        <v>1211</v>
      </c>
      <c r="D291" s="12" t="s">
        <v>10</v>
      </c>
      <c r="E291" s="12" t="s">
        <v>1212</v>
      </c>
      <c r="F291" s="12" t="s">
        <v>952</v>
      </c>
      <c r="G291" s="12" t="b">
        <v>0</v>
      </c>
      <c r="H291" s="12" t="b">
        <v>1</v>
      </c>
      <c r="I291" s="12" t="b">
        <v>1</v>
      </c>
    </row>
    <row r="292" spans="1:9" x14ac:dyDescent="0.25">
      <c r="A292" s="12">
        <v>291</v>
      </c>
      <c r="B292" s="12" t="s">
        <v>228</v>
      </c>
      <c r="C292" s="12" t="s">
        <v>1213</v>
      </c>
      <c r="D292" s="12" t="s">
        <v>14</v>
      </c>
      <c r="E292" s="12" t="s">
        <v>1214</v>
      </c>
      <c r="F292" s="12" t="s">
        <v>377</v>
      </c>
      <c r="G292" s="12" t="b">
        <v>1</v>
      </c>
      <c r="H292" s="12" t="b">
        <v>0</v>
      </c>
      <c r="I292" s="12" t="b">
        <v>0</v>
      </c>
    </row>
    <row r="293" spans="1:9" x14ac:dyDescent="0.25">
      <c r="A293" s="12">
        <v>292</v>
      </c>
      <c r="B293" s="12" t="s">
        <v>1215</v>
      </c>
      <c r="C293" s="12" t="s">
        <v>1216</v>
      </c>
      <c r="D293" s="12" t="s">
        <v>10</v>
      </c>
      <c r="E293" s="12" t="s">
        <v>1217</v>
      </c>
      <c r="F293" s="12" t="s">
        <v>1218</v>
      </c>
      <c r="G293" s="12" t="b">
        <v>0</v>
      </c>
      <c r="H293" s="12" t="b">
        <v>1</v>
      </c>
      <c r="I293" s="12" t="b">
        <v>1</v>
      </c>
    </row>
    <row r="294" spans="1:9" x14ac:dyDescent="0.25">
      <c r="A294" s="12">
        <v>293</v>
      </c>
      <c r="B294" s="12" t="s">
        <v>1219</v>
      </c>
      <c r="C294" s="12" t="s">
        <v>1220</v>
      </c>
      <c r="D294" s="12" t="s">
        <v>10</v>
      </c>
      <c r="E294" s="12" t="s">
        <v>1221</v>
      </c>
      <c r="F294" s="12" t="s">
        <v>316</v>
      </c>
      <c r="G294" s="12" t="b">
        <v>1</v>
      </c>
      <c r="H294" s="12" t="b">
        <v>0</v>
      </c>
      <c r="I294" s="12" t="b">
        <v>0</v>
      </c>
    </row>
    <row r="295" spans="1:9" x14ac:dyDescent="0.25">
      <c r="A295" s="12">
        <v>294</v>
      </c>
      <c r="B295" s="12" t="s">
        <v>1222</v>
      </c>
      <c r="C295" s="12" t="s">
        <v>1223</v>
      </c>
      <c r="D295" s="12" t="s">
        <v>14</v>
      </c>
      <c r="E295" s="12" t="s">
        <v>1224</v>
      </c>
      <c r="F295" s="12" t="s">
        <v>1225</v>
      </c>
      <c r="G295" s="12" t="b">
        <v>1</v>
      </c>
      <c r="H295" s="12" t="b">
        <v>0</v>
      </c>
      <c r="I295" s="12" t="b">
        <v>0</v>
      </c>
    </row>
    <row r="296" spans="1:9" x14ac:dyDescent="0.25">
      <c r="A296" s="12">
        <v>295</v>
      </c>
      <c r="B296" s="12" t="s">
        <v>141</v>
      </c>
      <c r="C296" s="12" t="s">
        <v>1226</v>
      </c>
      <c r="D296" s="12" t="s">
        <v>45</v>
      </c>
      <c r="E296" s="12" t="s">
        <v>1227</v>
      </c>
      <c r="F296" s="12" t="s">
        <v>1228</v>
      </c>
      <c r="G296" s="12" t="b">
        <v>0</v>
      </c>
      <c r="H296" s="12" t="b">
        <v>1</v>
      </c>
      <c r="I296" s="12" t="b">
        <v>1</v>
      </c>
    </row>
    <row r="297" spans="1:9" x14ac:dyDescent="0.25">
      <c r="A297" s="12">
        <v>296</v>
      </c>
      <c r="B297" s="12" t="s">
        <v>229</v>
      </c>
      <c r="C297" s="12" t="s">
        <v>1229</v>
      </c>
      <c r="D297" s="12" t="s">
        <v>45</v>
      </c>
      <c r="E297" s="12" t="s">
        <v>1230</v>
      </c>
      <c r="F297" s="12" t="s">
        <v>1231</v>
      </c>
      <c r="G297" s="12" t="b">
        <v>1</v>
      </c>
      <c r="H297" s="12" t="b">
        <v>1</v>
      </c>
      <c r="I297" s="12" t="b">
        <v>1</v>
      </c>
    </row>
    <row r="298" spans="1:9" x14ac:dyDescent="0.25">
      <c r="A298" s="12">
        <v>297</v>
      </c>
      <c r="B298" s="12" t="s">
        <v>87</v>
      </c>
      <c r="C298" s="12" t="s">
        <v>1232</v>
      </c>
      <c r="D298" s="12" t="s">
        <v>45</v>
      </c>
      <c r="E298" s="12" t="s">
        <v>1233</v>
      </c>
      <c r="F298" s="12" t="s">
        <v>1234</v>
      </c>
      <c r="G298" s="12" t="b">
        <v>0</v>
      </c>
      <c r="H298" s="12" t="b">
        <v>1</v>
      </c>
      <c r="I298" s="12" t="b">
        <v>1</v>
      </c>
    </row>
    <row r="299" spans="1:9" x14ac:dyDescent="0.25">
      <c r="A299" s="12">
        <v>298</v>
      </c>
      <c r="B299" s="12" t="s">
        <v>230</v>
      </c>
      <c r="C299" s="12" t="s">
        <v>1235</v>
      </c>
      <c r="D299" s="12" t="s">
        <v>14</v>
      </c>
      <c r="E299" s="12" t="s">
        <v>1236</v>
      </c>
      <c r="F299" s="12" t="s">
        <v>658</v>
      </c>
      <c r="G299" s="12" t="b">
        <v>1</v>
      </c>
      <c r="H299" s="12" t="b">
        <v>1</v>
      </c>
      <c r="I299" s="12" t="b">
        <v>1</v>
      </c>
    </row>
    <row r="300" spans="1:9" x14ac:dyDescent="0.25">
      <c r="A300" s="12">
        <v>299</v>
      </c>
      <c r="B300" s="12" t="s">
        <v>1237</v>
      </c>
      <c r="C300" s="12" t="s">
        <v>1238</v>
      </c>
      <c r="D300" s="12" t="s">
        <v>14</v>
      </c>
      <c r="E300" s="12" t="s">
        <v>1239</v>
      </c>
      <c r="F300" s="12" t="s">
        <v>1240</v>
      </c>
      <c r="G300" s="12" t="b">
        <v>0</v>
      </c>
      <c r="H300" s="12" t="b">
        <v>1</v>
      </c>
      <c r="I300" s="12" t="b">
        <v>1</v>
      </c>
    </row>
    <row r="301" spans="1:9" x14ac:dyDescent="0.25">
      <c r="A301" s="12">
        <v>300</v>
      </c>
      <c r="B301" s="12" t="s">
        <v>96</v>
      </c>
      <c r="C301" s="12" t="s">
        <v>1241</v>
      </c>
      <c r="D301" s="12" t="s">
        <v>14</v>
      </c>
      <c r="E301" s="12" t="s">
        <v>1242</v>
      </c>
      <c r="F301" s="12" t="s">
        <v>1243</v>
      </c>
      <c r="G301" s="12" t="b">
        <v>0</v>
      </c>
      <c r="H301" s="12" t="b">
        <v>1</v>
      </c>
      <c r="I301" s="12" t="b">
        <v>1</v>
      </c>
    </row>
    <row r="302" spans="1:9" x14ac:dyDescent="0.25">
      <c r="A302" s="12">
        <v>301</v>
      </c>
      <c r="B302" s="12" t="s">
        <v>1244</v>
      </c>
      <c r="C302" s="12" t="s">
        <v>1245</v>
      </c>
      <c r="D302" s="12" t="s">
        <v>45</v>
      </c>
      <c r="E302" s="12" t="s">
        <v>1246</v>
      </c>
      <c r="F302" s="12" t="s">
        <v>1247</v>
      </c>
      <c r="G302" s="12" t="b">
        <v>0</v>
      </c>
      <c r="H302" s="12" t="b">
        <v>1</v>
      </c>
      <c r="I302" s="12" t="b">
        <v>1</v>
      </c>
    </row>
    <row r="303" spans="1:9" x14ac:dyDescent="0.25">
      <c r="A303" s="12">
        <v>302</v>
      </c>
      <c r="B303" s="12" t="s">
        <v>231</v>
      </c>
      <c r="C303" s="12" t="s">
        <v>1248</v>
      </c>
      <c r="D303" s="12" t="s">
        <v>45</v>
      </c>
      <c r="E303" s="12" t="s">
        <v>1249</v>
      </c>
      <c r="F303" s="12" t="s">
        <v>1250</v>
      </c>
      <c r="G303" s="12" t="b">
        <v>1</v>
      </c>
      <c r="H303" s="12" t="b">
        <v>1</v>
      </c>
      <c r="I303" s="12" t="b">
        <v>1</v>
      </c>
    </row>
    <row r="304" spans="1:9" x14ac:dyDescent="0.25">
      <c r="A304" s="12">
        <v>303</v>
      </c>
      <c r="B304" s="12" t="s">
        <v>91</v>
      </c>
      <c r="C304" s="12" t="s">
        <v>1251</v>
      </c>
      <c r="D304" s="12" t="s">
        <v>10</v>
      </c>
      <c r="E304" s="12" t="s">
        <v>1252</v>
      </c>
      <c r="F304" s="12" t="s">
        <v>1253</v>
      </c>
      <c r="G304" s="12" t="b">
        <v>0</v>
      </c>
      <c r="H304" s="12" t="b">
        <v>1</v>
      </c>
      <c r="I304" s="12" t="b">
        <v>1</v>
      </c>
    </row>
    <row r="305" spans="1:9" x14ac:dyDescent="0.25">
      <c r="A305" s="12">
        <v>304</v>
      </c>
      <c r="B305" s="12" t="s">
        <v>1254</v>
      </c>
      <c r="C305" s="12" t="s">
        <v>1255</v>
      </c>
      <c r="D305" s="12" t="s">
        <v>14</v>
      </c>
      <c r="E305" s="12" t="s">
        <v>1256</v>
      </c>
      <c r="F305" s="12" t="s">
        <v>1257</v>
      </c>
      <c r="G305" s="12" t="b">
        <v>0</v>
      </c>
      <c r="H305" s="12" t="b">
        <v>1</v>
      </c>
      <c r="I305" s="12" t="b">
        <v>1</v>
      </c>
    </row>
    <row r="306" spans="1:9" x14ac:dyDescent="0.25">
      <c r="A306" s="12">
        <v>305</v>
      </c>
      <c r="B306" s="12" t="s">
        <v>232</v>
      </c>
      <c r="C306" s="12" t="s">
        <v>1258</v>
      </c>
      <c r="D306" s="12" t="s">
        <v>45</v>
      </c>
      <c r="E306" s="12" t="s">
        <v>1259</v>
      </c>
      <c r="F306" s="12" t="s">
        <v>1260</v>
      </c>
      <c r="G306" s="12" t="b">
        <v>1</v>
      </c>
      <c r="H306" s="12" t="b">
        <v>1</v>
      </c>
      <c r="I306" s="12" t="b">
        <v>1</v>
      </c>
    </row>
    <row r="307" spans="1:9" x14ac:dyDescent="0.25">
      <c r="A307" s="12">
        <v>306</v>
      </c>
      <c r="B307" s="12" t="s">
        <v>1261</v>
      </c>
      <c r="C307" s="12" t="s">
        <v>1262</v>
      </c>
      <c r="D307" s="12" t="s">
        <v>14</v>
      </c>
      <c r="E307" s="12" t="s">
        <v>1263</v>
      </c>
      <c r="F307" s="12" t="s">
        <v>604</v>
      </c>
      <c r="G307" s="12" t="b">
        <v>0</v>
      </c>
      <c r="H307" s="12" t="b">
        <v>0</v>
      </c>
      <c r="I307" s="12" t="b">
        <v>0</v>
      </c>
    </row>
    <row r="308" spans="1:9" x14ac:dyDescent="0.25">
      <c r="A308" s="12">
        <v>307</v>
      </c>
      <c r="B308" s="12" t="s">
        <v>1264</v>
      </c>
      <c r="C308" s="12" t="s">
        <v>1265</v>
      </c>
      <c r="D308" s="12" t="s">
        <v>14</v>
      </c>
      <c r="E308" s="12" t="s">
        <v>1266</v>
      </c>
      <c r="F308" s="12" t="s">
        <v>1267</v>
      </c>
      <c r="G308" s="12" t="b">
        <v>0</v>
      </c>
      <c r="H308" s="12" t="b">
        <v>1</v>
      </c>
      <c r="I308" s="12" t="b">
        <v>1</v>
      </c>
    </row>
    <row r="309" spans="1:9" x14ac:dyDescent="0.25">
      <c r="A309" s="12">
        <v>308</v>
      </c>
      <c r="B309" s="12" t="s">
        <v>233</v>
      </c>
      <c r="C309" s="12" t="s">
        <v>1268</v>
      </c>
      <c r="D309" s="12" t="s">
        <v>45</v>
      </c>
      <c r="E309" s="12" t="s">
        <v>1269</v>
      </c>
      <c r="F309" s="12" t="s">
        <v>1270</v>
      </c>
      <c r="G309" s="12" t="b">
        <v>1</v>
      </c>
      <c r="H309" s="12" t="b">
        <v>1</v>
      </c>
      <c r="I309" s="12" t="b">
        <v>1</v>
      </c>
    </row>
    <row r="310" spans="1:9" x14ac:dyDescent="0.25">
      <c r="A310" s="12">
        <v>309</v>
      </c>
      <c r="B310" s="12" t="s">
        <v>107</v>
      </c>
      <c r="C310" s="12" t="s">
        <v>1271</v>
      </c>
      <c r="D310" s="12" t="s">
        <v>14</v>
      </c>
      <c r="E310" s="12" t="s">
        <v>1272</v>
      </c>
      <c r="F310" s="12" t="s">
        <v>681</v>
      </c>
      <c r="G310" s="12" t="b">
        <v>0</v>
      </c>
      <c r="H310" s="12" t="b">
        <v>1</v>
      </c>
      <c r="I310" s="12" t="b">
        <v>1</v>
      </c>
    </row>
    <row r="311" spans="1:9" x14ac:dyDescent="0.25">
      <c r="A311" s="12">
        <v>310</v>
      </c>
      <c r="B311" s="12" t="s">
        <v>21</v>
      </c>
      <c r="C311" s="12" t="s">
        <v>1273</v>
      </c>
      <c r="D311" s="12" t="s">
        <v>14</v>
      </c>
      <c r="E311" s="12" t="s">
        <v>1274</v>
      </c>
      <c r="F311" s="12" t="s">
        <v>957</v>
      </c>
      <c r="G311" s="12" t="b">
        <v>0</v>
      </c>
      <c r="H311" s="12" t="b">
        <v>1</v>
      </c>
      <c r="I311" s="12" t="b">
        <v>1</v>
      </c>
    </row>
    <row r="312" spans="1:9" x14ac:dyDescent="0.25">
      <c r="A312" s="12">
        <v>311</v>
      </c>
      <c r="B312" s="12" t="s">
        <v>234</v>
      </c>
      <c r="C312" s="12" t="s">
        <v>1275</v>
      </c>
      <c r="D312" s="12" t="s">
        <v>14</v>
      </c>
      <c r="E312" s="12" t="s">
        <v>1276</v>
      </c>
      <c r="F312" s="12" t="s">
        <v>436</v>
      </c>
      <c r="G312" s="12" t="b">
        <v>1</v>
      </c>
      <c r="H312" s="12" t="b">
        <v>1</v>
      </c>
      <c r="I312" s="12" t="b">
        <v>1</v>
      </c>
    </row>
    <row r="313" spans="1:9" x14ac:dyDescent="0.25">
      <c r="A313" s="12">
        <v>312</v>
      </c>
      <c r="B313" s="12" t="s">
        <v>1277</v>
      </c>
      <c r="C313" s="12" t="s">
        <v>1278</v>
      </c>
      <c r="D313" s="12" t="s">
        <v>45</v>
      </c>
      <c r="E313" s="12" t="s">
        <v>1279</v>
      </c>
      <c r="F313" s="12" t="s">
        <v>681</v>
      </c>
      <c r="G313" s="12" t="b">
        <v>0</v>
      </c>
      <c r="H313" s="12" t="b">
        <v>1</v>
      </c>
      <c r="I313" s="12" t="b">
        <v>1</v>
      </c>
    </row>
    <row r="314" spans="1:9" x14ac:dyDescent="0.25">
      <c r="A314" s="12">
        <v>313</v>
      </c>
      <c r="B314" s="12" t="s">
        <v>1280</v>
      </c>
      <c r="C314" s="12" t="s">
        <v>1281</v>
      </c>
      <c r="D314" s="12" t="s">
        <v>14</v>
      </c>
      <c r="E314" s="12" t="s">
        <v>1282</v>
      </c>
      <c r="F314" s="12" t="s">
        <v>1283</v>
      </c>
      <c r="G314" s="12" t="b">
        <v>0</v>
      </c>
      <c r="H314" s="12" t="b">
        <v>0</v>
      </c>
      <c r="I314" s="12" t="b">
        <v>0</v>
      </c>
    </row>
    <row r="315" spans="1:9" x14ac:dyDescent="0.25">
      <c r="A315" s="12">
        <v>314</v>
      </c>
      <c r="B315" s="12" t="s">
        <v>235</v>
      </c>
      <c r="C315" s="12" t="s">
        <v>1284</v>
      </c>
      <c r="D315" s="12" t="s">
        <v>14</v>
      </c>
      <c r="E315" s="12" t="s">
        <v>1285</v>
      </c>
      <c r="F315" s="12" t="s">
        <v>1286</v>
      </c>
      <c r="G315" s="12" t="b">
        <v>1</v>
      </c>
      <c r="H315" s="12" t="b">
        <v>1</v>
      </c>
      <c r="I315" s="12" t="b">
        <v>1</v>
      </c>
    </row>
    <row r="316" spans="1:9" x14ac:dyDescent="0.25">
      <c r="A316" s="12">
        <v>315</v>
      </c>
      <c r="B316" s="12" t="s">
        <v>1287</v>
      </c>
      <c r="C316" s="12" t="s">
        <v>1288</v>
      </c>
      <c r="D316" s="12" t="s">
        <v>45</v>
      </c>
      <c r="E316" s="12" t="s">
        <v>1289</v>
      </c>
      <c r="F316" s="12" t="s">
        <v>1290</v>
      </c>
      <c r="G316" s="12" t="b">
        <v>0</v>
      </c>
      <c r="H316" s="12" t="b">
        <v>1</v>
      </c>
      <c r="I316" s="12" t="b">
        <v>1</v>
      </c>
    </row>
    <row r="317" spans="1:9" x14ac:dyDescent="0.25">
      <c r="A317" s="12">
        <v>316</v>
      </c>
      <c r="B317" s="12" t="s">
        <v>1291</v>
      </c>
      <c r="C317" s="12" t="s">
        <v>1292</v>
      </c>
      <c r="D317" s="12" t="s">
        <v>14</v>
      </c>
      <c r="E317" s="12" t="s">
        <v>1293</v>
      </c>
      <c r="F317" s="12" t="s">
        <v>1294</v>
      </c>
      <c r="G317" s="12" t="b">
        <v>0</v>
      </c>
      <c r="H317" s="12" t="b">
        <v>1</v>
      </c>
      <c r="I317" s="12" t="b">
        <v>1</v>
      </c>
    </row>
    <row r="318" spans="1:9" x14ac:dyDescent="0.25">
      <c r="A318" s="12">
        <v>317</v>
      </c>
      <c r="B318" s="12" t="s">
        <v>236</v>
      </c>
      <c r="C318" s="12" t="s">
        <v>1295</v>
      </c>
      <c r="D318" s="12" t="s">
        <v>45</v>
      </c>
      <c r="E318" s="12" t="s">
        <v>1296</v>
      </c>
      <c r="F318" s="12" t="s">
        <v>1199</v>
      </c>
      <c r="G318" s="12" t="b">
        <v>1</v>
      </c>
      <c r="H318" s="12" t="b">
        <v>1</v>
      </c>
      <c r="I318" s="12" t="b">
        <v>1</v>
      </c>
    </row>
    <row r="319" spans="1:9" x14ac:dyDescent="0.25">
      <c r="A319" s="12">
        <v>318</v>
      </c>
      <c r="B319" s="12" t="s">
        <v>1297</v>
      </c>
      <c r="C319" s="12" t="s">
        <v>1298</v>
      </c>
      <c r="D319" s="12" t="s">
        <v>14</v>
      </c>
      <c r="E319" s="12" t="s">
        <v>1299</v>
      </c>
      <c r="F319" s="12" t="s">
        <v>1300</v>
      </c>
      <c r="G319" s="12" t="b">
        <v>0</v>
      </c>
      <c r="H319" s="12" t="b">
        <v>1</v>
      </c>
      <c r="I319" s="12" t="b">
        <v>1</v>
      </c>
    </row>
    <row r="320" spans="1:9" x14ac:dyDescent="0.25">
      <c r="A320" s="12">
        <v>319</v>
      </c>
      <c r="B320" s="12" t="s">
        <v>1301</v>
      </c>
      <c r="C320" s="12" t="s">
        <v>1302</v>
      </c>
      <c r="D320" s="12" t="s">
        <v>14</v>
      </c>
      <c r="E320" s="12" t="s">
        <v>1303</v>
      </c>
      <c r="F320" s="12" t="s">
        <v>1304</v>
      </c>
      <c r="G320" s="12" t="b">
        <v>0</v>
      </c>
      <c r="H320" s="12" t="b">
        <v>0</v>
      </c>
      <c r="I320" s="12" t="b">
        <v>0</v>
      </c>
    </row>
    <row r="321" spans="1:9" x14ac:dyDescent="0.25">
      <c r="A321" s="12">
        <v>320</v>
      </c>
      <c r="B321" s="12" t="s">
        <v>43</v>
      </c>
      <c r="C321" s="12" t="s">
        <v>1305</v>
      </c>
      <c r="D321" s="12" t="s">
        <v>14</v>
      </c>
      <c r="E321" s="12" t="s">
        <v>1306</v>
      </c>
      <c r="F321" s="12" t="s">
        <v>1307</v>
      </c>
      <c r="G321" s="12" t="b">
        <v>1</v>
      </c>
      <c r="H321" s="12" t="b">
        <v>1</v>
      </c>
      <c r="I321" s="12" t="b">
        <v>1</v>
      </c>
    </row>
    <row r="322" spans="1:9" x14ac:dyDescent="0.25">
      <c r="A322" s="12">
        <v>321</v>
      </c>
      <c r="B322" s="12" t="s">
        <v>1308</v>
      </c>
      <c r="C322" s="12" t="s">
        <v>1309</v>
      </c>
      <c r="D322" s="12" t="s">
        <v>45</v>
      </c>
      <c r="E322" s="12" t="s">
        <v>1310</v>
      </c>
      <c r="F322" s="12" t="s">
        <v>1311</v>
      </c>
      <c r="G322" s="12" t="b">
        <v>0</v>
      </c>
      <c r="H322" s="12" t="b">
        <v>0</v>
      </c>
      <c r="I322" s="12" t="b">
        <v>0</v>
      </c>
    </row>
    <row r="323" spans="1:9" x14ac:dyDescent="0.25">
      <c r="A323" s="12">
        <v>322</v>
      </c>
      <c r="B323" s="12" t="s">
        <v>94</v>
      </c>
      <c r="C323" s="12" t="s">
        <v>1312</v>
      </c>
      <c r="D323" s="12" t="s">
        <v>14</v>
      </c>
      <c r="E323" s="12" t="s">
        <v>1313</v>
      </c>
      <c r="F323" s="12" t="s">
        <v>1314</v>
      </c>
      <c r="G323" s="12" t="b">
        <v>0</v>
      </c>
      <c r="H323" s="12" t="b">
        <v>1</v>
      </c>
      <c r="I323" s="12" t="b">
        <v>1</v>
      </c>
    </row>
    <row r="324" spans="1:9" x14ac:dyDescent="0.25">
      <c r="A324" s="12">
        <v>323</v>
      </c>
      <c r="B324" s="12" t="s">
        <v>19</v>
      </c>
      <c r="C324" s="12" t="s">
        <v>1315</v>
      </c>
      <c r="D324" s="12" t="s">
        <v>14</v>
      </c>
      <c r="E324" s="12" t="s">
        <v>1316</v>
      </c>
      <c r="F324" s="12" t="s">
        <v>1122</v>
      </c>
      <c r="G324" s="12" t="b">
        <v>1</v>
      </c>
      <c r="H324" s="12" t="b">
        <v>1</v>
      </c>
      <c r="I324" s="12" t="b">
        <v>1</v>
      </c>
    </row>
    <row r="325" spans="1:9" x14ac:dyDescent="0.25">
      <c r="A325" s="12">
        <v>324</v>
      </c>
      <c r="B325" s="12" t="s">
        <v>1317</v>
      </c>
      <c r="C325" s="12" t="s">
        <v>1318</v>
      </c>
      <c r="D325" s="12" t="s">
        <v>14</v>
      </c>
      <c r="E325" s="12" t="s">
        <v>1319</v>
      </c>
      <c r="F325" s="12" t="s">
        <v>1320</v>
      </c>
      <c r="G325" s="12" t="b">
        <v>0</v>
      </c>
      <c r="H325" s="12" t="b">
        <v>0</v>
      </c>
      <c r="I325" s="12" t="b">
        <v>0</v>
      </c>
    </row>
    <row r="326" spans="1:9" x14ac:dyDescent="0.25">
      <c r="A326" s="12">
        <v>325</v>
      </c>
      <c r="B326" s="12" t="s">
        <v>237</v>
      </c>
      <c r="C326" s="12" t="s">
        <v>1321</v>
      </c>
      <c r="D326" s="12" t="s">
        <v>14</v>
      </c>
      <c r="E326" s="12" t="s">
        <v>1322</v>
      </c>
      <c r="F326" s="12" t="s">
        <v>328</v>
      </c>
      <c r="G326" s="12" t="b">
        <v>1</v>
      </c>
      <c r="H326" s="12" t="b">
        <v>1</v>
      </c>
      <c r="I326" s="12" t="b">
        <v>1</v>
      </c>
    </row>
    <row r="327" spans="1:9" x14ac:dyDescent="0.25">
      <c r="A327" s="12">
        <v>326</v>
      </c>
      <c r="B327" s="12" t="s">
        <v>1323</v>
      </c>
      <c r="C327" s="12" t="s">
        <v>1324</v>
      </c>
      <c r="D327" s="12" t="s">
        <v>10</v>
      </c>
      <c r="E327" s="12" t="s">
        <v>1325</v>
      </c>
      <c r="F327" s="12" t="s">
        <v>479</v>
      </c>
      <c r="G327" s="12" t="b">
        <v>0</v>
      </c>
      <c r="H327" s="12" t="b">
        <v>1</v>
      </c>
      <c r="I327" s="12" t="b">
        <v>1</v>
      </c>
    </row>
    <row r="328" spans="1:9" x14ac:dyDescent="0.25">
      <c r="A328" s="12">
        <v>327</v>
      </c>
      <c r="B328" s="12" t="s">
        <v>59</v>
      </c>
      <c r="C328" s="12" t="s">
        <v>1326</v>
      </c>
      <c r="D328" s="12" t="s">
        <v>45</v>
      </c>
      <c r="E328" s="12" t="s">
        <v>1327</v>
      </c>
      <c r="F328" s="12" t="s">
        <v>1290</v>
      </c>
      <c r="G328" s="12" t="b">
        <v>0</v>
      </c>
      <c r="H328" s="12" t="b">
        <v>0</v>
      </c>
      <c r="I328" s="12" t="b">
        <v>0</v>
      </c>
    </row>
    <row r="329" spans="1:9" x14ac:dyDescent="0.25">
      <c r="A329" s="12">
        <v>328</v>
      </c>
      <c r="B329" s="12" t="s">
        <v>148</v>
      </c>
      <c r="C329" s="12" t="s">
        <v>1328</v>
      </c>
      <c r="D329" s="12" t="s">
        <v>14</v>
      </c>
      <c r="E329" s="12" t="s">
        <v>1329</v>
      </c>
      <c r="F329" s="12" t="s">
        <v>573</v>
      </c>
      <c r="G329" s="12" t="b">
        <v>0</v>
      </c>
      <c r="H329" s="12" t="b">
        <v>1</v>
      </c>
      <c r="I329" s="12" t="b">
        <v>1</v>
      </c>
    </row>
    <row r="330" spans="1:9" x14ac:dyDescent="0.25">
      <c r="A330" s="12">
        <v>329</v>
      </c>
      <c r="B330" s="12" t="s">
        <v>1330</v>
      </c>
      <c r="C330" s="12" t="s">
        <v>1331</v>
      </c>
      <c r="D330" s="12" t="s">
        <v>45</v>
      </c>
      <c r="E330" s="12" t="s">
        <v>1332</v>
      </c>
      <c r="F330" s="12" t="s">
        <v>1333</v>
      </c>
      <c r="G330" s="12" t="b">
        <v>0</v>
      </c>
      <c r="H330" s="12" t="b">
        <v>1</v>
      </c>
      <c r="I330" s="12" t="b">
        <v>1</v>
      </c>
    </row>
    <row r="331" spans="1:9" x14ac:dyDescent="0.25">
      <c r="A331" s="12">
        <v>330</v>
      </c>
      <c r="B331" s="12" t="s">
        <v>1334</v>
      </c>
      <c r="C331" s="12" t="s">
        <v>1335</v>
      </c>
      <c r="D331" s="12" t="s">
        <v>45</v>
      </c>
      <c r="E331" s="12" t="s">
        <v>1336</v>
      </c>
      <c r="F331" s="12" t="s">
        <v>732</v>
      </c>
      <c r="G331" s="12" t="b">
        <v>0</v>
      </c>
      <c r="H331" s="12" t="b">
        <v>1</v>
      </c>
      <c r="I331" s="12" t="b">
        <v>1</v>
      </c>
    </row>
    <row r="332" spans="1:9" x14ac:dyDescent="0.25">
      <c r="A332" s="12">
        <v>331</v>
      </c>
      <c r="B332" s="12" t="s">
        <v>1337</v>
      </c>
      <c r="C332" s="12" t="s">
        <v>1338</v>
      </c>
      <c r="D332" s="12" t="s">
        <v>14</v>
      </c>
      <c r="E332" s="12" t="s">
        <v>1339</v>
      </c>
      <c r="F332" s="12" t="s">
        <v>1340</v>
      </c>
      <c r="G332" s="12" t="b">
        <v>0</v>
      </c>
      <c r="H332" s="12" t="b">
        <v>1</v>
      </c>
      <c r="I332" s="12" t="b">
        <v>1</v>
      </c>
    </row>
    <row r="333" spans="1:9" x14ac:dyDescent="0.25">
      <c r="A333" s="12">
        <v>332</v>
      </c>
      <c r="B333" s="12" t="s">
        <v>1341</v>
      </c>
      <c r="C333" s="12" t="s">
        <v>1342</v>
      </c>
      <c r="D333" s="12" t="s">
        <v>45</v>
      </c>
      <c r="E333" s="12" t="s">
        <v>1343</v>
      </c>
      <c r="F333" s="12" t="s">
        <v>1344</v>
      </c>
      <c r="G333" s="12" t="b">
        <v>0</v>
      </c>
      <c r="H333" s="12" t="b">
        <v>1</v>
      </c>
      <c r="I333" s="12" t="b">
        <v>1</v>
      </c>
    </row>
    <row r="334" spans="1:9" x14ac:dyDescent="0.25">
      <c r="A334" s="12">
        <v>333</v>
      </c>
      <c r="B334" s="12" t="s">
        <v>238</v>
      </c>
      <c r="C334" s="12" t="s">
        <v>1345</v>
      </c>
      <c r="D334" s="12" t="s">
        <v>14</v>
      </c>
      <c r="E334" s="12" t="s">
        <v>1346</v>
      </c>
      <c r="F334" s="12" t="s">
        <v>1347</v>
      </c>
      <c r="G334" s="12" t="b">
        <v>1</v>
      </c>
      <c r="H334" s="12" t="b">
        <v>1</v>
      </c>
      <c r="I334" s="12" t="b">
        <v>1</v>
      </c>
    </row>
    <row r="335" spans="1:9" x14ac:dyDescent="0.25">
      <c r="A335" s="12">
        <v>334</v>
      </c>
      <c r="B335" s="12" t="s">
        <v>1348</v>
      </c>
      <c r="C335" s="12" t="s">
        <v>1349</v>
      </c>
      <c r="D335" s="12" t="s">
        <v>14</v>
      </c>
      <c r="E335" s="12" t="s">
        <v>1350</v>
      </c>
      <c r="F335" s="12" t="s">
        <v>732</v>
      </c>
      <c r="G335" s="12" t="b">
        <v>0</v>
      </c>
      <c r="H335" s="12" t="b">
        <v>1</v>
      </c>
      <c r="I335" s="12" t="b">
        <v>1</v>
      </c>
    </row>
    <row r="336" spans="1:9" x14ac:dyDescent="0.25">
      <c r="A336" s="12">
        <v>335</v>
      </c>
      <c r="B336" s="12" t="s">
        <v>1351</v>
      </c>
      <c r="C336" s="12" t="s">
        <v>1352</v>
      </c>
      <c r="D336" s="12" t="s">
        <v>45</v>
      </c>
      <c r="E336" s="12" t="s">
        <v>1353</v>
      </c>
      <c r="F336" s="12" t="s">
        <v>1354</v>
      </c>
      <c r="G336" s="12" t="b">
        <v>0</v>
      </c>
      <c r="H336" s="12" t="b">
        <v>0</v>
      </c>
      <c r="I336" s="12" t="b">
        <v>0</v>
      </c>
    </row>
    <row r="337" spans="1:9" x14ac:dyDescent="0.25">
      <c r="A337" s="12">
        <v>336</v>
      </c>
      <c r="B337" s="12" t="s">
        <v>175</v>
      </c>
      <c r="C337" s="12" t="s">
        <v>1355</v>
      </c>
      <c r="D337" s="12" t="s">
        <v>45</v>
      </c>
      <c r="E337" s="12" t="s">
        <v>1356</v>
      </c>
      <c r="F337" s="12" t="s">
        <v>1357</v>
      </c>
      <c r="G337" s="12" t="b">
        <v>0</v>
      </c>
      <c r="H337" s="12" t="b">
        <v>1</v>
      </c>
      <c r="I337" s="12" t="b">
        <v>1</v>
      </c>
    </row>
    <row r="338" spans="1:9" x14ac:dyDescent="0.25">
      <c r="A338" s="12">
        <v>337</v>
      </c>
      <c r="B338" s="12" t="s">
        <v>1358</v>
      </c>
      <c r="C338" s="12" t="s">
        <v>1359</v>
      </c>
      <c r="D338" s="12" t="s">
        <v>14</v>
      </c>
      <c r="E338" s="12" t="s">
        <v>1360</v>
      </c>
      <c r="F338" s="12" t="s">
        <v>698</v>
      </c>
      <c r="G338" s="12" t="b">
        <v>0</v>
      </c>
      <c r="H338" s="12" t="b">
        <v>1</v>
      </c>
      <c r="I338" s="12" t="b">
        <v>1</v>
      </c>
    </row>
    <row r="339" spans="1:9" x14ac:dyDescent="0.25">
      <c r="A339" s="12">
        <v>338</v>
      </c>
      <c r="B339" s="12" t="s">
        <v>108</v>
      </c>
      <c r="C339" s="12" t="s">
        <v>1361</v>
      </c>
      <c r="D339" s="12" t="s">
        <v>10</v>
      </c>
      <c r="E339" s="12" t="s">
        <v>1362</v>
      </c>
      <c r="F339" s="12" t="s">
        <v>1363</v>
      </c>
      <c r="G339" s="12" t="b">
        <v>0</v>
      </c>
      <c r="H339" s="12" t="b">
        <v>1</v>
      </c>
      <c r="I339" s="12" t="b">
        <v>1</v>
      </c>
    </row>
    <row r="340" spans="1:9" x14ac:dyDescent="0.25">
      <c r="A340" s="12">
        <v>339</v>
      </c>
      <c r="B340" s="12" t="s">
        <v>239</v>
      </c>
      <c r="C340" s="12" t="s">
        <v>1364</v>
      </c>
      <c r="D340" s="12" t="s">
        <v>14</v>
      </c>
      <c r="E340" s="12" t="s">
        <v>1365</v>
      </c>
      <c r="F340" s="12" t="s">
        <v>1366</v>
      </c>
      <c r="G340" s="12" t="b">
        <v>1</v>
      </c>
      <c r="H340" s="12" t="b">
        <v>1</v>
      </c>
      <c r="I340" s="12" t="b">
        <v>1</v>
      </c>
    </row>
    <row r="341" spans="1:9" x14ac:dyDescent="0.25">
      <c r="A341" s="12">
        <v>340</v>
      </c>
      <c r="B341" s="12" t="s">
        <v>240</v>
      </c>
      <c r="C341" s="12" t="s">
        <v>1367</v>
      </c>
      <c r="D341" s="12" t="s">
        <v>14</v>
      </c>
      <c r="E341" s="12" t="s">
        <v>1368</v>
      </c>
      <c r="F341" s="12" t="s">
        <v>334</v>
      </c>
      <c r="G341" s="12" t="b">
        <v>1</v>
      </c>
      <c r="H341" s="12" t="b">
        <v>1</v>
      </c>
      <c r="I341" s="12" t="b">
        <v>1</v>
      </c>
    </row>
    <row r="342" spans="1:9" x14ac:dyDescent="0.25">
      <c r="A342" s="12">
        <v>341</v>
      </c>
      <c r="B342" s="12" t="s">
        <v>1369</v>
      </c>
      <c r="C342" s="12" t="s">
        <v>1370</v>
      </c>
      <c r="D342" s="12" t="s">
        <v>14</v>
      </c>
      <c r="E342" s="12" t="s">
        <v>1371</v>
      </c>
      <c r="F342" s="12" t="s">
        <v>1372</v>
      </c>
      <c r="G342" s="12" t="b">
        <v>0</v>
      </c>
      <c r="H342" s="12" t="b">
        <v>1</v>
      </c>
      <c r="I342" s="12" t="b">
        <v>1</v>
      </c>
    </row>
    <row r="343" spans="1:9" x14ac:dyDescent="0.25">
      <c r="A343" s="12">
        <v>342</v>
      </c>
      <c r="B343" s="12" t="s">
        <v>1373</v>
      </c>
      <c r="C343" s="12" t="s">
        <v>1374</v>
      </c>
      <c r="D343" s="12" t="s">
        <v>10</v>
      </c>
      <c r="E343" s="12" t="s">
        <v>1375</v>
      </c>
      <c r="F343" s="12" t="s">
        <v>1036</v>
      </c>
      <c r="G343" s="12" t="b">
        <v>0</v>
      </c>
      <c r="H343" s="12" t="b">
        <v>1</v>
      </c>
      <c r="I343" s="12" t="b">
        <v>1</v>
      </c>
    </row>
    <row r="344" spans="1:9" x14ac:dyDescent="0.25">
      <c r="A344" s="12">
        <v>343</v>
      </c>
      <c r="B344" s="12" t="s">
        <v>1376</v>
      </c>
      <c r="C344" s="12" t="s">
        <v>1377</v>
      </c>
      <c r="D344" s="12" t="s">
        <v>14</v>
      </c>
      <c r="E344" s="12" t="s">
        <v>1378</v>
      </c>
      <c r="F344" s="12" t="s">
        <v>1379</v>
      </c>
      <c r="G344" s="12" t="b">
        <v>0</v>
      </c>
      <c r="H344" s="12" t="b">
        <v>0</v>
      </c>
      <c r="I344" s="12" t="b">
        <v>0</v>
      </c>
    </row>
    <row r="345" spans="1:9" x14ac:dyDescent="0.25">
      <c r="A345" s="12">
        <v>344</v>
      </c>
      <c r="B345" s="12" t="s">
        <v>1380</v>
      </c>
      <c r="C345" s="12" t="s">
        <v>1381</v>
      </c>
      <c r="D345" s="12" t="s">
        <v>10</v>
      </c>
      <c r="E345" s="12" t="s">
        <v>1382</v>
      </c>
      <c r="F345" s="12" t="s">
        <v>1383</v>
      </c>
      <c r="G345" s="12" t="b">
        <v>0</v>
      </c>
      <c r="H345" s="12" t="b">
        <v>1</v>
      </c>
      <c r="I345" s="12" t="b">
        <v>1</v>
      </c>
    </row>
    <row r="346" spans="1:9" x14ac:dyDescent="0.25">
      <c r="A346" s="12">
        <v>345</v>
      </c>
      <c r="B346" s="12" t="s">
        <v>1384</v>
      </c>
      <c r="C346" s="12" t="s">
        <v>1385</v>
      </c>
      <c r="D346" s="12" t="s">
        <v>10</v>
      </c>
      <c r="E346" s="12" t="s">
        <v>1386</v>
      </c>
      <c r="F346" s="12" t="s">
        <v>702</v>
      </c>
      <c r="G346" s="12" t="b">
        <v>0</v>
      </c>
      <c r="H346" s="12" t="b">
        <v>0</v>
      </c>
      <c r="I346" s="12" t="b">
        <v>0</v>
      </c>
    </row>
    <row r="347" spans="1:9" x14ac:dyDescent="0.25">
      <c r="A347" s="12">
        <v>346</v>
      </c>
      <c r="B347" s="12" t="s">
        <v>241</v>
      </c>
      <c r="C347" s="12" t="s">
        <v>1387</v>
      </c>
      <c r="D347" s="12" t="s">
        <v>10</v>
      </c>
      <c r="E347" s="12" t="s">
        <v>1388</v>
      </c>
      <c r="F347" s="12" t="s">
        <v>1389</v>
      </c>
      <c r="G347" s="12" t="b">
        <v>1</v>
      </c>
      <c r="H347" s="12" t="b">
        <v>1</v>
      </c>
      <c r="I347" s="12" t="b">
        <v>1</v>
      </c>
    </row>
    <row r="348" spans="1:9" x14ac:dyDescent="0.25">
      <c r="A348" s="12">
        <v>347</v>
      </c>
      <c r="B348" s="12" t="s">
        <v>136</v>
      </c>
      <c r="C348" s="12" t="s">
        <v>1390</v>
      </c>
      <c r="D348" s="12" t="s">
        <v>14</v>
      </c>
      <c r="E348" s="12" t="s">
        <v>1391</v>
      </c>
      <c r="F348" s="12" t="s">
        <v>1392</v>
      </c>
      <c r="G348" s="12" t="b">
        <v>0</v>
      </c>
      <c r="H348" s="12" t="b">
        <v>1</v>
      </c>
      <c r="I348" s="12" t="b">
        <v>1</v>
      </c>
    </row>
    <row r="349" spans="1:9" x14ac:dyDescent="0.25">
      <c r="A349" s="12">
        <v>348</v>
      </c>
      <c r="B349" s="12" t="s">
        <v>242</v>
      </c>
      <c r="C349" s="12" t="s">
        <v>1393</v>
      </c>
      <c r="D349" s="12" t="s">
        <v>14</v>
      </c>
      <c r="E349" s="12" t="s">
        <v>1394</v>
      </c>
      <c r="F349" s="12" t="s">
        <v>1395</v>
      </c>
      <c r="G349" s="12" t="b">
        <v>1</v>
      </c>
      <c r="H349" s="12" t="b">
        <v>1</v>
      </c>
      <c r="I349" s="12" t="b">
        <v>1</v>
      </c>
    </row>
    <row r="350" spans="1:9" x14ac:dyDescent="0.25">
      <c r="A350" s="12">
        <v>349</v>
      </c>
      <c r="B350" s="12" t="s">
        <v>1396</v>
      </c>
      <c r="C350" s="12" t="s">
        <v>1397</v>
      </c>
      <c r="D350" s="12" t="s">
        <v>10</v>
      </c>
      <c r="E350" s="12" t="s">
        <v>1398</v>
      </c>
      <c r="F350" s="12" t="s">
        <v>1399</v>
      </c>
      <c r="G350" s="12" t="b">
        <v>0</v>
      </c>
      <c r="H350" s="12" t="b">
        <v>1</v>
      </c>
      <c r="I350" s="12" t="b">
        <v>1</v>
      </c>
    </row>
    <row r="351" spans="1:9" x14ac:dyDescent="0.25">
      <c r="A351" s="12">
        <v>350</v>
      </c>
      <c r="B351" s="12" t="s">
        <v>1400</v>
      </c>
      <c r="C351" s="12" t="s">
        <v>1401</v>
      </c>
      <c r="D351" s="12" t="s">
        <v>10</v>
      </c>
      <c r="E351" s="12" t="s">
        <v>1402</v>
      </c>
      <c r="F351" s="12" t="s">
        <v>1399</v>
      </c>
      <c r="G351" s="12" t="b">
        <v>0</v>
      </c>
      <c r="H351" s="12" t="b">
        <v>1</v>
      </c>
      <c r="I351" s="12" t="b">
        <v>1</v>
      </c>
    </row>
    <row r="352" spans="1:9" x14ac:dyDescent="0.25">
      <c r="A352" s="12">
        <v>351</v>
      </c>
      <c r="B352" s="12" t="s">
        <v>1403</v>
      </c>
      <c r="C352" s="12" t="s">
        <v>1404</v>
      </c>
      <c r="D352" s="12" t="s">
        <v>14</v>
      </c>
      <c r="E352" s="12" t="s">
        <v>1405</v>
      </c>
      <c r="F352" s="12" t="s">
        <v>1406</v>
      </c>
      <c r="G352" s="12" t="b">
        <v>1</v>
      </c>
      <c r="H352" s="12" t="b">
        <v>0</v>
      </c>
      <c r="I352" s="12" t="b">
        <v>0</v>
      </c>
    </row>
    <row r="353" spans="1:9" x14ac:dyDescent="0.25">
      <c r="A353" s="12">
        <v>352</v>
      </c>
      <c r="B353" s="12" t="s">
        <v>1407</v>
      </c>
      <c r="C353" s="12" t="s">
        <v>1408</v>
      </c>
      <c r="D353" s="12" t="s">
        <v>45</v>
      </c>
      <c r="E353" s="12" t="s">
        <v>1409</v>
      </c>
      <c r="F353" s="12" t="s">
        <v>1410</v>
      </c>
      <c r="G353" s="12" t="b">
        <v>0</v>
      </c>
      <c r="H353" s="12" t="b">
        <v>0</v>
      </c>
      <c r="I353" s="12" t="b">
        <v>0</v>
      </c>
    </row>
    <row r="354" spans="1:9" x14ac:dyDescent="0.25">
      <c r="A354" s="12">
        <v>353</v>
      </c>
      <c r="B354" s="12" t="s">
        <v>243</v>
      </c>
      <c r="C354" s="12" t="s">
        <v>1411</v>
      </c>
      <c r="D354" s="12" t="s">
        <v>14</v>
      </c>
      <c r="E354" s="12" t="s">
        <v>1412</v>
      </c>
      <c r="F354" s="12" t="s">
        <v>1413</v>
      </c>
      <c r="G354" s="12" t="b">
        <v>1</v>
      </c>
      <c r="H354" s="12" t="b">
        <v>1</v>
      </c>
      <c r="I354" s="12" t="b">
        <v>1</v>
      </c>
    </row>
    <row r="355" spans="1:9" x14ac:dyDescent="0.25">
      <c r="A355" s="12">
        <v>354</v>
      </c>
      <c r="B355" s="12" t="s">
        <v>1414</v>
      </c>
      <c r="C355" s="12" t="s">
        <v>1415</v>
      </c>
      <c r="D355" s="12" t="s">
        <v>45</v>
      </c>
      <c r="E355" s="12" t="s">
        <v>1416</v>
      </c>
      <c r="F355" s="12" t="s">
        <v>1417</v>
      </c>
      <c r="G355" s="12" t="b">
        <v>0</v>
      </c>
      <c r="H355" s="12" t="b">
        <v>1</v>
      </c>
      <c r="I355" s="12" t="b">
        <v>1</v>
      </c>
    </row>
    <row r="356" spans="1:9" x14ac:dyDescent="0.25">
      <c r="A356" s="12">
        <v>355</v>
      </c>
      <c r="B356" s="12" t="s">
        <v>1418</v>
      </c>
      <c r="C356" s="12" t="s">
        <v>1419</v>
      </c>
      <c r="D356" s="12" t="s">
        <v>14</v>
      </c>
      <c r="E356" s="12" t="s">
        <v>1420</v>
      </c>
      <c r="F356" s="12" t="s">
        <v>1421</v>
      </c>
      <c r="G356" s="12" t="b">
        <v>0</v>
      </c>
      <c r="H356" s="12" t="b">
        <v>0</v>
      </c>
      <c r="I356" s="12" t="b">
        <v>0</v>
      </c>
    </row>
    <row r="357" spans="1:9" x14ac:dyDescent="0.25">
      <c r="A357" s="12">
        <v>356</v>
      </c>
      <c r="B357" s="12" t="s">
        <v>1422</v>
      </c>
      <c r="C357" s="12" t="s">
        <v>1423</v>
      </c>
      <c r="D357" s="12" t="s">
        <v>14</v>
      </c>
      <c r="E357" s="12" t="s">
        <v>1424</v>
      </c>
      <c r="F357" s="12" t="s">
        <v>1425</v>
      </c>
      <c r="G357" s="12" t="b">
        <v>1</v>
      </c>
      <c r="H357" s="12" t="b">
        <v>0</v>
      </c>
      <c r="I357" s="12" t="b">
        <v>0</v>
      </c>
    </row>
    <row r="358" spans="1:9" x14ac:dyDescent="0.25">
      <c r="A358" s="12">
        <v>357</v>
      </c>
      <c r="B358" s="12" t="s">
        <v>1426</v>
      </c>
      <c r="C358" s="12" t="s">
        <v>1427</v>
      </c>
      <c r="D358" s="12" t="s">
        <v>14</v>
      </c>
      <c r="E358" s="12" t="s">
        <v>1428</v>
      </c>
      <c r="F358" s="12" t="s">
        <v>1429</v>
      </c>
      <c r="G358" s="12" t="b">
        <v>0</v>
      </c>
      <c r="H358" s="12" t="b">
        <v>0</v>
      </c>
      <c r="I358" s="12" t="b">
        <v>0</v>
      </c>
    </row>
    <row r="359" spans="1:9" x14ac:dyDescent="0.25">
      <c r="A359" s="12">
        <v>358</v>
      </c>
      <c r="B359" s="12" t="s">
        <v>130</v>
      </c>
      <c r="C359" s="12" t="s">
        <v>1430</v>
      </c>
      <c r="D359" s="12" t="s">
        <v>45</v>
      </c>
      <c r="E359" s="12" t="s">
        <v>1431</v>
      </c>
      <c r="F359" s="12" t="s">
        <v>1432</v>
      </c>
      <c r="G359" s="12" t="b">
        <v>1</v>
      </c>
      <c r="H359" s="12" t="b">
        <v>0</v>
      </c>
      <c r="I359" s="12" t="b">
        <v>0</v>
      </c>
    </row>
    <row r="360" spans="1:9" x14ac:dyDescent="0.25">
      <c r="A360" s="12">
        <v>359</v>
      </c>
      <c r="B360" s="12" t="s">
        <v>244</v>
      </c>
      <c r="C360" s="12" t="s">
        <v>1433</v>
      </c>
      <c r="D360" s="12" t="s">
        <v>10</v>
      </c>
      <c r="E360" s="12" t="s">
        <v>1434</v>
      </c>
      <c r="F360" s="12" t="s">
        <v>1435</v>
      </c>
      <c r="G360" s="12" t="b">
        <v>1</v>
      </c>
      <c r="H360" s="12" t="b">
        <v>1</v>
      </c>
      <c r="I360" s="12" t="b">
        <v>1</v>
      </c>
    </row>
    <row r="361" spans="1:9" x14ac:dyDescent="0.25">
      <c r="A361" s="12">
        <v>360</v>
      </c>
      <c r="B361" s="12" t="s">
        <v>245</v>
      </c>
      <c r="C361" s="12" t="s">
        <v>1436</v>
      </c>
      <c r="D361" s="12" t="s">
        <v>14</v>
      </c>
      <c r="E361" s="12" t="s">
        <v>1437</v>
      </c>
      <c r="F361" s="12" t="s">
        <v>1438</v>
      </c>
      <c r="G361" s="12" t="b">
        <v>1</v>
      </c>
      <c r="H361" s="12" t="b">
        <v>0</v>
      </c>
      <c r="I361" s="12" t="b">
        <v>0</v>
      </c>
    </row>
    <row r="362" spans="1:9" x14ac:dyDescent="0.25">
      <c r="A362" s="12">
        <v>361</v>
      </c>
      <c r="B362" s="12" t="s">
        <v>246</v>
      </c>
      <c r="C362" s="12" t="s">
        <v>1439</v>
      </c>
      <c r="D362" s="12" t="s">
        <v>14</v>
      </c>
      <c r="E362" s="12" t="s">
        <v>1440</v>
      </c>
      <c r="F362" s="12" t="s">
        <v>515</v>
      </c>
      <c r="G362" s="12" t="b">
        <v>1</v>
      </c>
      <c r="H362" s="12" t="b">
        <v>1</v>
      </c>
      <c r="I362" s="12" t="b">
        <v>1</v>
      </c>
    </row>
    <row r="363" spans="1:9" x14ac:dyDescent="0.25">
      <c r="A363" s="12">
        <v>362</v>
      </c>
      <c r="B363" s="12" t="s">
        <v>247</v>
      </c>
      <c r="C363" s="12" t="s">
        <v>1441</v>
      </c>
      <c r="D363" s="12" t="s">
        <v>14</v>
      </c>
      <c r="E363" s="12" t="s">
        <v>1442</v>
      </c>
      <c r="F363" s="12" t="s">
        <v>1443</v>
      </c>
      <c r="G363" s="12" t="b">
        <v>1</v>
      </c>
      <c r="H363" s="12" t="b">
        <v>1</v>
      </c>
      <c r="I363" s="12" t="b">
        <v>1</v>
      </c>
    </row>
    <row r="364" spans="1:9" x14ac:dyDescent="0.25">
      <c r="A364" s="12">
        <v>363</v>
      </c>
      <c r="B364" s="12" t="s">
        <v>1444</v>
      </c>
      <c r="C364" s="12" t="s">
        <v>1445</v>
      </c>
      <c r="D364" s="12" t="s">
        <v>45</v>
      </c>
      <c r="E364" s="12" t="s">
        <v>1446</v>
      </c>
      <c r="F364" s="12" t="s">
        <v>1447</v>
      </c>
      <c r="G364" s="12" t="b">
        <v>0</v>
      </c>
      <c r="H364" s="12" t="b">
        <v>1</v>
      </c>
      <c r="I364" s="12" t="b">
        <v>1</v>
      </c>
    </row>
    <row r="365" spans="1:9" x14ac:dyDescent="0.25">
      <c r="A365" s="12">
        <v>364</v>
      </c>
      <c r="B365" s="12" t="s">
        <v>248</v>
      </c>
      <c r="C365" s="12" t="s">
        <v>1448</v>
      </c>
      <c r="D365" s="12" t="s">
        <v>14</v>
      </c>
      <c r="E365" s="12" t="s">
        <v>1449</v>
      </c>
      <c r="F365" s="12" t="s">
        <v>1450</v>
      </c>
      <c r="G365" s="12" t="b">
        <v>1</v>
      </c>
      <c r="H365" s="12" t="b">
        <v>1</v>
      </c>
      <c r="I365" s="12" t="b">
        <v>1</v>
      </c>
    </row>
    <row r="366" spans="1:9" x14ac:dyDescent="0.25">
      <c r="A366" s="12">
        <v>365</v>
      </c>
      <c r="B366" s="12" t="s">
        <v>1451</v>
      </c>
      <c r="C366" s="12" t="s">
        <v>1452</v>
      </c>
      <c r="D366" s="12" t="s">
        <v>14</v>
      </c>
      <c r="E366" s="12" t="s">
        <v>1453</v>
      </c>
      <c r="F366" s="12" t="s">
        <v>1454</v>
      </c>
      <c r="G366" s="12" t="b">
        <v>0</v>
      </c>
      <c r="H366" s="12" t="b">
        <v>0</v>
      </c>
      <c r="I366" s="12" t="b">
        <v>0</v>
      </c>
    </row>
    <row r="367" spans="1:9" x14ac:dyDescent="0.25">
      <c r="A367" s="12">
        <v>366</v>
      </c>
      <c r="B367" s="12" t="s">
        <v>249</v>
      </c>
      <c r="C367" s="12" t="s">
        <v>1455</v>
      </c>
      <c r="D367" s="12" t="s">
        <v>14</v>
      </c>
      <c r="E367" s="12" t="s">
        <v>1456</v>
      </c>
      <c r="F367" s="12" t="s">
        <v>658</v>
      </c>
      <c r="G367" s="12" t="b">
        <v>1</v>
      </c>
      <c r="H367" s="12" t="b">
        <v>1</v>
      </c>
      <c r="I367" s="12" t="b">
        <v>1</v>
      </c>
    </row>
    <row r="368" spans="1:9" x14ac:dyDescent="0.25">
      <c r="A368" s="12">
        <v>367</v>
      </c>
      <c r="B368" s="12" t="s">
        <v>1457</v>
      </c>
      <c r="C368" s="12" t="s">
        <v>1458</v>
      </c>
      <c r="D368" s="12" t="s">
        <v>10</v>
      </c>
      <c r="E368" s="12" t="s">
        <v>1459</v>
      </c>
      <c r="F368" s="12" t="s">
        <v>537</v>
      </c>
      <c r="G368" s="12" t="b">
        <v>0</v>
      </c>
      <c r="H368" s="12" t="b">
        <v>1</v>
      </c>
      <c r="I368" s="12" t="b">
        <v>1</v>
      </c>
    </row>
    <row r="369" spans="1:9" x14ac:dyDescent="0.25">
      <c r="A369" s="12">
        <v>368</v>
      </c>
      <c r="B369" s="12" t="s">
        <v>1460</v>
      </c>
      <c r="C369" s="12" t="s">
        <v>1461</v>
      </c>
      <c r="D369" s="12" t="s">
        <v>14</v>
      </c>
      <c r="E369" s="12" t="s">
        <v>1462</v>
      </c>
      <c r="F369" s="12" t="s">
        <v>1463</v>
      </c>
      <c r="G369" s="12" t="b">
        <v>0</v>
      </c>
      <c r="H369" s="12" t="b">
        <v>1</v>
      </c>
      <c r="I369" s="12" t="b">
        <v>1</v>
      </c>
    </row>
    <row r="370" spans="1:9" x14ac:dyDescent="0.25">
      <c r="A370" s="12">
        <v>369</v>
      </c>
      <c r="B370" s="12" t="s">
        <v>250</v>
      </c>
      <c r="C370" s="12" t="s">
        <v>1464</v>
      </c>
      <c r="D370" s="12" t="s">
        <v>14</v>
      </c>
      <c r="E370" s="12" t="s">
        <v>1465</v>
      </c>
      <c r="F370" s="12" t="s">
        <v>1466</v>
      </c>
      <c r="G370" s="12" t="b">
        <v>1</v>
      </c>
      <c r="H370" s="12" t="b">
        <v>1</v>
      </c>
      <c r="I370" s="12" t="b">
        <v>1</v>
      </c>
    </row>
    <row r="371" spans="1:9" x14ac:dyDescent="0.25">
      <c r="A371" s="12">
        <v>370</v>
      </c>
      <c r="B371" s="12" t="s">
        <v>251</v>
      </c>
      <c r="C371" s="12" t="s">
        <v>1467</v>
      </c>
      <c r="D371" s="12" t="s">
        <v>14</v>
      </c>
      <c r="E371" s="12" t="s">
        <v>1468</v>
      </c>
      <c r="F371" s="12" t="s">
        <v>1055</v>
      </c>
      <c r="G371" s="12" t="b">
        <v>1</v>
      </c>
      <c r="H371" s="12" t="b">
        <v>1</v>
      </c>
      <c r="I371" s="12" t="b">
        <v>1</v>
      </c>
    </row>
    <row r="372" spans="1:9" x14ac:dyDescent="0.25">
      <c r="A372" s="12">
        <v>371</v>
      </c>
      <c r="B372" s="12" t="s">
        <v>1469</v>
      </c>
      <c r="C372" s="12" t="s">
        <v>1470</v>
      </c>
      <c r="D372" s="12" t="s">
        <v>14</v>
      </c>
      <c r="E372" s="12" t="s">
        <v>1471</v>
      </c>
      <c r="F372" s="12" t="s">
        <v>414</v>
      </c>
      <c r="G372" s="12" t="b">
        <v>0</v>
      </c>
      <c r="H372" s="12" t="b">
        <v>1</v>
      </c>
      <c r="I372" s="12" t="b">
        <v>1</v>
      </c>
    </row>
    <row r="373" spans="1:9" x14ac:dyDescent="0.25">
      <c r="A373" s="12">
        <v>372</v>
      </c>
      <c r="B373" s="12" t="s">
        <v>1472</v>
      </c>
      <c r="C373" s="12" t="s">
        <v>1473</v>
      </c>
      <c r="D373" s="12" t="s">
        <v>14</v>
      </c>
      <c r="E373" s="12" t="s">
        <v>1474</v>
      </c>
      <c r="F373" s="12" t="s">
        <v>1475</v>
      </c>
      <c r="G373" s="12" t="b">
        <v>0</v>
      </c>
      <c r="H373" s="12" t="b">
        <v>0</v>
      </c>
      <c r="I373" s="12" t="b">
        <v>0</v>
      </c>
    </row>
    <row r="374" spans="1:9" x14ac:dyDescent="0.25">
      <c r="A374" s="12">
        <v>373</v>
      </c>
      <c r="B374" s="12" t="s">
        <v>133</v>
      </c>
      <c r="C374" s="12" t="s">
        <v>1476</v>
      </c>
      <c r="D374" s="12" t="s">
        <v>14</v>
      </c>
      <c r="E374" s="12" t="s">
        <v>1477</v>
      </c>
      <c r="F374" s="12" t="s">
        <v>1478</v>
      </c>
      <c r="G374" s="12" t="b">
        <v>0</v>
      </c>
      <c r="H374" s="12" t="b">
        <v>0</v>
      </c>
      <c r="I374" s="12" t="b">
        <v>0</v>
      </c>
    </row>
    <row r="375" spans="1:9" x14ac:dyDescent="0.25">
      <c r="A375" s="12">
        <v>374</v>
      </c>
      <c r="B375" s="12" t="s">
        <v>1479</v>
      </c>
      <c r="C375" s="12" t="s">
        <v>1480</v>
      </c>
      <c r="D375" s="12" t="s">
        <v>10</v>
      </c>
      <c r="E375" s="12" t="s">
        <v>1481</v>
      </c>
      <c r="F375" s="12" t="s">
        <v>1174</v>
      </c>
      <c r="G375" s="12" t="b">
        <v>0</v>
      </c>
      <c r="H375" s="12" t="b">
        <v>1</v>
      </c>
      <c r="I375" s="12" t="b">
        <v>1</v>
      </c>
    </row>
    <row r="376" spans="1:9" x14ac:dyDescent="0.25">
      <c r="A376" s="12">
        <v>375</v>
      </c>
      <c r="B376" s="12" t="s">
        <v>1482</v>
      </c>
      <c r="C376" s="12" t="s">
        <v>1483</v>
      </c>
      <c r="D376" s="12" t="s">
        <v>14</v>
      </c>
      <c r="E376" s="12" t="s">
        <v>1484</v>
      </c>
      <c r="F376" s="12" t="s">
        <v>1485</v>
      </c>
      <c r="G376" s="12" t="b">
        <v>0</v>
      </c>
      <c r="H376" s="12" t="b">
        <v>0</v>
      </c>
      <c r="I376" s="12" t="b">
        <v>0</v>
      </c>
    </row>
    <row r="377" spans="1:9" x14ac:dyDescent="0.25">
      <c r="A377" s="12">
        <v>376</v>
      </c>
      <c r="B377" s="12" t="s">
        <v>1486</v>
      </c>
      <c r="C377" s="12" t="s">
        <v>1487</v>
      </c>
      <c r="D377" s="12" t="s">
        <v>14</v>
      </c>
      <c r="E377" s="12" t="s">
        <v>1488</v>
      </c>
      <c r="F377" s="12" t="s">
        <v>464</v>
      </c>
      <c r="G377" s="12" t="b">
        <v>0</v>
      </c>
      <c r="H377" s="12" t="b">
        <v>1</v>
      </c>
      <c r="I377" s="12" t="b">
        <v>1</v>
      </c>
    </row>
    <row r="378" spans="1:9" x14ac:dyDescent="0.25">
      <c r="A378" s="12">
        <v>377</v>
      </c>
      <c r="B378" s="12" t="s">
        <v>99</v>
      </c>
      <c r="C378" s="12" t="s">
        <v>1489</v>
      </c>
      <c r="D378" s="12" t="s">
        <v>14</v>
      </c>
      <c r="E378" s="12" t="s">
        <v>1490</v>
      </c>
      <c r="F378" s="12" t="s">
        <v>681</v>
      </c>
      <c r="G378" s="12" t="b">
        <v>0</v>
      </c>
      <c r="H378" s="12" t="b">
        <v>1</v>
      </c>
      <c r="I378" s="12" t="b">
        <v>1</v>
      </c>
    </row>
    <row r="379" spans="1:9" x14ac:dyDescent="0.25">
      <c r="A379" s="12">
        <v>378</v>
      </c>
      <c r="B379" s="12" t="s">
        <v>51</v>
      </c>
      <c r="C379" s="12" t="s">
        <v>1491</v>
      </c>
      <c r="D379" s="12" t="s">
        <v>14</v>
      </c>
      <c r="E379" s="12" t="s">
        <v>1492</v>
      </c>
      <c r="F379" s="12" t="s">
        <v>1493</v>
      </c>
      <c r="G379" s="12" t="b">
        <v>0</v>
      </c>
      <c r="H379" s="12" t="b">
        <v>1</v>
      </c>
      <c r="I379" s="12" t="b">
        <v>1</v>
      </c>
    </row>
    <row r="380" spans="1:9" x14ac:dyDescent="0.25">
      <c r="A380" s="12">
        <v>379</v>
      </c>
      <c r="B380" s="12" t="s">
        <v>1494</v>
      </c>
      <c r="C380" s="12" t="s">
        <v>1495</v>
      </c>
      <c r="D380" s="12" t="s">
        <v>14</v>
      </c>
      <c r="E380" s="12" t="s">
        <v>1496</v>
      </c>
      <c r="F380" s="12" t="s">
        <v>1497</v>
      </c>
      <c r="G380" s="12" t="b">
        <v>1</v>
      </c>
      <c r="H380" s="12" t="b">
        <v>0</v>
      </c>
      <c r="I380" s="12" t="b">
        <v>0</v>
      </c>
    </row>
    <row r="381" spans="1:9" x14ac:dyDescent="0.25">
      <c r="A381" s="12">
        <v>380</v>
      </c>
      <c r="B381" s="12" t="s">
        <v>1498</v>
      </c>
      <c r="C381" s="12" t="s">
        <v>1499</v>
      </c>
      <c r="D381" s="12" t="s">
        <v>14</v>
      </c>
      <c r="E381" s="12" t="s">
        <v>1500</v>
      </c>
      <c r="F381" s="12" t="s">
        <v>1501</v>
      </c>
      <c r="G381" s="12" t="b">
        <v>0</v>
      </c>
      <c r="H381" s="12" t="b">
        <v>1</v>
      </c>
      <c r="I381" s="12" t="b">
        <v>1</v>
      </c>
    </row>
    <row r="382" spans="1:9" x14ac:dyDescent="0.25">
      <c r="A382" s="12">
        <v>381</v>
      </c>
      <c r="B382" s="12" t="s">
        <v>1502</v>
      </c>
      <c r="C382" s="12" t="s">
        <v>1503</v>
      </c>
      <c r="D382" s="12" t="s">
        <v>45</v>
      </c>
      <c r="E382" s="12" t="s">
        <v>1504</v>
      </c>
      <c r="F382" s="12" t="s">
        <v>1501</v>
      </c>
      <c r="G382" s="12" t="b">
        <v>0</v>
      </c>
      <c r="H382" s="12" t="b">
        <v>1</v>
      </c>
      <c r="I382" s="12" t="b">
        <v>1</v>
      </c>
    </row>
    <row r="383" spans="1:9" x14ac:dyDescent="0.25">
      <c r="A383" s="12">
        <v>382</v>
      </c>
      <c r="B383" s="12" t="s">
        <v>1505</v>
      </c>
      <c r="C383" s="12" t="s">
        <v>1506</v>
      </c>
      <c r="D383" s="12" t="s">
        <v>14</v>
      </c>
      <c r="E383" s="12" t="s">
        <v>1507</v>
      </c>
      <c r="F383" s="12" t="s">
        <v>1508</v>
      </c>
      <c r="G383" s="12" t="b">
        <v>0</v>
      </c>
      <c r="H383" s="12" t="b">
        <v>1</v>
      </c>
      <c r="I383" s="12" t="b">
        <v>1</v>
      </c>
    </row>
    <row r="384" spans="1:9" x14ac:dyDescent="0.25">
      <c r="A384" s="12">
        <v>383</v>
      </c>
      <c r="B384" s="12" t="s">
        <v>1509</v>
      </c>
      <c r="C384" s="12" t="s">
        <v>1510</v>
      </c>
      <c r="D384" s="12" t="s">
        <v>10</v>
      </c>
      <c r="E384" s="12" t="s">
        <v>1511</v>
      </c>
      <c r="F384" s="12" t="s">
        <v>1240</v>
      </c>
      <c r="G384" s="12" t="b">
        <v>0</v>
      </c>
      <c r="H384" s="12" t="b">
        <v>1</v>
      </c>
      <c r="I384" s="12" t="b">
        <v>1</v>
      </c>
    </row>
    <row r="385" spans="1:9" x14ac:dyDescent="0.25">
      <c r="A385" s="12">
        <v>384</v>
      </c>
      <c r="B385" s="12" t="s">
        <v>1512</v>
      </c>
      <c r="C385" s="12" t="s">
        <v>1513</v>
      </c>
      <c r="D385" s="12" t="s">
        <v>14</v>
      </c>
      <c r="E385" s="12" t="s">
        <v>1514</v>
      </c>
      <c r="F385" s="12" t="s">
        <v>1515</v>
      </c>
      <c r="G385" s="12" t="b">
        <v>0</v>
      </c>
      <c r="H385" s="12" t="b">
        <v>1</v>
      </c>
      <c r="I385" s="12" t="b">
        <v>1</v>
      </c>
    </row>
    <row r="386" spans="1:9" x14ac:dyDescent="0.25">
      <c r="A386" s="12">
        <v>385</v>
      </c>
      <c r="B386" s="12" t="s">
        <v>1516</v>
      </c>
      <c r="C386" s="12" t="s">
        <v>1517</v>
      </c>
      <c r="D386" s="12" t="s">
        <v>14</v>
      </c>
      <c r="E386" s="12" t="s">
        <v>1518</v>
      </c>
      <c r="F386" s="12" t="s">
        <v>1519</v>
      </c>
      <c r="G386" s="12" t="b">
        <v>0</v>
      </c>
      <c r="H386" s="12" t="b">
        <v>0</v>
      </c>
      <c r="I386" s="12" t="b">
        <v>0</v>
      </c>
    </row>
    <row r="387" spans="1:9" x14ac:dyDescent="0.25">
      <c r="A387" s="12">
        <v>386</v>
      </c>
      <c r="B387" s="12" t="s">
        <v>1520</v>
      </c>
      <c r="C387" s="12" t="s">
        <v>1521</v>
      </c>
      <c r="D387" s="12" t="s">
        <v>14</v>
      </c>
      <c r="E387" s="12" t="s">
        <v>1522</v>
      </c>
      <c r="F387" s="12" t="s">
        <v>1523</v>
      </c>
      <c r="G387" s="12" t="b">
        <v>0</v>
      </c>
      <c r="H387" s="12" t="b">
        <v>0</v>
      </c>
      <c r="I387" s="12" t="b">
        <v>0</v>
      </c>
    </row>
    <row r="388" spans="1:9" x14ac:dyDescent="0.25">
      <c r="A388" s="12">
        <v>387</v>
      </c>
      <c r="B388" s="12" t="s">
        <v>1524</v>
      </c>
      <c r="C388" s="12" t="s">
        <v>1525</v>
      </c>
      <c r="D388" s="12" t="s">
        <v>10</v>
      </c>
      <c r="E388" s="12" t="s">
        <v>1526</v>
      </c>
      <c r="F388" s="12" t="s">
        <v>1527</v>
      </c>
      <c r="G388" s="12" t="b">
        <v>0</v>
      </c>
      <c r="H388" s="12" t="b">
        <v>1</v>
      </c>
      <c r="I388" s="12" t="b">
        <v>1</v>
      </c>
    </row>
    <row r="389" spans="1:9" x14ac:dyDescent="0.25">
      <c r="A389" s="12">
        <v>388</v>
      </c>
      <c r="B389" s="12" t="s">
        <v>1528</v>
      </c>
      <c r="C389" s="12" t="s">
        <v>1529</v>
      </c>
      <c r="D389" s="12" t="s">
        <v>14</v>
      </c>
      <c r="E389" s="12" t="s">
        <v>1530</v>
      </c>
      <c r="F389" s="12" t="s">
        <v>1519</v>
      </c>
      <c r="G389" s="12" t="b">
        <v>0</v>
      </c>
      <c r="H389" s="12" t="b">
        <v>0</v>
      </c>
      <c r="I389" s="12" t="b">
        <v>0</v>
      </c>
    </row>
    <row r="390" spans="1:9" x14ac:dyDescent="0.25">
      <c r="A390" s="12">
        <v>389</v>
      </c>
      <c r="B390" s="12" t="s">
        <v>1531</v>
      </c>
      <c r="C390" s="12" t="s">
        <v>1532</v>
      </c>
      <c r="D390" s="12" t="s">
        <v>10</v>
      </c>
      <c r="E390" s="12" t="s">
        <v>1533</v>
      </c>
      <c r="F390" s="12" t="s">
        <v>1534</v>
      </c>
      <c r="G390" s="12" t="b">
        <v>0</v>
      </c>
      <c r="H390" s="12" t="b">
        <v>1</v>
      </c>
      <c r="I390" s="12" t="b">
        <v>1</v>
      </c>
    </row>
    <row r="391" spans="1:9" x14ac:dyDescent="0.25">
      <c r="A391" s="12">
        <v>390</v>
      </c>
      <c r="B391" s="12" t="s">
        <v>1535</v>
      </c>
      <c r="C391" s="12" t="s">
        <v>1536</v>
      </c>
      <c r="D391" s="12" t="s">
        <v>14</v>
      </c>
      <c r="E391" s="12" t="s">
        <v>1537</v>
      </c>
      <c r="F391" s="12" t="s">
        <v>479</v>
      </c>
      <c r="G391" s="12" t="b">
        <v>0</v>
      </c>
      <c r="H391" s="12" t="b">
        <v>0</v>
      </c>
      <c r="I391" s="12" t="b">
        <v>0</v>
      </c>
    </row>
    <row r="392" spans="1:9" x14ac:dyDescent="0.25">
      <c r="A392" s="12">
        <v>391</v>
      </c>
      <c r="B392" s="12" t="s">
        <v>1538</v>
      </c>
      <c r="C392" s="12" t="s">
        <v>1539</v>
      </c>
      <c r="D392" s="12" t="s">
        <v>45</v>
      </c>
      <c r="E392" s="12" t="s">
        <v>1540</v>
      </c>
      <c r="F392" s="12" t="s">
        <v>1541</v>
      </c>
      <c r="G392" s="12" t="b">
        <v>0</v>
      </c>
      <c r="H392" s="12" t="b">
        <v>0</v>
      </c>
      <c r="I392" s="12" t="b">
        <v>0</v>
      </c>
    </row>
    <row r="393" spans="1:9" x14ac:dyDescent="0.25">
      <c r="A393" s="12">
        <v>392</v>
      </c>
      <c r="B393" s="12" t="s">
        <v>298</v>
      </c>
      <c r="C393" s="12" t="s">
        <v>1542</v>
      </c>
      <c r="D393" s="12" t="s">
        <v>10</v>
      </c>
      <c r="E393" s="12" t="s">
        <v>1543</v>
      </c>
      <c r="F393" s="12" t="s">
        <v>1544</v>
      </c>
      <c r="G393" s="12" t="b">
        <v>0</v>
      </c>
      <c r="H393" s="12" t="b">
        <v>1</v>
      </c>
      <c r="I393" s="12" t="b">
        <v>1</v>
      </c>
    </row>
    <row r="394" spans="1:9" x14ac:dyDescent="0.25">
      <c r="A394" s="12">
        <v>393</v>
      </c>
      <c r="B394" s="12" t="s">
        <v>1545</v>
      </c>
      <c r="C394" s="12" t="s">
        <v>1546</v>
      </c>
      <c r="D394" s="12" t="s">
        <v>14</v>
      </c>
      <c r="E394" s="12" t="s">
        <v>1547</v>
      </c>
      <c r="F394" s="12" t="s">
        <v>738</v>
      </c>
      <c r="G394" s="12" t="b">
        <v>0</v>
      </c>
      <c r="H394" s="12" t="b">
        <v>1</v>
      </c>
      <c r="I394" s="12" t="b">
        <v>1</v>
      </c>
    </row>
    <row r="395" spans="1:9" x14ac:dyDescent="0.25">
      <c r="A395" s="12">
        <v>394</v>
      </c>
      <c r="B395" s="12" t="s">
        <v>1548</v>
      </c>
      <c r="C395" s="12" t="s">
        <v>1549</v>
      </c>
      <c r="D395" s="12" t="s">
        <v>14</v>
      </c>
      <c r="E395" s="12" t="s">
        <v>1550</v>
      </c>
      <c r="F395" s="12" t="s">
        <v>1551</v>
      </c>
      <c r="G395" s="12" t="b">
        <v>0</v>
      </c>
      <c r="H395" s="12" t="b">
        <v>1</v>
      </c>
      <c r="I395" s="12" t="b">
        <v>1</v>
      </c>
    </row>
    <row r="396" spans="1:9" x14ac:dyDescent="0.25">
      <c r="A396" s="12">
        <v>395</v>
      </c>
      <c r="B396" s="12" t="s">
        <v>1552</v>
      </c>
      <c r="C396" s="12" t="s">
        <v>1553</v>
      </c>
      <c r="D396" s="12" t="s">
        <v>14</v>
      </c>
      <c r="E396" s="12" t="s">
        <v>1554</v>
      </c>
      <c r="F396" s="12" t="s">
        <v>1555</v>
      </c>
      <c r="G396" s="12" t="b">
        <v>0</v>
      </c>
      <c r="H396" s="12" t="b">
        <v>1</v>
      </c>
      <c r="I396" s="12" t="b">
        <v>1</v>
      </c>
    </row>
    <row r="397" spans="1:9" x14ac:dyDescent="0.25">
      <c r="A397" s="12">
        <v>396</v>
      </c>
      <c r="B397" s="12" t="s">
        <v>1556</v>
      </c>
      <c r="C397" s="12" t="s">
        <v>1557</v>
      </c>
      <c r="D397" s="12" t="s">
        <v>14</v>
      </c>
      <c r="E397" s="12" t="s">
        <v>1558</v>
      </c>
      <c r="F397" s="12" t="s">
        <v>1283</v>
      </c>
      <c r="G397" s="12" t="b">
        <v>0</v>
      </c>
      <c r="H397" s="12" t="b">
        <v>0</v>
      </c>
      <c r="I397" s="12" t="b">
        <v>0</v>
      </c>
    </row>
    <row r="398" spans="1:9" x14ac:dyDescent="0.25">
      <c r="A398" s="12">
        <v>397</v>
      </c>
      <c r="B398" s="12" t="s">
        <v>1559</v>
      </c>
      <c r="C398" s="12" t="s">
        <v>1560</v>
      </c>
      <c r="D398" s="12" t="s">
        <v>14</v>
      </c>
      <c r="E398" s="12" t="s">
        <v>1561</v>
      </c>
      <c r="F398" s="12" t="s">
        <v>1562</v>
      </c>
      <c r="G398" s="12" t="b">
        <v>0</v>
      </c>
      <c r="H398" s="12" t="b">
        <v>0</v>
      </c>
      <c r="I398" s="12" t="b">
        <v>0</v>
      </c>
    </row>
    <row r="399" spans="1:9" x14ac:dyDescent="0.25">
      <c r="A399" s="12">
        <v>398</v>
      </c>
      <c r="B399" s="12" t="s">
        <v>1563</v>
      </c>
      <c r="C399" s="12" t="s">
        <v>1564</v>
      </c>
      <c r="D399" s="12" t="s">
        <v>14</v>
      </c>
      <c r="E399" s="12" t="s">
        <v>1565</v>
      </c>
      <c r="F399" s="12" t="s">
        <v>1566</v>
      </c>
      <c r="G399" s="12" t="b">
        <v>0</v>
      </c>
      <c r="H399" s="12" t="b">
        <v>1</v>
      </c>
      <c r="I399" s="12" t="b">
        <v>1</v>
      </c>
    </row>
    <row r="400" spans="1:9" x14ac:dyDescent="0.25">
      <c r="A400" s="12">
        <v>399</v>
      </c>
      <c r="B400" s="12" t="s">
        <v>1567</v>
      </c>
      <c r="C400" s="12" t="s">
        <v>1568</v>
      </c>
      <c r="D400" s="12" t="s">
        <v>14</v>
      </c>
      <c r="E400" s="12" t="s">
        <v>1569</v>
      </c>
      <c r="F400" s="12" t="s">
        <v>1570</v>
      </c>
      <c r="G400" s="12" t="b">
        <v>0</v>
      </c>
      <c r="H400" s="12" t="b">
        <v>1</v>
      </c>
      <c r="I400" s="12" t="b">
        <v>1</v>
      </c>
    </row>
    <row r="401" spans="1:9" x14ac:dyDescent="0.25">
      <c r="A401" s="12">
        <v>400</v>
      </c>
      <c r="B401" s="12" t="s">
        <v>1571</v>
      </c>
      <c r="C401" s="12" t="s">
        <v>1572</v>
      </c>
      <c r="D401" s="12" t="s">
        <v>14</v>
      </c>
      <c r="E401" s="12" t="s">
        <v>1573</v>
      </c>
      <c r="F401" s="12" t="s">
        <v>537</v>
      </c>
      <c r="G401" s="12" t="b">
        <v>0</v>
      </c>
      <c r="H401" s="12" t="b">
        <v>0</v>
      </c>
      <c r="I401" s="12" t="b">
        <v>0</v>
      </c>
    </row>
    <row r="402" spans="1:9" x14ac:dyDescent="0.25">
      <c r="A402" s="12">
        <v>401</v>
      </c>
      <c r="B402" s="12" t="s">
        <v>1574</v>
      </c>
      <c r="C402" s="12" t="s">
        <v>1575</v>
      </c>
      <c r="D402" s="12" t="s">
        <v>10</v>
      </c>
      <c r="E402" s="12" t="s">
        <v>1576</v>
      </c>
      <c r="F402" s="12" t="s">
        <v>1577</v>
      </c>
      <c r="G402" s="12" t="b">
        <v>0</v>
      </c>
      <c r="H402" s="12" t="b">
        <v>0</v>
      </c>
      <c r="I402" s="12" t="b">
        <v>0</v>
      </c>
    </row>
    <row r="403" spans="1:9" x14ac:dyDescent="0.25">
      <c r="A403" s="12">
        <v>402</v>
      </c>
      <c r="B403" s="12" t="s">
        <v>1578</v>
      </c>
      <c r="C403" s="12" t="s">
        <v>1579</v>
      </c>
      <c r="D403" s="12" t="s">
        <v>14</v>
      </c>
      <c r="E403" s="12" t="s">
        <v>1580</v>
      </c>
      <c r="F403" s="12" t="s">
        <v>1294</v>
      </c>
      <c r="G403" s="12" t="b">
        <v>0</v>
      </c>
      <c r="H403" s="12" t="b">
        <v>1</v>
      </c>
      <c r="I403" s="12" t="b">
        <v>1</v>
      </c>
    </row>
    <row r="404" spans="1:9" x14ac:dyDescent="0.25">
      <c r="A404" s="12">
        <v>403</v>
      </c>
      <c r="B404" s="12" t="s">
        <v>1581</v>
      </c>
      <c r="C404" s="12" t="s">
        <v>1582</v>
      </c>
      <c r="D404" s="12" t="s">
        <v>45</v>
      </c>
      <c r="E404" s="12" t="s">
        <v>1583</v>
      </c>
      <c r="F404" s="12" t="s">
        <v>681</v>
      </c>
      <c r="G404" s="12" t="b">
        <v>0</v>
      </c>
      <c r="H404" s="12" t="b">
        <v>1</v>
      </c>
      <c r="I404" s="12" t="b">
        <v>1</v>
      </c>
    </row>
    <row r="405" spans="1:9" x14ac:dyDescent="0.25">
      <c r="A405" s="12">
        <v>404</v>
      </c>
      <c r="B405" s="12" t="s">
        <v>1584</v>
      </c>
      <c r="C405" s="12" t="s">
        <v>1585</v>
      </c>
      <c r="D405" s="12" t="s">
        <v>10</v>
      </c>
      <c r="E405" s="12" t="s">
        <v>1586</v>
      </c>
      <c r="F405" s="12" t="s">
        <v>628</v>
      </c>
      <c r="G405" s="12" t="b">
        <v>0</v>
      </c>
      <c r="H405" s="12" t="b">
        <v>1</v>
      </c>
      <c r="I405" s="12" t="b">
        <v>1</v>
      </c>
    </row>
    <row r="406" spans="1:9" x14ac:dyDescent="0.25">
      <c r="A406" s="12">
        <v>405</v>
      </c>
      <c r="B406" s="12" t="s">
        <v>1587</v>
      </c>
      <c r="C406" s="12" t="s">
        <v>1588</v>
      </c>
      <c r="D406" s="12" t="s">
        <v>10</v>
      </c>
      <c r="E406" s="12" t="s">
        <v>1589</v>
      </c>
      <c r="F406" s="12" t="s">
        <v>414</v>
      </c>
      <c r="G406" s="12" t="b">
        <v>0</v>
      </c>
      <c r="H406" s="12" t="b">
        <v>0</v>
      </c>
      <c r="I406" s="12" t="b">
        <v>0</v>
      </c>
    </row>
    <row r="407" spans="1:9" x14ac:dyDescent="0.25">
      <c r="A407" s="12">
        <v>406</v>
      </c>
      <c r="B407" s="12" t="s">
        <v>1590</v>
      </c>
      <c r="C407" s="12" t="s">
        <v>1591</v>
      </c>
      <c r="D407" s="12" t="s">
        <v>14</v>
      </c>
      <c r="E407" s="12" t="s">
        <v>1592</v>
      </c>
      <c r="F407" s="12" t="s">
        <v>1593</v>
      </c>
      <c r="G407" s="12" t="b">
        <v>0</v>
      </c>
      <c r="H407" s="12" t="b">
        <v>1</v>
      </c>
      <c r="I407" s="12" t="b">
        <v>1</v>
      </c>
    </row>
    <row r="408" spans="1:9" x14ac:dyDescent="0.25">
      <c r="A408" s="12">
        <v>407</v>
      </c>
      <c r="B408" s="12" t="s">
        <v>1594</v>
      </c>
      <c r="C408" s="12" t="s">
        <v>1595</v>
      </c>
      <c r="D408" s="12" t="s">
        <v>45</v>
      </c>
      <c r="E408" s="12" t="s">
        <v>1596</v>
      </c>
      <c r="F408" s="12" t="s">
        <v>1597</v>
      </c>
      <c r="G408" s="12" t="b">
        <v>0</v>
      </c>
      <c r="H408" s="12" t="b">
        <v>0</v>
      </c>
      <c r="I408" s="12" t="b">
        <v>0</v>
      </c>
    </row>
    <row r="409" spans="1:9" x14ac:dyDescent="0.25">
      <c r="A409" s="12">
        <v>408</v>
      </c>
      <c r="B409" s="12" t="s">
        <v>1598</v>
      </c>
      <c r="C409" s="12" t="s">
        <v>1599</v>
      </c>
      <c r="D409" s="12" t="s">
        <v>10</v>
      </c>
      <c r="E409" s="12" t="s">
        <v>1600</v>
      </c>
      <c r="F409" s="12" t="s">
        <v>702</v>
      </c>
      <c r="G409" s="12" t="b">
        <v>1</v>
      </c>
      <c r="H409" s="12" t="b">
        <v>0</v>
      </c>
      <c r="I409" s="12" t="b">
        <v>0</v>
      </c>
    </row>
    <row r="410" spans="1:9" x14ac:dyDescent="0.25">
      <c r="A410" s="12">
        <v>409</v>
      </c>
      <c r="B410" s="12" t="s">
        <v>1601</v>
      </c>
      <c r="C410" s="12" t="s">
        <v>1602</v>
      </c>
      <c r="D410" s="12" t="s">
        <v>10</v>
      </c>
      <c r="E410" s="12" t="s">
        <v>1603</v>
      </c>
      <c r="F410" s="12" t="s">
        <v>1604</v>
      </c>
      <c r="G410" s="12" t="b">
        <v>0</v>
      </c>
      <c r="H410" s="12" t="b">
        <v>1</v>
      </c>
      <c r="I410" s="12" t="b">
        <v>1</v>
      </c>
    </row>
    <row r="411" spans="1:9" x14ac:dyDescent="0.25">
      <c r="A411" s="12">
        <v>410</v>
      </c>
      <c r="B411" s="12" t="s">
        <v>1605</v>
      </c>
      <c r="C411" s="12" t="s">
        <v>1606</v>
      </c>
      <c r="D411" s="12" t="s">
        <v>45</v>
      </c>
      <c r="E411" s="12" t="s">
        <v>1607</v>
      </c>
      <c r="F411" s="12" t="s">
        <v>1608</v>
      </c>
      <c r="G411" s="12" t="b">
        <v>0</v>
      </c>
      <c r="H411" s="12" t="b">
        <v>1</v>
      </c>
      <c r="I411" s="12" t="b">
        <v>1</v>
      </c>
    </row>
    <row r="412" spans="1:9" x14ac:dyDescent="0.25">
      <c r="A412" s="12">
        <v>411</v>
      </c>
      <c r="B412" s="12" t="s">
        <v>1609</v>
      </c>
      <c r="C412" s="12" t="s">
        <v>1610</v>
      </c>
      <c r="D412" s="12" t="s">
        <v>45</v>
      </c>
      <c r="E412" s="12" t="s">
        <v>1611</v>
      </c>
      <c r="F412" s="12" t="s">
        <v>1307</v>
      </c>
      <c r="G412" s="12" t="b">
        <v>1</v>
      </c>
      <c r="H412" s="12" t="b">
        <v>0</v>
      </c>
      <c r="I412" s="12" t="b">
        <v>0</v>
      </c>
    </row>
    <row r="413" spans="1:9" x14ac:dyDescent="0.25">
      <c r="A413" s="12">
        <v>412</v>
      </c>
      <c r="B413" s="12" t="s">
        <v>1612</v>
      </c>
      <c r="C413" s="12" t="s">
        <v>1613</v>
      </c>
      <c r="D413" s="12" t="s">
        <v>10</v>
      </c>
      <c r="E413" s="12" t="s">
        <v>1614</v>
      </c>
      <c r="F413" s="12" t="s">
        <v>456</v>
      </c>
      <c r="G413" s="12" t="b">
        <v>0</v>
      </c>
      <c r="H413" s="12" t="b">
        <v>1</v>
      </c>
      <c r="I413" s="12" t="b">
        <v>1</v>
      </c>
    </row>
    <row r="414" spans="1:9" x14ac:dyDescent="0.25">
      <c r="A414" s="12">
        <v>413</v>
      </c>
      <c r="B414" s="12" t="s">
        <v>1615</v>
      </c>
      <c r="C414" s="12" t="s">
        <v>1616</v>
      </c>
      <c r="D414" s="12" t="s">
        <v>14</v>
      </c>
      <c r="E414" s="12" t="s">
        <v>1617</v>
      </c>
      <c r="F414" s="12" t="s">
        <v>681</v>
      </c>
      <c r="G414" s="12" t="b">
        <v>0</v>
      </c>
      <c r="H414" s="12" t="b">
        <v>1</v>
      </c>
      <c r="I414" s="12" t="b">
        <v>1</v>
      </c>
    </row>
    <row r="415" spans="1:9" x14ac:dyDescent="0.25">
      <c r="A415" s="12">
        <v>414</v>
      </c>
      <c r="B415" s="12" t="s">
        <v>1618</v>
      </c>
      <c r="C415" s="12" t="s">
        <v>1619</v>
      </c>
      <c r="D415" s="12" t="s">
        <v>10</v>
      </c>
      <c r="E415" s="12" t="s">
        <v>1620</v>
      </c>
      <c r="F415" s="12" t="s">
        <v>495</v>
      </c>
      <c r="G415" s="12" t="b">
        <v>0</v>
      </c>
      <c r="H415" s="12" t="b">
        <v>1</v>
      </c>
      <c r="I415" s="12" t="b">
        <v>1</v>
      </c>
    </row>
    <row r="416" spans="1:9" x14ac:dyDescent="0.25">
      <c r="A416" s="12">
        <v>415</v>
      </c>
      <c r="B416" s="12" t="s">
        <v>1621</v>
      </c>
      <c r="C416" s="12" t="s">
        <v>1622</v>
      </c>
      <c r="D416" s="12" t="s">
        <v>10</v>
      </c>
      <c r="E416" s="12" t="s">
        <v>1623</v>
      </c>
      <c r="F416" s="12" t="s">
        <v>456</v>
      </c>
      <c r="G416" s="12" t="b">
        <v>0</v>
      </c>
      <c r="H416" s="12" t="b">
        <v>1</v>
      </c>
      <c r="I416" s="12" t="b">
        <v>1</v>
      </c>
    </row>
    <row r="417" spans="1:9" x14ac:dyDescent="0.25">
      <c r="A417" s="12">
        <v>416</v>
      </c>
      <c r="B417" s="12" t="s">
        <v>105</v>
      </c>
      <c r="C417" s="12" t="s">
        <v>1624</v>
      </c>
      <c r="D417" s="12" t="s">
        <v>14</v>
      </c>
      <c r="E417" s="12" t="s">
        <v>1625</v>
      </c>
      <c r="F417" s="12" t="s">
        <v>681</v>
      </c>
      <c r="G417" s="12" t="b">
        <v>0</v>
      </c>
      <c r="H417" s="12" t="b">
        <v>1</v>
      </c>
      <c r="I417" s="12" t="b">
        <v>1</v>
      </c>
    </row>
    <row r="418" spans="1:9" x14ac:dyDescent="0.25">
      <c r="A418" s="12">
        <v>417</v>
      </c>
      <c r="B418" s="12" t="s">
        <v>15</v>
      </c>
      <c r="C418" s="12" t="s">
        <v>1626</v>
      </c>
      <c r="D418" s="12" t="s">
        <v>14</v>
      </c>
      <c r="E418" s="12" t="s">
        <v>1627</v>
      </c>
      <c r="F418" s="12" t="s">
        <v>1628</v>
      </c>
      <c r="G418" s="12" t="b">
        <v>0</v>
      </c>
      <c r="H418" s="12" t="b">
        <v>1</v>
      </c>
      <c r="I418" s="12" t="b">
        <v>1</v>
      </c>
    </row>
    <row r="419" spans="1:9" x14ac:dyDescent="0.25">
      <c r="A419" s="12">
        <v>418</v>
      </c>
      <c r="B419" s="12" t="s">
        <v>1629</v>
      </c>
      <c r="C419" s="12" t="s">
        <v>1630</v>
      </c>
      <c r="D419" s="12" t="s">
        <v>14</v>
      </c>
      <c r="E419" s="12" t="s">
        <v>1631</v>
      </c>
      <c r="F419" s="12" t="s">
        <v>1632</v>
      </c>
      <c r="G419" s="12" t="b">
        <v>1</v>
      </c>
      <c r="H419" s="12" t="b">
        <v>0</v>
      </c>
      <c r="I419" s="12" t="b">
        <v>0</v>
      </c>
    </row>
    <row r="420" spans="1:9" x14ac:dyDescent="0.25">
      <c r="A420" s="12">
        <v>419</v>
      </c>
      <c r="B420" s="12" t="s">
        <v>1633</v>
      </c>
      <c r="C420" s="12" t="s">
        <v>1634</v>
      </c>
      <c r="D420" s="12" t="s">
        <v>14</v>
      </c>
      <c r="E420" s="12" t="s">
        <v>1635</v>
      </c>
      <c r="F420" s="12" t="s">
        <v>1636</v>
      </c>
      <c r="G420" s="12" t="b">
        <v>0</v>
      </c>
      <c r="H420" s="12" t="b">
        <v>0</v>
      </c>
      <c r="I420" s="12" t="b">
        <v>0</v>
      </c>
    </row>
    <row r="421" spans="1:9" x14ac:dyDescent="0.25">
      <c r="A421" s="12">
        <v>420</v>
      </c>
      <c r="B421" s="12" t="s">
        <v>1637</v>
      </c>
      <c r="C421" s="12" t="s">
        <v>1638</v>
      </c>
      <c r="D421" s="12" t="s">
        <v>45</v>
      </c>
      <c r="E421" s="12" t="s">
        <v>1639</v>
      </c>
      <c r="F421" s="12" t="s">
        <v>1640</v>
      </c>
      <c r="G421" s="12" t="b">
        <v>0</v>
      </c>
      <c r="H421" s="12" t="b">
        <v>0</v>
      </c>
      <c r="I421" s="12" t="b">
        <v>0</v>
      </c>
    </row>
    <row r="422" spans="1:9" x14ac:dyDescent="0.25">
      <c r="A422" s="12">
        <v>421</v>
      </c>
      <c r="B422" s="12" t="s">
        <v>172</v>
      </c>
      <c r="C422" s="12" t="s">
        <v>1641</v>
      </c>
      <c r="D422" s="12" t="s">
        <v>14</v>
      </c>
      <c r="E422" s="12" t="s">
        <v>1642</v>
      </c>
      <c r="F422" s="12" t="s">
        <v>1643</v>
      </c>
      <c r="G422" s="12" t="b">
        <v>0</v>
      </c>
      <c r="H422" s="12" t="b">
        <v>1</v>
      </c>
      <c r="I422" s="12" t="b">
        <v>1</v>
      </c>
    </row>
    <row r="423" spans="1:9" x14ac:dyDescent="0.25">
      <c r="A423" s="12">
        <v>422</v>
      </c>
      <c r="B423" s="12" t="s">
        <v>252</v>
      </c>
      <c r="C423" s="12" t="s">
        <v>1644</v>
      </c>
      <c r="D423" s="12" t="s">
        <v>10</v>
      </c>
      <c r="E423" s="12" t="s">
        <v>1645</v>
      </c>
      <c r="F423" s="12" t="s">
        <v>1646</v>
      </c>
      <c r="G423" s="12" t="b">
        <v>1</v>
      </c>
      <c r="H423" s="12" t="b">
        <v>0</v>
      </c>
      <c r="I423" s="12" t="b">
        <v>0</v>
      </c>
    </row>
    <row r="424" spans="1:9" x14ac:dyDescent="0.25">
      <c r="A424" s="12">
        <v>423</v>
      </c>
      <c r="B424" s="12" t="s">
        <v>1647</v>
      </c>
      <c r="C424" s="12" t="s">
        <v>1648</v>
      </c>
      <c r="D424" s="12" t="s">
        <v>14</v>
      </c>
      <c r="E424" s="12" t="s">
        <v>1649</v>
      </c>
      <c r="F424" s="12" t="s">
        <v>363</v>
      </c>
      <c r="G424" s="12" t="b">
        <v>0</v>
      </c>
      <c r="H424" s="12" t="b">
        <v>1</v>
      </c>
      <c r="I424" s="12" t="b">
        <v>1</v>
      </c>
    </row>
    <row r="425" spans="1:9" x14ac:dyDescent="0.25">
      <c r="A425" s="12">
        <v>424</v>
      </c>
      <c r="B425" s="12" t="s">
        <v>160</v>
      </c>
      <c r="C425" s="12" t="s">
        <v>1650</v>
      </c>
      <c r="D425" s="12" t="s">
        <v>14</v>
      </c>
      <c r="E425" s="12" t="s">
        <v>1651</v>
      </c>
      <c r="F425" s="12" t="s">
        <v>334</v>
      </c>
      <c r="G425" s="12" t="b">
        <v>0</v>
      </c>
      <c r="H425" s="12" t="b">
        <v>0</v>
      </c>
      <c r="I425" s="12" t="b">
        <v>0</v>
      </c>
    </row>
    <row r="426" spans="1:9" x14ac:dyDescent="0.25">
      <c r="A426" s="12">
        <v>425</v>
      </c>
      <c r="B426" s="12" t="s">
        <v>176</v>
      </c>
      <c r="C426" s="12" t="s">
        <v>1652</v>
      </c>
      <c r="D426" s="12" t="s">
        <v>45</v>
      </c>
      <c r="E426" s="12" t="s">
        <v>1653</v>
      </c>
      <c r="F426" s="12" t="s">
        <v>1654</v>
      </c>
      <c r="G426" s="12" t="b">
        <v>1</v>
      </c>
      <c r="H426" s="12" t="b">
        <v>1</v>
      </c>
      <c r="I426" s="12" t="b">
        <v>1</v>
      </c>
    </row>
    <row r="427" spans="1:9" x14ac:dyDescent="0.25">
      <c r="A427" s="12">
        <v>426</v>
      </c>
      <c r="B427" s="12" t="s">
        <v>253</v>
      </c>
      <c r="C427" s="12" t="s">
        <v>1655</v>
      </c>
      <c r="D427" s="12" t="s">
        <v>14</v>
      </c>
      <c r="E427" s="12" t="s">
        <v>1656</v>
      </c>
      <c r="F427" s="12" t="s">
        <v>1657</v>
      </c>
      <c r="G427" s="12" t="b">
        <v>1</v>
      </c>
      <c r="H427" s="12" t="b">
        <v>1</v>
      </c>
      <c r="I427" s="12" t="b">
        <v>1</v>
      </c>
    </row>
    <row r="428" spans="1:9" x14ac:dyDescent="0.25">
      <c r="A428" s="12">
        <v>427</v>
      </c>
      <c r="B428" s="12" t="s">
        <v>1658</v>
      </c>
      <c r="C428" s="12" t="s">
        <v>1659</v>
      </c>
      <c r="D428" s="12" t="s">
        <v>14</v>
      </c>
      <c r="E428" s="12" t="s">
        <v>1660</v>
      </c>
      <c r="F428" s="12" t="s">
        <v>1661</v>
      </c>
      <c r="G428" s="12" t="b">
        <v>0</v>
      </c>
      <c r="H428" s="12" t="b">
        <v>0</v>
      </c>
      <c r="I428" s="12" t="b">
        <v>0</v>
      </c>
    </row>
    <row r="429" spans="1:9" x14ac:dyDescent="0.25">
      <c r="A429" s="12">
        <v>428</v>
      </c>
      <c r="B429" s="12" t="s">
        <v>254</v>
      </c>
      <c r="C429" s="12" t="s">
        <v>1662</v>
      </c>
      <c r="D429" s="12" t="s">
        <v>45</v>
      </c>
      <c r="E429" s="12" t="s">
        <v>1663</v>
      </c>
      <c r="F429" s="12" t="s">
        <v>1664</v>
      </c>
      <c r="G429" s="12" t="b">
        <v>1</v>
      </c>
      <c r="H429" s="12" t="b">
        <v>1</v>
      </c>
      <c r="I429" s="12" t="b">
        <v>1</v>
      </c>
    </row>
    <row r="430" spans="1:9" x14ac:dyDescent="0.25">
      <c r="A430" s="12">
        <v>429</v>
      </c>
      <c r="B430" s="12" t="s">
        <v>1665</v>
      </c>
      <c r="C430" s="12" t="s">
        <v>1666</v>
      </c>
      <c r="D430" s="12" t="s">
        <v>14</v>
      </c>
      <c r="E430" s="12" t="s">
        <v>1667</v>
      </c>
      <c r="F430" s="12" t="s">
        <v>1668</v>
      </c>
      <c r="G430" s="12" t="b">
        <v>0</v>
      </c>
      <c r="H430" s="12" t="b">
        <v>1</v>
      </c>
      <c r="I430" s="12" t="b">
        <v>1</v>
      </c>
    </row>
    <row r="431" spans="1:9" x14ac:dyDescent="0.25">
      <c r="A431" s="12">
        <v>430</v>
      </c>
      <c r="B431" s="12" t="s">
        <v>1669</v>
      </c>
      <c r="C431" s="12" t="s">
        <v>1670</v>
      </c>
      <c r="D431" s="12" t="s">
        <v>14</v>
      </c>
      <c r="E431" s="12" t="s">
        <v>1671</v>
      </c>
      <c r="F431" s="12" t="s">
        <v>1672</v>
      </c>
      <c r="G431" s="12" t="b">
        <v>0</v>
      </c>
      <c r="H431" s="12" t="b">
        <v>1</v>
      </c>
      <c r="I431" s="12" t="b">
        <v>1</v>
      </c>
    </row>
    <row r="432" spans="1:9" x14ac:dyDescent="0.25">
      <c r="A432" s="12">
        <v>431</v>
      </c>
      <c r="B432" s="12" t="s">
        <v>255</v>
      </c>
      <c r="C432" s="12" t="s">
        <v>1673</v>
      </c>
      <c r="D432" s="12" t="s">
        <v>45</v>
      </c>
      <c r="E432" s="12" t="s">
        <v>1674</v>
      </c>
      <c r="F432" s="12" t="s">
        <v>1675</v>
      </c>
      <c r="G432" s="12" t="b">
        <v>1</v>
      </c>
      <c r="H432" s="12" t="b">
        <v>1</v>
      </c>
      <c r="I432" s="12" t="b">
        <v>1</v>
      </c>
    </row>
    <row r="433" spans="1:9" x14ac:dyDescent="0.25">
      <c r="A433" s="12">
        <v>432</v>
      </c>
      <c r="B433" s="12" t="s">
        <v>1676</v>
      </c>
      <c r="C433" s="12" t="s">
        <v>1677</v>
      </c>
      <c r="D433" s="12" t="s">
        <v>45</v>
      </c>
      <c r="E433" s="12" t="s">
        <v>1678</v>
      </c>
      <c r="F433" s="12" t="s">
        <v>770</v>
      </c>
      <c r="G433" s="12" t="b">
        <v>0</v>
      </c>
      <c r="H433" s="12" t="b">
        <v>0</v>
      </c>
      <c r="I433" s="12" t="b">
        <v>0</v>
      </c>
    </row>
    <row r="434" spans="1:9" x14ac:dyDescent="0.25">
      <c r="A434" s="12">
        <v>433</v>
      </c>
      <c r="B434" s="12" t="s">
        <v>1679</v>
      </c>
      <c r="C434" s="12" t="s">
        <v>1680</v>
      </c>
      <c r="D434" s="12" t="s">
        <v>14</v>
      </c>
      <c r="E434" s="12" t="s">
        <v>1681</v>
      </c>
      <c r="F434" s="12" t="s">
        <v>710</v>
      </c>
      <c r="G434" s="12" t="b">
        <v>0</v>
      </c>
      <c r="H434" s="12" t="b">
        <v>0</v>
      </c>
      <c r="I434" s="12" t="b">
        <v>0</v>
      </c>
    </row>
    <row r="435" spans="1:9" x14ac:dyDescent="0.25">
      <c r="A435" s="12">
        <v>434</v>
      </c>
      <c r="B435" s="12" t="s">
        <v>1682</v>
      </c>
      <c r="C435" s="12" t="s">
        <v>1683</v>
      </c>
      <c r="D435" s="12" t="s">
        <v>10</v>
      </c>
      <c r="E435" s="12" t="s">
        <v>1161</v>
      </c>
      <c r="F435" s="12" t="s">
        <v>316</v>
      </c>
      <c r="G435" s="12" t="b">
        <v>0</v>
      </c>
      <c r="H435" s="12" t="b">
        <v>1</v>
      </c>
      <c r="I435" s="12" t="b">
        <v>1</v>
      </c>
    </row>
    <row r="436" spans="1:9" x14ac:dyDescent="0.25">
      <c r="A436" s="12">
        <v>435</v>
      </c>
      <c r="B436" s="12" t="s">
        <v>154</v>
      </c>
      <c r="C436" s="12" t="s">
        <v>1684</v>
      </c>
      <c r="D436" s="12" t="s">
        <v>14</v>
      </c>
      <c r="E436" s="12" t="s">
        <v>1685</v>
      </c>
      <c r="F436" s="12" t="s">
        <v>1686</v>
      </c>
      <c r="G436" s="12" t="b">
        <v>0</v>
      </c>
      <c r="H436" s="12" t="b">
        <v>1</v>
      </c>
      <c r="I436" s="12" t="b">
        <v>1</v>
      </c>
    </row>
    <row r="437" spans="1:9" x14ac:dyDescent="0.25">
      <c r="A437" s="12">
        <v>436</v>
      </c>
      <c r="B437" s="12" t="s">
        <v>1687</v>
      </c>
      <c r="C437" s="12" t="s">
        <v>1688</v>
      </c>
      <c r="D437" s="12" t="s">
        <v>14</v>
      </c>
      <c r="E437" s="12" t="s">
        <v>1689</v>
      </c>
      <c r="F437" s="12" t="s">
        <v>1690</v>
      </c>
      <c r="G437" s="12" t="b">
        <v>0</v>
      </c>
      <c r="H437" s="12" t="b">
        <v>1</v>
      </c>
      <c r="I437" s="12" t="b">
        <v>1</v>
      </c>
    </row>
    <row r="438" spans="1:9" x14ac:dyDescent="0.25">
      <c r="A438" s="12">
        <v>437</v>
      </c>
      <c r="B438" s="12" t="s">
        <v>76</v>
      </c>
      <c r="C438" s="12" t="s">
        <v>1691</v>
      </c>
      <c r="D438" s="12" t="s">
        <v>14</v>
      </c>
      <c r="E438" s="12" t="s">
        <v>1692</v>
      </c>
      <c r="F438" s="12" t="s">
        <v>658</v>
      </c>
      <c r="G438" s="12" t="b">
        <v>0</v>
      </c>
      <c r="H438" s="12" t="b">
        <v>1</v>
      </c>
      <c r="I438" s="12" t="b">
        <v>1</v>
      </c>
    </row>
    <row r="439" spans="1:9" x14ac:dyDescent="0.25">
      <c r="A439" s="12">
        <v>438</v>
      </c>
      <c r="B439" s="12" t="s">
        <v>1693</v>
      </c>
      <c r="C439" s="12" t="s">
        <v>1694</v>
      </c>
      <c r="D439" s="12" t="s">
        <v>14</v>
      </c>
      <c r="E439" s="12" t="s">
        <v>1695</v>
      </c>
      <c r="F439" s="12" t="s">
        <v>334</v>
      </c>
      <c r="G439" s="12" t="b">
        <v>0</v>
      </c>
      <c r="H439" s="12" t="b">
        <v>1</v>
      </c>
      <c r="I439" s="12" t="b">
        <v>1</v>
      </c>
    </row>
    <row r="440" spans="1:9" x14ac:dyDescent="0.25">
      <c r="A440" s="12">
        <v>439</v>
      </c>
      <c r="B440" s="12" t="s">
        <v>256</v>
      </c>
      <c r="C440" s="12" t="s">
        <v>1696</v>
      </c>
      <c r="D440" s="12" t="s">
        <v>14</v>
      </c>
      <c r="E440" s="12" t="s">
        <v>1697</v>
      </c>
      <c r="F440" s="12" t="s">
        <v>1551</v>
      </c>
      <c r="G440" s="12" t="b">
        <v>1</v>
      </c>
      <c r="H440" s="12" t="b">
        <v>0</v>
      </c>
      <c r="I440" s="12" t="b">
        <v>0</v>
      </c>
    </row>
    <row r="441" spans="1:9" x14ac:dyDescent="0.25">
      <c r="A441" s="12">
        <v>440</v>
      </c>
      <c r="B441" s="12" t="s">
        <v>1698</v>
      </c>
      <c r="C441" s="12" t="s">
        <v>1699</v>
      </c>
      <c r="D441" s="12" t="s">
        <v>45</v>
      </c>
      <c r="E441" s="12" t="s">
        <v>1700</v>
      </c>
      <c r="F441" s="12" t="s">
        <v>169</v>
      </c>
      <c r="G441" s="12" t="b">
        <v>0</v>
      </c>
      <c r="H441" s="12" t="b">
        <v>0</v>
      </c>
      <c r="I441" s="12" t="b">
        <v>0</v>
      </c>
    </row>
    <row r="442" spans="1:9" x14ac:dyDescent="0.25">
      <c r="A442" s="12">
        <v>441</v>
      </c>
      <c r="B442" s="12" t="s">
        <v>1701</v>
      </c>
      <c r="C442" s="12" t="s">
        <v>1702</v>
      </c>
      <c r="D442" s="12" t="s">
        <v>10</v>
      </c>
      <c r="E442" s="12" t="s">
        <v>1703</v>
      </c>
      <c r="F442" s="12" t="s">
        <v>537</v>
      </c>
      <c r="G442" s="12" t="b">
        <v>0</v>
      </c>
      <c r="H442" s="12" t="b">
        <v>1</v>
      </c>
      <c r="I442" s="12" t="b">
        <v>1</v>
      </c>
    </row>
    <row r="443" spans="1:9" x14ac:dyDescent="0.25">
      <c r="A443" s="12">
        <v>442</v>
      </c>
      <c r="B443" s="12" t="s">
        <v>192</v>
      </c>
      <c r="C443" s="12" t="s">
        <v>1704</v>
      </c>
      <c r="D443" s="12" t="s">
        <v>14</v>
      </c>
      <c r="E443" s="12" t="s">
        <v>1705</v>
      </c>
      <c r="F443" s="12" t="s">
        <v>328</v>
      </c>
      <c r="G443" s="12" t="b">
        <v>0</v>
      </c>
      <c r="H443" s="12" t="b">
        <v>1</v>
      </c>
      <c r="I443" s="12" t="b">
        <v>1</v>
      </c>
    </row>
    <row r="444" spans="1:9" x14ac:dyDescent="0.25">
      <c r="A444" s="12">
        <v>443</v>
      </c>
      <c r="B444" s="12" t="s">
        <v>1706</v>
      </c>
      <c r="C444" s="12" t="s">
        <v>1707</v>
      </c>
      <c r="D444" s="12" t="s">
        <v>14</v>
      </c>
      <c r="E444" s="12" t="s">
        <v>1708</v>
      </c>
      <c r="F444" s="12" t="s">
        <v>702</v>
      </c>
      <c r="G444" s="12" t="b">
        <v>0</v>
      </c>
      <c r="H444" s="12" t="b">
        <v>0</v>
      </c>
      <c r="I444" s="12" t="b">
        <v>0</v>
      </c>
    </row>
    <row r="445" spans="1:9" x14ac:dyDescent="0.25">
      <c r="A445" s="12">
        <v>444</v>
      </c>
      <c r="B445" s="12" t="s">
        <v>123</v>
      </c>
      <c r="C445" s="12" t="s">
        <v>1709</v>
      </c>
      <c r="D445" s="12" t="s">
        <v>14</v>
      </c>
      <c r="E445" s="12" t="s">
        <v>1710</v>
      </c>
      <c r="F445" s="12" t="s">
        <v>1711</v>
      </c>
      <c r="G445" s="12" t="b">
        <v>1</v>
      </c>
      <c r="H445" s="12" t="b">
        <v>0</v>
      </c>
      <c r="I445" s="12" t="b">
        <v>0</v>
      </c>
    </row>
    <row r="446" spans="1:9" x14ac:dyDescent="0.25">
      <c r="A446" s="12">
        <v>445</v>
      </c>
      <c r="B446" s="12" t="s">
        <v>1712</v>
      </c>
      <c r="C446" s="12" t="s">
        <v>1713</v>
      </c>
      <c r="D446" s="12" t="s">
        <v>14</v>
      </c>
      <c r="E446" s="12" t="s">
        <v>1714</v>
      </c>
      <c r="F446" s="12" t="s">
        <v>1715</v>
      </c>
      <c r="G446" s="12" t="b">
        <v>0</v>
      </c>
      <c r="H446" s="12" t="b">
        <v>1</v>
      </c>
      <c r="I446" s="12" t="b">
        <v>1</v>
      </c>
    </row>
    <row r="447" spans="1:9" x14ac:dyDescent="0.25">
      <c r="A447" s="12">
        <v>446</v>
      </c>
      <c r="B447" s="12" t="s">
        <v>1716</v>
      </c>
      <c r="C447" s="12" t="s">
        <v>1717</v>
      </c>
      <c r="D447" s="12" t="s">
        <v>45</v>
      </c>
      <c r="E447" s="12" t="s">
        <v>1718</v>
      </c>
      <c r="F447" s="12" t="s">
        <v>681</v>
      </c>
      <c r="G447" s="12" t="b">
        <v>0</v>
      </c>
      <c r="H447" s="12" t="b">
        <v>1</v>
      </c>
      <c r="I447" s="12" t="b">
        <v>1</v>
      </c>
    </row>
    <row r="448" spans="1:9" x14ac:dyDescent="0.25">
      <c r="A448" s="12">
        <v>447</v>
      </c>
      <c r="B448" s="12" t="s">
        <v>1719</v>
      </c>
      <c r="C448" s="12" t="s">
        <v>1720</v>
      </c>
      <c r="D448" s="12" t="s">
        <v>14</v>
      </c>
      <c r="E448" s="12" t="s">
        <v>1721</v>
      </c>
      <c r="F448" s="12" t="s">
        <v>1425</v>
      </c>
      <c r="G448" s="12" t="b">
        <v>0</v>
      </c>
      <c r="H448" s="12" t="b">
        <v>0</v>
      </c>
      <c r="I448" s="12" t="b">
        <v>0</v>
      </c>
    </row>
    <row r="449" spans="1:9" x14ac:dyDescent="0.25">
      <c r="A449" s="12">
        <v>448</v>
      </c>
      <c r="B449" s="12" t="s">
        <v>291</v>
      </c>
      <c r="C449" s="12" t="s">
        <v>1722</v>
      </c>
      <c r="D449" s="12" t="s">
        <v>10</v>
      </c>
      <c r="E449" s="12" t="s">
        <v>1723</v>
      </c>
      <c r="F449" s="12" t="s">
        <v>328</v>
      </c>
      <c r="G449" s="12" t="b">
        <v>0</v>
      </c>
      <c r="H449" s="12" t="b">
        <v>1</v>
      </c>
      <c r="I449" s="12" t="b">
        <v>1</v>
      </c>
    </row>
    <row r="450" spans="1:9" x14ac:dyDescent="0.25">
      <c r="A450" s="12">
        <v>449</v>
      </c>
      <c r="B450" s="12" t="s">
        <v>1724</v>
      </c>
      <c r="C450" s="12" t="s">
        <v>1725</v>
      </c>
      <c r="D450" s="12" t="s">
        <v>14</v>
      </c>
      <c r="E450" s="12" t="s">
        <v>1726</v>
      </c>
      <c r="F450" s="12" t="s">
        <v>1727</v>
      </c>
      <c r="G450" s="12" t="b">
        <v>0</v>
      </c>
      <c r="H450" s="12" t="b">
        <v>1</v>
      </c>
      <c r="I450" s="12" t="b">
        <v>1</v>
      </c>
    </row>
    <row r="451" spans="1:9" x14ac:dyDescent="0.25">
      <c r="A451" s="12">
        <v>450</v>
      </c>
      <c r="B451" s="12" t="s">
        <v>1728</v>
      </c>
      <c r="C451" s="12" t="s">
        <v>1729</v>
      </c>
      <c r="D451" s="12" t="s">
        <v>14</v>
      </c>
      <c r="E451" s="12" t="s">
        <v>1730</v>
      </c>
      <c r="F451" s="12" t="s">
        <v>1731</v>
      </c>
      <c r="G451" s="12" t="b">
        <v>0</v>
      </c>
      <c r="H451" s="12" t="b">
        <v>1</v>
      </c>
      <c r="I451" s="12" t="b">
        <v>1</v>
      </c>
    </row>
    <row r="452" spans="1:9" x14ac:dyDescent="0.25">
      <c r="A452" s="12">
        <v>451</v>
      </c>
      <c r="B452" s="12" t="s">
        <v>137</v>
      </c>
      <c r="C452" s="12" t="s">
        <v>1732</v>
      </c>
      <c r="D452" s="12" t="s">
        <v>14</v>
      </c>
      <c r="E452" s="12" t="s">
        <v>1733</v>
      </c>
      <c r="F452" s="12" t="s">
        <v>1734</v>
      </c>
      <c r="G452" s="12" t="b">
        <v>0</v>
      </c>
      <c r="H452" s="12" t="b">
        <v>1</v>
      </c>
      <c r="I452" s="12" t="b">
        <v>1</v>
      </c>
    </row>
    <row r="453" spans="1:9" x14ac:dyDescent="0.25">
      <c r="A453" s="12">
        <v>452</v>
      </c>
      <c r="B453" s="12" t="s">
        <v>127</v>
      </c>
      <c r="C453" s="12" t="s">
        <v>1735</v>
      </c>
      <c r="D453" s="12" t="s">
        <v>14</v>
      </c>
      <c r="E453" s="12" t="s">
        <v>1736</v>
      </c>
      <c r="F453" s="12" t="s">
        <v>1181</v>
      </c>
      <c r="G453" s="12" t="b">
        <v>0</v>
      </c>
      <c r="H453" s="12" t="b">
        <v>1</v>
      </c>
      <c r="I453" s="12" t="b">
        <v>1</v>
      </c>
    </row>
    <row r="454" spans="1:9" x14ac:dyDescent="0.25">
      <c r="A454" s="12">
        <v>453</v>
      </c>
      <c r="B454" s="12" t="s">
        <v>1737</v>
      </c>
      <c r="C454" s="12" t="s">
        <v>1738</v>
      </c>
      <c r="D454" s="12" t="s">
        <v>14</v>
      </c>
      <c r="E454" s="12" t="s">
        <v>1739</v>
      </c>
      <c r="F454" s="12" t="s">
        <v>525</v>
      </c>
      <c r="G454" s="12" t="b">
        <v>0</v>
      </c>
      <c r="H454" s="12" t="b">
        <v>1</v>
      </c>
      <c r="I454" s="12" t="b">
        <v>1</v>
      </c>
    </row>
    <row r="455" spans="1:9" x14ac:dyDescent="0.25">
      <c r="A455" s="12">
        <v>454</v>
      </c>
      <c r="B455" s="12" t="s">
        <v>1740</v>
      </c>
      <c r="C455" s="12" t="s">
        <v>1741</v>
      </c>
      <c r="D455" s="12" t="s">
        <v>14</v>
      </c>
      <c r="E455" s="12" t="s">
        <v>1742</v>
      </c>
      <c r="F455" s="12" t="s">
        <v>328</v>
      </c>
      <c r="G455" s="12" t="b">
        <v>0</v>
      </c>
      <c r="H455" s="12" t="b">
        <v>1</v>
      </c>
      <c r="I455" s="12" t="b">
        <v>1</v>
      </c>
    </row>
    <row r="456" spans="1:9" x14ac:dyDescent="0.25">
      <c r="A456" s="12">
        <v>455</v>
      </c>
      <c r="B456" s="12" t="s">
        <v>1743</v>
      </c>
      <c r="C456" s="12" t="s">
        <v>1744</v>
      </c>
      <c r="D456" s="12" t="s">
        <v>10</v>
      </c>
      <c r="E456" s="12" t="s">
        <v>1745</v>
      </c>
      <c r="F456" s="12" t="s">
        <v>1181</v>
      </c>
      <c r="G456" s="12" t="b">
        <v>0</v>
      </c>
      <c r="H456" s="12" t="b">
        <v>0</v>
      </c>
      <c r="I456" s="12" t="b">
        <v>0</v>
      </c>
    </row>
    <row r="457" spans="1:9" x14ac:dyDescent="0.25">
      <c r="A457" s="12">
        <v>456</v>
      </c>
      <c r="B457" s="12" t="s">
        <v>1746</v>
      </c>
      <c r="C457" s="12" t="s">
        <v>1747</v>
      </c>
      <c r="D457" s="12" t="s">
        <v>14</v>
      </c>
      <c r="E457" s="12" t="s">
        <v>1748</v>
      </c>
      <c r="F457" s="12" t="s">
        <v>1749</v>
      </c>
      <c r="G457" s="12" t="b">
        <v>0</v>
      </c>
      <c r="H457" s="12" t="b">
        <v>1</v>
      </c>
      <c r="I457" s="12" t="b">
        <v>1</v>
      </c>
    </row>
    <row r="458" spans="1:9" x14ac:dyDescent="0.25">
      <c r="A458" s="12">
        <v>457</v>
      </c>
      <c r="B458" s="12" t="s">
        <v>1750</v>
      </c>
      <c r="C458" s="12" t="s">
        <v>1751</v>
      </c>
      <c r="D458" s="12" t="s">
        <v>14</v>
      </c>
      <c r="E458" s="12" t="s">
        <v>1752</v>
      </c>
      <c r="F458" s="12" t="s">
        <v>1753</v>
      </c>
      <c r="G458" s="12" t="b">
        <v>0</v>
      </c>
      <c r="H458" s="12" t="b">
        <v>0</v>
      </c>
      <c r="I458" s="12" t="b">
        <v>0</v>
      </c>
    </row>
    <row r="459" spans="1:9" x14ac:dyDescent="0.25">
      <c r="A459" s="12">
        <v>458</v>
      </c>
      <c r="B459" s="12" t="s">
        <v>1754</v>
      </c>
      <c r="C459" s="12" t="s">
        <v>1755</v>
      </c>
      <c r="D459" s="12" t="s">
        <v>45</v>
      </c>
      <c r="E459" s="12" t="s">
        <v>1756</v>
      </c>
      <c r="F459" s="12" t="s">
        <v>511</v>
      </c>
      <c r="G459" s="12" t="b">
        <v>0</v>
      </c>
      <c r="H459" s="12" t="b">
        <v>1</v>
      </c>
      <c r="I459" s="12" t="b">
        <v>1</v>
      </c>
    </row>
    <row r="460" spans="1:9" x14ac:dyDescent="0.25">
      <c r="A460" s="12">
        <v>459</v>
      </c>
      <c r="B460" s="12" t="s">
        <v>1757</v>
      </c>
      <c r="C460" s="12" t="s">
        <v>1758</v>
      </c>
      <c r="D460" s="12" t="s">
        <v>10</v>
      </c>
      <c r="E460" s="12" t="s">
        <v>1759</v>
      </c>
      <c r="F460" s="12" t="s">
        <v>1760</v>
      </c>
      <c r="G460" s="12" t="b">
        <v>0</v>
      </c>
      <c r="H460" s="12" t="b">
        <v>0</v>
      </c>
      <c r="I460" s="12" t="b">
        <v>0</v>
      </c>
    </row>
    <row r="461" spans="1:9" x14ac:dyDescent="0.25">
      <c r="A461" s="12">
        <v>460</v>
      </c>
      <c r="B461" s="12" t="s">
        <v>1761</v>
      </c>
      <c r="C461" s="12" t="s">
        <v>1762</v>
      </c>
      <c r="D461" s="12" t="s">
        <v>45</v>
      </c>
      <c r="E461" s="12" t="s">
        <v>1763</v>
      </c>
      <c r="F461" s="12" t="s">
        <v>770</v>
      </c>
      <c r="G461" s="12" t="b">
        <v>0</v>
      </c>
      <c r="H461" s="12" t="b">
        <v>0</v>
      </c>
      <c r="I461" s="12" t="b">
        <v>0</v>
      </c>
    </row>
    <row r="462" spans="1:9" x14ac:dyDescent="0.25">
      <c r="A462" s="12">
        <v>461</v>
      </c>
      <c r="B462" s="12" t="s">
        <v>1764</v>
      </c>
      <c r="C462" s="12" t="s">
        <v>1765</v>
      </c>
      <c r="D462" s="12" t="s">
        <v>10</v>
      </c>
      <c r="E462" s="12" t="s">
        <v>1766</v>
      </c>
      <c r="F462" s="12" t="s">
        <v>61</v>
      </c>
      <c r="G462" s="12" t="b">
        <v>0</v>
      </c>
      <c r="H462" s="12" t="b">
        <v>1</v>
      </c>
      <c r="I462" s="12" t="b">
        <v>1</v>
      </c>
    </row>
    <row r="463" spans="1:9" x14ac:dyDescent="0.25">
      <c r="A463" s="12">
        <v>462</v>
      </c>
      <c r="B463" s="12" t="s">
        <v>1767</v>
      </c>
      <c r="C463" s="12" t="s">
        <v>1768</v>
      </c>
      <c r="D463" s="12" t="s">
        <v>14</v>
      </c>
      <c r="E463" s="12" t="s">
        <v>1769</v>
      </c>
      <c r="F463" s="12" t="s">
        <v>1770</v>
      </c>
      <c r="G463" s="12" t="b">
        <v>0</v>
      </c>
      <c r="H463" s="12" t="b">
        <v>1</v>
      </c>
      <c r="I463" s="12" t="b">
        <v>1</v>
      </c>
    </row>
    <row r="464" spans="1:9" x14ac:dyDescent="0.25">
      <c r="A464" s="12">
        <v>463</v>
      </c>
      <c r="B464" s="12" t="s">
        <v>1771</v>
      </c>
      <c r="C464" s="12" t="s">
        <v>1772</v>
      </c>
      <c r="D464" s="12" t="s">
        <v>10</v>
      </c>
      <c r="E464" s="12" t="s">
        <v>1773</v>
      </c>
      <c r="F464" s="12" t="s">
        <v>1628</v>
      </c>
      <c r="G464" s="12" t="b">
        <v>0</v>
      </c>
      <c r="H464" s="12" t="b">
        <v>1</v>
      </c>
      <c r="I464" s="12" t="b">
        <v>1</v>
      </c>
    </row>
    <row r="465" spans="1:9" x14ac:dyDescent="0.25">
      <c r="A465" s="12">
        <v>464</v>
      </c>
      <c r="B465" s="12" t="s">
        <v>1774</v>
      </c>
      <c r="C465" s="12" t="s">
        <v>1775</v>
      </c>
      <c r="D465" s="12" t="s">
        <v>14</v>
      </c>
      <c r="E465" s="12" t="s">
        <v>1776</v>
      </c>
      <c r="F465" s="12" t="s">
        <v>1777</v>
      </c>
      <c r="G465" s="12" t="b">
        <v>0</v>
      </c>
      <c r="H465" s="12" t="b">
        <v>0</v>
      </c>
      <c r="I465" s="12" t="b">
        <v>0</v>
      </c>
    </row>
    <row r="466" spans="1:9" x14ac:dyDescent="0.25">
      <c r="A466" s="12">
        <v>465</v>
      </c>
      <c r="B466" s="12" t="s">
        <v>257</v>
      </c>
      <c r="C466" s="12" t="s">
        <v>1778</v>
      </c>
      <c r="D466" s="12" t="s">
        <v>45</v>
      </c>
      <c r="E466" s="12" t="s">
        <v>1779</v>
      </c>
      <c r="F466" s="12" t="s">
        <v>1780</v>
      </c>
      <c r="G466" s="12" t="b">
        <v>1</v>
      </c>
      <c r="H466" s="12" t="b">
        <v>0</v>
      </c>
      <c r="I466" s="12" t="b">
        <v>0</v>
      </c>
    </row>
    <row r="467" spans="1:9" x14ac:dyDescent="0.25">
      <c r="A467" s="12">
        <v>466</v>
      </c>
      <c r="B467" s="12" t="s">
        <v>1781</v>
      </c>
      <c r="C467" s="12" t="s">
        <v>1782</v>
      </c>
      <c r="D467" s="12" t="s">
        <v>45</v>
      </c>
      <c r="E467" s="12" t="s">
        <v>1783</v>
      </c>
      <c r="F467" s="12" t="s">
        <v>340</v>
      </c>
      <c r="G467" s="12" t="b">
        <v>0</v>
      </c>
      <c r="H467" s="12" t="b">
        <v>1</v>
      </c>
      <c r="I467" s="12" t="b">
        <v>1</v>
      </c>
    </row>
    <row r="468" spans="1:9" x14ac:dyDescent="0.25">
      <c r="A468" s="12">
        <v>467</v>
      </c>
      <c r="B468" s="12" t="s">
        <v>1784</v>
      </c>
      <c r="C468" s="12" t="s">
        <v>1785</v>
      </c>
      <c r="D468" s="12" t="s">
        <v>14</v>
      </c>
      <c r="E468" s="12" t="s">
        <v>1786</v>
      </c>
      <c r="F468" s="12" t="s">
        <v>340</v>
      </c>
      <c r="G468" s="12" t="b">
        <v>0</v>
      </c>
      <c r="H468" s="12" t="b">
        <v>0</v>
      </c>
      <c r="I468" s="12" t="b">
        <v>0</v>
      </c>
    </row>
    <row r="469" spans="1:9" x14ac:dyDescent="0.25">
      <c r="A469" s="12">
        <v>468</v>
      </c>
      <c r="B469" s="12" t="s">
        <v>1787</v>
      </c>
      <c r="C469" s="12" t="s">
        <v>1788</v>
      </c>
      <c r="D469" s="12" t="s">
        <v>14</v>
      </c>
      <c r="E469" s="12" t="s">
        <v>1789</v>
      </c>
      <c r="F469" s="12" t="s">
        <v>316</v>
      </c>
      <c r="G469" s="12" t="b">
        <v>0</v>
      </c>
      <c r="H469" s="12" t="b">
        <v>1</v>
      </c>
      <c r="I469" s="12" t="b">
        <v>1</v>
      </c>
    </row>
    <row r="470" spans="1:9" x14ac:dyDescent="0.25">
      <c r="A470" s="12">
        <v>469</v>
      </c>
      <c r="B470" s="12" t="s">
        <v>1790</v>
      </c>
      <c r="C470" s="12" t="s">
        <v>1791</v>
      </c>
      <c r="D470" s="12" t="s">
        <v>14</v>
      </c>
      <c r="E470" s="12" t="s">
        <v>1792</v>
      </c>
      <c r="F470" s="12" t="s">
        <v>1009</v>
      </c>
      <c r="G470" s="12" t="b">
        <v>1</v>
      </c>
      <c r="H470" s="12" t="b">
        <v>0</v>
      </c>
      <c r="I470" s="12" t="b">
        <v>0</v>
      </c>
    </row>
    <row r="471" spans="1:9" x14ac:dyDescent="0.25">
      <c r="A471" s="12">
        <v>470</v>
      </c>
      <c r="B471" s="12" t="s">
        <v>1793</v>
      </c>
      <c r="C471" s="12" t="s">
        <v>1794</v>
      </c>
      <c r="D471" s="12" t="s">
        <v>14</v>
      </c>
      <c r="E471" s="12" t="s">
        <v>1795</v>
      </c>
      <c r="F471" s="12" t="s">
        <v>1796</v>
      </c>
      <c r="G471" s="12" t="b">
        <v>0</v>
      </c>
      <c r="H471" s="12" t="b">
        <v>1</v>
      </c>
      <c r="I471" s="12" t="b">
        <v>1</v>
      </c>
    </row>
    <row r="472" spans="1:9" x14ac:dyDescent="0.25">
      <c r="A472" s="12">
        <v>471</v>
      </c>
      <c r="B472" s="12" t="s">
        <v>258</v>
      </c>
      <c r="C472" s="12" t="s">
        <v>1797</v>
      </c>
      <c r="D472" s="12" t="s">
        <v>45</v>
      </c>
      <c r="E472" s="12" t="s">
        <v>1798</v>
      </c>
      <c r="F472" s="12" t="s">
        <v>340</v>
      </c>
      <c r="G472" s="12" t="b">
        <v>1</v>
      </c>
      <c r="H472" s="12" t="b">
        <v>0</v>
      </c>
      <c r="I472" s="12" t="b">
        <v>0</v>
      </c>
    </row>
    <row r="473" spans="1:9" x14ac:dyDescent="0.25">
      <c r="A473" s="12">
        <v>472</v>
      </c>
      <c r="B473" s="12" t="s">
        <v>173</v>
      </c>
      <c r="C473" s="12" t="s">
        <v>1799</v>
      </c>
      <c r="D473" s="12" t="s">
        <v>45</v>
      </c>
      <c r="E473" s="12" t="s">
        <v>1800</v>
      </c>
      <c r="F473" s="12" t="s">
        <v>1801</v>
      </c>
      <c r="G473" s="12" t="b">
        <v>0</v>
      </c>
      <c r="H473" s="12" t="b">
        <v>0</v>
      </c>
      <c r="I473" s="12" t="b">
        <v>0</v>
      </c>
    </row>
    <row r="474" spans="1:9" x14ac:dyDescent="0.25">
      <c r="A474" s="12">
        <v>473</v>
      </c>
      <c r="B474" s="12" t="s">
        <v>1802</v>
      </c>
      <c r="C474" s="12" t="s">
        <v>1803</v>
      </c>
      <c r="D474" s="12" t="s">
        <v>14</v>
      </c>
      <c r="E474" s="12" t="s">
        <v>1804</v>
      </c>
      <c r="F474" s="12" t="s">
        <v>1780</v>
      </c>
      <c r="G474" s="12" t="b">
        <v>0</v>
      </c>
      <c r="H474" s="12" t="b">
        <v>1</v>
      </c>
      <c r="I474" s="12" t="b">
        <v>1</v>
      </c>
    </row>
    <row r="475" spans="1:9" x14ac:dyDescent="0.25">
      <c r="A475" s="12">
        <v>474</v>
      </c>
      <c r="B475" s="12" t="s">
        <v>1805</v>
      </c>
      <c r="C475" s="12" t="s">
        <v>1806</v>
      </c>
      <c r="D475" s="12" t="s">
        <v>14</v>
      </c>
      <c r="E475" s="12" t="s">
        <v>1807</v>
      </c>
      <c r="F475" s="12" t="s">
        <v>1808</v>
      </c>
      <c r="G475" s="12" t="b">
        <v>0</v>
      </c>
      <c r="H475" s="12" t="b">
        <v>1</v>
      </c>
      <c r="I475" s="12" t="b">
        <v>1</v>
      </c>
    </row>
    <row r="476" spans="1:9" x14ac:dyDescent="0.25">
      <c r="A476" s="12">
        <v>475</v>
      </c>
      <c r="B476" s="12" t="s">
        <v>1809</v>
      </c>
      <c r="C476" s="12" t="s">
        <v>1810</v>
      </c>
      <c r="D476" s="12" t="s">
        <v>14</v>
      </c>
      <c r="E476" s="12" t="s">
        <v>1811</v>
      </c>
      <c r="F476" s="12" t="s">
        <v>1116</v>
      </c>
      <c r="G476" s="12" t="b">
        <v>0</v>
      </c>
      <c r="H476" s="12" t="b">
        <v>0</v>
      </c>
      <c r="I476" s="12" t="b">
        <v>0</v>
      </c>
    </row>
    <row r="477" spans="1:9" x14ac:dyDescent="0.25">
      <c r="A477" s="12">
        <v>476</v>
      </c>
      <c r="B477" s="12" t="s">
        <v>1812</v>
      </c>
      <c r="C477" s="12" t="s">
        <v>1813</v>
      </c>
      <c r="D477" s="12" t="s">
        <v>10</v>
      </c>
      <c r="E477" s="12" t="s">
        <v>1814</v>
      </c>
      <c r="F477" s="12" t="s">
        <v>61</v>
      </c>
      <c r="G477" s="12" t="b">
        <v>0</v>
      </c>
      <c r="H477" s="12" t="b">
        <v>1</v>
      </c>
      <c r="I477" s="12" t="b">
        <v>1</v>
      </c>
    </row>
    <row r="478" spans="1:9" x14ac:dyDescent="0.25">
      <c r="A478" s="12">
        <v>477</v>
      </c>
      <c r="B478" s="12" t="s">
        <v>1815</v>
      </c>
      <c r="C478" s="12" t="s">
        <v>1816</v>
      </c>
      <c r="D478" s="12" t="s">
        <v>14</v>
      </c>
      <c r="E478" s="12" t="s">
        <v>1817</v>
      </c>
      <c r="F478" s="12" t="s">
        <v>1818</v>
      </c>
      <c r="G478" s="12" t="b">
        <v>0</v>
      </c>
      <c r="H478" s="12" t="b">
        <v>1</v>
      </c>
      <c r="I478" s="12" t="b">
        <v>1</v>
      </c>
    </row>
    <row r="479" spans="1:9" x14ac:dyDescent="0.25">
      <c r="A479" s="12">
        <v>478</v>
      </c>
      <c r="B479" s="12" t="s">
        <v>1819</v>
      </c>
      <c r="C479" s="12" t="s">
        <v>1820</v>
      </c>
      <c r="D479" s="12" t="s">
        <v>14</v>
      </c>
      <c r="E479" s="12" t="s">
        <v>1821</v>
      </c>
      <c r="F479" s="12" t="s">
        <v>1822</v>
      </c>
      <c r="G479" s="12" t="b">
        <v>0</v>
      </c>
      <c r="H479" s="12" t="b">
        <v>1</v>
      </c>
      <c r="I479" s="12" t="b">
        <v>1</v>
      </c>
    </row>
    <row r="480" spans="1:9" x14ac:dyDescent="0.25">
      <c r="A480" s="12">
        <v>479</v>
      </c>
      <c r="B480" s="12" t="s">
        <v>1823</v>
      </c>
      <c r="C480" s="12" t="s">
        <v>1824</v>
      </c>
      <c r="D480" s="12" t="s">
        <v>45</v>
      </c>
      <c r="E480" s="12" t="s">
        <v>1825</v>
      </c>
      <c r="F480" s="12" t="s">
        <v>315</v>
      </c>
      <c r="G480" s="12" t="b">
        <v>0</v>
      </c>
      <c r="H480" s="12" t="b">
        <v>0</v>
      </c>
      <c r="I480" s="12" t="b">
        <v>0</v>
      </c>
    </row>
    <row r="481" spans="1:9" x14ac:dyDescent="0.25">
      <c r="A481" s="12">
        <v>480</v>
      </c>
      <c r="B481" s="12" t="s">
        <v>314</v>
      </c>
      <c r="C481" s="12" t="s">
        <v>1826</v>
      </c>
      <c r="D481" s="12" t="s">
        <v>45</v>
      </c>
      <c r="E481" s="12" t="s">
        <v>1827</v>
      </c>
      <c r="F481" s="12" t="s">
        <v>1828</v>
      </c>
      <c r="G481" s="12" t="b">
        <v>0</v>
      </c>
      <c r="H481" s="12" t="b">
        <v>1</v>
      </c>
      <c r="I481" s="12" t="b">
        <v>1</v>
      </c>
    </row>
    <row r="482" spans="1:9" x14ac:dyDescent="0.25">
      <c r="A482" s="12">
        <v>481</v>
      </c>
      <c r="B482" s="12" t="s">
        <v>1829</v>
      </c>
      <c r="C482" s="12" t="s">
        <v>1830</v>
      </c>
      <c r="D482" s="12" t="s">
        <v>14</v>
      </c>
      <c r="E482" s="12" t="s">
        <v>1831</v>
      </c>
      <c r="F482" s="12" t="s">
        <v>702</v>
      </c>
      <c r="G482" s="12" t="b">
        <v>0</v>
      </c>
      <c r="H482" s="12" t="b">
        <v>0</v>
      </c>
      <c r="I482" s="12" t="b">
        <v>0</v>
      </c>
    </row>
    <row r="483" spans="1:9" x14ac:dyDescent="0.25">
      <c r="A483" s="12">
        <v>482</v>
      </c>
      <c r="B483" s="12" t="s">
        <v>1832</v>
      </c>
      <c r="C483" s="12" t="s">
        <v>1833</v>
      </c>
      <c r="D483" s="12" t="s">
        <v>10</v>
      </c>
      <c r="E483" s="12" t="s">
        <v>1834</v>
      </c>
      <c r="F483" s="12" t="s">
        <v>316</v>
      </c>
      <c r="G483" s="12" t="b">
        <v>0</v>
      </c>
      <c r="H483" s="12" t="b">
        <v>0</v>
      </c>
      <c r="I483" s="12" t="b">
        <v>0</v>
      </c>
    </row>
    <row r="484" spans="1:9" x14ac:dyDescent="0.25">
      <c r="A484" s="12">
        <v>483</v>
      </c>
      <c r="B484" s="12" t="s">
        <v>1835</v>
      </c>
      <c r="C484" s="12" t="s">
        <v>1836</v>
      </c>
      <c r="D484" s="12" t="s">
        <v>45</v>
      </c>
      <c r="E484" s="12" t="s">
        <v>1837</v>
      </c>
      <c r="F484" s="12" t="s">
        <v>537</v>
      </c>
      <c r="G484" s="12" t="b">
        <v>0</v>
      </c>
      <c r="H484" s="12" t="b">
        <v>0</v>
      </c>
      <c r="I484" s="12" t="b">
        <v>0</v>
      </c>
    </row>
    <row r="485" spans="1:9" x14ac:dyDescent="0.25">
      <c r="A485" s="12">
        <v>484</v>
      </c>
      <c r="B485" s="12" t="s">
        <v>259</v>
      </c>
      <c r="C485" s="12" t="s">
        <v>1838</v>
      </c>
      <c r="D485" s="12" t="s">
        <v>14</v>
      </c>
      <c r="E485" s="12" t="s">
        <v>1839</v>
      </c>
      <c r="F485" s="12" t="s">
        <v>1840</v>
      </c>
      <c r="G485" s="12" t="b">
        <v>1</v>
      </c>
      <c r="H485" s="12" t="b">
        <v>1</v>
      </c>
      <c r="I485" s="12" t="b">
        <v>1</v>
      </c>
    </row>
    <row r="486" spans="1:9" x14ac:dyDescent="0.25">
      <c r="A486" s="12">
        <v>485</v>
      </c>
      <c r="B486" s="12" t="s">
        <v>1841</v>
      </c>
      <c r="C486" s="12" t="s">
        <v>1842</v>
      </c>
      <c r="D486" s="12" t="s">
        <v>10</v>
      </c>
      <c r="E486" s="12" t="s">
        <v>1843</v>
      </c>
      <c r="F486" s="12" t="s">
        <v>317</v>
      </c>
      <c r="G486" s="12" t="b">
        <v>0</v>
      </c>
      <c r="H486" s="12" t="b">
        <v>1</v>
      </c>
      <c r="I486" s="12" t="b">
        <v>1</v>
      </c>
    </row>
    <row r="487" spans="1:9" x14ac:dyDescent="0.25">
      <c r="A487" s="12">
        <v>486</v>
      </c>
      <c r="B487" s="12" t="s">
        <v>1844</v>
      </c>
      <c r="C487" s="12" t="s">
        <v>1845</v>
      </c>
      <c r="D487" s="12" t="s">
        <v>14</v>
      </c>
      <c r="E487" s="12" t="s">
        <v>1846</v>
      </c>
      <c r="F487" s="12" t="s">
        <v>1847</v>
      </c>
      <c r="G487" s="12" t="b">
        <v>0</v>
      </c>
      <c r="H487" s="12" t="b">
        <v>1</v>
      </c>
      <c r="I487" s="12" t="b">
        <v>1</v>
      </c>
    </row>
    <row r="488" spans="1:9" x14ac:dyDescent="0.25">
      <c r="A488" s="12">
        <v>487</v>
      </c>
      <c r="B488" s="12" t="s">
        <v>260</v>
      </c>
      <c r="C488" s="12" t="s">
        <v>1848</v>
      </c>
      <c r="D488" s="12" t="s">
        <v>14</v>
      </c>
      <c r="E488" s="12" t="s">
        <v>1849</v>
      </c>
      <c r="F488" s="12" t="s">
        <v>1850</v>
      </c>
      <c r="G488" s="12" t="b">
        <v>1</v>
      </c>
      <c r="H488" s="12" t="b">
        <v>1</v>
      </c>
      <c r="I488" s="12" t="b">
        <v>1</v>
      </c>
    </row>
    <row r="489" spans="1:9" x14ac:dyDescent="0.25">
      <c r="A489" s="12">
        <v>488</v>
      </c>
      <c r="B489" s="12" t="s">
        <v>1851</v>
      </c>
      <c r="C489" s="12" t="s">
        <v>1852</v>
      </c>
      <c r="D489" s="12" t="s">
        <v>45</v>
      </c>
      <c r="E489" s="12" t="s">
        <v>1853</v>
      </c>
      <c r="F489" s="12" t="s">
        <v>1854</v>
      </c>
      <c r="G489" s="12" t="b">
        <v>0</v>
      </c>
      <c r="H489" s="12" t="b">
        <v>0</v>
      </c>
      <c r="I489" s="12" t="b">
        <v>0</v>
      </c>
    </row>
    <row r="490" spans="1:9" x14ac:dyDescent="0.25">
      <c r="A490" s="12">
        <v>489</v>
      </c>
      <c r="B490" s="12" t="s">
        <v>261</v>
      </c>
      <c r="C490" s="12" t="s">
        <v>1855</v>
      </c>
      <c r="D490" s="12" t="s">
        <v>45</v>
      </c>
      <c r="E490" s="12" t="s">
        <v>1856</v>
      </c>
      <c r="F490" s="12" t="s">
        <v>1857</v>
      </c>
      <c r="G490" s="12" t="b">
        <v>1</v>
      </c>
      <c r="H490" s="12" t="b">
        <v>1</v>
      </c>
      <c r="I490" s="12" t="b">
        <v>1</v>
      </c>
    </row>
    <row r="491" spans="1:9" x14ac:dyDescent="0.25">
      <c r="A491" s="12">
        <v>490</v>
      </c>
      <c r="B491" s="12" t="s">
        <v>262</v>
      </c>
      <c r="C491" s="12" t="s">
        <v>1858</v>
      </c>
      <c r="D491" s="12" t="s">
        <v>14</v>
      </c>
      <c r="E491" s="12" t="s">
        <v>1859</v>
      </c>
      <c r="F491" s="12" t="s">
        <v>1860</v>
      </c>
      <c r="G491" s="12" t="b">
        <v>1</v>
      </c>
      <c r="H491" s="12" t="b">
        <v>1</v>
      </c>
      <c r="I491" s="12" t="b">
        <v>1</v>
      </c>
    </row>
    <row r="492" spans="1:9" x14ac:dyDescent="0.25">
      <c r="A492" s="12">
        <v>491</v>
      </c>
      <c r="B492" s="12" t="s">
        <v>1861</v>
      </c>
      <c r="C492" s="12" t="s">
        <v>1862</v>
      </c>
      <c r="D492" s="12" t="s">
        <v>14</v>
      </c>
      <c r="E492" s="12" t="s">
        <v>1863</v>
      </c>
      <c r="F492" s="12" t="s">
        <v>1864</v>
      </c>
      <c r="G492" s="12" t="b">
        <v>0</v>
      </c>
      <c r="H492" s="12" t="b">
        <v>0</v>
      </c>
      <c r="I492" s="12" t="b">
        <v>0</v>
      </c>
    </row>
    <row r="493" spans="1:9" x14ac:dyDescent="0.25">
      <c r="A493" s="12">
        <v>492</v>
      </c>
      <c r="B493" s="12" t="s">
        <v>1865</v>
      </c>
      <c r="C493" s="12" t="s">
        <v>1866</v>
      </c>
      <c r="D493" s="12" t="s">
        <v>10</v>
      </c>
      <c r="E493" s="12" t="s">
        <v>1867</v>
      </c>
      <c r="F493" s="12" t="s">
        <v>315</v>
      </c>
      <c r="G493" s="12" t="b">
        <v>0</v>
      </c>
      <c r="H493" s="12" t="b">
        <v>0</v>
      </c>
      <c r="I493" s="12" t="b">
        <v>0</v>
      </c>
    </row>
    <row r="494" spans="1:9" x14ac:dyDescent="0.25">
      <c r="A494" s="12">
        <v>493</v>
      </c>
      <c r="B494" s="12" t="s">
        <v>1868</v>
      </c>
      <c r="C494" s="12" t="s">
        <v>1869</v>
      </c>
      <c r="D494" s="12" t="s">
        <v>45</v>
      </c>
      <c r="E494" s="12" t="s">
        <v>1870</v>
      </c>
      <c r="F494" s="12" t="s">
        <v>1290</v>
      </c>
      <c r="G494" s="12" t="b">
        <v>0</v>
      </c>
      <c r="H494" s="12" t="b">
        <v>0</v>
      </c>
      <c r="I494" s="12" t="b">
        <v>0</v>
      </c>
    </row>
    <row r="495" spans="1:9" x14ac:dyDescent="0.25">
      <c r="A495" s="12">
        <v>494</v>
      </c>
      <c r="B495" s="12" t="s">
        <v>73</v>
      </c>
      <c r="C495" s="12" t="s">
        <v>1871</v>
      </c>
      <c r="D495" s="12" t="s">
        <v>14</v>
      </c>
      <c r="E495" s="12" t="s">
        <v>1872</v>
      </c>
      <c r="F495" s="12" t="s">
        <v>1873</v>
      </c>
      <c r="G495" s="12" t="b">
        <v>0</v>
      </c>
      <c r="H495" s="12" t="b">
        <v>1</v>
      </c>
      <c r="I495" s="12" t="b">
        <v>1</v>
      </c>
    </row>
    <row r="496" spans="1:9" x14ac:dyDescent="0.25">
      <c r="A496" s="12">
        <v>495</v>
      </c>
      <c r="B496" s="12" t="s">
        <v>1874</v>
      </c>
      <c r="C496" s="12" t="s">
        <v>1875</v>
      </c>
      <c r="D496" s="12" t="s">
        <v>10</v>
      </c>
      <c r="E496" s="12" t="s">
        <v>1876</v>
      </c>
      <c r="F496" s="12" t="s">
        <v>1877</v>
      </c>
      <c r="G496" s="12" t="b">
        <v>0</v>
      </c>
      <c r="H496" s="12" t="b">
        <v>1</v>
      </c>
      <c r="I496" s="12" t="b">
        <v>1</v>
      </c>
    </row>
    <row r="497" spans="1:9" x14ac:dyDescent="0.25">
      <c r="A497" s="12">
        <v>496</v>
      </c>
      <c r="B497" s="12" t="s">
        <v>1878</v>
      </c>
      <c r="C497" s="12" t="s">
        <v>1879</v>
      </c>
      <c r="D497" s="12" t="s">
        <v>10</v>
      </c>
      <c r="E497" s="12" t="s">
        <v>1880</v>
      </c>
      <c r="F497" s="12" t="s">
        <v>1881</v>
      </c>
      <c r="G497" s="12" t="b">
        <v>0</v>
      </c>
      <c r="H497" s="12" t="b">
        <v>1</v>
      </c>
      <c r="I497" s="12" t="b">
        <v>1</v>
      </c>
    </row>
    <row r="498" spans="1:9" x14ac:dyDescent="0.25">
      <c r="A498" s="12">
        <v>497</v>
      </c>
      <c r="B498" s="12" t="s">
        <v>1882</v>
      </c>
      <c r="C498" s="12" t="s">
        <v>1883</v>
      </c>
      <c r="D498" s="12" t="s">
        <v>14</v>
      </c>
      <c r="E498" s="12" t="s">
        <v>1884</v>
      </c>
      <c r="F498" s="12" t="s">
        <v>1885</v>
      </c>
      <c r="G498" s="12" t="b">
        <v>0</v>
      </c>
      <c r="H498" s="12" t="b">
        <v>0</v>
      </c>
      <c r="I498" s="12" t="b">
        <v>0</v>
      </c>
    </row>
    <row r="499" spans="1:9" x14ac:dyDescent="0.25">
      <c r="A499" s="12">
        <v>498</v>
      </c>
      <c r="B499" s="12" t="s">
        <v>1886</v>
      </c>
      <c r="C499" s="12" t="s">
        <v>1887</v>
      </c>
      <c r="D499" s="12" t="s">
        <v>14</v>
      </c>
      <c r="E499" s="12" t="s">
        <v>1888</v>
      </c>
      <c r="F499" s="12" t="s">
        <v>490</v>
      </c>
      <c r="G499" s="12" t="b">
        <v>0</v>
      </c>
      <c r="H499" s="12" t="b">
        <v>1</v>
      </c>
      <c r="I499" s="12" t="b">
        <v>1</v>
      </c>
    </row>
    <row r="500" spans="1:9" x14ac:dyDescent="0.25">
      <c r="A500" s="12">
        <v>499</v>
      </c>
      <c r="B500" s="12" t="s">
        <v>263</v>
      </c>
      <c r="C500" s="12" t="s">
        <v>1889</v>
      </c>
      <c r="D500" s="12" t="s">
        <v>45</v>
      </c>
      <c r="E500" s="12" t="s">
        <v>1890</v>
      </c>
      <c r="F500" s="12" t="s">
        <v>1891</v>
      </c>
      <c r="G500" s="12" t="b">
        <v>1</v>
      </c>
      <c r="H500" s="12" t="b">
        <v>0</v>
      </c>
      <c r="I500" s="12" t="b">
        <v>0</v>
      </c>
    </row>
    <row r="501" spans="1:9" x14ac:dyDescent="0.25">
      <c r="A501" s="12">
        <v>500</v>
      </c>
      <c r="B501" s="12" t="s">
        <v>1892</v>
      </c>
      <c r="C501" s="12" t="s">
        <v>1893</v>
      </c>
      <c r="D501" s="12" t="s">
        <v>10</v>
      </c>
      <c r="E501" s="12" t="s">
        <v>1894</v>
      </c>
      <c r="F501" s="12" t="s">
        <v>1090</v>
      </c>
      <c r="G501" s="12" t="b">
        <v>0</v>
      </c>
      <c r="H501" s="12" t="b">
        <v>0</v>
      </c>
      <c r="I501" s="12" t="b">
        <v>0</v>
      </c>
    </row>
    <row r="502" spans="1:9" x14ac:dyDescent="0.25">
      <c r="A502" s="12">
        <v>501</v>
      </c>
      <c r="B502" s="12" t="s">
        <v>1895</v>
      </c>
      <c r="C502" s="12" t="s">
        <v>1896</v>
      </c>
      <c r="D502" s="12" t="s">
        <v>10</v>
      </c>
      <c r="E502" s="12" t="s">
        <v>1897</v>
      </c>
      <c r="F502" s="12" t="s">
        <v>622</v>
      </c>
      <c r="G502" s="12" t="b">
        <v>0</v>
      </c>
      <c r="H502" s="12" t="b">
        <v>0</v>
      </c>
      <c r="I502" s="12" t="b">
        <v>0</v>
      </c>
    </row>
    <row r="503" spans="1:9" x14ac:dyDescent="0.25">
      <c r="A503" s="12">
        <v>502</v>
      </c>
      <c r="B503" s="12" t="s">
        <v>1898</v>
      </c>
      <c r="C503" s="12" t="s">
        <v>1899</v>
      </c>
      <c r="D503" s="12" t="s">
        <v>45</v>
      </c>
      <c r="E503" s="12" t="s">
        <v>1900</v>
      </c>
      <c r="F503" s="12" t="s">
        <v>1901</v>
      </c>
      <c r="G503" s="12" t="b">
        <v>0</v>
      </c>
      <c r="H503" s="12" t="b">
        <v>1</v>
      </c>
      <c r="I503" s="12" t="b">
        <v>1</v>
      </c>
    </row>
    <row r="504" spans="1:9" x14ac:dyDescent="0.25">
      <c r="A504" s="12">
        <v>503</v>
      </c>
      <c r="B504" s="12" t="s">
        <v>1902</v>
      </c>
      <c r="C504" s="12" t="s">
        <v>1903</v>
      </c>
      <c r="D504" s="12" t="s">
        <v>14</v>
      </c>
      <c r="E504" s="12" t="s">
        <v>1904</v>
      </c>
      <c r="F504" s="12" t="s">
        <v>577</v>
      </c>
      <c r="G504" s="12" t="b">
        <v>0</v>
      </c>
      <c r="H504" s="12" t="b">
        <v>1</v>
      </c>
      <c r="I504" s="12" t="b">
        <v>1</v>
      </c>
    </row>
    <row r="505" spans="1:9" x14ac:dyDescent="0.25">
      <c r="A505" s="12">
        <v>504</v>
      </c>
      <c r="B505" s="12" t="s">
        <v>1905</v>
      </c>
      <c r="C505" s="12" t="s">
        <v>1906</v>
      </c>
      <c r="D505" s="12" t="s">
        <v>10</v>
      </c>
      <c r="E505" s="12" t="s">
        <v>1907</v>
      </c>
      <c r="F505" s="12" t="s">
        <v>315</v>
      </c>
      <c r="G505" s="12" t="b">
        <v>0</v>
      </c>
      <c r="H505" s="12" t="b">
        <v>0</v>
      </c>
      <c r="I505" s="12" t="b">
        <v>0</v>
      </c>
    </row>
    <row r="506" spans="1:9" x14ac:dyDescent="0.25">
      <c r="A506" s="12">
        <v>505</v>
      </c>
      <c r="B506" s="12" t="s">
        <v>264</v>
      </c>
      <c r="C506" s="12" t="s">
        <v>1908</v>
      </c>
      <c r="D506" s="12" t="s">
        <v>14</v>
      </c>
      <c r="E506" s="12" t="s">
        <v>1909</v>
      </c>
      <c r="F506" s="12" t="s">
        <v>1891</v>
      </c>
      <c r="G506" s="12" t="b">
        <v>1</v>
      </c>
      <c r="H506" s="12" t="b">
        <v>1</v>
      </c>
      <c r="I506" s="12" t="b">
        <v>1</v>
      </c>
    </row>
    <row r="507" spans="1:9" x14ac:dyDescent="0.25">
      <c r="A507" s="12">
        <v>506</v>
      </c>
      <c r="B507" s="12" t="s">
        <v>1910</v>
      </c>
      <c r="C507" s="12" t="s">
        <v>1911</v>
      </c>
      <c r="D507" s="12" t="s">
        <v>10</v>
      </c>
      <c r="E507" s="12" t="s">
        <v>1912</v>
      </c>
      <c r="F507" s="12" t="s">
        <v>1913</v>
      </c>
      <c r="G507" s="12" t="b">
        <v>0</v>
      </c>
      <c r="H507" s="12" t="b">
        <v>0</v>
      </c>
      <c r="I507" s="12" t="b">
        <v>0</v>
      </c>
    </row>
    <row r="508" spans="1:9" x14ac:dyDescent="0.25">
      <c r="A508" s="12">
        <v>507</v>
      </c>
      <c r="B508" s="12" t="s">
        <v>1914</v>
      </c>
      <c r="C508" s="12" t="s">
        <v>1915</v>
      </c>
      <c r="D508" s="12" t="s">
        <v>10</v>
      </c>
      <c r="E508" s="12" t="s">
        <v>1916</v>
      </c>
      <c r="F508" s="12" t="s">
        <v>315</v>
      </c>
      <c r="G508" s="12" t="b">
        <v>0</v>
      </c>
      <c r="H508" s="12" t="b">
        <v>1</v>
      </c>
      <c r="I508" s="12" t="b">
        <v>1</v>
      </c>
    </row>
    <row r="509" spans="1:9" x14ac:dyDescent="0.25">
      <c r="A509" s="12">
        <v>508</v>
      </c>
      <c r="B509" s="12" t="s">
        <v>1917</v>
      </c>
      <c r="C509" s="12" t="s">
        <v>1918</v>
      </c>
      <c r="D509" s="12" t="s">
        <v>14</v>
      </c>
      <c r="E509" s="12" t="s">
        <v>1919</v>
      </c>
      <c r="F509" s="12" t="s">
        <v>1920</v>
      </c>
      <c r="G509" s="12" t="b">
        <v>0</v>
      </c>
      <c r="H509" s="12" t="b">
        <v>0</v>
      </c>
      <c r="I509" s="12" t="b">
        <v>0</v>
      </c>
    </row>
    <row r="510" spans="1:9" x14ac:dyDescent="0.25">
      <c r="A510" s="12">
        <v>509</v>
      </c>
      <c r="B510" s="12" t="s">
        <v>1921</v>
      </c>
      <c r="C510" s="12" t="s">
        <v>1922</v>
      </c>
      <c r="D510" s="12" t="s">
        <v>10</v>
      </c>
      <c r="E510" s="12" t="s">
        <v>1923</v>
      </c>
      <c r="F510" s="12" t="s">
        <v>1924</v>
      </c>
      <c r="G510" s="12" t="b">
        <v>0</v>
      </c>
      <c r="H510" s="12" t="b">
        <v>1</v>
      </c>
      <c r="I510" s="12" t="b">
        <v>1</v>
      </c>
    </row>
    <row r="511" spans="1:9" x14ac:dyDescent="0.25">
      <c r="A511" s="12">
        <v>510</v>
      </c>
      <c r="B511" s="12" t="s">
        <v>265</v>
      </c>
      <c r="C511" s="12" t="s">
        <v>1925</v>
      </c>
      <c r="D511" s="12" t="s">
        <v>14</v>
      </c>
      <c r="E511" s="12" t="s">
        <v>1926</v>
      </c>
      <c r="F511" s="12" t="s">
        <v>1731</v>
      </c>
      <c r="G511" s="12" t="b">
        <v>1</v>
      </c>
      <c r="H511" s="12" t="b">
        <v>1</v>
      </c>
      <c r="I511" s="12" t="b">
        <v>1</v>
      </c>
    </row>
    <row r="512" spans="1:9" x14ac:dyDescent="0.25">
      <c r="A512" s="12">
        <v>511</v>
      </c>
      <c r="B512" s="12" t="s">
        <v>1927</v>
      </c>
      <c r="C512" s="12" t="s">
        <v>1928</v>
      </c>
      <c r="D512" s="12" t="s">
        <v>10</v>
      </c>
      <c r="E512" s="12" t="s">
        <v>1929</v>
      </c>
      <c r="F512" s="12" t="s">
        <v>859</v>
      </c>
      <c r="G512" s="12" t="b">
        <v>0</v>
      </c>
      <c r="H512" s="12" t="b">
        <v>0</v>
      </c>
      <c r="I512" s="12" t="b">
        <v>0</v>
      </c>
    </row>
    <row r="513" spans="1:9" x14ac:dyDescent="0.25">
      <c r="A513" s="12">
        <v>512</v>
      </c>
      <c r="B513" s="12" t="s">
        <v>1930</v>
      </c>
      <c r="C513" s="12" t="s">
        <v>1931</v>
      </c>
      <c r="D513" s="12" t="s">
        <v>10</v>
      </c>
      <c r="E513" s="12" t="s">
        <v>1932</v>
      </c>
      <c r="F513" s="12" t="s">
        <v>859</v>
      </c>
      <c r="G513" s="12" t="b">
        <v>1</v>
      </c>
      <c r="H513" s="12" t="b">
        <v>0</v>
      </c>
      <c r="I513" s="12" t="b">
        <v>0</v>
      </c>
    </row>
    <row r="514" spans="1:9" x14ac:dyDescent="0.25">
      <c r="A514" s="12">
        <v>513</v>
      </c>
      <c r="B514" s="12" t="s">
        <v>1933</v>
      </c>
      <c r="C514" s="12" t="s">
        <v>1934</v>
      </c>
      <c r="D514" s="12" t="s">
        <v>14</v>
      </c>
      <c r="E514" s="12" t="s">
        <v>1935</v>
      </c>
      <c r="F514" s="12" t="s">
        <v>628</v>
      </c>
      <c r="G514" s="12" t="b">
        <v>0</v>
      </c>
      <c r="H514" s="12" t="b">
        <v>0</v>
      </c>
      <c r="I514" s="12" t="b">
        <v>0</v>
      </c>
    </row>
    <row r="515" spans="1:9" x14ac:dyDescent="0.25">
      <c r="A515" s="12">
        <v>514</v>
      </c>
      <c r="B515" s="12" t="s">
        <v>1936</v>
      </c>
      <c r="C515" s="12" t="s">
        <v>1937</v>
      </c>
      <c r="D515" s="12" t="s">
        <v>45</v>
      </c>
      <c r="E515" s="12" t="s">
        <v>1938</v>
      </c>
      <c r="F515" s="12" t="s">
        <v>1939</v>
      </c>
      <c r="G515" s="12" t="b">
        <v>0</v>
      </c>
      <c r="H515" s="12" t="b">
        <v>0</v>
      </c>
      <c r="I515" s="12" t="b">
        <v>0</v>
      </c>
    </row>
    <row r="516" spans="1:9" x14ac:dyDescent="0.25">
      <c r="A516" s="12">
        <v>515</v>
      </c>
      <c r="B516" s="12" t="s">
        <v>1940</v>
      </c>
      <c r="C516" s="12" t="s">
        <v>1941</v>
      </c>
      <c r="D516" s="12" t="s">
        <v>14</v>
      </c>
      <c r="E516" s="12" t="s">
        <v>1942</v>
      </c>
      <c r="F516" s="12" t="s">
        <v>628</v>
      </c>
      <c r="G516" s="12" t="b">
        <v>0</v>
      </c>
      <c r="H516" s="12" t="b">
        <v>0</v>
      </c>
      <c r="I516" s="12" t="b">
        <v>0</v>
      </c>
    </row>
    <row r="517" spans="1:9" x14ac:dyDescent="0.25">
      <c r="A517" s="12">
        <v>516</v>
      </c>
      <c r="B517" s="12" t="s">
        <v>1943</v>
      </c>
      <c r="C517" s="12" t="s">
        <v>1944</v>
      </c>
      <c r="D517" s="12" t="s">
        <v>14</v>
      </c>
      <c r="E517" s="12" t="s">
        <v>1945</v>
      </c>
      <c r="F517" s="12" t="s">
        <v>340</v>
      </c>
      <c r="G517" s="12" t="b">
        <v>0</v>
      </c>
      <c r="H517" s="12" t="b">
        <v>0</v>
      </c>
      <c r="I517" s="12" t="b">
        <v>0</v>
      </c>
    </row>
    <row r="518" spans="1:9" x14ac:dyDescent="0.25">
      <c r="A518" s="12">
        <v>517</v>
      </c>
      <c r="B518" s="12" t="s">
        <v>1946</v>
      </c>
      <c r="C518" s="12" t="s">
        <v>1947</v>
      </c>
      <c r="D518" s="12" t="s">
        <v>45</v>
      </c>
      <c r="E518" s="12" t="s">
        <v>1948</v>
      </c>
      <c r="F518" s="12" t="s">
        <v>732</v>
      </c>
      <c r="G518" s="12" t="b">
        <v>0</v>
      </c>
      <c r="H518" s="12" t="b">
        <v>0</v>
      </c>
      <c r="I518" s="12" t="b">
        <v>0</v>
      </c>
    </row>
    <row r="519" spans="1:9" x14ac:dyDescent="0.25">
      <c r="A519" s="12">
        <v>518</v>
      </c>
      <c r="B519" s="12" t="s">
        <v>1949</v>
      </c>
      <c r="C519" s="12" t="s">
        <v>1950</v>
      </c>
      <c r="D519" s="12" t="s">
        <v>14</v>
      </c>
      <c r="E519" s="12" t="s">
        <v>1951</v>
      </c>
      <c r="F519" s="12" t="s">
        <v>681</v>
      </c>
      <c r="G519" s="12" t="b">
        <v>0</v>
      </c>
      <c r="H519" s="12" t="b">
        <v>1</v>
      </c>
      <c r="I519" s="12" t="b">
        <v>1</v>
      </c>
    </row>
    <row r="520" spans="1:9" x14ac:dyDescent="0.25">
      <c r="A520" s="12">
        <v>519</v>
      </c>
      <c r="B520" s="12" t="s">
        <v>1952</v>
      </c>
      <c r="C520" s="12" t="s">
        <v>1953</v>
      </c>
      <c r="D520" s="12" t="s">
        <v>14</v>
      </c>
      <c r="E520" s="12" t="s">
        <v>1954</v>
      </c>
      <c r="F520" s="12" t="s">
        <v>1566</v>
      </c>
      <c r="G520" s="12" t="b">
        <v>0</v>
      </c>
      <c r="H520" s="12" t="b">
        <v>0</v>
      </c>
      <c r="I520" s="12" t="b">
        <v>0</v>
      </c>
    </row>
    <row r="521" spans="1:9" x14ac:dyDescent="0.25">
      <c r="A521" s="12">
        <v>520</v>
      </c>
      <c r="B521" s="12" t="s">
        <v>1955</v>
      </c>
      <c r="C521" s="12" t="s">
        <v>1956</v>
      </c>
      <c r="D521" s="12" t="s">
        <v>10</v>
      </c>
      <c r="E521" s="12" t="s">
        <v>1957</v>
      </c>
      <c r="F521" s="12" t="s">
        <v>316</v>
      </c>
      <c r="G521" s="12" t="b">
        <v>0</v>
      </c>
      <c r="H521" s="12" t="b">
        <v>1</v>
      </c>
      <c r="I521" s="12" t="b">
        <v>1</v>
      </c>
    </row>
    <row r="522" spans="1:9" x14ac:dyDescent="0.25">
      <c r="A522" s="12">
        <v>521</v>
      </c>
      <c r="B522" s="12" t="s">
        <v>1958</v>
      </c>
      <c r="C522" s="12" t="s">
        <v>1959</v>
      </c>
      <c r="D522" s="12" t="s">
        <v>10</v>
      </c>
      <c r="E522" s="12" t="s">
        <v>1960</v>
      </c>
      <c r="F522" s="12" t="s">
        <v>316</v>
      </c>
      <c r="G522" s="12" t="b">
        <v>0</v>
      </c>
      <c r="H522" s="12" t="b">
        <v>1</v>
      </c>
      <c r="I522" s="12" t="b">
        <v>1</v>
      </c>
    </row>
    <row r="523" spans="1:9" x14ac:dyDescent="0.25">
      <c r="A523" s="12">
        <v>522</v>
      </c>
      <c r="B523" s="12" t="s">
        <v>1961</v>
      </c>
      <c r="C523" s="12" t="s">
        <v>1962</v>
      </c>
      <c r="D523" s="12" t="s">
        <v>14</v>
      </c>
      <c r="E523" s="12" t="s">
        <v>1963</v>
      </c>
      <c r="F523" s="12" t="s">
        <v>1964</v>
      </c>
      <c r="G523" s="12" t="b">
        <v>0</v>
      </c>
      <c r="H523" s="12" t="b">
        <v>1</v>
      </c>
      <c r="I523" s="12" t="b">
        <v>1</v>
      </c>
    </row>
    <row r="524" spans="1:9" x14ac:dyDescent="0.25">
      <c r="A524" s="12">
        <v>523</v>
      </c>
      <c r="B524" s="12" t="s">
        <v>1965</v>
      </c>
      <c r="C524" s="12" t="s">
        <v>1966</v>
      </c>
      <c r="D524" s="12" t="s">
        <v>14</v>
      </c>
      <c r="E524" s="12" t="s">
        <v>1967</v>
      </c>
      <c r="F524" s="12" t="s">
        <v>1968</v>
      </c>
      <c r="G524" s="12" t="b">
        <v>0</v>
      </c>
      <c r="H524" s="12" t="b">
        <v>0</v>
      </c>
      <c r="I524" s="12" t="b">
        <v>0</v>
      </c>
    </row>
    <row r="525" spans="1:9" x14ac:dyDescent="0.25">
      <c r="A525" s="12">
        <v>524</v>
      </c>
      <c r="B525" s="12" t="s">
        <v>1969</v>
      </c>
      <c r="C525" s="12" t="s">
        <v>1970</v>
      </c>
      <c r="D525" s="12" t="s">
        <v>14</v>
      </c>
      <c r="E525" s="12" t="s">
        <v>1971</v>
      </c>
      <c r="F525" s="12" t="s">
        <v>1972</v>
      </c>
      <c r="G525" s="12" t="b">
        <v>0</v>
      </c>
      <c r="H525" s="12" t="b">
        <v>1</v>
      </c>
      <c r="I525" s="12" t="b">
        <v>1</v>
      </c>
    </row>
    <row r="526" spans="1:9" x14ac:dyDescent="0.25">
      <c r="A526" s="12">
        <v>525</v>
      </c>
      <c r="B526" s="12" t="s">
        <v>1973</v>
      </c>
      <c r="C526" s="12" t="s">
        <v>1974</v>
      </c>
      <c r="D526" s="12" t="s">
        <v>14</v>
      </c>
      <c r="E526" s="12" t="s">
        <v>1975</v>
      </c>
      <c r="F526" s="12" t="s">
        <v>1976</v>
      </c>
      <c r="G526" s="12" t="b">
        <v>0</v>
      </c>
      <c r="H526" s="12" t="b">
        <v>1</v>
      </c>
      <c r="I526" s="12" t="b">
        <v>1</v>
      </c>
    </row>
    <row r="527" spans="1:9" x14ac:dyDescent="0.25">
      <c r="A527" s="12">
        <v>526</v>
      </c>
      <c r="B527" s="12" t="s">
        <v>1977</v>
      </c>
      <c r="C527" s="12" t="s">
        <v>1978</v>
      </c>
      <c r="D527" s="12" t="s">
        <v>14</v>
      </c>
      <c r="E527" s="12" t="s">
        <v>1979</v>
      </c>
      <c r="F527" s="12" t="s">
        <v>1780</v>
      </c>
      <c r="G527" s="12" t="b">
        <v>0</v>
      </c>
      <c r="H527" s="12" t="b">
        <v>1</v>
      </c>
      <c r="I527" s="12" t="b">
        <v>1</v>
      </c>
    </row>
    <row r="528" spans="1:9" x14ac:dyDescent="0.25">
      <c r="A528" s="12">
        <v>527</v>
      </c>
      <c r="B528" s="12" t="s">
        <v>266</v>
      </c>
      <c r="C528" s="12" t="s">
        <v>1980</v>
      </c>
      <c r="D528" s="12" t="s">
        <v>45</v>
      </c>
      <c r="E528" s="12" t="s">
        <v>1981</v>
      </c>
      <c r="F528" s="12" t="s">
        <v>1982</v>
      </c>
      <c r="G528" s="12" t="b">
        <v>1</v>
      </c>
      <c r="H528" s="12" t="b">
        <v>1</v>
      </c>
      <c r="I528" s="12" t="b">
        <v>1</v>
      </c>
    </row>
    <row r="529" spans="1:9" x14ac:dyDescent="0.25">
      <c r="A529" s="12">
        <v>528</v>
      </c>
      <c r="B529" s="12" t="s">
        <v>1983</v>
      </c>
      <c r="C529" s="12" t="s">
        <v>1984</v>
      </c>
      <c r="D529" s="12" t="s">
        <v>14</v>
      </c>
      <c r="E529" s="12" t="s">
        <v>1985</v>
      </c>
      <c r="F529" s="12" t="s">
        <v>1986</v>
      </c>
      <c r="G529" s="12" t="b">
        <v>0</v>
      </c>
      <c r="H529" s="12" t="b">
        <v>1</v>
      </c>
      <c r="I529" s="12" t="b">
        <v>1</v>
      </c>
    </row>
    <row r="530" spans="1:9" x14ac:dyDescent="0.25">
      <c r="A530" s="12">
        <v>529</v>
      </c>
      <c r="B530" s="12" t="s">
        <v>1987</v>
      </c>
      <c r="C530" s="12" t="s">
        <v>1988</v>
      </c>
      <c r="D530" s="12" t="s">
        <v>14</v>
      </c>
      <c r="E530" s="12" t="s">
        <v>1989</v>
      </c>
      <c r="F530" s="12" t="s">
        <v>1628</v>
      </c>
      <c r="G530" s="12" t="b">
        <v>0</v>
      </c>
      <c r="H530" s="12" t="b">
        <v>0</v>
      </c>
      <c r="I530" s="12" t="b">
        <v>0</v>
      </c>
    </row>
    <row r="531" spans="1:9" x14ac:dyDescent="0.25">
      <c r="A531" s="12">
        <v>530</v>
      </c>
      <c r="B531" s="12" t="s">
        <v>1990</v>
      </c>
      <c r="C531" s="12" t="s">
        <v>1991</v>
      </c>
      <c r="D531" s="12" t="s">
        <v>10</v>
      </c>
      <c r="E531" s="12" t="s">
        <v>1992</v>
      </c>
      <c r="F531" s="12" t="s">
        <v>1993</v>
      </c>
      <c r="G531" s="12" t="b">
        <v>0</v>
      </c>
      <c r="H531" s="12" t="b">
        <v>0</v>
      </c>
      <c r="I531" s="12" t="b">
        <v>0</v>
      </c>
    </row>
    <row r="532" spans="1:9" x14ac:dyDescent="0.25">
      <c r="A532" s="12">
        <v>531</v>
      </c>
      <c r="B532" s="12" t="s">
        <v>267</v>
      </c>
      <c r="C532" s="12" t="s">
        <v>1994</v>
      </c>
      <c r="D532" s="12" t="s">
        <v>14</v>
      </c>
      <c r="E532" s="12" t="s">
        <v>1995</v>
      </c>
      <c r="F532" s="12" t="s">
        <v>436</v>
      </c>
      <c r="G532" s="12" t="b">
        <v>1</v>
      </c>
      <c r="H532" s="12" t="b">
        <v>0</v>
      </c>
      <c r="I532" s="12" t="b">
        <v>0</v>
      </c>
    </row>
    <row r="533" spans="1:9" x14ac:dyDescent="0.25">
      <c r="A533" s="12">
        <v>532</v>
      </c>
      <c r="B533" s="12" t="s">
        <v>1996</v>
      </c>
      <c r="C533" s="12" t="s">
        <v>1997</v>
      </c>
      <c r="D533" s="12" t="s">
        <v>14</v>
      </c>
      <c r="E533" s="12" t="s">
        <v>1998</v>
      </c>
      <c r="F533" s="12" t="s">
        <v>1399</v>
      </c>
      <c r="G533" s="12" t="b">
        <v>0</v>
      </c>
      <c r="H533" s="12" t="b">
        <v>1</v>
      </c>
      <c r="I533" s="12" t="b">
        <v>1</v>
      </c>
    </row>
    <row r="534" spans="1:9" x14ac:dyDescent="0.25">
      <c r="A534" s="12">
        <v>533</v>
      </c>
      <c r="B534" s="12" t="s">
        <v>1999</v>
      </c>
      <c r="C534" s="12" t="s">
        <v>2000</v>
      </c>
      <c r="D534" s="12" t="s">
        <v>14</v>
      </c>
      <c r="E534" s="12" t="s">
        <v>2001</v>
      </c>
      <c r="F534" s="12" t="s">
        <v>436</v>
      </c>
      <c r="G534" s="12" t="b">
        <v>1</v>
      </c>
      <c r="H534" s="12" t="b">
        <v>0</v>
      </c>
      <c r="I534" s="12" t="b">
        <v>0</v>
      </c>
    </row>
    <row r="535" spans="1:9" x14ac:dyDescent="0.25">
      <c r="A535" s="12">
        <v>534</v>
      </c>
      <c r="B535" s="12" t="s">
        <v>2002</v>
      </c>
      <c r="C535" s="12" t="s">
        <v>2003</v>
      </c>
      <c r="D535" s="12" t="s">
        <v>14</v>
      </c>
      <c r="E535" s="12" t="s">
        <v>2004</v>
      </c>
      <c r="F535" s="12" t="s">
        <v>859</v>
      </c>
      <c r="G535" s="12" t="b">
        <v>1</v>
      </c>
      <c r="H535" s="12" t="b">
        <v>0</v>
      </c>
      <c r="I535" s="12" t="b">
        <v>0</v>
      </c>
    </row>
    <row r="536" spans="1:9" x14ac:dyDescent="0.25">
      <c r="A536" s="12">
        <v>535</v>
      </c>
      <c r="B536" s="12" t="s">
        <v>2005</v>
      </c>
      <c r="C536" s="12" t="s">
        <v>2006</v>
      </c>
      <c r="D536" s="12" t="s">
        <v>14</v>
      </c>
      <c r="E536" s="12" t="s">
        <v>2007</v>
      </c>
      <c r="F536" s="12" t="s">
        <v>2008</v>
      </c>
      <c r="G536" s="12" t="b">
        <v>0</v>
      </c>
      <c r="H536" s="12" t="b">
        <v>1</v>
      </c>
      <c r="I536" s="12" t="b">
        <v>1</v>
      </c>
    </row>
    <row r="537" spans="1:9" x14ac:dyDescent="0.25">
      <c r="A537" s="12">
        <v>536</v>
      </c>
      <c r="B537" s="12" t="s">
        <v>268</v>
      </c>
      <c r="C537" s="12" t="s">
        <v>2009</v>
      </c>
      <c r="D537" s="12" t="s">
        <v>14</v>
      </c>
      <c r="E537" s="12" t="s">
        <v>2010</v>
      </c>
      <c r="F537" s="12" t="s">
        <v>2011</v>
      </c>
      <c r="G537" s="12" t="b">
        <v>1</v>
      </c>
      <c r="H537" s="12" t="b">
        <v>1</v>
      </c>
      <c r="I537" s="12" t="b">
        <v>1</v>
      </c>
    </row>
    <row r="538" spans="1:9" x14ac:dyDescent="0.25">
      <c r="A538" s="12">
        <v>537</v>
      </c>
      <c r="B538" s="12" t="s">
        <v>2012</v>
      </c>
      <c r="C538" s="12" t="s">
        <v>2013</v>
      </c>
      <c r="D538" s="12" t="s">
        <v>14</v>
      </c>
      <c r="E538" s="12" t="s">
        <v>2014</v>
      </c>
      <c r="F538" s="12" t="s">
        <v>456</v>
      </c>
      <c r="G538" s="12" t="b">
        <v>0</v>
      </c>
      <c r="H538" s="12" t="b">
        <v>1</v>
      </c>
      <c r="I538" s="12" t="b">
        <v>1</v>
      </c>
    </row>
    <row r="539" spans="1:9" x14ac:dyDescent="0.25">
      <c r="A539" s="12">
        <v>538</v>
      </c>
      <c r="B539" s="12" t="s">
        <v>2015</v>
      </c>
      <c r="C539" s="12" t="s">
        <v>2016</v>
      </c>
      <c r="D539" s="12" t="s">
        <v>14</v>
      </c>
      <c r="E539" s="12" t="s">
        <v>2017</v>
      </c>
      <c r="F539" s="12" t="s">
        <v>622</v>
      </c>
      <c r="G539" s="12" t="b">
        <v>0</v>
      </c>
      <c r="H539" s="12" t="b">
        <v>1</v>
      </c>
      <c r="I539" s="12" t="b">
        <v>1</v>
      </c>
    </row>
    <row r="540" spans="1:9" x14ac:dyDescent="0.25">
      <c r="A540" s="12">
        <v>539</v>
      </c>
      <c r="B540" s="12" t="s">
        <v>2018</v>
      </c>
      <c r="C540" s="12" t="s">
        <v>2019</v>
      </c>
      <c r="D540" s="12" t="s">
        <v>14</v>
      </c>
      <c r="E540" s="12" t="s">
        <v>2020</v>
      </c>
      <c r="F540" s="12" t="s">
        <v>2021</v>
      </c>
      <c r="G540" s="12" t="b">
        <v>0</v>
      </c>
      <c r="H540" s="12" t="b">
        <v>0</v>
      </c>
      <c r="I540" s="12" t="b">
        <v>0</v>
      </c>
    </row>
    <row r="541" spans="1:9" x14ac:dyDescent="0.25">
      <c r="A541" s="12">
        <v>540</v>
      </c>
      <c r="B541" s="12" t="s">
        <v>2022</v>
      </c>
      <c r="C541" s="12" t="s">
        <v>2023</v>
      </c>
      <c r="D541" s="12" t="s">
        <v>14</v>
      </c>
      <c r="E541" s="12" t="s">
        <v>2024</v>
      </c>
      <c r="F541" s="12" t="s">
        <v>426</v>
      </c>
      <c r="G541" s="12" t="b">
        <v>0</v>
      </c>
      <c r="H541" s="12" t="b">
        <v>1</v>
      </c>
      <c r="I541" s="12" t="b">
        <v>1</v>
      </c>
    </row>
    <row r="542" spans="1:9" x14ac:dyDescent="0.25">
      <c r="A542" s="12">
        <v>541</v>
      </c>
      <c r="B542" s="12" t="s">
        <v>2025</v>
      </c>
      <c r="C542" s="12" t="s">
        <v>2026</v>
      </c>
      <c r="D542" s="12" t="s">
        <v>10</v>
      </c>
      <c r="E542" s="12" t="s">
        <v>2027</v>
      </c>
      <c r="F542" s="12" t="s">
        <v>702</v>
      </c>
      <c r="G542" s="12" t="b">
        <v>0</v>
      </c>
      <c r="H542" s="12" t="b">
        <v>1</v>
      </c>
      <c r="I542" s="12" t="b">
        <v>1</v>
      </c>
    </row>
    <row r="543" spans="1:9" x14ac:dyDescent="0.25">
      <c r="A543" s="12">
        <v>542</v>
      </c>
      <c r="B543" s="12" t="s">
        <v>2028</v>
      </c>
      <c r="C543" s="12" t="s">
        <v>2029</v>
      </c>
      <c r="D543" s="12" t="s">
        <v>14</v>
      </c>
      <c r="E543" s="12" t="s">
        <v>2030</v>
      </c>
      <c r="F543" s="12" t="s">
        <v>2031</v>
      </c>
      <c r="G543" s="12" t="b">
        <v>0</v>
      </c>
      <c r="H543" s="12" t="b">
        <v>1</v>
      </c>
      <c r="I543" s="12" t="b">
        <v>1</v>
      </c>
    </row>
    <row r="544" spans="1:9" x14ac:dyDescent="0.25">
      <c r="A544" s="12">
        <v>543</v>
      </c>
      <c r="B544" s="12" t="s">
        <v>68</v>
      </c>
      <c r="C544" s="12" t="s">
        <v>2032</v>
      </c>
      <c r="D544" s="12" t="s">
        <v>10</v>
      </c>
      <c r="E544" s="12" t="s">
        <v>2033</v>
      </c>
      <c r="F544" s="12" t="s">
        <v>658</v>
      </c>
      <c r="G544" s="12" t="b">
        <v>0</v>
      </c>
      <c r="H544" s="12" t="b">
        <v>1</v>
      </c>
      <c r="I544" s="12" t="b">
        <v>1</v>
      </c>
    </row>
    <row r="545" spans="1:9" x14ac:dyDescent="0.25">
      <c r="A545" s="12">
        <v>544</v>
      </c>
      <c r="B545" s="12" t="s">
        <v>2034</v>
      </c>
      <c r="C545" s="12" t="s">
        <v>2035</v>
      </c>
      <c r="D545" s="12" t="s">
        <v>14</v>
      </c>
      <c r="E545" s="12" t="s">
        <v>2036</v>
      </c>
      <c r="F545" s="12" t="s">
        <v>2037</v>
      </c>
      <c r="G545" s="12" t="b">
        <v>1</v>
      </c>
      <c r="H545" s="12" t="b">
        <v>0</v>
      </c>
      <c r="I545" s="12" t="b">
        <v>0</v>
      </c>
    </row>
    <row r="546" spans="1:9" x14ac:dyDescent="0.25">
      <c r="A546" s="12">
        <v>545</v>
      </c>
      <c r="B546" s="12" t="s">
        <v>269</v>
      </c>
      <c r="C546" s="12" t="s">
        <v>2038</v>
      </c>
      <c r="D546" s="12" t="s">
        <v>14</v>
      </c>
      <c r="E546" s="12" t="s">
        <v>2039</v>
      </c>
      <c r="F546" s="12" t="s">
        <v>658</v>
      </c>
      <c r="G546" s="12" t="b">
        <v>1</v>
      </c>
      <c r="H546" s="12" t="b">
        <v>1</v>
      </c>
      <c r="I546" s="12" t="b">
        <v>1</v>
      </c>
    </row>
    <row r="547" spans="1:9" x14ac:dyDescent="0.25">
      <c r="A547" s="12">
        <v>546</v>
      </c>
      <c r="B547" s="12" t="s">
        <v>2040</v>
      </c>
      <c r="C547" s="12" t="s">
        <v>2041</v>
      </c>
      <c r="D547" s="12" t="s">
        <v>45</v>
      </c>
      <c r="E547" s="12" t="s">
        <v>2042</v>
      </c>
      <c r="F547" s="12" t="s">
        <v>2043</v>
      </c>
      <c r="G547" s="12" t="b">
        <v>0</v>
      </c>
      <c r="H547" s="12" t="b">
        <v>1</v>
      </c>
      <c r="I547" s="12" t="b">
        <v>1</v>
      </c>
    </row>
    <row r="548" spans="1:9" x14ac:dyDescent="0.25">
      <c r="A548" s="12">
        <v>547</v>
      </c>
      <c r="B548" s="12" t="s">
        <v>2044</v>
      </c>
      <c r="C548" s="12" t="s">
        <v>2045</v>
      </c>
      <c r="D548" s="12" t="s">
        <v>14</v>
      </c>
      <c r="E548" s="12" t="s">
        <v>2046</v>
      </c>
      <c r="F548" s="12" t="s">
        <v>1122</v>
      </c>
      <c r="G548" s="12" t="b">
        <v>0</v>
      </c>
      <c r="H548" s="12" t="b">
        <v>1</v>
      </c>
      <c r="I548" s="12" t="b">
        <v>1</v>
      </c>
    </row>
    <row r="549" spans="1:9" x14ac:dyDescent="0.25">
      <c r="A549" s="12">
        <v>548</v>
      </c>
      <c r="B549" s="12" t="s">
        <v>2047</v>
      </c>
      <c r="C549" s="12" t="s">
        <v>2048</v>
      </c>
      <c r="D549" s="12" t="s">
        <v>45</v>
      </c>
      <c r="E549" s="12" t="s">
        <v>2049</v>
      </c>
      <c r="F549" s="12" t="s">
        <v>1055</v>
      </c>
      <c r="G549" s="12" t="b">
        <v>1</v>
      </c>
      <c r="H549" s="12" t="b">
        <v>1</v>
      </c>
      <c r="I549" s="12" t="b">
        <v>1</v>
      </c>
    </row>
    <row r="550" spans="1:9" x14ac:dyDescent="0.25">
      <c r="A550" s="12">
        <v>549</v>
      </c>
      <c r="B550" s="12" t="s">
        <v>270</v>
      </c>
      <c r="C550" s="12" t="s">
        <v>2050</v>
      </c>
      <c r="D550" s="12" t="s">
        <v>14</v>
      </c>
      <c r="E550" s="12" t="s">
        <v>2051</v>
      </c>
      <c r="F550" s="12" t="s">
        <v>658</v>
      </c>
      <c r="G550" s="12" t="b">
        <v>1</v>
      </c>
      <c r="H550" s="12" t="b">
        <v>1</v>
      </c>
      <c r="I550" s="12" t="b">
        <v>1</v>
      </c>
    </row>
    <row r="551" spans="1:9" x14ac:dyDescent="0.25">
      <c r="A551" s="12">
        <v>550</v>
      </c>
      <c r="B551" s="12" t="s">
        <v>2052</v>
      </c>
      <c r="C551" s="12" t="s">
        <v>2053</v>
      </c>
      <c r="D551" s="12" t="s">
        <v>14</v>
      </c>
      <c r="E551" s="12" t="s">
        <v>2054</v>
      </c>
      <c r="F551" s="12" t="s">
        <v>859</v>
      </c>
      <c r="G551" s="12" t="b">
        <v>1</v>
      </c>
      <c r="H551" s="12" t="b">
        <v>0</v>
      </c>
      <c r="I551" s="12" t="b">
        <v>0</v>
      </c>
    </row>
    <row r="552" spans="1:9" x14ac:dyDescent="0.25">
      <c r="A552" s="12">
        <v>551</v>
      </c>
      <c r="B552" s="12" t="s">
        <v>2055</v>
      </c>
      <c r="C552" s="12" t="s">
        <v>2056</v>
      </c>
      <c r="D552" s="12" t="s">
        <v>10</v>
      </c>
      <c r="E552" s="12" t="s">
        <v>2057</v>
      </c>
      <c r="F552" s="12" t="s">
        <v>316</v>
      </c>
      <c r="G552" s="12" t="b">
        <v>0</v>
      </c>
      <c r="H552" s="12" t="b">
        <v>1</v>
      </c>
      <c r="I552" s="12" t="b">
        <v>1</v>
      </c>
    </row>
    <row r="553" spans="1:9" x14ac:dyDescent="0.25">
      <c r="A553" s="12">
        <v>552</v>
      </c>
      <c r="B553" s="12" t="s">
        <v>2058</v>
      </c>
      <c r="C553" s="12" t="s">
        <v>2059</v>
      </c>
      <c r="D553" s="12" t="s">
        <v>45</v>
      </c>
      <c r="E553" s="12" t="s">
        <v>2060</v>
      </c>
      <c r="F553" s="12" t="s">
        <v>292</v>
      </c>
      <c r="G553" s="12" t="b">
        <v>0</v>
      </c>
      <c r="H553" s="12" t="b">
        <v>1</v>
      </c>
      <c r="I553" s="12" t="b">
        <v>1</v>
      </c>
    </row>
    <row r="554" spans="1:9" x14ac:dyDescent="0.25">
      <c r="A554" s="12">
        <v>553</v>
      </c>
      <c r="B554" s="12" t="s">
        <v>2061</v>
      </c>
      <c r="C554" s="12" t="s">
        <v>2062</v>
      </c>
      <c r="D554" s="12" t="s">
        <v>14</v>
      </c>
      <c r="E554" s="12" t="s">
        <v>2063</v>
      </c>
      <c r="F554" s="12" t="s">
        <v>1283</v>
      </c>
      <c r="G554" s="12" t="b">
        <v>0</v>
      </c>
      <c r="H554" s="12" t="b">
        <v>1</v>
      </c>
      <c r="I554" s="12" t="b">
        <v>1</v>
      </c>
    </row>
    <row r="555" spans="1:9" x14ac:dyDescent="0.25">
      <c r="A555" s="12">
        <v>554</v>
      </c>
      <c r="B555" s="12" t="s">
        <v>2064</v>
      </c>
      <c r="C555" s="12" t="s">
        <v>2065</v>
      </c>
      <c r="D555" s="12" t="s">
        <v>14</v>
      </c>
      <c r="E555" s="12" t="s">
        <v>2066</v>
      </c>
      <c r="F555" s="12" t="s">
        <v>328</v>
      </c>
      <c r="G555" s="12" t="b">
        <v>0</v>
      </c>
      <c r="H555" s="12" t="b">
        <v>1</v>
      </c>
      <c r="I555" s="12" t="b">
        <v>1</v>
      </c>
    </row>
    <row r="556" spans="1:9" x14ac:dyDescent="0.25">
      <c r="A556" s="12">
        <v>555</v>
      </c>
      <c r="B556" s="12" t="s">
        <v>2067</v>
      </c>
      <c r="C556" s="12" t="s">
        <v>2068</v>
      </c>
      <c r="D556" s="12" t="s">
        <v>14</v>
      </c>
      <c r="E556" s="12" t="s">
        <v>2069</v>
      </c>
      <c r="F556" s="12" t="s">
        <v>2070</v>
      </c>
      <c r="G556" s="12" t="b">
        <v>1</v>
      </c>
      <c r="H556" s="12" t="b">
        <v>0</v>
      </c>
      <c r="I556" s="12" t="b">
        <v>0</v>
      </c>
    </row>
    <row r="557" spans="1:9" x14ac:dyDescent="0.25">
      <c r="A557" s="12">
        <v>556</v>
      </c>
      <c r="B557" s="12" t="s">
        <v>2071</v>
      </c>
      <c r="C557" s="12" t="s">
        <v>2072</v>
      </c>
      <c r="D557" s="12" t="s">
        <v>14</v>
      </c>
      <c r="E557" s="12" t="s">
        <v>2073</v>
      </c>
      <c r="F557" s="12" t="s">
        <v>2074</v>
      </c>
      <c r="G557" s="12" t="b">
        <v>0</v>
      </c>
      <c r="H557" s="12" t="b">
        <v>1</v>
      </c>
      <c r="I557" s="12" t="b">
        <v>1</v>
      </c>
    </row>
    <row r="558" spans="1:9" x14ac:dyDescent="0.25">
      <c r="A558" s="12">
        <v>557</v>
      </c>
      <c r="B558" s="12" t="s">
        <v>2075</v>
      </c>
      <c r="C558" s="12" t="s">
        <v>2076</v>
      </c>
      <c r="D558" s="12" t="s">
        <v>10</v>
      </c>
      <c r="E558" s="12" t="s">
        <v>2077</v>
      </c>
      <c r="F558" s="12" t="s">
        <v>702</v>
      </c>
      <c r="G558" s="12" t="b">
        <v>0</v>
      </c>
      <c r="H558" s="12" t="b">
        <v>1</v>
      </c>
      <c r="I558" s="12" t="b">
        <v>1</v>
      </c>
    </row>
    <row r="559" spans="1:9" x14ac:dyDescent="0.25">
      <c r="A559" s="12">
        <v>558</v>
      </c>
      <c r="B559" s="12" t="s">
        <v>2078</v>
      </c>
      <c r="C559" s="12" t="s">
        <v>2079</v>
      </c>
      <c r="D559" s="12" t="s">
        <v>14</v>
      </c>
      <c r="E559" s="12" t="s">
        <v>2080</v>
      </c>
      <c r="F559" s="12" t="s">
        <v>2081</v>
      </c>
      <c r="G559" s="12" t="b">
        <v>0</v>
      </c>
      <c r="H559" s="12" t="b">
        <v>0</v>
      </c>
      <c r="I559" s="12" t="b">
        <v>0</v>
      </c>
    </row>
    <row r="560" spans="1:9" x14ac:dyDescent="0.25">
      <c r="A560" s="12">
        <v>559</v>
      </c>
      <c r="B560" s="12" t="s">
        <v>2082</v>
      </c>
      <c r="C560" s="12" t="s">
        <v>2083</v>
      </c>
      <c r="D560" s="12" t="s">
        <v>10</v>
      </c>
      <c r="E560" s="12" t="s">
        <v>2084</v>
      </c>
      <c r="F560" s="12" t="s">
        <v>2085</v>
      </c>
      <c r="G560" s="12" t="b">
        <v>0</v>
      </c>
      <c r="H560" s="12" t="b">
        <v>1</v>
      </c>
      <c r="I560" s="12" t="b">
        <v>1</v>
      </c>
    </row>
    <row r="561" spans="1:9" x14ac:dyDescent="0.25">
      <c r="A561" s="12">
        <v>560</v>
      </c>
      <c r="B561" s="12" t="s">
        <v>2086</v>
      </c>
      <c r="C561" s="12" t="s">
        <v>2087</v>
      </c>
      <c r="D561" s="12" t="s">
        <v>14</v>
      </c>
      <c r="E561" s="12" t="s">
        <v>2088</v>
      </c>
      <c r="F561" s="12" t="s">
        <v>1976</v>
      </c>
      <c r="G561" s="12" t="b">
        <v>0</v>
      </c>
      <c r="H561" s="12" t="b">
        <v>1</v>
      </c>
      <c r="I561" s="12" t="b">
        <v>1</v>
      </c>
    </row>
    <row r="562" spans="1:9" x14ac:dyDescent="0.25">
      <c r="A562" s="12">
        <v>561</v>
      </c>
      <c r="B562" s="12" t="s">
        <v>2089</v>
      </c>
      <c r="C562" s="12" t="s">
        <v>2090</v>
      </c>
      <c r="D562" s="12" t="s">
        <v>10</v>
      </c>
      <c r="E562" s="12" t="s">
        <v>2091</v>
      </c>
      <c r="F562" s="12" t="s">
        <v>2092</v>
      </c>
      <c r="G562" s="12" t="b">
        <v>0</v>
      </c>
      <c r="H562" s="12" t="b">
        <v>1</v>
      </c>
      <c r="I562" s="12" t="b">
        <v>1</v>
      </c>
    </row>
    <row r="563" spans="1:9" x14ac:dyDescent="0.25">
      <c r="A563" s="12">
        <v>562</v>
      </c>
      <c r="B563" s="12" t="s">
        <v>271</v>
      </c>
      <c r="C563" s="12" t="s">
        <v>2093</v>
      </c>
      <c r="D563" s="12" t="s">
        <v>14</v>
      </c>
      <c r="E563" s="12" t="s">
        <v>2094</v>
      </c>
      <c r="F563" s="12" t="s">
        <v>515</v>
      </c>
      <c r="G563" s="12" t="b">
        <v>1</v>
      </c>
      <c r="H563" s="12" t="b">
        <v>1</v>
      </c>
      <c r="I563" s="12" t="b">
        <v>1</v>
      </c>
    </row>
    <row r="564" spans="1:9" x14ac:dyDescent="0.25">
      <c r="A564" s="12">
        <v>563</v>
      </c>
      <c r="B564" s="12" t="s">
        <v>2095</v>
      </c>
      <c r="C564" s="12" t="s">
        <v>2096</v>
      </c>
      <c r="D564" s="12" t="s">
        <v>10</v>
      </c>
      <c r="E564" s="12" t="s">
        <v>2097</v>
      </c>
      <c r="F564" s="12" t="s">
        <v>658</v>
      </c>
      <c r="G564" s="12" t="b">
        <v>0</v>
      </c>
      <c r="H564" s="12" t="b">
        <v>1</v>
      </c>
      <c r="I564" s="12" t="b">
        <v>1</v>
      </c>
    </row>
    <row r="565" spans="1:9" x14ac:dyDescent="0.25">
      <c r="A565" s="12">
        <v>564</v>
      </c>
      <c r="B565" s="12" t="s">
        <v>2098</v>
      </c>
      <c r="C565" s="12" t="s">
        <v>2099</v>
      </c>
      <c r="D565" s="12" t="s">
        <v>45</v>
      </c>
      <c r="E565" s="12" t="s">
        <v>2100</v>
      </c>
      <c r="F565" s="12" t="s">
        <v>836</v>
      </c>
      <c r="G565" s="12" t="b">
        <v>0</v>
      </c>
      <c r="H565" s="12" t="b">
        <v>0</v>
      </c>
      <c r="I565" s="12" t="b">
        <v>0</v>
      </c>
    </row>
    <row r="566" spans="1:9" x14ac:dyDescent="0.25">
      <c r="A566" s="12">
        <v>565</v>
      </c>
      <c r="B566" s="12" t="s">
        <v>2101</v>
      </c>
      <c r="C566" s="12" t="s">
        <v>2102</v>
      </c>
      <c r="D566" s="12" t="s">
        <v>14</v>
      </c>
      <c r="E566" s="12" t="s">
        <v>2103</v>
      </c>
      <c r="F566" s="12" t="s">
        <v>2104</v>
      </c>
      <c r="G566" s="12" t="b">
        <v>0</v>
      </c>
      <c r="H566" s="12" t="b">
        <v>1</v>
      </c>
      <c r="I566" s="12" t="b">
        <v>1</v>
      </c>
    </row>
    <row r="567" spans="1:9" x14ac:dyDescent="0.25">
      <c r="A567" s="12">
        <v>566</v>
      </c>
      <c r="B567" s="12" t="s">
        <v>2105</v>
      </c>
      <c r="C567" s="12" t="s">
        <v>2106</v>
      </c>
      <c r="D567" s="12" t="s">
        <v>10</v>
      </c>
      <c r="E567" s="12" t="s">
        <v>2107</v>
      </c>
      <c r="F567" s="12" t="s">
        <v>490</v>
      </c>
      <c r="G567" s="12" t="b">
        <v>0</v>
      </c>
      <c r="H567" s="12" t="b">
        <v>1</v>
      </c>
      <c r="I567" s="12" t="b">
        <v>1</v>
      </c>
    </row>
    <row r="568" spans="1:9" x14ac:dyDescent="0.25">
      <c r="A568" s="12">
        <v>567</v>
      </c>
      <c r="B568" s="12" t="s">
        <v>159</v>
      </c>
      <c r="C568" s="12" t="s">
        <v>2108</v>
      </c>
      <c r="D568" s="12" t="s">
        <v>14</v>
      </c>
      <c r="E568" s="12" t="s">
        <v>2109</v>
      </c>
      <c r="F568" s="12" t="s">
        <v>2110</v>
      </c>
      <c r="G568" s="12" t="b">
        <v>0</v>
      </c>
      <c r="H568" s="12" t="b">
        <v>1</v>
      </c>
      <c r="I568" s="12" t="b">
        <v>1</v>
      </c>
    </row>
    <row r="569" spans="1:9" x14ac:dyDescent="0.25">
      <c r="A569" s="12">
        <v>568</v>
      </c>
      <c r="B569" s="12" t="s">
        <v>272</v>
      </c>
      <c r="C569" s="12" t="s">
        <v>2111</v>
      </c>
      <c r="D569" s="12" t="s">
        <v>45</v>
      </c>
      <c r="E569" s="12" t="s">
        <v>2112</v>
      </c>
      <c r="F569" s="12" t="s">
        <v>515</v>
      </c>
      <c r="G569" s="12" t="b">
        <v>1</v>
      </c>
      <c r="H569" s="12" t="b">
        <v>1</v>
      </c>
      <c r="I569" s="12" t="b">
        <v>1</v>
      </c>
    </row>
    <row r="570" spans="1:9" x14ac:dyDescent="0.25">
      <c r="A570" s="12">
        <v>569</v>
      </c>
      <c r="B570" s="12" t="s">
        <v>2113</v>
      </c>
      <c r="C570" s="12" t="s">
        <v>2114</v>
      </c>
      <c r="D570" s="12" t="s">
        <v>45</v>
      </c>
      <c r="E570" s="12" t="s">
        <v>2115</v>
      </c>
      <c r="F570" s="12" t="s">
        <v>859</v>
      </c>
      <c r="G570" s="12" t="b">
        <v>1</v>
      </c>
      <c r="H570" s="12" t="b">
        <v>0</v>
      </c>
      <c r="I570" s="12" t="b">
        <v>0</v>
      </c>
    </row>
    <row r="571" spans="1:9" x14ac:dyDescent="0.25">
      <c r="A571" s="12">
        <v>570</v>
      </c>
      <c r="B571" s="12" t="s">
        <v>2116</v>
      </c>
      <c r="C571" s="12" t="s">
        <v>2117</v>
      </c>
      <c r="D571" s="12" t="s">
        <v>14</v>
      </c>
      <c r="E571" s="12" t="s">
        <v>2118</v>
      </c>
      <c r="F571" s="12" t="s">
        <v>859</v>
      </c>
      <c r="G571" s="12" t="b">
        <v>1</v>
      </c>
      <c r="H571" s="12" t="b">
        <v>1</v>
      </c>
      <c r="I571" s="12" t="b">
        <v>1</v>
      </c>
    </row>
    <row r="572" spans="1:9" x14ac:dyDescent="0.25">
      <c r="A572" s="12">
        <v>571</v>
      </c>
      <c r="B572" s="12" t="s">
        <v>2119</v>
      </c>
      <c r="C572" s="12" t="s">
        <v>2120</v>
      </c>
      <c r="D572" s="12" t="s">
        <v>45</v>
      </c>
      <c r="E572" s="12" t="s">
        <v>2121</v>
      </c>
      <c r="F572" s="12" t="s">
        <v>859</v>
      </c>
      <c r="G572" s="12" t="b">
        <v>1</v>
      </c>
      <c r="H572" s="12" t="b">
        <v>0</v>
      </c>
      <c r="I572" s="12" t="b">
        <v>0</v>
      </c>
    </row>
    <row r="573" spans="1:9" x14ac:dyDescent="0.25">
      <c r="A573" s="12">
        <v>572</v>
      </c>
      <c r="B573" s="12" t="s">
        <v>71</v>
      </c>
      <c r="C573" s="12" t="s">
        <v>2122</v>
      </c>
      <c r="D573" s="12" t="s">
        <v>10</v>
      </c>
      <c r="E573" s="12" t="s">
        <v>2123</v>
      </c>
      <c r="F573" s="12" t="s">
        <v>2124</v>
      </c>
      <c r="G573" s="12" t="b">
        <v>0</v>
      </c>
      <c r="H573" s="12" t="b">
        <v>0</v>
      </c>
      <c r="I573" s="12" t="b">
        <v>0</v>
      </c>
    </row>
    <row r="574" spans="1:9" x14ac:dyDescent="0.25">
      <c r="A574" s="12">
        <v>573</v>
      </c>
      <c r="B574" s="12" t="s">
        <v>2125</v>
      </c>
      <c r="C574" s="12" t="s">
        <v>2126</v>
      </c>
      <c r="D574" s="12" t="s">
        <v>14</v>
      </c>
      <c r="E574" s="12" t="s">
        <v>2127</v>
      </c>
      <c r="F574" s="12" t="s">
        <v>525</v>
      </c>
      <c r="G574" s="12" t="b">
        <v>1</v>
      </c>
      <c r="H574" s="12" t="b">
        <v>1</v>
      </c>
      <c r="I574" s="12" t="b">
        <v>1</v>
      </c>
    </row>
    <row r="575" spans="1:9" x14ac:dyDescent="0.25">
      <c r="A575" s="12">
        <v>574</v>
      </c>
      <c r="B575" s="12" t="s">
        <v>2128</v>
      </c>
      <c r="C575" s="12" t="s">
        <v>2129</v>
      </c>
      <c r="D575" s="12" t="s">
        <v>14</v>
      </c>
      <c r="E575" s="12" t="s">
        <v>2130</v>
      </c>
      <c r="F575" s="12" t="s">
        <v>859</v>
      </c>
      <c r="G575" s="12" t="b">
        <v>1</v>
      </c>
      <c r="H575" s="12" t="b">
        <v>1</v>
      </c>
      <c r="I575" s="12" t="b">
        <v>1</v>
      </c>
    </row>
    <row r="576" spans="1:9" x14ac:dyDescent="0.25">
      <c r="A576" s="12">
        <v>575</v>
      </c>
      <c r="B576" s="12" t="s">
        <v>2131</v>
      </c>
      <c r="C576" s="12" t="s">
        <v>2132</v>
      </c>
      <c r="D576" s="12" t="s">
        <v>10</v>
      </c>
      <c r="E576" s="12" t="s">
        <v>2133</v>
      </c>
      <c r="F576" s="12" t="s">
        <v>328</v>
      </c>
      <c r="G576" s="12" t="b">
        <v>0</v>
      </c>
      <c r="H576" s="12" t="b">
        <v>1</v>
      </c>
      <c r="I576" s="12" t="b">
        <v>1</v>
      </c>
    </row>
    <row r="577" spans="1:9" x14ac:dyDescent="0.25">
      <c r="A577" s="12">
        <v>576</v>
      </c>
      <c r="B577" s="12" t="s">
        <v>2134</v>
      </c>
      <c r="C577" s="12" t="s">
        <v>2135</v>
      </c>
      <c r="D577" s="12" t="s">
        <v>14</v>
      </c>
      <c r="E577" s="12" t="s">
        <v>2136</v>
      </c>
      <c r="F577" s="12" t="s">
        <v>292</v>
      </c>
      <c r="G577" s="12" t="b">
        <v>0</v>
      </c>
      <c r="H577" s="12" t="b">
        <v>1</v>
      </c>
      <c r="I577" s="12" t="b">
        <v>1</v>
      </c>
    </row>
    <row r="578" spans="1:9" x14ac:dyDescent="0.25">
      <c r="A578" s="12">
        <v>577</v>
      </c>
      <c r="B578" s="12" t="s">
        <v>2137</v>
      </c>
      <c r="C578" s="12" t="s">
        <v>2138</v>
      </c>
      <c r="D578" s="12" t="s">
        <v>10</v>
      </c>
      <c r="E578" s="12" t="s">
        <v>2139</v>
      </c>
      <c r="F578" s="12" t="s">
        <v>859</v>
      </c>
      <c r="G578" s="12" t="b">
        <v>1</v>
      </c>
      <c r="H578" s="12" t="b">
        <v>1</v>
      </c>
      <c r="I578" s="12" t="b">
        <v>1</v>
      </c>
    </row>
    <row r="579" spans="1:9" x14ac:dyDescent="0.25">
      <c r="A579" s="12">
        <v>578</v>
      </c>
      <c r="B579" s="12" t="s">
        <v>2140</v>
      </c>
      <c r="C579" s="12" t="s">
        <v>2141</v>
      </c>
      <c r="D579" s="12" t="s">
        <v>14</v>
      </c>
      <c r="E579" s="12" t="s">
        <v>2142</v>
      </c>
      <c r="F579" s="12" t="s">
        <v>859</v>
      </c>
      <c r="G579" s="12" t="b">
        <v>1</v>
      </c>
      <c r="H579" s="12" t="b">
        <v>0</v>
      </c>
      <c r="I579" s="12" t="b">
        <v>0</v>
      </c>
    </row>
    <row r="580" spans="1:9" x14ac:dyDescent="0.25">
      <c r="A580" s="12">
        <v>579</v>
      </c>
      <c r="B580" s="12" t="s">
        <v>2143</v>
      </c>
      <c r="C580" s="12" t="s">
        <v>2144</v>
      </c>
      <c r="D580" s="12" t="s">
        <v>45</v>
      </c>
      <c r="E580" s="12" t="s">
        <v>2145</v>
      </c>
      <c r="F580" s="12" t="s">
        <v>859</v>
      </c>
      <c r="G580" s="12" t="b">
        <v>1</v>
      </c>
      <c r="H580" s="12" t="b">
        <v>1</v>
      </c>
      <c r="I580" s="12" t="b">
        <v>1</v>
      </c>
    </row>
    <row r="581" spans="1:9" x14ac:dyDescent="0.25">
      <c r="A581" s="12">
        <v>580</v>
      </c>
      <c r="B581" s="12" t="s">
        <v>2146</v>
      </c>
      <c r="C581" s="12" t="s">
        <v>2147</v>
      </c>
      <c r="D581" s="12" t="s">
        <v>14</v>
      </c>
      <c r="E581" s="12" t="s">
        <v>2148</v>
      </c>
      <c r="F581" s="12" t="s">
        <v>859</v>
      </c>
      <c r="G581" s="12" t="b">
        <v>1</v>
      </c>
      <c r="H581" s="12" t="b">
        <v>1</v>
      </c>
      <c r="I581" s="12" t="b">
        <v>1</v>
      </c>
    </row>
    <row r="582" spans="1:9" x14ac:dyDescent="0.25">
      <c r="A582" s="12">
        <v>581</v>
      </c>
      <c r="B582" s="12" t="s">
        <v>2149</v>
      </c>
      <c r="C582" s="12" t="s">
        <v>2150</v>
      </c>
      <c r="D582" s="12" t="s">
        <v>14</v>
      </c>
      <c r="E582" s="12" t="s">
        <v>2151</v>
      </c>
      <c r="F582" s="12" t="s">
        <v>2152</v>
      </c>
      <c r="G582" s="12" t="b">
        <v>0</v>
      </c>
      <c r="H582" s="12" t="b">
        <v>1</v>
      </c>
      <c r="I582" s="12" t="b">
        <v>1</v>
      </c>
    </row>
    <row r="583" spans="1:9" x14ac:dyDescent="0.25">
      <c r="A583" s="12">
        <v>582</v>
      </c>
      <c r="B583" s="12" t="s">
        <v>273</v>
      </c>
      <c r="C583" s="12" t="s">
        <v>2153</v>
      </c>
      <c r="D583" s="12" t="s">
        <v>14</v>
      </c>
      <c r="E583" s="12" t="s">
        <v>2154</v>
      </c>
      <c r="F583" s="12" t="s">
        <v>2155</v>
      </c>
      <c r="G583" s="12" t="b">
        <v>1</v>
      </c>
      <c r="H583" s="12" t="b">
        <v>1</v>
      </c>
      <c r="I583" s="12" t="b">
        <v>1</v>
      </c>
    </row>
    <row r="584" spans="1:9" x14ac:dyDescent="0.25">
      <c r="A584" s="12">
        <v>583</v>
      </c>
      <c r="B584" s="12" t="s">
        <v>2156</v>
      </c>
      <c r="C584" s="12" t="s">
        <v>2157</v>
      </c>
      <c r="D584" s="12" t="s">
        <v>14</v>
      </c>
      <c r="E584" s="12" t="s">
        <v>640</v>
      </c>
      <c r="F584" s="12" t="s">
        <v>340</v>
      </c>
      <c r="G584" s="12" t="b">
        <v>0</v>
      </c>
      <c r="H584" s="12" t="b">
        <v>1</v>
      </c>
      <c r="I584" s="12" t="b">
        <v>1</v>
      </c>
    </row>
    <row r="585" spans="1:9" x14ac:dyDescent="0.25">
      <c r="A585" s="12">
        <v>584</v>
      </c>
      <c r="B585" s="12" t="s">
        <v>2158</v>
      </c>
      <c r="C585" s="12" t="s">
        <v>2159</v>
      </c>
      <c r="D585" s="12" t="s">
        <v>10</v>
      </c>
      <c r="E585" s="12" t="s">
        <v>2160</v>
      </c>
      <c r="F585" s="12" t="s">
        <v>859</v>
      </c>
      <c r="G585" s="12" t="b">
        <v>0</v>
      </c>
      <c r="H585" s="12" t="b">
        <v>1</v>
      </c>
      <c r="I585" s="12" t="b">
        <v>1</v>
      </c>
    </row>
    <row r="586" spans="1:9" x14ac:dyDescent="0.25">
      <c r="A586" s="12">
        <v>585</v>
      </c>
      <c r="B586" s="12" t="s">
        <v>2161</v>
      </c>
      <c r="C586" s="12" t="s">
        <v>2162</v>
      </c>
      <c r="D586" s="12" t="s">
        <v>14</v>
      </c>
      <c r="E586" s="12" t="s">
        <v>2163</v>
      </c>
      <c r="F586" s="12" t="s">
        <v>859</v>
      </c>
      <c r="G586" s="12" t="b">
        <v>1</v>
      </c>
      <c r="H586" s="12" t="b">
        <v>1</v>
      </c>
      <c r="I586" s="12" t="b">
        <v>1</v>
      </c>
    </row>
    <row r="587" spans="1:9" x14ac:dyDescent="0.25">
      <c r="A587" s="12">
        <v>586</v>
      </c>
      <c r="B587" s="12" t="s">
        <v>2164</v>
      </c>
      <c r="C587" s="12" t="s">
        <v>2165</v>
      </c>
      <c r="D587" s="12" t="s">
        <v>10</v>
      </c>
      <c r="E587" s="12" t="s">
        <v>2166</v>
      </c>
      <c r="F587" s="12" t="s">
        <v>859</v>
      </c>
      <c r="G587" s="12" t="b">
        <v>0</v>
      </c>
      <c r="H587" s="12" t="b">
        <v>1</v>
      </c>
      <c r="I587" s="12" t="b">
        <v>1</v>
      </c>
    </row>
    <row r="588" spans="1:9" x14ac:dyDescent="0.25">
      <c r="A588" s="12">
        <v>587</v>
      </c>
      <c r="B588" s="12" t="s">
        <v>2167</v>
      </c>
      <c r="C588" s="12" t="s">
        <v>2168</v>
      </c>
      <c r="D588" s="12" t="s">
        <v>45</v>
      </c>
      <c r="E588" s="12" t="s">
        <v>2169</v>
      </c>
      <c r="F588" s="12" t="s">
        <v>1354</v>
      </c>
      <c r="G588" s="12" t="b">
        <v>0</v>
      </c>
      <c r="H588" s="12" t="b">
        <v>1</v>
      </c>
      <c r="I588" s="12" t="b">
        <v>1</v>
      </c>
    </row>
    <row r="589" spans="1:9" x14ac:dyDescent="0.25">
      <c r="A589" s="12">
        <v>588</v>
      </c>
      <c r="B589" s="12" t="s">
        <v>274</v>
      </c>
      <c r="C589" s="12" t="s">
        <v>2170</v>
      </c>
      <c r="D589" s="12" t="s">
        <v>45</v>
      </c>
      <c r="E589" s="12" t="s">
        <v>2171</v>
      </c>
      <c r="F589" s="12" t="s">
        <v>960</v>
      </c>
      <c r="G589" s="12" t="b">
        <v>1</v>
      </c>
      <c r="H589" s="12" t="b">
        <v>1</v>
      </c>
      <c r="I589" s="12" t="b">
        <v>1</v>
      </c>
    </row>
    <row r="590" spans="1:9" x14ac:dyDescent="0.25">
      <c r="A590" s="12">
        <v>589</v>
      </c>
      <c r="B590" s="12" t="s">
        <v>2172</v>
      </c>
      <c r="C590" s="12" t="s">
        <v>2173</v>
      </c>
      <c r="D590" s="12" t="s">
        <v>10</v>
      </c>
      <c r="E590" s="12" t="s">
        <v>2174</v>
      </c>
      <c r="F590" s="12" t="s">
        <v>2175</v>
      </c>
      <c r="G590" s="12" t="b">
        <v>0</v>
      </c>
      <c r="H590" s="12" t="b">
        <v>1</v>
      </c>
      <c r="I590" s="12" t="b">
        <v>1</v>
      </c>
    </row>
    <row r="591" spans="1:9" x14ac:dyDescent="0.25">
      <c r="A591" s="12">
        <v>590</v>
      </c>
      <c r="B591" s="12" t="s">
        <v>2176</v>
      </c>
      <c r="C591" s="12" t="s">
        <v>2177</v>
      </c>
      <c r="D591" s="12" t="s">
        <v>10</v>
      </c>
      <c r="E591" s="12" t="s">
        <v>2178</v>
      </c>
      <c r="F591" s="12" t="s">
        <v>2175</v>
      </c>
      <c r="G591" s="12" t="b">
        <v>0</v>
      </c>
      <c r="H591" s="12" t="b">
        <v>1</v>
      </c>
      <c r="I591" s="12" t="b">
        <v>1</v>
      </c>
    </row>
    <row r="592" spans="1:9" x14ac:dyDescent="0.25">
      <c r="A592" s="12">
        <v>591</v>
      </c>
      <c r="B592" s="12" t="s">
        <v>2179</v>
      </c>
      <c r="C592" s="12" t="s">
        <v>2180</v>
      </c>
      <c r="D592" s="12" t="s">
        <v>45</v>
      </c>
      <c r="E592" s="12" t="s">
        <v>2181</v>
      </c>
      <c r="F592" s="12" t="s">
        <v>387</v>
      </c>
      <c r="G592" s="12" t="b">
        <v>0</v>
      </c>
      <c r="H592" s="12" t="b">
        <v>1</v>
      </c>
      <c r="I592" s="12" t="b">
        <v>1</v>
      </c>
    </row>
    <row r="593" spans="1:9" x14ac:dyDescent="0.25">
      <c r="A593" s="12">
        <v>592</v>
      </c>
      <c r="B593" s="12" t="s">
        <v>2182</v>
      </c>
      <c r="C593" s="12" t="s">
        <v>2183</v>
      </c>
      <c r="D593" s="12" t="s">
        <v>14</v>
      </c>
      <c r="E593" s="12" t="s">
        <v>2184</v>
      </c>
      <c r="F593" s="12" t="s">
        <v>456</v>
      </c>
      <c r="G593" s="12" t="b">
        <v>0</v>
      </c>
      <c r="H593" s="12" t="b">
        <v>1</v>
      </c>
      <c r="I593" s="12" t="b">
        <v>1</v>
      </c>
    </row>
    <row r="594" spans="1:9" x14ac:dyDescent="0.25">
      <c r="A594" s="12">
        <v>593</v>
      </c>
      <c r="B594" s="12" t="s">
        <v>2185</v>
      </c>
      <c r="C594" s="12" t="s">
        <v>2186</v>
      </c>
      <c r="D594" s="12" t="s">
        <v>14</v>
      </c>
      <c r="E594" s="12" t="s">
        <v>2187</v>
      </c>
      <c r="F594" s="12" t="s">
        <v>1009</v>
      </c>
      <c r="G594" s="12" t="b">
        <v>0</v>
      </c>
      <c r="H594" s="12" t="b">
        <v>1</v>
      </c>
      <c r="I594" s="12" t="b">
        <v>1</v>
      </c>
    </row>
    <row r="595" spans="1:9" x14ac:dyDescent="0.25">
      <c r="A595" s="12">
        <v>594</v>
      </c>
      <c r="B595" s="12" t="s">
        <v>2188</v>
      </c>
      <c r="C595" s="12" t="s">
        <v>2189</v>
      </c>
      <c r="D595" s="12" t="s">
        <v>10</v>
      </c>
      <c r="E595" s="12" t="s">
        <v>2190</v>
      </c>
      <c r="F595" s="12" t="s">
        <v>986</v>
      </c>
      <c r="G595" s="12" t="b">
        <v>0</v>
      </c>
      <c r="H595" s="12" t="b">
        <v>1</v>
      </c>
      <c r="I595" s="12" t="b">
        <v>1</v>
      </c>
    </row>
    <row r="596" spans="1:9" x14ac:dyDescent="0.25">
      <c r="A596" s="12">
        <v>595</v>
      </c>
      <c r="B596" s="12" t="s">
        <v>2191</v>
      </c>
      <c r="C596" s="12" t="s">
        <v>2192</v>
      </c>
      <c r="D596" s="12" t="s">
        <v>10</v>
      </c>
      <c r="E596" s="12" t="s">
        <v>2193</v>
      </c>
      <c r="F596" s="12" t="s">
        <v>859</v>
      </c>
      <c r="G596" s="12" t="b">
        <v>0</v>
      </c>
      <c r="H596" s="12" t="b">
        <v>1</v>
      </c>
      <c r="I596" s="12" t="b">
        <v>1</v>
      </c>
    </row>
    <row r="597" spans="1:9" x14ac:dyDescent="0.25">
      <c r="A597" s="12">
        <v>596</v>
      </c>
      <c r="B597" s="12" t="s">
        <v>2194</v>
      </c>
      <c r="C597" s="12" t="s">
        <v>2195</v>
      </c>
      <c r="D597" s="12" t="s">
        <v>10</v>
      </c>
      <c r="E597" s="12" t="s">
        <v>2196</v>
      </c>
      <c r="F597" s="12" t="s">
        <v>859</v>
      </c>
      <c r="G597" s="12" t="b">
        <v>0</v>
      </c>
      <c r="H597" s="12" t="b">
        <v>1</v>
      </c>
      <c r="I597" s="12" t="b">
        <v>1</v>
      </c>
    </row>
    <row r="598" spans="1:9" x14ac:dyDescent="0.25">
      <c r="A598" s="12">
        <v>597</v>
      </c>
      <c r="B598" s="12" t="s">
        <v>2197</v>
      </c>
      <c r="C598" s="12" t="s">
        <v>2198</v>
      </c>
      <c r="D598" s="12" t="s">
        <v>10</v>
      </c>
      <c r="E598" s="12" t="s">
        <v>2199</v>
      </c>
      <c r="F598" s="12" t="s">
        <v>859</v>
      </c>
      <c r="G598" s="12" t="b">
        <v>1</v>
      </c>
      <c r="H598" s="12" t="b">
        <v>1</v>
      </c>
      <c r="I598" s="12" t="b">
        <v>1</v>
      </c>
    </row>
    <row r="599" spans="1:9" x14ac:dyDescent="0.25">
      <c r="A599" s="12">
        <v>598</v>
      </c>
      <c r="B599" s="12" t="s">
        <v>2200</v>
      </c>
      <c r="C599" s="12" t="s">
        <v>2201</v>
      </c>
      <c r="D599" s="12" t="s">
        <v>10</v>
      </c>
      <c r="E599" s="12" t="s">
        <v>2202</v>
      </c>
      <c r="F599" s="12" t="s">
        <v>525</v>
      </c>
      <c r="G599" s="12" t="b">
        <v>0</v>
      </c>
      <c r="H599" s="12" t="b">
        <v>1</v>
      </c>
      <c r="I599" s="12" t="b">
        <v>1</v>
      </c>
    </row>
    <row r="600" spans="1:9" x14ac:dyDescent="0.25">
      <c r="A600" s="12">
        <v>599</v>
      </c>
      <c r="B600" s="12" t="s">
        <v>2203</v>
      </c>
      <c r="C600" s="12" t="s">
        <v>2204</v>
      </c>
      <c r="D600" s="12" t="s">
        <v>10</v>
      </c>
      <c r="E600" s="12" t="s">
        <v>2205</v>
      </c>
      <c r="F600" s="12" t="s">
        <v>1090</v>
      </c>
      <c r="G600" s="12" t="b">
        <v>0</v>
      </c>
      <c r="H600" s="12" t="b">
        <v>1</v>
      </c>
      <c r="I600" s="12" t="b">
        <v>1</v>
      </c>
    </row>
    <row r="601" spans="1:9" x14ac:dyDescent="0.25">
      <c r="A601" s="12">
        <v>600</v>
      </c>
      <c r="B601" s="12" t="s">
        <v>2206</v>
      </c>
      <c r="C601" s="12" t="s">
        <v>2207</v>
      </c>
      <c r="D601" s="12" t="s">
        <v>45</v>
      </c>
      <c r="E601" s="12" t="s">
        <v>2208</v>
      </c>
      <c r="F601" s="12" t="s">
        <v>292</v>
      </c>
      <c r="G601" s="12" t="b">
        <v>0</v>
      </c>
      <c r="H601" s="12" t="b">
        <v>1</v>
      </c>
      <c r="I601" s="12" t="b">
        <v>1</v>
      </c>
    </row>
    <row r="602" spans="1:9" x14ac:dyDescent="0.25">
      <c r="A602" s="12">
        <v>601</v>
      </c>
      <c r="B602" s="12" t="s">
        <v>2209</v>
      </c>
      <c r="C602" s="12" t="s">
        <v>2210</v>
      </c>
      <c r="D602" s="12" t="s">
        <v>45</v>
      </c>
      <c r="E602" s="12" t="s">
        <v>2211</v>
      </c>
      <c r="F602" s="12" t="s">
        <v>859</v>
      </c>
      <c r="G602" s="12" t="b">
        <v>0</v>
      </c>
      <c r="H602" s="12" t="b">
        <v>1</v>
      </c>
      <c r="I602" s="12" t="b">
        <v>1</v>
      </c>
    </row>
    <row r="603" spans="1:9" x14ac:dyDescent="0.25">
      <c r="A603" s="12">
        <v>602</v>
      </c>
      <c r="B603" s="12" t="s">
        <v>2212</v>
      </c>
      <c r="C603" s="12" t="s">
        <v>2213</v>
      </c>
      <c r="D603" s="12" t="s">
        <v>14</v>
      </c>
      <c r="E603" s="12" t="s">
        <v>2214</v>
      </c>
      <c r="F603" s="12" t="s">
        <v>859</v>
      </c>
      <c r="G603" s="12" t="b">
        <v>1</v>
      </c>
      <c r="H603" s="12" t="b">
        <v>0</v>
      </c>
      <c r="I603" s="12" t="b">
        <v>0</v>
      </c>
    </row>
    <row r="604" spans="1:9" x14ac:dyDescent="0.25">
      <c r="A604" s="12">
        <v>603</v>
      </c>
      <c r="B604" s="12" t="s">
        <v>2215</v>
      </c>
      <c r="C604" s="12" t="s">
        <v>2216</v>
      </c>
      <c r="D604" s="12" t="s">
        <v>10</v>
      </c>
      <c r="E604" s="12" t="s">
        <v>2217</v>
      </c>
      <c r="F604" s="12" t="s">
        <v>859</v>
      </c>
      <c r="G604" s="12" t="b">
        <v>1</v>
      </c>
      <c r="H604" s="12" t="b">
        <v>1</v>
      </c>
      <c r="I604" s="12" t="b">
        <v>1</v>
      </c>
    </row>
    <row r="605" spans="1:9" x14ac:dyDescent="0.25">
      <c r="A605" s="12">
        <v>604</v>
      </c>
      <c r="B605" s="12" t="s">
        <v>275</v>
      </c>
      <c r="C605" s="12" t="s">
        <v>2218</v>
      </c>
      <c r="D605" s="12" t="s">
        <v>10</v>
      </c>
      <c r="E605" s="12" t="s">
        <v>2219</v>
      </c>
      <c r="F605" s="12" t="s">
        <v>2220</v>
      </c>
      <c r="G605" s="12" t="b">
        <v>1</v>
      </c>
      <c r="H605" s="12" t="b">
        <v>1</v>
      </c>
      <c r="I605" s="12" t="b">
        <v>1</v>
      </c>
    </row>
    <row r="606" spans="1:9" x14ac:dyDescent="0.25">
      <c r="A606" s="12">
        <v>605</v>
      </c>
      <c r="B606" s="12" t="s">
        <v>2221</v>
      </c>
      <c r="C606" s="12" t="s">
        <v>2222</v>
      </c>
      <c r="D606" s="12" t="s">
        <v>10</v>
      </c>
      <c r="E606" s="12" t="s">
        <v>2223</v>
      </c>
      <c r="F606" s="12" t="s">
        <v>732</v>
      </c>
      <c r="G606" s="12" t="b">
        <v>0</v>
      </c>
      <c r="H606" s="12" t="b">
        <v>1</v>
      </c>
      <c r="I606" s="12" t="b">
        <v>1</v>
      </c>
    </row>
    <row r="607" spans="1:9" x14ac:dyDescent="0.25">
      <c r="A607" s="12">
        <v>606</v>
      </c>
      <c r="B607" s="12" t="s">
        <v>2224</v>
      </c>
      <c r="C607" s="12" t="s">
        <v>2225</v>
      </c>
      <c r="D607" s="12" t="s">
        <v>10</v>
      </c>
      <c r="E607" s="12" t="s">
        <v>2226</v>
      </c>
      <c r="F607" s="12" t="s">
        <v>2011</v>
      </c>
      <c r="G607" s="12" t="b">
        <v>0</v>
      </c>
      <c r="H607" s="12" t="b">
        <v>1</v>
      </c>
      <c r="I607" s="12" t="b">
        <v>1</v>
      </c>
    </row>
    <row r="608" spans="1:9" x14ac:dyDescent="0.25">
      <c r="A608" s="12">
        <v>607</v>
      </c>
      <c r="B608" s="12" t="s">
        <v>2227</v>
      </c>
      <c r="C608" s="12" t="s">
        <v>2228</v>
      </c>
      <c r="D608" s="12" t="s">
        <v>10</v>
      </c>
      <c r="E608" s="12" t="s">
        <v>2229</v>
      </c>
      <c r="F608" s="12" t="s">
        <v>859</v>
      </c>
      <c r="G608" s="12" t="b">
        <v>0</v>
      </c>
      <c r="H608" s="12" t="b">
        <v>1</v>
      </c>
      <c r="I608" s="12" t="b">
        <v>1</v>
      </c>
    </row>
    <row r="609" spans="1:9" x14ac:dyDescent="0.25">
      <c r="A609" s="12">
        <v>608</v>
      </c>
      <c r="B609" s="12" t="s">
        <v>2230</v>
      </c>
      <c r="C609" s="12" t="s">
        <v>2231</v>
      </c>
      <c r="D609" s="12" t="s">
        <v>14</v>
      </c>
      <c r="E609" s="12" t="s">
        <v>2232</v>
      </c>
      <c r="F609" s="12" t="s">
        <v>859</v>
      </c>
      <c r="G609" s="12" t="b">
        <v>0</v>
      </c>
      <c r="H609" s="12" t="b">
        <v>1</v>
      </c>
      <c r="I609" s="12" t="b">
        <v>1</v>
      </c>
    </row>
    <row r="610" spans="1:9" x14ac:dyDescent="0.25">
      <c r="A610" s="12">
        <v>609</v>
      </c>
      <c r="B610" s="12" t="s">
        <v>2233</v>
      </c>
      <c r="C610" s="12" t="s">
        <v>2234</v>
      </c>
      <c r="D610" s="12" t="s">
        <v>14</v>
      </c>
      <c r="E610" s="12" t="s">
        <v>2235</v>
      </c>
      <c r="F610" s="12" t="s">
        <v>1090</v>
      </c>
      <c r="G610" s="12" t="b">
        <v>0</v>
      </c>
      <c r="H610" s="12" t="b">
        <v>1</v>
      </c>
      <c r="I610" s="12" t="b">
        <v>1</v>
      </c>
    </row>
    <row r="611" spans="1:9" x14ac:dyDescent="0.25">
      <c r="A611" s="12">
        <v>610</v>
      </c>
      <c r="B611" s="12" t="s">
        <v>2236</v>
      </c>
      <c r="C611" s="12" t="s">
        <v>2237</v>
      </c>
      <c r="D611" s="12" t="s">
        <v>10</v>
      </c>
      <c r="E611" s="12" t="s">
        <v>2238</v>
      </c>
      <c r="F611" s="12" t="s">
        <v>859</v>
      </c>
      <c r="G611" s="12" t="b">
        <v>1</v>
      </c>
      <c r="H611" s="12" t="b">
        <v>1</v>
      </c>
      <c r="I611" s="12" t="b">
        <v>1</v>
      </c>
    </row>
    <row r="612" spans="1:9" x14ac:dyDescent="0.25">
      <c r="A612" s="12">
        <v>611</v>
      </c>
      <c r="B612" s="12" t="s">
        <v>2239</v>
      </c>
      <c r="C612" s="12" t="s">
        <v>2240</v>
      </c>
      <c r="D612" s="12" t="s">
        <v>14</v>
      </c>
      <c r="E612" s="12" t="s">
        <v>2241</v>
      </c>
      <c r="F612" s="12" t="s">
        <v>2242</v>
      </c>
      <c r="G612" s="12" t="b">
        <v>0</v>
      </c>
      <c r="H612" s="12" t="b">
        <v>1</v>
      </c>
      <c r="I612" s="12" t="b">
        <v>1</v>
      </c>
    </row>
    <row r="613" spans="1:9" x14ac:dyDescent="0.25">
      <c r="A613" s="12">
        <v>612</v>
      </c>
      <c r="B613" s="12" t="s">
        <v>2243</v>
      </c>
      <c r="C613" s="12" t="s">
        <v>2244</v>
      </c>
      <c r="D613" s="12" t="s">
        <v>14</v>
      </c>
      <c r="E613" s="12" t="s">
        <v>2245</v>
      </c>
      <c r="F613" s="12" t="s">
        <v>859</v>
      </c>
      <c r="G613" s="12" t="b">
        <v>1</v>
      </c>
      <c r="H613" s="12" t="b">
        <v>1</v>
      </c>
      <c r="I613" s="12" t="b">
        <v>1</v>
      </c>
    </row>
    <row r="614" spans="1:9" x14ac:dyDescent="0.25">
      <c r="A614" s="12">
        <v>613</v>
      </c>
      <c r="B614" s="12" t="s">
        <v>2246</v>
      </c>
      <c r="C614" s="12" t="s">
        <v>2247</v>
      </c>
      <c r="D614" s="12" t="s">
        <v>10</v>
      </c>
      <c r="E614" s="12" t="s">
        <v>2248</v>
      </c>
      <c r="F614" s="12" t="s">
        <v>859</v>
      </c>
      <c r="G614" s="12" t="b">
        <v>1</v>
      </c>
      <c r="H614" s="12" t="b">
        <v>1</v>
      </c>
      <c r="I614" s="12" t="b">
        <v>1</v>
      </c>
    </row>
    <row r="615" spans="1:9" x14ac:dyDescent="0.25">
      <c r="A615" s="12">
        <v>614</v>
      </c>
      <c r="B615" s="12" t="s">
        <v>2249</v>
      </c>
      <c r="C615" s="12" t="s">
        <v>2250</v>
      </c>
      <c r="D615" s="12" t="s">
        <v>14</v>
      </c>
      <c r="E615" s="12" t="s">
        <v>2251</v>
      </c>
      <c r="F615" s="12" t="s">
        <v>859</v>
      </c>
      <c r="G615" s="12" t="b">
        <v>1</v>
      </c>
      <c r="H615" s="12" t="b">
        <v>0</v>
      </c>
      <c r="I615" s="12" t="b">
        <v>0</v>
      </c>
    </row>
    <row r="616" spans="1:9" x14ac:dyDescent="0.25">
      <c r="A616" s="12">
        <v>615</v>
      </c>
      <c r="B616" s="12" t="s">
        <v>2252</v>
      </c>
      <c r="C616" s="12" t="s">
        <v>2253</v>
      </c>
      <c r="D616" s="12" t="s">
        <v>45</v>
      </c>
      <c r="E616" s="12" t="s">
        <v>2254</v>
      </c>
      <c r="F616" s="12" t="s">
        <v>859</v>
      </c>
      <c r="G616" s="12" t="b">
        <v>1</v>
      </c>
      <c r="H616" s="12" t="b">
        <v>1</v>
      </c>
      <c r="I616" s="12" t="b">
        <v>1</v>
      </c>
    </row>
    <row r="617" spans="1:9" x14ac:dyDescent="0.25">
      <c r="A617" s="12">
        <v>616</v>
      </c>
      <c r="B617" s="12" t="s">
        <v>276</v>
      </c>
      <c r="C617" s="12" t="s">
        <v>2255</v>
      </c>
      <c r="D617" s="12" t="s">
        <v>14</v>
      </c>
      <c r="E617" s="12" t="s">
        <v>2256</v>
      </c>
      <c r="F617" s="12" t="s">
        <v>2257</v>
      </c>
      <c r="G617" s="12" t="b">
        <v>1</v>
      </c>
      <c r="H617" s="12" t="b">
        <v>0</v>
      </c>
      <c r="I617" s="12" t="b">
        <v>0</v>
      </c>
    </row>
    <row r="618" spans="1:9" x14ac:dyDescent="0.25">
      <c r="A618" s="12">
        <v>617</v>
      </c>
      <c r="B618" s="12" t="s">
        <v>295</v>
      </c>
      <c r="C618" s="12" t="s">
        <v>2258</v>
      </c>
      <c r="D618" s="12" t="s">
        <v>10</v>
      </c>
      <c r="E618" s="12" t="s">
        <v>2259</v>
      </c>
      <c r="F618" s="12" t="s">
        <v>628</v>
      </c>
      <c r="G618" s="12" t="b">
        <v>0</v>
      </c>
      <c r="H618" s="12" t="b">
        <v>1</v>
      </c>
      <c r="I618" s="12" t="b">
        <v>1</v>
      </c>
    </row>
    <row r="619" spans="1:9" x14ac:dyDescent="0.25">
      <c r="A619" s="12">
        <v>618</v>
      </c>
      <c r="B619" s="12" t="s">
        <v>2260</v>
      </c>
      <c r="C619" s="12" t="s">
        <v>2261</v>
      </c>
      <c r="D619" s="12" t="s">
        <v>45</v>
      </c>
      <c r="E619" s="12" t="s">
        <v>2262</v>
      </c>
      <c r="F619" s="12" t="s">
        <v>859</v>
      </c>
      <c r="G619" s="12" t="b">
        <v>1</v>
      </c>
      <c r="H619" s="12" t="b">
        <v>1</v>
      </c>
      <c r="I619" s="12" t="b">
        <v>1</v>
      </c>
    </row>
    <row r="620" spans="1:9" x14ac:dyDescent="0.25">
      <c r="A620" s="12">
        <v>619</v>
      </c>
      <c r="B620" s="12" t="s">
        <v>2263</v>
      </c>
      <c r="C620" s="12" t="s">
        <v>2264</v>
      </c>
      <c r="D620" s="12" t="s">
        <v>10</v>
      </c>
      <c r="E620" s="12" t="s">
        <v>2265</v>
      </c>
      <c r="F620" s="12" t="s">
        <v>859</v>
      </c>
      <c r="G620" s="12" t="b">
        <v>1</v>
      </c>
      <c r="H620" s="12" t="b">
        <v>1</v>
      </c>
      <c r="I620" s="12" t="b">
        <v>1</v>
      </c>
    </row>
    <row r="621" spans="1:9" x14ac:dyDescent="0.25">
      <c r="A621" s="12">
        <v>620</v>
      </c>
      <c r="B621" s="12" t="s">
        <v>2266</v>
      </c>
      <c r="C621" s="12" t="s">
        <v>2267</v>
      </c>
      <c r="D621" s="12" t="s">
        <v>10</v>
      </c>
      <c r="E621" s="12" t="s">
        <v>2268</v>
      </c>
      <c r="F621" s="12" t="s">
        <v>859</v>
      </c>
      <c r="G621" s="12" t="b">
        <v>0</v>
      </c>
      <c r="H621" s="12" t="b">
        <v>1</v>
      </c>
      <c r="I621" s="12" t="b">
        <v>1</v>
      </c>
    </row>
    <row r="622" spans="1:9" x14ac:dyDescent="0.25">
      <c r="A622" s="12">
        <v>621</v>
      </c>
      <c r="B622" s="12" t="s">
        <v>126</v>
      </c>
      <c r="C622" s="12" t="s">
        <v>2269</v>
      </c>
      <c r="D622" s="12" t="s">
        <v>14</v>
      </c>
      <c r="E622" s="12" t="s">
        <v>2270</v>
      </c>
      <c r="F622" s="12" t="s">
        <v>2271</v>
      </c>
      <c r="G622" s="12" t="b">
        <v>0</v>
      </c>
      <c r="H622" s="12" t="b">
        <v>1</v>
      </c>
      <c r="I622" s="12" t="b">
        <v>1</v>
      </c>
    </row>
    <row r="623" spans="1:9" x14ac:dyDescent="0.25">
      <c r="A623" s="12">
        <v>622</v>
      </c>
      <c r="B623" s="12" t="s">
        <v>2272</v>
      </c>
      <c r="C623" s="12" t="s">
        <v>2273</v>
      </c>
      <c r="D623" s="12" t="s">
        <v>14</v>
      </c>
      <c r="E623" s="12" t="s">
        <v>2274</v>
      </c>
      <c r="F623" s="12" t="s">
        <v>2275</v>
      </c>
      <c r="G623" s="12" t="b">
        <v>0</v>
      </c>
      <c r="H623" s="12" t="b">
        <v>1</v>
      </c>
      <c r="I623" s="12" t="b">
        <v>1</v>
      </c>
    </row>
    <row r="624" spans="1:9" x14ac:dyDescent="0.25">
      <c r="A624" s="12">
        <v>623</v>
      </c>
      <c r="B624" s="12" t="s">
        <v>2276</v>
      </c>
      <c r="C624" s="12" t="s">
        <v>2277</v>
      </c>
      <c r="D624" s="12" t="s">
        <v>14</v>
      </c>
      <c r="E624" s="12" t="s">
        <v>2278</v>
      </c>
      <c r="F624" s="12" t="s">
        <v>628</v>
      </c>
      <c r="G624" s="12" t="b">
        <v>0</v>
      </c>
      <c r="H624" s="12" t="b">
        <v>1</v>
      </c>
      <c r="I624" s="12" t="b">
        <v>1</v>
      </c>
    </row>
    <row r="625" spans="1:9" x14ac:dyDescent="0.25">
      <c r="A625" s="12">
        <v>624</v>
      </c>
      <c r="B625" s="12" t="s">
        <v>277</v>
      </c>
      <c r="C625" s="12" t="s">
        <v>2279</v>
      </c>
      <c r="D625" s="12" t="s">
        <v>14</v>
      </c>
      <c r="E625" s="12" t="s">
        <v>2280</v>
      </c>
      <c r="F625" s="12" t="s">
        <v>732</v>
      </c>
      <c r="G625" s="12" t="b">
        <v>1</v>
      </c>
      <c r="H625" s="12" t="b">
        <v>1</v>
      </c>
      <c r="I625" s="12" t="b">
        <v>1</v>
      </c>
    </row>
    <row r="626" spans="1:9" x14ac:dyDescent="0.25">
      <c r="A626" s="12">
        <v>625</v>
      </c>
      <c r="B626" s="12" t="s">
        <v>2281</v>
      </c>
      <c r="C626" s="12" t="s">
        <v>2282</v>
      </c>
      <c r="D626" s="12" t="s">
        <v>14</v>
      </c>
      <c r="E626" s="12" t="s">
        <v>2283</v>
      </c>
      <c r="F626" s="12" t="s">
        <v>2284</v>
      </c>
      <c r="G626" s="12" t="b">
        <v>1</v>
      </c>
      <c r="H626" s="12" t="b">
        <v>1</v>
      </c>
      <c r="I626" s="12" t="b">
        <v>1</v>
      </c>
    </row>
    <row r="627" spans="1:9" x14ac:dyDescent="0.25">
      <c r="A627" s="12">
        <v>626</v>
      </c>
      <c r="B627" s="12" t="s">
        <v>2285</v>
      </c>
      <c r="C627" s="12" t="s">
        <v>2286</v>
      </c>
      <c r="D627" s="12" t="s">
        <v>14</v>
      </c>
      <c r="E627" s="12" t="s">
        <v>2287</v>
      </c>
      <c r="F627" s="12" t="s">
        <v>859</v>
      </c>
      <c r="G627" s="12" t="b">
        <v>0</v>
      </c>
      <c r="H627" s="12" t="b">
        <v>1</v>
      </c>
      <c r="I627" s="12" t="b">
        <v>1</v>
      </c>
    </row>
    <row r="628" spans="1:9" x14ac:dyDescent="0.25">
      <c r="A628" s="12">
        <v>627</v>
      </c>
      <c r="B628" s="12" t="s">
        <v>2288</v>
      </c>
      <c r="C628" s="12" t="s">
        <v>2289</v>
      </c>
      <c r="D628" s="12" t="s">
        <v>10</v>
      </c>
      <c r="E628" s="12" t="s">
        <v>2290</v>
      </c>
      <c r="F628" s="12" t="s">
        <v>859</v>
      </c>
      <c r="G628" s="12" t="b">
        <v>0</v>
      </c>
      <c r="H628" s="12" t="b">
        <v>1</v>
      </c>
      <c r="I628" s="12" t="b">
        <v>1</v>
      </c>
    </row>
    <row r="629" spans="1:9" x14ac:dyDescent="0.25">
      <c r="A629" s="12">
        <v>628</v>
      </c>
      <c r="B629" s="12" t="s">
        <v>2291</v>
      </c>
      <c r="C629" s="12" t="s">
        <v>2292</v>
      </c>
      <c r="D629" s="12" t="s">
        <v>10</v>
      </c>
      <c r="E629" s="12" t="s">
        <v>2293</v>
      </c>
      <c r="F629" s="12" t="s">
        <v>1770</v>
      </c>
      <c r="G629" s="12" t="b">
        <v>0</v>
      </c>
      <c r="H629" s="12" t="b">
        <v>1</v>
      </c>
      <c r="I629" s="12" t="b">
        <v>1</v>
      </c>
    </row>
    <row r="630" spans="1:9" x14ac:dyDescent="0.25">
      <c r="A630" s="12">
        <v>629</v>
      </c>
      <c r="B630" s="12" t="s">
        <v>2294</v>
      </c>
      <c r="C630" s="12" t="s">
        <v>2295</v>
      </c>
      <c r="D630" s="12" t="s">
        <v>45</v>
      </c>
      <c r="E630" s="12" t="s">
        <v>2296</v>
      </c>
      <c r="F630" s="12" t="s">
        <v>292</v>
      </c>
      <c r="G630" s="12" t="b">
        <v>0</v>
      </c>
      <c r="H630" s="12" t="b">
        <v>1</v>
      </c>
      <c r="I630" s="12" t="b">
        <v>1</v>
      </c>
    </row>
    <row r="631" spans="1:9" x14ac:dyDescent="0.25">
      <c r="A631" s="12">
        <v>630</v>
      </c>
      <c r="B631" s="12" t="s">
        <v>131</v>
      </c>
      <c r="C631" s="12" t="s">
        <v>2297</v>
      </c>
      <c r="D631" s="12" t="s">
        <v>45</v>
      </c>
      <c r="E631" s="12" t="s">
        <v>2298</v>
      </c>
      <c r="F631" s="12" t="s">
        <v>2299</v>
      </c>
      <c r="G631" s="12" t="b">
        <v>0</v>
      </c>
      <c r="H631" s="12" t="b">
        <v>1</v>
      </c>
      <c r="I631" s="12" t="b">
        <v>1</v>
      </c>
    </row>
    <row r="632" spans="1:9" x14ac:dyDescent="0.25">
      <c r="A632" s="12">
        <v>631</v>
      </c>
      <c r="B632" s="12" t="s">
        <v>278</v>
      </c>
      <c r="C632" s="12" t="s">
        <v>2300</v>
      </c>
      <c r="D632" s="12" t="s">
        <v>45</v>
      </c>
      <c r="E632" s="12" t="s">
        <v>2301</v>
      </c>
      <c r="F632" s="12" t="s">
        <v>2302</v>
      </c>
      <c r="G632" s="12" t="b">
        <v>1</v>
      </c>
      <c r="H632" s="12" t="b">
        <v>1</v>
      </c>
      <c r="I632" s="12" t="b">
        <v>1</v>
      </c>
    </row>
    <row r="633" spans="1:9" x14ac:dyDescent="0.25">
      <c r="A633" s="12">
        <v>632</v>
      </c>
      <c r="B633" s="12" t="s">
        <v>140</v>
      </c>
      <c r="C633" s="12" t="s">
        <v>2303</v>
      </c>
      <c r="D633" s="12" t="s">
        <v>45</v>
      </c>
      <c r="E633" s="12" t="s">
        <v>2304</v>
      </c>
      <c r="F633" s="12" t="s">
        <v>2305</v>
      </c>
      <c r="G633" s="12" t="b">
        <v>0</v>
      </c>
      <c r="H633" s="12" t="b">
        <v>1</v>
      </c>
      <c r="I633" s="12" t="b">
        <v>1</v>
      </c>
    </row>
    <row r="634" spans="1:9" x14ac:dyDescent="0.25">
      <c r="A634" s="12">
        <v>633</v>
      </c>
      <c r="B634" s="12" t="s">
        <v>2306</v>
      </c>
      <c r="C634" s="12" t="s">
        <v>2307</v>
      </c>
      <c r="D634" s="12" t="s">
        <v>14</v>
      </c>
      <c r="E634" s="12" t="s">
        <v>2308</v>
      </c>
      <c r="F634" s="12" t="s">
        <v>2309</v>
      </c>
      <c r="G634" s="12" t="b">
        <v>0</v>
      </c>
      <c r="H634" s="12" t="b">
        <v>1</v>
      </c>
      <c r="I634" s="12" t="b">
        <v>1</v>
      </c>
    </row>
    <row r="635" spans="1:9" x14ac:dyDescent="0.25">
      <c r="A635" s="12">
        <v>634</v>
      </c>
      <c r="B635" s="12" t="s">
        <v>2310</v>
      </c>
      <c r="C635" s="12" t="s">
        <v>2311</v>
      </c>
      <c r="D635" s="12" t="s">
        <v>14</v>
      </c>
      <c r="E635" s="12" t="s">
        <v>2312</v>
      </c>
      <c r="F635" s="12" t="s">
        <v>1379</v>
      </c>
      <c r="G635" s="12" t="b">
        <v>1</v>
      </c>
      <c r="H635" s="12" t="b">
        <v>1</v>
      </c>
      <c r="I635" s="12" t="b">
        <v>1</v>
      </c>
    </row>
    <row r="636" spans="1:9" x14ac:dyDescent="0.25">
      <c r="A636" s="12">
        <v>635</v>
      </c>
      <c r="B636" s="12" t="s">
        <v>279</v>
      </c>
      <c r="C636" s="12" t="s">
        <v>2313</v>
      </c>
      <c r="D636" s="12" t="s">
        <v>14</v>
      </c>
      <c r="E636" s="12" t="s">
        <v>2314</v>
      </c>
      <c r="F636" s="12" t="s">
        <v>2315</v>
      </c>
      <c r="G636" s="12" t="b">
        <v>1</v>
      </c>
      <c r="H636" s="12" t="b">
        <v>1</v>
      </c>
      <c r="I636" s="12" t="b">
        <v>1</v>
      </c>
    </row>
    <row r="637" spans="1:9" x14ac:dyDescent="0.25">
      <c r="A637" s="12">
        <v>636</v>
      </c>
      <c r="B637" s="12" t="s">
        <v>2316</v>
      </c>
      <c r="C637" s="12" t="s">
        <v>2317</v>
      </c>
      <c r="D637" s="12" t="s">
        <v>14</v>
      </c>
      <c r="E637" s="12" t="s">
        <v>2318</v>
      </c>
      <c r="F637" s="12" t="s">
        <v>2319</v>
      </c>
      <c r="G637" s="12" t="b">
        <v>0</v>
      </c>
      <c r="H637" s="12" t="b">
        <v>0</v>
      </c>
      <c r="I637" s="12" t="b">
        <v>0</v>
      </c>
    </row>
    <row r="638" spans="1:9" x14ac:dyDescent="0.25">
      <c r="A638" s="12">
        <v>637</v>
      </c>
      <c r="B638" s="12" t="s">
        <v>9</v>
      </c>
      <c r="C638" s="12" t="s">
        <v>2320</v>
      </c>
      <c r="D638" s="12" t="s">
        <v>10</v>
      </c>
      <c r="E638" s="12" t="s">
        <v>2321</v>
      </c>
      <c r="F638" s="12" t="s">
        <v>628</v>
      </c>
      <c r="G638" s="12" t="b">
        <v>0</v>
      </c>
      <c r="H638" s="12" t="b">
        <v>1</v>
      </c>
      <c r="I638" s="12" t="b">
        <v>1</v>
      </c>
    </row>
    <row r="639" spans="1:9" x14ac:dyDescent="0.25">
      <c r="A639" s="12">
        <v>638</v>
      </c>
      <c r="B639" s="12" t="s">
        <v>2322</v>
      </c>
      <c r="C639" s="12" t="s">
        <v>2323</v>
      </c>
      <c r="D639" s="12" t="s">
        <v>14</v>
      </c>
      <c r="E639" s="12" t="s">
        <v>2324</v>
      </c>
      <c r="F639" s="12" t="s">
        <v>2325</v>
      </c>
      <c r="G639" s="12" t="b">
        <v>0</v>
      </c>
      <c r="H639" s="12" t="b">
        <v>1</v>
      </c>
      <c r="I639" s="12" t="b">
        <v>1</v>
      </c>
    </row>
    <row r="640" spans="1:9" x14ac:dyDescent="0.25">
      <c r="A640" s="12">
        <v>639</v>
      </c>
      <c r="B640" s="12" t="s">
        <v>2326</v>
      </c>
      <c r="C640" s="12" t="s">
        <v>2327</v>
      </c>
      <c r="D640" s="12" t="s">
        <v>45</v>
      </c>
      <c r="E640" s="12" t="s">
        <v>2328</v>
      </c>
      <c r="F640" s="12" t="s">
        <v>340</v>
      </c>
      <c r="G640" s="12" t="b">
        <v>0</v>
      </c>
      <c r="H640" s="12" t="b">
        <v>1</v>
      </c>
      <c r="I640" s="12" t="b">
        <v>1</v>
      </c>
    </row>
    <row r="641" spans="1:9" x14ac:dyDescent="0.25">
      <c r="A641" s="12">
        <v>640</v>
      </c>
      <c r="B641" s="12" t="s">
        <v>2329</v>
      </c>
      <c r="C641" s="12" t="s">
        <v>2330</v>
      </c>
      <c r="D641" s="12" t="s">
        <v>14</v>
      </c>
      <c r="E641" s="12" t="s">
        <v>2331</v>
      </c>
      <c r="F641" s="12" t="s">
        <v>456</v>
      </c>
      <c r="G641" s="12" t="b">
        <v>0</v>
      </c>
      <c r="H641" s="12" t="b">
        <v>1</v>
      </c>
      <c r="I641" s="12" t="b">
        <v>1</v>
      </c>
    </row>
    <row r="642" spans="1:9" x14ac:dyDescent="0.25">
      <c r="A642" s="12">
        <v>641</v>
      </c>
      <c r="B642" s="12" t="s">
        <v>2332</v>
      </c>
      <c r="C642" s="12" t="s">
        <v>2333</v>
      </c>
      <c r="D642" s="12" t="s">
        <v>14</v>
      </c>
      <c r="E642" s="12" t="s">
        <v>2334</v>
      </c>
      <c r="F642" s="12" t="s">
        <v>2275</v>
      </c>
      <c r="G642" s="12" t="b">
        <v>0</v>
      </c>
      <c r="H642" s="12" t="b">
        <v>0</v>
      </c>
      <c r="I642" s="12" t="b">
        <v>0</v>
      </c>
    </row>
    <row r="643" spans="1:9" x14ac:dyDescent="0.25">
      <c r="A643" s="12">
        <v>642</v>
      </c>
      <c r="B643" s="12" t="s">
        <v>280</v>
      </c>
      <c r="C643" s="12" t="s">
        <v>2335</v>
      </c>
      <c r="D643" s="12" t="s">
        <v>45</v>
      </c>
      <c r="E643" s="12" t="s">
        <v>2336</v>
      </c>
      <c r="F643" s="12" t="s">
        <v>2337</v>
      </c>
      <c r="G643" s="12" t="b">
        <v>1</v>
      </c>
      <c r="H643" s="12" t="b">
        <v>0</v>
      </c>
      <c r="I643" s="12" t="b">
        <v>0</v>
      </c>
    </row>
    <row r="644" spans="1:9" x14ac:dyDescent="0.25">
      <c r="A644" s="12">
        <v>643</v>
      </c>
      <c r="B644" s="12" t="s">
        <v>300</v>
      </c>
      <c r="C644" s="12" t="s">
        <v>2338</v>
      </c>
      <c r="D644" s="12" t="s">
        <v>10</v>
      </c>
      <c r="E644" s="12" t="s">
        <v>2339</v>
      </c>
      <c r="F644" s="12" t="s">
        <v>2340</v>
      </c>
      <c r="G644" s="12" t="b">
        <v>0</v>
      </c>
      <c r="H644" s="12" t="b">
        <v>1</v>
      </c>
      <c r="I644" s="12" t="b">
        <v>1</v>
      </c>
    </row>
    <row r="645" spans="1:9" x14ac:dyDescent="0.25">
      <c r="A645" s="12">
        <v>644</v>
      </c>
      <c r="B645" s="12" t="s">
        <v>281</v>
      </c>
      <c r="C645" s="12" t="s">
        <v>2341</v>
      </c>
      <c r="D645" s="12" t="s">
        <v>45</v>
      </c>
      <c r="E645" s="12" t="s">
        <v>2342</v>
      </c>
      <c r="F645" s="12" t="s">
        <v>426</v>
      </c>
      <c r="G645" s="12" t="b">
        <v>1</v>
      </c>
      <c r="H645" s="12" t="b">
        <v>1</v>
      </c>
      <c r="I645" s="12" t="b">
        <v>1</v>
      </c>
    </row>
    <row r="646" spans="1:9" x14ac:dyDescent="0.25">
      <c r="A646" s="12">
        <v>645</v>
      </c>
      <c r="B646" s="12" t="s">
        <v>2343</v>
      </c>
      <c r="C646" s="12" t="s">
        <v>2344</v>
      </c>
      <c r="D646" s="12" t="s">
        <v>10</v>
      </c>
      <c r="E646" s="12" t="s">
        <v>2345</v>
      </c>
      <c r="F646" s="12" t="s">
        <v>2346</v>
      </c>
      <c r="G646" s="12" t="b">
        <v>0</v>
      </c>
      <c r="H646" s="12" t="b">
        <v>1</v>
      </c>
      <c r="I646" s="12" t="b">
        <v>1</v>
      </c>
    </row>
    <row r="647" spans="1:9" x14ac:dyDescent="0.25">
      <c r="A647" s="12">
        <v>646</v>
      </c>
      <c r="B647" s="12" t="s">
        <v>2347</v>
      </c>
      <c r="C647" s="12" t="s">
        <v>2348</v>
      </c>
      <c r="D647" s="12" t="s">
        <v>14</v>
      </c>
      <c r="E647" s="12" t="s">
        <v>2349</v>
      </c>
      <c r="F647" s="12" t="s">
        <v>1686</v>
      </c>
      <c r="G647" s="12" t="b">
        <v>0</v>
      </c>
      <c r="H647" s="12" t="b">
        <v>1</v>
      </c>
      <c r="I647" s="12" t="b">
        <v>1</v>
      </c>
    </row>
    <row r="648" spans="1:9" x14ac:dyDescent="0.25">
      <c r="A648" s="12">
        <v>647</v>
      </c>
      <c r="B648" s="12" t="s">
        <v>103</v>
      </c>
      <c r="C648" s="12" t="s">
        <v>2350</v>
      </c>
      <c r="D648" s="12" t="s">
        <v>14</v>
      </c>
      <c r="E648" s="12" t="s">
        <v>2351</v>
      </c>
      <c r="F648" s="12" t="s">
        <v>340</v>
      </c>
      <c r="G648" s="12" t="b">
        <v>0</v>
      </c>
      <c r="H648" s="12" t="b">
        <v>1</v>
      </c>
      <c r="I648" s="12" t="b">
        <v>1</v>
      </c>
    </row>
    <row r="649" spans="1:9" x14ac:dyDescent="0.25">
      <c r="A649" s="12">
        <v>648</v>
      </c>
      <c r="B649" s="12" t="s">
        <v>2352</v>
      </c>
      <c r="C649" s="12" t="s">
        <v>2353</v>
      </c>
      <c r="D649" s="12" t="s">
        <v>14</v>
      </c>
      <c r="E649" s="12" t="s">
        <v>2354</v>
      </c>
      <c r="F649" s="12" t="s">
        <v>1357</v>
      </c>
      <c r="G649" s="12" t="b">
        <v>0</v>
      </c>
      <c r="H649" s="12" t="b">
        <v>1</v>
      </c>
      <c r="I649" s="12" t="b">
        <v>1</v>
      </c>
    </row>
    <row r="650" spans="1:9" x14ac:dyDescent="0.25">
      <c r="A650" s="12">
        <v>649</v>
      </c>
      <c r="B650" s="12" t="s">
        <v>2355</v>
      </c>
      <c r="C650" s="12" t="s">
        <v>2356</v>
      </c>
      <c r="D650" s="12" t="s">
        <v>14</v>
      </c>
      <c r="E650" s="12" t="s">
        <v>2357</v>
      </c>
      <c r="F650" s="12" t="s">
        <v>2358</v>
      </c>
      <c r="G650" s="12" t="b">
        <v>0</v>
      </c>
      <c r="H650" s="12" t="b">
        <v>0</v>
      </c>
      <c r="I650" s="12" t="b">
        <v>0</v>
      </c>
    </row>
    <row r="651" spans="1:9" x14ac:dyDescent="0.25">
      <c r="A651" s="12">
        <v>650</v>
      </c>
      <c r="B651" s="12" t="s">
        <v>2359</v>
      </c>
      <c r="C651" s="12" t="s">
        <v>2360</v>
      </c>
      <c r="D651" s="12" t="s">
        <v>14</v>
      </c>
      <c r="E651" s="12" t="s">
        <v>2361</v>
      </c>
      <c r="F651" s="12" t="s">
        <v>1379</v>
      </c>
      <c r="G651" s="12" t="b">
        <v>0</v>
      </c>
      <c r="H651" s="12" t="b">
        <v>1</v>
      </c>
      <c r="I651" s="12" t="b">
        <v>1</v>
      </c>
    </row>
    <row r="652" spans="1:9" x14ac:dyDescent="0.25">
      <c r="A652" s="12">
        <v>651</v>
      </c>
      <c r="B652" s="12" t="s">
        <v>282</v>
      </c>
      <c r="C652" s="12" t="s">
        <v>2362</v>
      </c>
      <c r="D652" s="12" t="s">
        <v>14</v>
      </c>
      <c r="E652" s="12" t="s">
        <v>2363</v>
      </c>
      <c r="F652" s="12" t="s">
        <v>1379</v>
      </c>
      <c r="G652" s="12" t="b">
        <v>1</v>
      </c>
      <c r="H652" s="12" t="b">
        <v>0</v>
      </c>
      <c r="I652" s="12" t="b">
        <v>0</v>
      </c>
    </row>
    <row r="653" spans="1:9" x14ac:dyDescent="0.25">
      <c r="A653" s="12">
        <v>652</v>
      </c>
      <c r="B653" s="12" t="s">
        <v>2364</v>
      </c>
      <c r="C653" s="12" t="s">
        <v>2365</v>
      </c>
      <c r="D653" s="12" t="s">
        <v>14</v>
      </c>
      <c r="E653" s="12" t="s">
        <v>2366</v>
      </c>
      <c r="F653" s="12" t="s">
        <v>1920</v>
      </c>
      <c r="G653" s="12" t="b">
        <v>0</v>
      </c>
      <c r="H653" s="12" t="b">
        <v>0</v>
      </c>
      <c r="I653" s="12" t="b">
        <v>0</v>
      </c>
    </row>
    <row r="654" spans="1:9" x14ac:dyDescent="0.25">
      <c r="A654" s="12">
        <v>653</v>
      </c>
      <c r="B654" s="12" t="s">
        <v>2367</v>
      </c>
      <c r="C654" s="12" t="s">
        <v>2368</v>
      </c>
      <c r="D654" s="12" t="s">
        <v>10</v>
      </c>
      <c r="E654" s="12" t="s">
        <v>2369</v>
      </c>
      <c r="F654" s="12" t="s">
        <v>2370</v>
      </c>
      <c r="G654" s="12" t="b">
        <v>0</v>
      </c>
      <c r="H654" s="12" t="b">
        <v>1</v>
      </c>
      <c r="I654" s="12" t="b">
        <v>1</v>
      </c>
    </row>
    <row r="655" spans="1:9" x14ac:dyDescent="0.25">
      <c r="A655" s="12">
        <v>654</v>
      </c>
      <c r="B655" s="12" t="s">
        <v>78</v>
      </c>
      <c r="C655" s="12" t="s">
        <v>2371</v>
      </c>
      <c r="D655" s="12" t="s">
        <v>14</v>
      </c>
      <c r="E655" s="12" t="s">
        <v>2372</v>
      </c>
      <c r="F655" s="12" t="s">
        <v>2373</v>
      </c>
      <c r="G655" s="12" t="b">
        <v>0</v>
      </c>
      <c r="H655" s="12" t="b">
        <v>1</v>
      </c>
      <c r="I655" s="12" t="b">
        <v>1</v>
      </c>
    </row>
    <row r="656" spans="1:9" x14ac:dyDescent="0.25">
      <c r="A656" s="12">
        <v>655</v>
      </c>
      <c r="B656" s="12" t="s">
        <v>2374</v>
      </c>
      <c r="C656" s="12" t="s">
        <v>2375</v>
      </c>
      <c r="D656" s="12" t="s">
        <v>14</v>
      </c>
      <c r="E656" s="12" t="s">
        <v>2376</v>
      </c>
      <c r="F656" s="12" t="s">
        <v>628</v>
      </c>
      <c r="G656" s="12" t="b">
        <v>0</v>
      </c>
      <c r="H656" s="12" t="b">
        <v>0</v>
      </c>
      <c r="I656" s="12" t="b">
        <v>0</v>
      </c>
    </row>
    <row r="657" spans="1:9" x14ac:dyDescent="0.25">
      <c r="A657" s="12">
        <v>656</v>
      </c>
      <c r="B657" s="12" t="s">
        <v>283</v>
      </c>
      <c r="C657" s="12" t="s">
        <v>2377</v>
      </c>
      <c r="D657" s="12" t="s">
        <v>45</v>
      </c>
      <c r="E657" s="12" t="s">
        <v>2378</v>
      </c>
      <c r="F657" s="12" t="s">
        <v>681</v>
      </c>
      <c r="G657" s="12" t="b">
        <v>1</v>
      </c>
      <c r="H657" s="12" t="b">
        <v>1</v>
      </c>
      <c r="I657" s="12" t="b">
        <v>1</v>
      </c>
    </row>
    <row r="658" spans="1:9" x14ac:dyDescent="0.25">
      <c r="A658" s="12">
        <v>657</v>
      </c>
      <c r="B658" s="12" t="s">
        <v>2379</v>
      </c>
      <c r="C658" s="12" t="s">
        <v>2380</v>
      </c>
      <c r="D658" s="12" t="s">
        <v>10</v>
      </c>
      <c r="E658" s="12" t="s">
        <v>2381</v>
      </c>
      <c r="F658" s="12" t="s">
        <v>2382</v>
      </c>
      <c r="G658" s="12" t="b">
        <v>0</v>
      </c>
      <c r="H658" s="12" t="b">
        <v>1</v>
      </c>
      <c r="I658" s="12" t="b">
        <v>1</v>
      </c>
    </row>
    <row r="659" spans="1:9" x14ac:dyDescent="0.25">
      <c r="A659" s="12">
        <v>658</v>
      </c>
      <c r="B659" s="12" t="s">
        <v>58</v>
      </c>
      <c r="C659" s="12" t="s">
        <v>2383</v>
      </c>
      <c r="D659" s="12" t="s">
        <v>14</v>
      </c>
      <c r="E659" s="12" t="s">
        <v>2384</v>
      </c>
      <c r="F659" s="12" t="s">
        <v>2385</v>
      </c>
      <c r="G659" s="12" t="b">
        <v>0</v>
      </c>
      <c r="H659" s="12" t="b">
        <v>1</v>
      </c>
      <c r="I659" s="12" t="b">
        <v>1</v>
      </c>
    </row>
    <row r="660" spans="1:9" x14ac:dyDescent="0.25">
      <c r="A660" s="12">
        <v>659</v>
      </c>
      <c r="B660" s="12" t="s">
        <v>2386</v>
      </c>
      <c r="C660" s="12" t="s">
        <v>2387</v>
      </c>
      <c r="D660" s="12" t="s">
        <v>14</v>
      </c>
      <c r="E660" s="12" t="s">
        <v>2388</v>
      </c>
      <c r="F660" s="12" t="s">
        <v>2389</v>
      </c>
      <c r="G660" s="12" t="b">
        <v>0</v>
      </c>
      <c r="H660" s="12" t="b">
        <v>1</v>
      </c>
      <c r="I660" s="12" t="b">
        <v>1</v>
      </c>
    </row>
    <row r="661" spans="1:9" x14ac:dyDescent="0.25">
      <c r="A661" s="12">
        <v>660</v>
      </c>
      <c r="B661" s="12" t="s">
        <v>2390</v>
      </c>
      <c r="C661" s="12" t="s">
        <v>2391</v>
      </c>
      <c r="D661" s="12" t="s">
        <v>45</v>
      </c>
      <c r="E661" s="12" t="s">
        <v>2392</v>
      </c>
      <c r="F661" s="12" t="s">
        <v>315</v>
      </c>
      <c r="G661" s="12" t="b">
        <v>1</v>
      </c>
      <c r="H661" s="12" t="b">
        <v>1</v>
      </c>
      <c r="I661" s="12" t="b">
        <v>1</v>
      </c>
    </row>
    <row r="662" spans="1:9" x14ac:dyDescent="0.25">
      <c r="A662" s="12">
        <v>661</v>
      </c>
      <c r="B662" s="12" t="s">
        <v>2393</v>
      </c>
      <c r="C662" s="12" t="s">
        <v>2394</v>
      </c>
      <c r="D662" s="12" t="s">
        <v>10</v>
      </c>
      <c r="E662" s="12" t="s">
        <v>2395</v>
      </c>
      <c r="F662" s="12" t="s">
        <v>1646</v>
      </c>
      <c r="G662" s="12" t="b">
        <v>0</v>
      </c>
      <c r="H662" s="12" t="b">
        <v>0</v>
      </c>
      <c r="I662" s="12" t="b">
        <v>0</v>
      </c>
    </row>
    <row r="663" spans="1:9" x14ac:dyDescent="0.25">
      <c r="A663" s="12">
        <v>662</v>
      </c>
      <c r="B663" s="12" t="s">
        <v>304</v>
      </c>
      <c r="C663" s="12" t="s">
        <v>2396</v>
      </c>
      <c r="D663" s="12" t="s">
        <v>14</v>
      </c>
      <c r="E663" s="12" t="s">
        <v>2397</v>
      </c>
      <c r="F663" s="12" t="s">
        <v>628</v>
      </c>
      <c r="G663" s="12" t="b">
        <v>0</v>
      </c>
      <c r="H663" s="12" t="b">
        <v>1</v>
      </c>
      <c r="I663" s="12" t="b">
        <v>1</v>
      </c>
    </row>
    <row r="664" spans="1:9" x14ac:dyDescent="0.25">
      <c r="A664" s="12">
        <v>663</v>
      </c>
      <c r="B664" s="12" t="s">
        <v>2398</v>
      </c>
      <c r="C664" s="12" t="s">
        <v>2399</v>
      </c>
      <c r="D664" s="12" t="s">
        <v>14</v>
      </c>
      <c r="E664" s="12" t="s">
        <v>2400</v>
      </c>
      <c r="F664" s="12" t="s">
        <v>658</v>
      </c>
      <c r="G664" s="12" t="b">
        <v>1</v>
      </c>
      <c r="H664" s="12" t="b">
        <v>1</v>
      </c>
      <c r="I664" s="12" t="b">
        <v>1</v>
      </c>
    </row>
    <row r="665" spans="1:9" x14ac:dyDescent="0.25">
      <c r="A665" s="12">
        <v>664</v>
      </c>
      <c r="B665" s="12" t="s">
        <v>2401</v>
      </c>
      <c r="C665" s="12" t="s">
        <v>2402</v>
      </c>
      <c r="D665" s="12" t="s">
        <v>45</v>
      </c>
      <c r="E665" s="12" t="s">
        <v>2403</v>
      </c>
      <c r="F665" s="12" t="s">
        <v>340</v>
      </c>
      <c r="G665" s="12" t="b">
        <v>0</v>
      </c>
      <c r="H665" s="12" t="b">
        <v>0</v>
      </c>
      <c r="I665" s="12" t="b">
        <v>0</v>
      </c>
    </row>
    <row r="666" spans="1:9" x14ac:dyDescent="0.25">
      <c r="A666" s="12">
        <v>665</v>
      </c>
      <c r="B666" s="12" t="s">
        <v>2404</v>
      </c>
      <c r="C666" s="12" t="s">
        <v>2405</v>
      </c>
      <c r="D666" s="12" t="s">
        <v>14</v>
      </c>
      <c r="E666" s="12" t="s">
        <v>2406</v>
      </c>
      <c r="F666" s="12" t="s">
        <v>317</v>
      </c>
      <c r="G666" s="12" t="b">
        <v>0</v>
      </c>
      <c r="H666" s="12" t="b">
        <v>1</v>
      </c>
      <c r="I666" s="12" t="b">
        <v>1</v>
      </c>
    </row>
    <row r="667" spans="1:9" x14ac:dyDescent="0.25">
      <c r="A667" s="12">
        <v>666</v>
      </c>
      <c r="B667" s="12" t="s">
        <v>2407</v>
      </c>
      <c r="C667" s="12" t="s">
        <v>2408</v>
      </c>
      <c r="D667" s="12" t="s">
        <v>14</v>
      </c>
      <c r="E667" s="12" t="s">
        <v>2409</v>
      </c>
      <c r="F667" s="12" t="s">
        <v>2410</v>
      </c>
      <c r="G667" s="12" t="b">
        <v>1</v>
      </c>
      <c r="H667" s="12" t="b">
        <v>1</v>
      </c>
      <c r="I667" s="12" t="b">
        <v>1</v>
      </c>
    </row>
    <row r="668" spans="1:9" x14ac:dyDescent="0.25">
      <c r="A668" s="12">
        <v>667</v>
      </c>
      <c r="B668" s="12" t="s">
        <v>2411</v>
      </c>
      <c r="C668" s="12" t="s">
        <v>2412</v>
      </c>
      <c r="D668" s="12" t="s">
        <v>14</v>
      </c>
      <c r="E668" s="12" t="s">
        <v>2413</v>
      </c>
      <c r="F668" s="12" t="s">
        <v>525</v>
      </c>
      <c r="G668" s="12" t="b">
        <v>0</v>
      </c>
      <c r="H668" s="12" t="b">
        <v>1</v>
      </c>
      <c r="I668" s="12" t="b">
        <v>1</v>
      </c>
    </row>
    <row r="669" spans="1:9" x14ac:dyDescent="0.25">
      <c r="A669" s="12">
        <v>668</v>
      </c>
      <c r="B669" s="12" t="s">
        <v>2414</v>
      </c>
      <c r="C669" s="12" t="s">
        <v>2415</v>
      </c>
      <c r="D669" s="12" t="s">
        <v>45</v>
      </c>
      <c r="E669" s="12" t="s">
        <v>2416</v>
      </c>
      <c r="F669" s="12" t="s">
        <v>537</v>
      </c>
      <c r="G669" s="12" t="b">
        <v>0</v>
      </c>
      <c r="H669" s="12" t="b">
        <v>1</v>
      </c>
      <c r="I669" s="12" t="b">
        <v>1</v>
      </c>
    </row>
    <row r="670" spans="1:9" x14ac:dyDescent="0.25">
      <c r="A670" s="12">
        <v>669</v>
      </c>
      <c r="B670" s="12" t="s">
        <v>2417</v>
      </c>
      <c r="C670" s="12" t="s">
        <v>2418</v>
      </c>
      <c r="D670" s="12" t="s">
        <v>14</v>
      </c>
      <c r="E670" s="12" t="s">
        <v>2419</v>
      </c>
      <c r="F670" s="12" t="s">
        <v>622</v>
      </c>
      <c r="G670" s="12" t="b">
        <v>0</v>
      </c>
      <c r="H670" s="12" t="b">
        <v>1</v>
      </c>
      <c r="I670" s="12" t="b">
        <v>1</v>
      </c>
    </row>
    <row r="671" spans="1:9" x14ac:dyDescent="0.25">
      <c r="A671" s="12">
        <v>670</v>
      </c>
      <c r="B671" s="12" t="s">
        <v>2420</v>
      </c>
      <c r="C671" s="12" t="s">
        <v>2421</v>
      </c>
      <c r="D671" s="12" t="s">
        <v>14</v>
      </c>
      <c r="E671" s="12" t="s">
        <v>2422</v>
      </c>
      <c r="F671" s="12" t="s">
        <v>2284</v>
      </c>
      <c r="G671" s="12" t="b">
        <v>0</v>
      </c>
      <c r="H671" s="12" t="b">
        <v>0</v>
      </c>
      <c r="I671" s="12" t="b">
        <v>0</v>
      </c>
    </row>
    <row r="672" spans="1:9" x14ac:dyDescent="0.25">
      <c r="A672" s="12">
        <v>671</v>
      </c>
      <c r="B672" s="12" t="s">
        <v>2423</v>
      </c>
      <c r="C672" s="12" t="s">
        <v>2424</v>
      </c>
      <c r="D672" s="12" t="s">
        <v>10</v>
      </c>
      <c r="E672" s="12" t="s">
        <v>1339</v>
      </c>
      <c r="F672" s="12" t="s">
        <v>658</v>
      </c>
      <c r="G672" s="12" t="b">
        <v>0</v>
      </c>
      <c r="H672" s="12" t="b">
        <v>1</v>
      </c>
      <c r="I672" s="12" t="b">
        <v>1</v>
      </c>
    </row>
    <row r="673" spans="1:9" x14ac:dyDescent="0.25">
      <c r="A673" s="12">
        <v>672</v>
      </c>
      <c r="B673" s="12" t="s">
        <v>2425</v>
      </c>
      <c r="C673" s="12" t="s">
        <v>2426</v>
      </c>
      <c r="D673" s="12" t="s">
        <v>14</v>
      </c>
      <c r="E673" s="12" t="s">
        <v>2427</v>
      </c>
      <c r="F673" s="12" t="s">
        <v>2428</v>
      </c>
      <c r="G673" s="12" t="b">
        <v>0</v>
      </c>
      <c r="H673" s="12" t="b">
        <v>0</v>
      </c>
      <c r="I673" s="12" t="b">
        <v>0</v>
      </c>
    </row>
    <row r="674" spans="1:9" x14ac:dyDescent="0.25">
      <c r="A674" s="12">
        <v>673</v>
      </c>
      <c r="B674" s="12" t="s">
        <v>104</v>
      </c>
      <c r="C674" s="12" t="s">
        <v>2429</v>
      </c>
      <c r="D674" s="12" t="s">
        <v>14</v>
      </c>
      <c r="E674" s="12" t="s">
        <v>2312</v>
      </c>
      <c r="F674" s="12" t="s">
        <v>2430</v>
      </c>
      <c r="G674" s="12" t="b">
        <v>0</v>
      </c>
      <c r="H674" s="12" t="b">
        <v>0</v>
      </c>
      <c r="I674" s="12" t="b">
        <v>0</v>
      </c>
    </row>
    <row r="675" spans="1:9" x14ac:dyDescent="0.25">
      <c r="A675" s="12">
        <v>674</v>
      </c>
      <c r="B675" s="12" t="s">
        <v>2431</v>
      </c>
      <c r="C675" s="12" t="s">
        <v>2432</v>
      </c>
      <c r="D675" s="12" t="s">
        <v>10</v>
      </c>
      <c r="E675" s="12" t="s">
        <v>2433</v>
      </c>
      <c r="F675" s="12" t="s">
        <v>317</v>
      </c>
      <c r="G675" s="12" t="b">
        <v>0</v>
      </c>
      <c r="H675" s="12" t="b">
        <v>1</v>
      </c>
      <c r="I675" s="12" t="b">
        <v>1</v>
      </c>
    </row>
    <row r="676" spans="1:9" x14ac:dyDescent="0.25">
      <c r="A676" s="12">
        <v>675</v>
      </c>
      <c r="B676" s="12" t="s">
        <v>2434</v>
      </c>
      <c r="C676" s="12" t="s">
        <v>2435</v>
      </c>
      <c r="D676" s="12" t="s">
        <v>45</v>
      </c>
      <c r="E676" s="12" t="s">
        <v>2436</v>
      </c>
      <c r="F676" s="12" t="s">
        <v>1597</v>
      </c>
      <c r="G676" s="12" t="b">
        <v>0</v>
      </c>
      <c r="H676" s="12" t="b">
        <v>0</v>
      </c>
      <c r="I676" s="12" t="b">
        <v>0</v>
      </c>
    </row>
    <row r="677" spans="1:9" x14ac:dyDescent="0.25">
      <c r="A677" s="12">
        <v>676</v>
      </c>
      <c r="B677" s="12" t="s">
        <v>2437</v>
      </c>
      <c r="C677" s="12" t="s">
        <v>2438</v>
      </c>
      <c r="D677" s="12" t="s">
        <v>14</v>
      </c>
      <c r="E677" s="12" t="s">
        <v>2439</v>
      </c>
      <c r="F677" s="12" t="s">
        <v>960</v>
      </c>
      <c r="G677" s="12" t="b">
        <v>0</v>
      </c>
      <c r="H677" s="12" t="b">
        <v>0</v>
      </c>
      <c r="I677" s="12" t="b">
        <v>0</v>
      </c>
    </row>
    <row r="678" spans="1:9" x14ac:dyDescent="0.25">
      <c r="A678" s="12">
        <v>677</v>
      </c>
      <c r="B678" s="12" t="s">
        <v>2440</v>
      </c>
      <c r="C678" s="12" t="s">
        <v>2441</v>
      </c>
      <c r="D678" s="12" t="s">
        <v>14</v>
      </c>
      <c r="E678" s="12" t="s">
        <v>2442</v>
      </c>
      <c r="F678" s="12" t="s">
        <v>960</v>
      </c>
      <c r="G678" s="12" t="b">
        <v>0</v>
      </c>
      <c r="H678" s="12" t="b">
        <v>1</v>
      </c>
      <c r="I678" s="12" t="b">
        <v>1</v>
      </c>
    </row>
    <row r="679" spans="1:9" x14ac:dyDescent="0.25">
      <c r="A679" s="12">
        <v>678</v>
      </c>
      <c r="B679" s="12" t="s">
        <v>2443</v>
      </c>
      <c r="C679" s="12" t="s">
        <v>2444</v>
      </c>
      <c r="D679" s="12" t="s">
        <v>14</v>
      </c>
      <c r="E679" s="12" t="s">
        <v>2445</v>
      </c>
      <c r="F679" s="12" t="s">
        <v>2446</v>
      </c>
      <c r="G679" s="12" t="b">
        <v>0</v>
      </c>
      <c r="H679" s="12" t="b">
        <v>1</v>
      </c>
      <c r="I679" s="12" t="b">
        <v>1</v>
      </c>
    </row>
    <row r="680" spans="1:9" x14ac:dyDescent="0.25">
      <c r="A680" s="12">
        <v>679</v>
      </c>
      <c r="B680" s="12" t="s">
        <v>2447</v>
      </c>
      <c r="C680" s="12" t="s">
        <v>2448</v>
      </c>
      <c r="D680" s="12" t="s">
        <v>45</v>
      </c>
      <c r="E680" s="12" t="s">
        <v>2449</v>
      </c>
      <c r="F680" s="12" t="s">
        <v>2450</v>
      </c>
      <c r="G680" s="12" t="b">
        <v>0</v>
      </c>
      <c r="H680" s="12" t="b">
        <v>1</v>
      </c>
      <c r="I680" s="12" t="b">
        <v>1</v>
      </c>
    </row>
    <row r="681" spans="1:9" x14ac:dyDescent="0.25">
      <c r="A681" s="12">
        <v>680</v>
      </c>
      <c r="B681" s="12" t="s">
        <v>2451</v>
      </c>
      <c r="C681" s="12" t="s">
        <v>2452</v>
      </c>
      <c r="D681" s="12" t="s">
        <v>10</v>
      </c>
      <c r="E681" s="12" t="s">
        <v>2453</v>
      </c>
      <c r="F681" s="12" t="s">
        <v>2454</v>
      </c>
      <c r="G681" s="12" t="b">
        <v>0</v>
      </c>
      <c r="H681" s="12" t="b">
        <v>1</v>
      </c>
      <c r="I681" s="12" t="b">
        <v>1</v>
      </c>
    </row>
    <row r="682" spans="1:9" x14ac:dyDescent="0.25">
      <c r="A682" s="12">
        <v>681</v>
      </c>
      <c r="B682" s="12" t="s">
        <v>2455</v>
      </c>
      <c r="C682" s="12" t="s">
        <v>2456</v>
      </c>
      <c r="D682" s="12" t="s">
        <v>14</v>
      </c>
      <c r="E682" s="12" t="s">
        <v>2457</v>
      </c>
      <c r="F682" s="12" t="s">
        <v>2458</v>
      </c>
      <c r="G682" s="12" t="b">
        <v>1</v>
      </c>
      <c r="H682" s="12" t="b">
        <v>0</v>
      </c>
      <c r="I682" s="12" t="b">
        <v>0</v>
      </c>
    </row>
    <row r="683" spans="1:9" x14ac:dyDescent="0.25">
      <c r="A683" s="12">
        <v>682</v>
      </c>
      <c r="B683" s="12" t="s">
        <v>2459</v>
      </c>
      <c r="C683" s="12" t="s">
        <v>2460</v>
      </c>
      <c r="D683" s="12" t="s">
        <v>10</v>
      </c>
      <c r="E683" s="12" t="s">
        <v>2461</v>
      </c>
      <c r="F683" s="12" t="s">
        <v>2462</v>
      </c>
      <c r="G683" s="12" t="b">
        <v>0</v>
      </c>
      <c r="H683" s="12" t="b">
        <v>1</v>
      </c>
      <c r="I683" s="12" t="b">
        <v>1</v>
      </c>
    </row>
    <row r="684" spans="1:9" x14ac:dyDescent="0.25">
      <c r="A684" s="12">
        <v>683</v>
      </c>
      <c r="B684" s="12" t="s">
        <v>2463</v>
      </c>
      <c r="C684" s="12" t="s">
        <v>2464</v>
      </c>
      <c r="D684" s="12" t="s">
        <v>45</v>
      </c>
      <c r="E684" s="12" t="s">
        <v>2465</v>
      </c>
      <c r="F684" s="12" t="s">
        <v>2466</v>
      </c>
      <c r="G684" s="12" t="b">
        <v>1</v>
      </c>
      <c r="H684" s="12" t="b">
        <v>0</v>
      </c>
      <c r="I684" s="12" t="b">
        <v>0</v>
      </c>
    </row>
    <row r="685" spans="1:9" x14ac:dyDescent="0.25">
      <c r="A685" s="12">
        <v>684</v>
      </c>
      <c r="B685" s="12" t="s">
        <v>2467</v>
      </c>
      <c r="C685" s="12" t="s">
        <v>2468</v>
      </c>
      <c r="D685" s="12" t="s">
        <v>14</v>
      </c>
      <c r="E685" s="12" t="s">
        <v>2469</v>
      </c>
      <c r="F685" s="12" t="s">
        <v>1122</v>
      </c>
      <c r="G685" s="12" t="b">
        <v>0</v>
      </c>
      <c r="H685" s="12" t="b">
        <v>1</v>
      </c>
      <c r="I685" s="12" t="b">
        <v>1</v>
      </c>
    </row>
    <row r="686" spans="1:9" x14ac:dyDescent="0.25">
      <c r="A686" s="12">
        <v>685</v>
      </c>
      <c r="B686" s="12" t="s">
        <v>2470</v>
      </c>
      <c r="C686" s="12" t="s">
        <v>2471</v>
      </c>
      <c r="D686" s="12" t="s">
        <v>45</v>
      </c>
      <c r="E686" s="12" t="s">
        <v>2472</v>
      </c>
      <c r="F686" s="12" t="s">
        <v>1122</v>
      </c>
      <c r="G686" s="12" t="b">
        <v>0</v>
      </c>
      <c r="H686" s="12" t="b">
        <v>0</v>
      </c>
      <c r="I686" s="12" t="b">
        <v>0</v>
      </c>
    </row>
    <row r="687" spans="1:9" x14ac:dyDescent="0.25">
      <c r="A687" s="12">
        <v>686</v>
      </c>
      <c r="B687" s="12" t="s">
        <v>2473</v>
      </c>
      <c r="C687" s="12" t="s">
        <v>2474</v>
      </c>
      <c r="D687" s="12" t="s">
        <v>14</v>
      </c>
      <c r="E687" s="12" t="s">
        <v>2475</v>
      </c>
      <c r="F687" s="12" t="s">
        <v>1760</v>
      </c>
      <c r="G687" s="12" t="b">
        <v>0</v>
      </c>
      <c r="H687" s="12" t="b">
        <v>0</v>
      </c>
      <c r="I687" s="12" t="b">
        <v>0</v>
      </c>
    </row>
    <row r="688" spans="1:9" x14ac:dyDescent="0.25">
      <c r="A688" s="12">
        <v>687</v>
      </c>
      <c r="B688" s="12" t="s">
        <v>2476</v>
      </c>
      <c r="C688" s="12" t="s">
        <v>2477</v>
      </c>
      <c r="D688" s="12" t="s">
        <v>14</v>
      </c>
      <c r="E688" s="12" t="s">
        <v>2478</v>
      </c>
      <c r="F688" s="12" t="s">
        <v>658</v>
      </c>
      <c r="G688" s="12" t="b">
        <v>0</v>
      </c>
      <c r="H688" s="12" t="b">
        <v>1</v>
      </c>
      <c r="I688" s="12" t="b">
        <v>1</v>
      </c>
    </row>
    <row r="689" spans="1:9" x14ac:dyDescent="0.25">
      <c r="A689" s="12">
        <v>688</v>
      </c>
      <c r="B689" s="12" t="s">
        <v>2479</v>
      </c>
      <c r="C689" s="12" t="s">
        <v>2480</v>
      </c>
      <c r="D689" s="12" t="s">
        <v>14</v>
      </c>
      <c r="E689" s="12" t="s">
        <v>2481</v>
      </c>
      <c r="F689" s="12" t="s">
        <v>292</v>
      </c>
      <c r="G689" s="12" t="b">
        <v>0</v>
      </c>
      <c r="H689" s="12" t="b">
        <v>1</v>
      </c>
      <c r="I689" s="12" t="b">
        <v>1</v>
      </c>
    </row>
    <row r="690" spans="1:9" x14ac:dyDescent="0.25">
      <c r="A690" s="12">
        <v>689</v>
      </c>
      <c r="B690" s="12" t="s">
        <v>2482</v>
      </c>
      <c r="C690" s="12" t="s">
        <v>2483</v>
      </c>
      <c r="D690" s="12" t="s">
        <v>45</v>
      </c>
      <c r="E690" s="12" t="s">
        <v>2484</v>
      </c>
      <c r="F690" s="12" t="s">
        <v>681</v>
      </c>
      <c r="G690" s="12" t="b">
        <v>0</v>
      </c>
      <c r="H690" s="12" t="b">
        <v>1</v>
      </c>
      <c r="I690" s="12" t="b">
        <v>1</v>
      </c>
    </row>
    <row r="691" spans="1:9" x14ac:dyDescent="0.25">
      <c r="A691" s="12">
        <v>690</v>
      </c>
      <c r="B691" s="12" t="s">
        <v>2485</v>
      </c>
      <c r="C691" s="12" t="s">
        <v>2486</v>
      </c>
      <c r="D691" s="12" t="s">
        <v>14</v>
      </c>
      <c r="E691" s="12" t="s">
        <v>2487</v>
      </c>
      <c r="F691" s="12" t="s">
        <v>2488</v>
      </c>
      <c r="G691" s="12" t="b">
        <v>0</v>
      </c>
      <c r="H691" s="12" t="b">
        <v>1</v>
      </c>
      <c r="I691" s="12" t="b">
        <v>1</v>
      </c>
    </row>
    <row r="692" spans="1:9" x14ac:dyDescent="0.25">
      <c r="A692" s="12">
        <v>691</v>
      </c>
      <c r="B692" s="12" t="s">
        <v>2489</v>
      </c>
      <c r="C692" s="12" t="s">
        <v>2490</v>
      </c>
      <c r="D692" s="12" t="s">
        <v>45</v>
      </c>
      <c r="E692" s="12" t="s">
        <v>2491</v>
      </c>
      <c r="F692" s="12" t="s">
        <v>2492</v>
      </c>
      <c r="G692" s="12" t="b">
        <v>0</v>
      </c>
      <c r="H692" s="12" t="b">
        <v>0</v>
      </c>
      <c r="I692" s="12" t="b">
        <v>0</v>
      </c>
    </row>
    <row r="693" spans="1:9" x14ac:dyDescent="0.25">
      <c r="A693" s="12">
        <v>692</v>
      </c>
      <c r="B693" s="12" t="s">
        <v>2493</v>
      </c>
      <c r="C693" s="12" t="s">
        <v>2494</v>
      </c>
      <c r="D693" s="12" t="s">
        <v>14</v>
      </c>
      <c r="E693" s="12" t="s">
        <v>2495</v>
      </c>
      <c r="F693" s="12" t="s">
        <v>2496</v>
      </c>
      <c r="G693" s="12" t="b">
        <v>0</v>
      </c>
      <c r="H693" s="12" t="b">
        <v>0</v>
      </c>
      <c r="I693" s="12" t="b">
        <v>0</v>
      </c>
    </row>
    <row r="694" spans="1:9" x14ac:dyDescent="0.25">
      <c r="A694" s="12">
        <v>693</v>
      </c>
      <c r="B694" s="12" t="s">
        <v>2497</v>
      </c>
      <c r="C694" s="12" t="s">
        <v>2498</v>
      </c>
      <c r="D694" s="12" t="s">
        <v>10</v>
      </c>
      <c r="E694" s="12" t="s">
        <v>2499</v>
      </c>
      <c r="F694" s="12" t="s">
        <v>61</v>
      </c>
      <c r="G694" s="12" t="b">
        <v>0</v>
      </c>
      <c r="H694" s="12" t="b">
        <v>1</v>
      </c>
      <c r="I694" s="12" t="b">
        <v>1</v>
      </c>
    </row>
    <row r="695" spans="1:9" x14ac:dyDescent="0.25">
      <c r="A695" s="12">
        <v>694</v>
      </c>
      <c r="B695" s="12" t="s">
        <v>284</v>
      </c>
      <c r="C695" s="12" t="s">
        <v>2500</v>
      </c>
      <c r="D695" s="12" t="s">
        <v>14</v>
      </c>
      <c r="E695" s="12" t="s">
        <v>2501</v>
      </c>
      <c r="F695" s="12" t="s">
        <v>2502</v>
      </c>
      <c r="G695" s="12" t="b">
        <v>1</v>
      </c>
      <c r="H695" s="12" t="b">
        <v>1</v>
      </c>
      <c r="I695" s="12" t="b">
        <v>1</v>
      </c>
    </row>
    <row r="696" spans="1:9" x14ac:dyDescent="0.25">
      <c r="A696" s="12">
        <v>695</v>
      </c>
      <c r="B696" s="12" t="s">
        <v>2503</v>
      </c>
      <c r="C696" s="12" t="s">
        <v>2504</v>
      </c>
      <c r="D696" s="12" t="s">
        <v>14</v>
      </c>
      <c r="E696" s="12" t="s">
        <v>2505</v>
      </c>
      <c r="F696" s="12" t="s">
        <v>720</v>
      </c>
      <c r="G696" s="12" t="b">
        <v>0</v>
      </c>
      <c r="H696" s="12" t="b">
        <v>1</v>
      </c>
      <c r="I696" s="12" t="b">
        <v>1</v>
      </c>
    </row>
    <row r="697" spans="1:9" x14ac:dyDescent="0.25">
      <c r="A697" s="12">
        <v>696</v>
      </c>
      <c r="B697" s="12" t="s">
        <v>2506</v>
      </c>
      <c r="C697" s="12" t="s">
        <v>2507</v>
      </c>
      <c r="D697" s="12" t="s">
        <v>10</v>
      </c>
      <c r="E697" s="12" t="s">
        <v>2508</v>
      </c>
      <c r="F697" s="12" t="s">
        <v>702</v>
      </c>
      <c r="G697" s="12" t="b">
        <v>0</v>
      </c>
      <c r="H697" s="12" t="b">
        <v>1</v>
      </c>
      <c r="I697" s="12" t="b">
        <v>1</v>
      </c>
    </row>
    <row r="698" spans="1:9" x14ac:dyDescent="0.25">
      <c r="A698" s="12">
        <v>697</v>
      </c>
      <c r="B698" s="12" t="s">
        <v>2509</v>
      </c>
      <c r="C698" s="12" t="s">
        <v>2510</v>
      </c>
      <c r="D698" s="12" t="s">
        <v>10</v>
      </c>
      <c r="E698" s="12" t="s">
        <v>2511</v>
      </c>
      <c r="F698" s="12" t="s">
        <v>328</v>
      </c>
      <c r="G698" s="12" t="b">
        <v>0</v>
      </c>
      <c r="H698" s="12" t="b">
        <v>1</v>
      </c>
      <c r="I698" s="12" t="b">
        <v>1</v>
      </c>
    </row>
    <row r="699" spans="1:9" x14ac:dyDescent="0.25">
      <c r="A699" s="12">
        <v>698</v>
      </c>
      <c r="B699" s="12" t="s">
        <v>106</v>
      </c>
      <c r="C699" s="12" t="s">
        <v>2512</v>
      </c>
      <c r="D699" s="12" t="s">
        <v>14</v>
      </c>
      <c r="E699" s="12" t="s">
        <v>2513</v>
      </c>
      <c r="F699" s="12" t="s">
        <v>2325</v>
      </c>
      <c r="G699" s="12" t="b">
        <v>0</v>
      </c>
      <c r="H699" s="12" t="b">
        <v>1</v>
      </c>
      <c r="I699" s="12" t="b">
        <v>1</v>
      </c>
    </row>
    <row r="700" spans="1:9" x14ac:dyDescent="0.25">
      <c r="A700" s="12">
        <v>699</v>
      </c>
      <c r="B700" s="12" t="s">
        <v>2514</v>
      </c>
      <c r="C700" s="12" t="s">
        <v>2515</v>
      </c>
      <c r="D700" s="12" t="s">
        <v>45</v>
      </c>
      <c r="E700" s="12" t="s">
        <v>2516</v>
      </c>
      <c r="F700" s="12" t="s">
        <v>2517</v>
      </c>
      <c r="G700" s="12" t="b">
        <v>0</v>
      </c>
      <c r="H700" s="12" t="b">
        <v>1</v>
      </c>
      <c r="I700" s="12" t="b">
        <v>1</v>
      </c>
    </row>
    <row r="701" spans="1:9" x14ac:dyDescent="0.25">
      <c r="A701" s="12">
        <v>700</v>
      </c>
      <c r="B701" s="12" t="s">
        <v>2518</v>
      </c>
      <c r="C701" s="12" t="s">
        <v>2519</v>
      </c>
      <c r="D701" s="12" t="s">
        <v>10</v>
      </c>
      <c r="E701" s="12" t="s">
        <v>2520</v>
      </c>
      <c r="F701" s="12" t="s">
        <v>1731</v>
      </c>
      <c r="G701" s="12" t="b">
        <v>0</v>
      </c>
      <c r="H701" s="12" t="b">
        <v>1</v>
      </c>
      <c r="I701" s="12" t="b">
        <v>1</v>
      </c>
    </row>
    <row r="702" spans="1:9" x14ac:dyDescent="0.25">
      <c r="A702" s="12">
        <v>701</v>
      </c>
      <c r="B702" s="12" t="s">
        <v>2521</v>
      </c>
      <c r="C702" s="12" t="s">
        <v>2522</v>
      </c>
      <c r="D702" s="12" t="s">
        <v>14</v>
      </c>
      <c r="E702" s="12" t="s">
        <v>2523</v>
      </c>
      <c r="F702" s="12" t="s">
        <v>1731</v>
      </c>
      <c r="G702" s="12" t="b">
        <v>0</v>
      </c>
      <c r="H702" s="12" t="b">
        <v>1</v>
      </c>
      <c r="I702" s="12" t="b">
        <v>1</v>
      </c>
    </row>
    <row r="703" spans="1:9" x14ac:dyDescent="0.25">
      <c r="A703" s="12">
        <v>702</v>
      </c>
      <c r="B703" s="12" t="s">
        <v>285</v>
      </c>
      <c r="C703" s="12" t="s">
        <v>2524</v>
      </c>
      <c r="D703" s="12" t="s">
        <v>14</v>
      </c>
      <c r="E703" s="12" t="s">
        <v>2525</v>
      </c>
      <c r="F703" s="12" t="s">
        <v>2526</v>
      </c>
      <c r="G703" s="12" t="b">
        <v>1</v>
      </c>
      <c r="H703" s="12" t="b">
        <v>1</v>
      </c>
      <c r="I703" s="12" t="b">
        <v>1</v>
      </c>
    </row>
    <row r="704" spans="1:9" x14ac:dyDescent="0.25">
      <c r="A704" s="12">
        <v>703</v>
      </c>
      <c r="B704" s="12" t="s">
        <v>2527</v>
      </c>
      <c r="C704" s="12" t="s">
        <v>2528</v>
      </c>
      <c r="D704" s="12" t="s">
        <v>10</v>
      </c>
      <c r="E704" s="12" t="s">
        <v>2529</v>
      </c>
      <c r="F704" s="12" t="s">
        <v>2530</v>
      </c>
      <c r="G704" s="12" t="b">
        <v>0</v>
      </c>
      <c r="H704" s="12" t="b">
        <v>1</v>
      </c>
      <c r="I704" s="12" t="b">
        <v>1</v>
      </c>
    </row>
    <row r="705" spans="1:9" x14ac:dyDescent="0.25">
      <c r="A705" s="12">
        <v>704</v>
      </c>
      <c r="B705" s="12" t="s">
        <v>47</v>
      </c>
      <c r="C705" s="12" t="s">
        <v>2531</v>
      </c>
      <c r="D705" s="12" t="s">
        <v>10</v>
      </c>
      <c r="E705" s="12" t="s">
        <v>2532</v>
      </c>
      <c r="F705" s="12" t="s">
        <v>426</v>
      </c>
      <c r="G705" s="12" t="b">
        <v>0</v>
      </c>
      <c r="H705" s="12" t="b">
        <v>1</v>
      </c>
      <c r="I705" s="12" t="b">
        <v>1</v>
      </c>
    </row>
    <row r="706" spans="1:9" x14ac:dyDescent="0.25">
      <c r="A706" s="12">
        <v>705</v>
      </c>
      <c r="B706" s="12" t="s">
        <v>2533</v>
      </c>
      <c r="C706" s="12" t="s">
        <v>2534</v>
      </c>
      <c r="D706" s="12" t="s">
        <v>10</v>
      </c>
      <c r="E706" s="12" t="s">
        <v>2535</v>
      </c>
      <c r="F706" s="12" t="s">
        <v>2536</v>
      </c>
      <c r="G706" s="12" t="b">
        <v>0</v>
      </c>
      <c r="H706" s="12" t="b">
        <v>1</v>
      </c>
      <c r="I706" s="12" t="b">
        <v>1</v>
      </c>
    </row>
    <row r="707" spans="1:9" x14ac:dyDescent="0.25">
      <c r="A707" s="12">
        <v>706</v>
      </c>
      <c r="B707" s="12" t="s">
        <v>2537</v>
      </c>
      <c r="C707" s="12" t="s">
        <v>2538</v>
      </c>
      <c r="D707" s="12" t="s">
        <v>10</v>
      </c>
      <c r="E707" s="12" t="s">
        <v>2539</v>
      </c>
      <c r="F707" s="12" t="s">
        <v>2536</v>
      </c>
      <c r="G707" s="12" t="b">
        <v>0</v>
      </c>
      <c r="H707" s="12" t="b">
        <v>1</v>
      </c>
      <c r="I707" s="12" t="b">
        <v>1</v>
      </c>
    </row>
    <row r="708" spans="1:9" x14ac:dyDescent="0.25">
      <c r="A708" s="12">
        <v>707</v>
      </c>
      <c r="B708" s="12" t="s">
        <v>2540</v>
      </c>
      <c r="C708" s="12" t="s">
        <v>2541</v>
      </c>
      <c r="D708" s="12" t="s">
        <v>14</v>
      </c>
      <c r="E708" s="12" t="s">
        <v>2542</v>
      </c>
      <c r="F708" s="12" t="s">
        <v>2543</v>
      </c>
      <c r="G708" s="12" t="b">
        <v>0</v>
      </c>
      <c r="H708" s="12" t="b">
        <v>1</v>
      </c>
      <c r="I708" s="12" t="b">
        <v>1</v>
      </c>
    </row>
    <row r="709" spans="1:9" x14ac:dyDescent="0.25">
      <c r="A709" s="12">
        <v>708</v>
      </c>
      <c r="B709" s="12" t="s">
        <v>286</v>
      </c>
      <c r="C709" s="12" t="s">
        <v>2544</v>
      </c>
      <c r="D709" s="12" t="s">
        <v>14</v>
      </c>
      <c r="E709" s="12" t="s">
        <v>2545</v>
      </c>
      <c r="F709" s="12" t="s">
        <v>573</v>
      </c>
      <c r="G709" s="12" t="b">
        <v>1</v>
      </c>
      <c r="H709" s="12" t="b">
        <v>1</v>
      </c>
      <c r="I709" s="12" t="b">
        <v>1</v>
      </c>
    </row>
    <row r="710" spans="1:9" x14ac:dyDescent="0.25">
      <c r="A710" s="12">
        <v>709</v>
      </c>
      <c r="B710" s="12" t="s">
        <v>2546</v>
      </c>
      <c r="C710" s="12" t="s">
        <v>2547</v>
      </c>
      <c r="D710" s="12" t="s">
        <v>10</v>
      </c>
      <c r="E710" s="12" t="s">
        <v>2548</v>
      </c>
      <c r="F710" s="12" t="s">
        <v>316</v>
      </c>
      <c r="G710" s="12" t="b">
        <v>0</v>
      </c>
      <c r="H710" s="12" t="b">
        <v>1</v>
      </c>
      <c r="I710" s="12" t="b">
        <v>1</v>
      </c>
    </row>
    <row r="711" spans="1:9" x14ac:dyDescent="0.25">
      <c r="A711" s="12">
        <v>710</v>
      </c>
      <c r="B711" s="12" t="s">
        <v>2549</v>
      </c>
      <c r="C711" s="12" t="s">
        <v>2550</v>
      </c>
      <c r="D711" s="12" t="s">
        <v>45</v>
      </c>
      <c r="E711" s="12" t="s">
        <v>2551</v>
      </c>
      <c r="F711" s="12" t="s">
        <v>2552</v>
      </c>
      <c r="G711" s="12" t="b">
        <v>0</v>
      </c>
      <c r="H711" s="12" t="b">
        <v>1</v>
      </c>
      <c r="I711" s="12" t="b">
        <v>1</v>
      </c>
    </row>
    <row r="712" spans="1:9" x14ac:dyDescent="0.25">
      <c r="A712" s="12">
        <v>711</v>
      </c>
      <c r="B712" s="12" t="s">
        <v>2553</v>
      </c>
      <c r="C712" s="12" t="s">
        <v>2554</v>
      </c>
      <c r="D712" s="12" t="s">
        <v>45</v>
      </c>
      <c r="E712" s="12" t="s">
        <v>2555</v>
      </c>
      <c r="F712" s="12" t="s">
        <v>2502</v>
      </c>
      <c r="G712" s="12" t="b">
        <v>1</v>
      </c>
      <c r="H712" s="12" t="b">
        <v>0</v>
      </c>
      <c r="I712" s="12" t="b">
        <v>0</v>
      </c>
    </row>
    <row r="713" spans="1:9" x14ac:dyDescent="0.25">
      <c r="A713" s="12">
        <v>712</v>
      </c>
      <c r="B713" s="12" t="s">
        <v>2556</v>
      </c>
      <c r="C713" s="12" t="s">
        <v>2557</v>
      </c>
      <c r="D713" s="12" t="s">
        <v>14</v>
      </c>
      <c r="E713" s="12" t="s">
        <v>2558</v>
      </c>
      <c r="F713" s="12" t="s">
        <v>340</v>
      </c>
      <c r="G713" s="12" t="b">
        <v>0</v>
      </c>
      <c r="H713" s="12" t="b">
        <v>1</v>
      </c>
      <c r="I713" s="12" t="b">
        <v>1</v>
      </c>
    </row>
    <row r="714" spans="1:9" x14ac:dyDescent="0.25">
      <c r="A714" s="12">
        <v>713</v>
      </c>
      <c r="B714" s="12" t="s">
        <v>307</v>
      </c>
      <c r="C714" s="12" t="s">
        <v>2559</v>
      </c>
      <c r="D714" s="12" t="s">
        <v>14</v>
      </c>
      <c r="E714" s="12" t="s">
        <v>2560</v>
      </c>
      <c r="F714" s="12" t="s">
        <v>2340</v>
      </c>
      <c r="G714" s="12" t="b">
        <v>0</v>
      </c>
      <c r="H714" s="12" t="b">
        <v>1</v>
      </c>
      <c r="I714" s="12" t="b">
        <v>1</v>
      </c>
    </row>
    <row r="715" spans="1:9" x14ac:dyDescent="0.25">
      <c r="A715" s="12">
        <v>714</v>
      </c>
      <c r="B715" s="12" t="s">
        <v>2561</v>
      </c>
      <c r="C715" s="12" t="s">
        <v>2562</v>
      </c>
      <c r="D715" s="12" t="s">
        <v>14</v>
      </c>
      <c r="E715" s="12" t="s">
        <v>2563</v>
      </c>
      <c r="F715" s="12" t="s">
        <v>464</v>
      </c>
      <c r="G715" s="12" t="b">
        <v>0</v>
      </c>
      <c r="H715" s="12" t="b">
        <v>1</v>
      </c>
      <c r="I715" s="12" t="b">
        <v>1</v>
      </c>
    </row>
    <row r="716" spans="1:9" x14ac:dyDescent="0.25">
      <c r="A716" s="12">
        <v>715</v>
      </c>
      <c r="B716" s="12" t="s">
        <v>2564</v>
      </c>
      <c r="C716" s="12" t="s">
        <v>2565</v>
      </c>
      <c r="D716" s="12" t="s">
        <v>45</v>
      </c>
      <c r="E716" s="12" t="s">
        <v>2566</v>
      </c>
      <c r="F716" s="12" t="s">
        <v>2567</v>
      </c>
      <c r="G716" s="12" t="b">
        <v>0</v>
      </c>
      <c r="H716" s="12" t="b">
        <v>0</v>
      </c>
      <c r="I716" s="12" t="b">
        <v>0</v>
      </c>
    </row>
    <row r="717" spans="1:9" x14ac:dyDescent="0.25">
      <c r="A717" s="12">
        <v>716</v>
      </c>
      <c r="B717" s="12" t="s">
        <v>287</v>
      </c>
      <c r="C717" s="12" t="s">
        <v>2568</v>
      </c>
      <c r="D717" s="12" t="s">
        <v>45</v>
      </c>
      <c r="E717" s="12" t="s">
        <v>2569</v>
      </c>
      <c r="F717" s="12" t="s">
        <v>2570</v>
      </c>
      <c r="G717" s="12" t="b">
        <v>1</v>
      </c>
      <c r="H717" s="12" t="b">
        <v>1</v>
      </c>
      <c r="I717" s="12" t="b">
        <v>1</v>
      </c>
    </row>
    <row r="718" spans="1:9" x14ac:dyDescent="0.25">
      <c r="A718" s="12">
        <v>717</v>
      </c>
      <c r="B718" s="12" t="s">
        <v>2571</v>
      </c>
      <c r="C718" s="12" t="s">
        <v>2572</v>
      </c>
      <c r="D718" s="12" t="s">
        <v>10</v>
      </c>
      <c r="E718" s="12" t="s">
        <v>2573</v>
      </c>
      <c r="F718" s="12" t="s">
        <v>317</v>
      </c>
      <c r="G718" s="12" t="b">
        <v>0</v>
      </c>
      <c r="H718" s="12" t="b">
        <v>0</v>
      </c>
      <c r="I718" s="12" t="b">
        <v>0</v>
      </c>
    </row>
    <row r="719" spans="1:9" x14ac:dyDescent="0.25">
      <c r="A719" s="12">
        <v>718</v>
      </c>
      <c r="B719" s="12" t="s">
        <v>2574</v>
      </c>
      <c r="C719" s="12" t="s">
        <v>2575</v>
      </c>
      <c r="D719" s="12" t="s">
        <v>14</v>
      </c>
      <c r="E719" s="12" t="s">
        <v>2576</v>
      </c>
      <c r="F719" s="12" t="s">
        <v>2577</v>
      </c>
      <c r="G719" s="12" t="b">
        <v>0</v>
      </c>
      <c r="H719" s="12" t="b">
        <v>1</v>
      </c>
      <c r="I719" s="12" t="b">
        <v>1</v>
      </c>
    </row>
    <row r="720" spans="1:9" x14ac:dyDescent="0.25">
      <c r="A720" s="12">
        <v>719</v>
      </c>
      <c r="B720" s="12" t="s">
        <v>2578</v>
      </c>
      <c r="C720" s="12" t="s">
        <v>2579</v>
      </c>
      <c r="D720" s="12" t="s">
        <v>45</v>
      </c>
      <c r="E720" s="12" t="s">
        <v>2580</v>
      </c>
      <c r="F720" s="12" t="s">
        <v>1116</v>
      </c>
      <c r="G720" s="12" t="b">
        <v>0</v>
      </c>
      <c r="H720" s="12" t="b">
        <v>1</v>
      </c>
      <c r="I720" s="12" t="b">
        <v>1</v>
      </c>
    </row>
    <row r="721" spans="1:9" x14ac:dyDescent="0.25">
      <c r="A721" s="12">
        <v>720</v>
      </c>
      <c r="B721" s="12" t="s">
        <v>170</v>
      </c>
      <c r="C721" s="12" t="s">
        <v>2581</v>
      </c>
      <c r="D721" s="12" t="s">
        <v>14</v>
      </c>
      <c r="E721" s="12" t="s">
        <v>2582</v>
      </c>
      <c r="F721" s="12" t="s">
        <v>2583</v>
      </c>
      <c r="G721" s="12" t="b">
        <v>0</v>
      </c>
      <c r="H721" s="12" t="b">
        <v>1</v>
      </c>
      <c r="I721" s="12" t="b">
        <v>1</v>
      </c>
    </row>
    <row r="722" spans="1:9" x14ac:dyDescent="0.25">
      <c r="A722" s="12">
        <v>721</v>
      </c>
      <c r="B722" s="12" t="s">
        <v>2584</v>
      </c>
      <c r="C722" s="12" t="s">
        <v>2585</v>
      </c>
      <c r="D722" s="12" t="s">
        <v>14</v>
      </c>
      <c r="E722" s="12" t="s">
        <v>2586</v>
      </c>
      <c r="F722" s="12" t="s">
        <v>2587</v>
      </c>
      <c r="G722" s="12" t="b">
        <v>0</v>
      </c>
      <c r="H722" s="12" t="b">
        <v>1</v>
      </c>
      <c r="I722" s="12" t="b">
        <v>1</v>
      </c>
    </row>
    <row r="723" spans="1:9" x14ac:dyDescent="0.25">
      <c r="A723" s="12">
        <v>722</v>
      </c>
      <c r="B723" s="12" t="s">
        <v>2588</v>
      </c>
      <c r="C723" s="12" t="s">
        <v>2589</v>
      </c>
      <c r="D723" s="12" t="s">
        <v>14</v>
      </c>
      <c r="E723" s="12" t="s">
        <v>2590</v>
      </c>
      <c r="F723" s="12" t="s">
        <v>1072</v>
      </c>
      <c r="G723" s="12" t="b">
        <v>0</v>
      </c>
      <c r="H723" s="12" t="b">
        <v>0</v>
      </c>
      <c r="I723" s="12" t="b">
        <v>0</v>
      </c>
    </row>
    <row r="724" spans="1:9" x14ac:dyDescent="0.25">
      <c r="A724" s="12">
        <v>723</v>
      </c>
      <c r="B724" s="12" t="s">
        <v>288</v>
      </c>
      <c r="C724" s="12" t="s">
        <v>2591</v>
      </c>
      <c r="D724" s="12" t="s">
        <v>14</v>
      </c>
      <c r="E724" s="12" t="s">
        <v>2592</v>
      </c>
      <c r="F724" s="12" t="s">
        <v>2593</v>
      </c>
      <c r="G724" s="12" t="b">
        <v>1</v>
      </c>
      <c r="H724" s="12" t="b">
        <v>1</v>
      </c>
      <c r="I724" s="12" t="b">
        <v>1</v>
      </c>
    </row>
    <row r="725" spans="1:9" x14ac:dyDescent="0.25">
      <c r="A725" s="12">
        <v>724</v>
      </c>
      <c r="B725" s="12" t="s">
        <v>2594</v>
      </c>
      <c r="C725" s="12" t="s">
        <v>2595</v>
      </c>
      <c r="D725" s="12" t="s">
        <v>10</v>
      </c>
      <c r="E725" s="12" t="s">
        <v>2596</v>
      </c>
      <c r="F725" s="12" t="s">
        <v>1055</v>
      </c>
      <c r="G725" s="12" t="b">
        <v>0</v>
      </c>
      <c r="H725" s="12" t="b">
        <v>1</v>
      </c>
      <c r="I725" s="12" t="b">
        <v>1</v>
      </c>
    </row>
    <row r="726" spans="1:9" x14ac:dyDescent="0.25">
      <c r="A726" s="12">
        <v>725</v>
      </c>
      <c r="B726" s="12" t="s">
        <v>2597</v>
      </c>
      <c r="C726" s="12" t="s">
        <v>2598</v>
      </c>
      <c r="D726" s="12" t="s">
        <v>14</v>
      </c>
      <c r="E726" s="12" t="s">
        <v>2599</v>
      </c>
      <c r="F726" s="12" t="s">
        <v>573</v>
      </c>
      <c r="G726" s="12" t="b">
        <v>0</v>
      </c>
      <c r="H726" s="12" t="b">
        <v>1</v>
      </c>
      <c r="I726" s="12" t="b">
        <v>1</v>
      </c>
    </row>
    <row r="727" spans="1:9" x14ac:dyDescent="0.25">
      <c r="A727" s="12">
        <v>726</v>
      </c>
      <c r="B727" s="12" t="s">
        <v>2600</v>
      </c>
      <c r="C727" s="12" t="s">
        <v>2601</v>
      </c>
      <c r="D727" s="12" t="s">
        <v>45</v>
      </c>
      <c r="E727" s="12" t="s">
        <v>2602</v>
      </c>
      <c r="F727" s="12" t="s">
        <v>2603</v>
      </c>
      <c r="G727" s="12" t="b">
        <v>0</v>
      </c>
      <c r="H727" s="12" t="b">
        <v>1</v>
      </c>
      <c r="I727" s="12" t="b">
        <v>1</v>
      </c>
    </row>
    <row r="728" spans="1:9" x14ac:dyDescent="0.25">
      <c r="A728" s="12">
        <v>727</v>
      </c>
      <c r="B728" s="12" t="s">
        <v>289</v>
      </c>
      <c r="C728" s="12" t="s">
        <v>2604</v>
      </c>
      <c r="D728" s="12" t="s">
        <v>45</v>
      </c>
      <c r="E728" s="12" t="s">
        <v>2605</v>
      </c>
      <c r="F728" s="12" t="s">
        <v>2606</v>
      </c>
      <c r="G728" s="12" t="b">
        <v>1</v>
      </c>
      <c r="H728" s="12" t="b">
        <v>0</v>
      </c>
      <c r="I728" s="12" t="b">
        <v>0</v>
      </c>
    </row>
    <row r="729" spans="1:9" x14ac:dyDescent="0.25">
      <c r="A729" s="12">
        <v>728</v>
      </c>
      <c r="B729" s="12" t="s">
        <v>2607</v>
      </c>
      <c r="C729" s="12" t="s">
        <v>2608</v>
      </c>
      <c r="D729" s="12" t="s">
        <v>10</v>
      </c>
      <c r="E729" s="12" t="s">
        <v>2609</v>
      </c>
      <c r="F729" s="12" t="s">
        <v>315</v>
      </c>
      <c r="G729" s="12" t="b">
        <v>0</v>
      </c>
      <c r="H729" s="12" t="b">
        <v>1</v>
      </c>
      <c r="I729" s="12" t="b">
        <v>1</v>
      </c>
    </row>
    <row r="730" spans="1:9" x14ac:dyDescent="0.25">
      <c r="A730" s="12">
        <v>729</v>
      </c>
      <c r="B730" s="12" t="s">
        <v>2610</v>
      </c>
      <c r="C730" s="12" t="s">
        <v>2611</v>
      </c>
      <c r="D730" s="12" t="s">
        <v>14</v>
      </c>
      <c r="E730" s="12" t="s">
        <v>2612</v>
      </c>
      <c r="F730" s="12" t="s">
        <v>2613</v>
      </c>
      <c r="G730" s="12" t="b">
        <v>0</v>
      </c>
      <c r="H730" s="12" t="b">
        <v>1</v>
      </c>
      <c r="I730" s="12" t="b">
        <v>1</v>
      </c>
    </row>
    <row r="731" spans="1:9" x14ac:dyDescent="0.25">
      <c r="A731" s="12">
        <v>730</v>
      </c>
      <c r="B731" s="12" t="s">
        <v>2614</v>
      </c>
      <c r="C731" s="12" t="s">
        <v>2615</v>
      </c>
      <c r="D731" s="12" t="s">
        <v>45</v>
      </c>
      <c r="E731" s="12" t="s">
        <v>2616</v>
      </c>
      <c r="F731" s="12" t="s">
        <v>340</v>
      </c>
      <c r="G731" s="12" t="b">
        <v>0</v>
      </c>
      <c r="H731" s="12" t="b">
        <v>0</v>
      </c>
      <c r="I731" s="12" t="b">
        <v>0</v>
      </c>
    </row>
    <row r="732" spans="1:9" x14ac:dyDescent="0.25">
      <c r="A732" s="12">
        <v>731</v>
      </c>
      <c r="B732" s="12" t="s">
        <v>2617</v>
      </c>
      <c r="C732" s="12" t="s">
        <v>2618</v>
      </c>
      <c r="D732" s="12" t="s">
        <v>14</v>
      </c>
      <c r="E732" s="12" t="s">
        <v>2619</v>
      </c>
      <c r="F732" s="12" t="s">
        <v>2613</v>
      </c>
      <c r="G732" s="12" t="b">
        <v>0</v>
      </c>
      <c r="H732" s="12" t="b">
        <v>1</v>
      </c>
      <c r="I732" s="12" t="b">
        <v>1</v>
      </c>
    </row>
    <row r="733" spans="1:9" x14ac:dyDescent="0.25">
      <c r="A733" s="12">
        <v>732</v>
      </c>
      <c r="B733" s="12" t="s">
        <v>2620</v>
      </c>
      <c r="C733" s="12" t="s">
        <v>2621</v>
      </c>
      <c r="D733" s="12" t="s">
        <v>45</v>
      </c>
      <c r="E733" s="12" t="s">
        <v>2622</v>
      </c>
      <c r="F733" s="12" t="s">
        <v>2613</v>
      </c>
      <c r="G733" s="12" t="b">
        <v>0</v>
      </c>
      <c r="H733" s="12" t="b">
        <v>1</v>
      </c>
      <c r="I733" s="12" t="b">
        <v>1</v>
      </c>
    </row>
    <row r="734" spans="1:9" x14ac:dyDescent="0.25">
      <c r="A734" s="12">
        <v>733</v>
      </c>
      <c r="B734" s="12" t="s">
        <v>2623</v>
      </c>
      <c r="C734" s="12" t="s">
        <v>2624</v>
      </c>
      <c r="D734" s="12" t="s">
        <v>10</v>
      </c>
      <c r="E734" s="12" t="s">
        <v>2625</v>
      </c>
      <c r="F734" s="12" t="s">
        <v>1628</v>
      </c>
      <c r="G734" s="12" t="b">
        <v>0</v>
      </c>
      <c r="H734" s="12" t="b">
        <v>1</v>
      </c>
      <c r="I734" s="12" t="b">
        <v>1</v>
      </c>
    </row>
    <row r="735" spans="1:9" x14ac:dyDescent="0.25">
      <c r="A735" s="12">
        <v>734</v>
      </c>
      <c r="B735" s="12" t="s">
        <v>2626</v>
      </c>
      <c r="C735" s="12" t="s">
        <v>2627</v>
      </c>
      <c r="D735" s="12" t="s">
        <v>10</v>
      </c>
      <c r="E735" s="12" t="s">
        <v>2628</v>
      </c>
      <c r="F735" s="12" t="s">
        <v>1090</v>
      </c>
      <c r="G735" s="12" t="b">
        <v>1</v>
      </c>
      <c r="H735" s="12" t="b">
        <v>0</v>
      </c>
      <c r="I735" s="12" t="b">
        <v>0</v>
      </c>
    </row>
    <row r="736" spans="1:9" x14ac:dyDescent="0.25">
      <c r="A736" s="12">
        <v>735</v>
      </c>
      <c r="B736" s="12" t="s">
        <v>2629</v>
      </c>
      <c r="C736" s="12" t="s">
        <v>2630</v>
      </c>
      <c r="D736" s="12" t="s">
        <v>14</v>
      </c>
      <c r="E736" s="12" t="s">
        <v>2631</v>
      </c>
      <c r="F736" s="12" t="s">
        <v>2319</v>
      </c>
      <c r="G736" s="12" t="b">
        <v>0</v>
      </c>
      <c r="H736" s="12" t="b">
        <v>1</v>
      </c>
      <c r="I736" s="12" t="b">
        <v>1</v>
      </c>
    </row>
    <row r="737" spans="1:9" x14ac:dyDescent="0.25">
      <c r="A737" s="12">
        <v>736</v>
      </c>
      <c r="B737" s="12" t="s">
        <v>2632</v>
      </c>
      <c r="C737" s="12" t="s">
        <v>2633</v>
      </c>
      <c r="D737" s="12" t="s">
        <v>45</v>
      </c>
      <c r="E737" s="12" t="s">
        <v>2634</v>
      </c>
      <c r="F737" s="12" t="s">
        <v>2635</v>
      </c>
      <c r="G737" s="12" t="b">
        <v>0</v>
      </c>
      <c r="H737" s="12" t="b">
        <v>0</v>
      </c>
      <c r="I737" s="12" t="b">
        <v>0</v>
      </c>
    </row>
    <row r="738" spans="1:9" x14ac:dyDescent="0.25">
      <c r="A738" s="12">
        <v>737</v>
      </c>
      <c r="B738" s="12" t="s">
        <v>2636</v>
      </c>
      <c r="C738" s="12" t="s">
        <v>2637</v>
      </c>
      <c r="D738" s="12" t="s">
        <v>14</v>
      </c>
      <c r="E738" s="12" t="s">
        <v>2638</v>
      </c>
      <c r="F738" s="12" t="s">
        <v>2639</v>
      </c>
      <c r="G738" s="12" t="b">
        <v>1</v>
      </c>
      <c r="H738" s="12" t="b">
        <v>1</v>
      </c>
      <c r="I738" s="12" t="b">
        <v>1</v>
      </c>
    </row>
    <row r="739" spans="1:9" x14ac:dyDescent="0.25">
      <c r="A739" s="12">
        <v>738</v>
      </c>
      <c r="B739" s="12" t="s">
        <v>2640</v>
      </c>
      <c r="C739" s="12" t="s">
        <v>2641</v>
      </c>
      <c r="D739" s="12" t="s">
        <v>14</v>
      </c>
      <c r="E739" s="12" t="s">
        <v>2642</v>
      </c>
      <c r="F739" s="12" t="s">
        <v>2284</v>
      </c>
      <c r="G739" s="12" t="b">
        <v>0</v>
      </c>
      <c r="H739" s="12" t="b">
        <v>0</v>
      </c>
      <c r="I739" s="12" t="b">
        <v>0</v>
      </c>
    </row>
    <row r="740" spans="1:9" x14ac:dyDescent="0.25">
      <c r="A740" s="12">
        <v>739</v>
      </c>
      <c r="B740" s="12" t="s">
        <v>2643</v>
      </c>
      <c r="C740" s="12" t="s">
        <v>2644</v>
      </c>
      <c r="D740" s="12" t="s">
        <v>14</v>
      </c>
      <c r="E740" s="12" t="s">
        <v>2645</v>
      </c>
      <c r="F740" s="12" t="s">
        <v>577</v>
      </c>
      <c r="G740" s="12" t="b">
        <v>0</v>
      </c>
      <c r="H740" s="12" t="b">
        <v>1</v>
      </c>
      <c r="I740" s="12" t="b">
        <v>1</v>
      </c>
    </row>
    <row r="741" spans="1:9" x14ac:dyDescent="0.25">
      <c r="A741" s="12">
        <v>740</v>
      </c>
      <c r="B741" s="12" t="s">
        <v>2646</v>
      </c>
      <c r="C741" s="12" t="s">
        <v>2647</v>
      </c>
      <c r="D741" s="12" t="s">
        <v>14</v>
      </c>
      <c r="E741" s="12" t="s">
        <v>2648</v>
      </c>
      <c r="F741" s="12" t="s">
        <v>2649</v>
      </c>
      <c r="G741" s="12" t="b">
        <v>0</v>
      </c>
      <c r="H741" s="12" t="b">
        <v>1</v>
      </c>
      <c r="I741" s="12" t="b">
        <v>1</v>
      </c>
    </row>
    <row r="742" spans="1:9" x14ac:dyDescent="0.25">
      <c r="A742" s="12">
        <v>741</v>
      </c>
      <c r="B742" s="12" t="s">
        <v>2650</v>
      </c>
      <c r="C742" s="12" t="s">
        <v>2651</v>
      </c>
      <c r="D742" s="12" t="s">
        <v>45</v>
      </c>
      <c r="E742" s="12" t="s">
        <v>2652</v>
      </c>
      <c r="F742" s="12" t="s">
        <v>515</v>
      </c>
      <c r="G742" s="12" t="b">
        <v>0</v>
      </c>
      <c r="H742" s="12" t="b">
        <v>1</v>
      </c>
      <c r="I742" s="12" t="b">
        <v>1</v>
      </c>
    </row>
    <row r="743" spans="1:9" x14ac:dyDescent="0.25">
      <c r="A743" s="12">
        <v>742</v>
      </c>
      <c r="B743" s="12" t="s">
        <v>2653</v>
      </c>
      <c r="C743" s="12" t="s">
        <v>2654</v>
      </c>
      <c r="D743" s="12" t="s">
        <v>14</v>
      </c>
      <c r="E743" s="12" t="s">
        <v>2655</v>
      </c>
      <c r="F743" s="12" t="s">
        <v>628</v>
      </c>
      <c r="G743" s="12" t="b">
        <v>1</v>
      </c>
      <c r="H743" s="12" t="b">
        <v>1</v>
      </c>
      <c r="I743" s="12" t="b">
        <v>1</v>
      </c>
    </row>
    <row r="744" spans="1:9" x14ac:dyDescent="0.25">
      <c r="A744" s="12">
        <v>743</v>
      </c>
      <c r="B744" s="12" t="s">
        <v>2656</v>
      </c>
      <c r="C744" s="12" t="s">
        <v>2657</v>
      </c>
      <c r="D744" s="12" t="s">
        <v>14</v>
      </c>
      <c r="E744" s="12" t="s">
        <v>2658</v>
      </c>
      <c r="F744" s="12" t="s">
        <v>1891</v>
      </c>
      <c r="G744" s="12" t="b">
        <v>0</v>
      </c>
      <c r="H744" s="12" t="b">
        <v>1</v>
      </c>
      <c r="I744" s="12" t="b">
        <v>1</v>
      </c>
    </row>
    <row r="745" spans="1:9" x14ac:dyDescent="0.25">
      <c r="A745" s="12">
        <v>744</v>
      </c>
      <c r="B745" s="12" t="s">
        <v>48</v>
      </c>
      <c r="C745" s="12" t="s">
        <v>2659</v>
      </c>
      <c r="D745" s="12" t="s">
        <v>10</v>
      </c>
      <c r="E745" s="12" t="s">
        <v>2660</v>
      </c>
      <c r="F745" s="12" t="s">
        <v>426</v>
      </c>
      <c r="G745" s="12" t="b">
        <v>0</v>
      </c>
      <c r="H745" s="12" t="b">
        <v>1</v>
      </c>
      <c r="I745" s="12" t="b">
        <v>1</v>
      </c>
    </row>
    <row r="746" spans="1:9" x14ac:dyDescent="0.25">
      <c r="A746" s="12">
        <v>745</v>
      </c>
      <c r="B746" s="12" t="s">
        <v>174</v>
      </c>
      <c r="C746" s="12" t="s">
        <v>2661</v>
      </c>
      <c r="D746" s="12" t="s">
        <v>45</v>
      </c>
      <c r="E746" s="12" t="s">
        <v>2662</v>
      </c>
      <c r="F746" s="12" t="s">
        <v>2663</v>
      </c>
      <c r="G746" s="12" t="b">
        <v>0</v>
      </c>
      <c r="H746" s="12" t="b">
        <v>1</v>
      </c>
      <c r="I746" s="12" t="b">
        <v>1</v>
      </c>
    </row>
    <row r="747" spans="1:9" x14ac:dyDescent="0.25">
      <c r="A747" s="12">
        <v>746</v>
      </c>
      <c r="B747" s="12" t="s">
        <v>2664</v>
      </c>
      <c r="C747" s="12" t="s">
        <v>2665</v>
      </c>
      <c r="D747" s="12" t="s">
        <v>10</v>
      </c>
      <c r="E747" s="12" t="s">
        <v>2666</v>
      </c>
      <c r="F747" s="12" t="s">
        <v>681</v>
      </c>
      <c r="G747" s="12" t="b">
        <v>0</v>
      </c>
      <c r="H747" s="12" t="b">
        <v>1</v>
      </c>
      <c r="I747" s="12" t="b">
        <v>1</v>
      </c>
    </row>
    <row r="748" spans="1:9" x14ac:dyDescent="0.25">
      <c r="A748" s="12">
        <v>747</v>
      </c>
      <c r="B748" s="12" t="s">
        <v>2667</v>
      </c>
      <c r="C748" s="12" t="s">
        <v>2668</v>
      </c>
      <c r="D748" s="12" t="s">
        <v>10</v>
      </c>
      <c r="E748" s="12" t="s">
        <v>2669</v>
      </c>
      <c r="F748" s="12" t="s">
        <v>495</v>
      </c>
      <c r="G748" s="12" t="b">
        <v>0</v>
      </c>
      <c r="H748" s="12" t="b">
        <v>0</v>
      </c>
      <c r="I748" s="12" t="b">
        <v>0</v>
      </c>
    </row>
    <row r="749" spans="1:9" x14ac:dyDescent="0.25">
      <c r="A749" s="12">
        <v>748</v>
      </c>
      <c r="B749" s="12" t="s">
        <v>2670</v>
      </c>
      <c r="C749" s="12" t="s">
        <v>2671</v>
      </c>
      <c r="D749" s="12" t="s">
        <v>10</v>
      </c>
      <c r="E749" s="12" t="s">
        <v>2672</v>
      </c>
      <c r="F749" s="12" t="s">
        <v>1090</v>
      </c>
      <c r="G749" s="12" t="b">
        <v>0</v>
      </c>
      <c r="H749" s="12" t="b">
        <v>0</v>
      </c>
      <c r="I749" s="12" t="b">
        <v>0</v>
      </c>
    </row>
    <row r="750" spans="1:9" x14ac:dyDescent="0.25">
      <c r="A750" s="12">
        <v>749</v>
      </c>
      <c r="B750" s="12" t="s">
        <v>2673</v>
      </c>
      <c r="C750" s="12" t="s">
        <v>2674</v>
      </c>
      <c r="D750" s="12" t="s">
        <v>45</v>
      </c>
      <c r="E750" s="12" t="s">
        <v>2675</v>
      </c>
      <c r="F750" s="12" t="s">
        <v>2676</v>
      </c>
      <c r="G750" s="12" t="b">
        <v>0</v>
      </c>
      <c r="H750" s="12" t="b">
        <v>0</v>
      </c>
      <c r="I750" s="12" t="b">
        <v>0</v>
      </c>
    </row>
    <row r="751" spans="1:9" x14ac:dyDescent="0.25">
      <c r="A751" s="12">
        <v>750</v>
      </c>
      <c r="B751" s="12" t="s">
        <v>2677</v>
      </c>
      <c r="C751" s="12" t="s">
        <v>2678</v>
      </c>
      <c r="D751" s="12" t="s">
        <v>14</v>
      </c>
      <c r="E751" s="12" t="s">
        <v>2679</v>
      </c>
      <c r="F751" s="12" t="s">
        <v>2680</v>
      </c>
      <c r="G751" s="12" t="b">
        <v>1</v>
      </c>
      <c r="H751" s="12" t="b">
        <v>1</v>
      </c>
      <c r="I751" s="12" t="b">
        <v>1</v>
      </c>
    </row>
    <row r="752" spans="1:9" x14ac:dyDescent="0.25">
      <c r="A752" s="12">
        <v>751</v>
      </c>
      <c r="B752" s="12" t="s">
        <v>2681</v>
      </c>
      <c r="C752" s="12" t="s">
        <v>2682</v>
      </c>
      <c r="D752" s="12" t="s">
        <v>14</v>
      </c>
      <c r="E752" s="12" t="s">
        <v>2683</v>
      </c>
      <c r="F752" s="12" t="s">
        <v>2684</v>
      </c>
      <c r="G752" s="12" t="b">
        <v>1</v>
      </c>
      <c r="H752" s="12" t="b">
        <v>0</v>
      </c>
      <c r="I752" s="12" t="b">
        <v>0</v>
      </c>
    </row>
    <row r="753" spans="1:9" x14ac:dyDescent="0.25">
      <c r="A753" s="12">
        <v>752</v>
      </c>
      <c r="B753" s="12" t="s">
        <v>2685</v>
      </c>
      <c r="C753" s="12" t="s">
        <v>2686</v>
      </c>
      <c r="D753" s="12" t="s">
        <v>14</v>
      </c>
      <c r="E753" s="12" t="s">
        <v>2687</v>
      </c>
      <c r="F753" s="12" t="s">
        <v>2688</v>
      </c>
      <c r="G753" s="12" t="b">
        <v>0</v>
      </c>
      <c r="H753" s="12" t="b">
        <v>1</v>
      </c>
      <c r="I753" s="12" t="b">
        <v>1</v>
      </c>
    </row>
    <row r="754" spans="1:9" x14ac:dyDescent="0.25">
      <c r="A754" s="12">
        <v>753</v>
      </c>
      <c r="B754" s="12" t="s">
        <v>2689</v>
      </c>
      <c r="C754" s="12" t="s">
        <v>2690</v>
      </c>
      <c r="D754" s="12" t="s">
        <v>45</v>
      </c>
      <c r="E754" s="12" t="s">
        <v>2691</v>
      </c>
      <c r="F754" s="12" t="s">
        <v>1344</v>
      </c>
      <c r="G754" s="12" t="b">
        <v>0</v>
      </c>
      <c r="H754" s="12" t="b">
        <v>0</v>
      </c>
      <c r="I754" s="12" t="b">
        <v>0</v>
      </c>
    </row>
    <row r="755" spans="1:9" x14ac:dyDescent="0.25">
      <c r="A755" s="12">
        <v>754</v>
      </c>
      <c r="B755" s="12" t="s">
        <v>2692</v>
      </c>
      <c r="C755" s="12" t="s">
        <v>2693</v>
      </c>
      <c r="D755" s="12" t="s">
        <v>14</v>
      </c>
      <c r="E755" s="12" t="s">
        <v>2694</v>
      </c>
      <c r="F755" s="12" t="s">
        <v>537</v>
      </c>
      <c r="G755" s="12" t="b">
        <v>0</v>
      </c>
      <c r="H755" s="12" t="b">
        <v>1</v>
      </c>
      <c r="I755" s="12" t="b">
        <v>1</v>
      </c>
    </row>
    <row r="756" spans="1:9" x14ac:dyDescent="0.25">
      <c r="A756" s="12">
        <v>755</v>
      </c>
      <c r="B756" s="12" t="s">
        <v>2695</v>
      </c>
      <c r="C756" s="12" t="s">
        <v>2696</v>
      </c>
      <c r="D756" s="12" t="s">
        <v>14</v>
      </c>
      <c r="E756" s="12" t="s">
        <v>2697</v>
      </c>
      <c r="F756" s="12" t="s">
        <v>1877</v>
      </c>
      <c r="G756" s="12" t="b">
        <v>1</v>
      </c>
      <c r="H756" s="12" t="b">
        <v>0</v>
      </c>
      <c r="I756" s="12" t="b">
        <v>0</v>
      </c>
    </row>
    <row r="757" spans="1:9" x14ac:dyDescent="0.25">
      <c r="A757" s="12">
        <v>756</v>
      </c>
      <c r="B757" s="12" t="s">
        <v>2698</v>
      </c>
      <c r="C757" s="12" t="s">
        <v>2699</v>
      </c>
      <c r="D757" s="12" t="s">
        <v>14</v>
      </c>
      <c r="E757" s="12" t="s">
        <v>2700</v>
      </c>
      <c r="F757" s="12" t="s">
        <v>2701</v>
      </c>
      <c r="G757" s="12" t="b">
        <v>0</v>
      </c>
      <c r="H757" s="12" t="b">
        <v>0</v>
      </c>
      <c r="I757" s="12" t="b">
        <v>0</v>
      </c>
    </row>
    <row r="758" spans="1:9" x14ac:dyDescent="0.25">
      <c r="A758" s="12">
        <v>757</v>
      </c>
      <c r="B758" s="12" t="s">
        <v>2702</v>
      </c>
      <c r="C758" s="12" t="s">
        <v>2703</v>
      </c>
      <c r="D758" s="12" t="s">
        <v>45</v>
      </c>
      <c r="E758" s="12" t="s">
        <v>2704</v>
      </c>
      <c r="F758" s="12" t="s">
        <v>1181</v>
      </c>
      <c r="G758" s="12" t="b">
        <v>0</v>
      </c>
      <c r="H758" s="12" t="b">
        <v>0</v>
      </c>
      <c r="I758" s="12" t="b">
        <v>0</v>
      </c>
    </row>
    <row r="759" spans="1:9" x14ac:dyDescent="0.25">
      <c r="A759" s="12">
        <v>758</v>
      </c>
      <c r="B759" s="12" t="s">
        <v>2705</v>
      </c>
      <c r="C759" s="12" t="s">
        <v>2706</v>
      </c>
      <c r="D759" s="12" t="s">
        <v>14</v>
      </c>
      <c r="E759" s="12" t="s">
        <v>2707</v>
      </c>
      <c r="F759" s="12" t="s">
        <v>2257</v>
      </c>
      <c r="G759" s="12" t="b">
        <v>1</v>
      </c>
      <c r="H759" s="12" t="b">
        <v>0</v>
      </c>
      <c r="I759" s="12" t="b">
        <v>0</v>
      </c>
    </row>
    <row r="760" spans="1:9" x14ac:dyDescent="0.25">
      <c r="A760" s="12">
        <v>759</v>
      </c>
      <c r="B760" s="12" t="s">
        <v>129</v>
      </c>
      <c r="C760" s="12" t="s">
        <v>2708</v>
      </c>
      <c r="D760" s="12" t="s">
        <v>45</v>
      </c>
      <c r="E760" s="12" t="s">
        <v>2709</v>
      </c>
      <c r="F760" s="12" t="s">
        <v>1913</v>
      </c>
      <c r="G760" s="12" t="b">
        <v>1</v>
      </c>
      <c r="H760" s="12" t="b">
        <v>0</v>
      </c>
      <c r="I760" s="12" t="b">
        <v>0</v>
      </c>
    </row>
    <row r="761" spans="1:9" x14ac:dyDescent="0.25">
      <c r="A761" s="12">
        <v>760</v>
      </c>
      <c r="B761" s="12" t="s">
        <v>2710</v>
      </c>
      <c r="C761" s="12" t="s">
        <v>2711</v>
      </c>
      <c r="D761" s="12" t="s">
        <v>10</v>
      </c>
      <c r="E761" s="12" t="s">
        <v>2712</v>
      </c>
      <c r="F761" s="12" t="s">
        <v>328</v>
      </c>
      <c r="G761" s="12" t="b">
        <v>1</v>
      </c>
      <c r="H761" s="12" t="b">
        <v>1</v>
      </c>
      <c r="I761" s="12" t="b">
        <v>1</v>
      </c>
    </row>
    <row r="762" spans="1:9" x14ac:dyDescent="0.25">
      <c r="A762" s="12">
        <v>761</v>
      </c>
      <c r="B762" s="12" t="s">
        <v>2713</v>
      </c>
      <c r="C762" s="12" t="s">
        <v>2714</v>
      </c>
      <c r="D762" s="12" t="s">
        <v>45</v>
      </c>
      <c r="E762" s="12" t="s">
        <v>2715</v>
      </c>
      <c r="F762" s="12" t="s">
        <v>2716</v>
      </c>
      <c r="G762" s="12" t="b">
        <v>0</v>
      </c>
      <c r="H762" s="12" t="b">
        <v>1</v>
      </c>
      <c r="I762" s="12" t="b">
        <v>1</v>
      </c>
    </row>
    <row r="763" spans="1:9" x14ac:dyDescent="0.25">
      <c r="A763" s="12">
        <v>762</v>
      </c>
      <c r="B763" s="12" t="s">
        <v>2717</v>
      </c>
      <c r="C763" s="12" t="s">
        <v>2718</v>
      </c>
      <c r="D763" s="12" t="s">
        <v>10</v>
      </c>
      <c r="E763" s="12" t="s">
        <v>2719</v>
      </c>
      <c r="F763" s="12" t="s">
        <v>414</v>
      </c>
      <c r="G763" s="12" t="b">
        <v>0</v>
      </c>
      <c r="H763" s="12" t="b">
        <v>0</v>
      </c>
      <c r="I763" s="12" t="b">
        <v>0</v>
      </c>
    </row>
    <row r="764" spans="1:9" x14ac:dyDescent="0.25">
      <c r="A764" s="12">
        <v>763</v>
      </c>
      <c r="B764" s="12" t="s">
        <v>2720</v>
      </c>
      <c r="C764" s="12" t="s">
        <v>2721</v>
      </c>
      <c r="D764" s="12" t="s">
        <v>14</v>
      </c>
      <c r="E764" s="12" t="s">
        <v>2722</v>
      </c>
      <c r="F764" s="12" t="s">
        <v>2723</v>
      </c>
      <c r="G764" s="12" t="b">
        <v>0</v>
      </c>
      <c r="H764" s="12" t="b">
        <v>1</v>
      </c>
      <c r="I764" s="12" t="b">
        <v>1</v>
      </c>
    </row>
    <row r="765" spans="1:9" x14ac:dyDescent="0.25">
      <c r="A765" s="12">
        <v>764</v>
      </c>
      <c r="B765" s="12" t="s">
        <v>2724</v>
      </c>
      <c r="C765" s="12" t="s">
        <v>2725</v>
      </c>
      <c r="D765" s="12" t="s">
        <v>14</v>
      </c>
      <c r="E765" s="12" t="s">
        <v>2726</v>
      </c>
      <c r="F765" s="12" t="s">
        <v>681</v>
      </c>
      <c r="G765" s="12" t="b">
        <v>0</v>
      </c>
      <c r="H765" s="12" t="b">
        <v>1</v>
      </c>
      <c r="I765" s="12" t="b">
        <v>1</v>
      </c>
    </row>
    <row r="766" spans="1:9" x14ac:dyDescent="0.25">
      <c r="A766" s="12">
        <v>765</v>
      </c>
      <c r="B766" s="12" t="s">
        <v>2727</v>
      </c>
      <c r="C766" s="12" t="s">
        <v>2728</v>
      </c>
      <c r="D766" s="12" t="s">
        <v>45</v>
      </c>
      <c r="E766" s="12" t="s">
        <v>2729</v>
      </c>
      <c r="F766" s="12" t="s">
        <v>2730</v>
      </c>
      <c r="G766" s="12" t="b">
        <v>0</v>
      </c>
      <c r="H766" s="12" t="b">
        <v>1</v>
      </c>
      <c r="I766" s="12" t="b">
        <v>1</v>
      </c>
    </row>
    <row r="767" spans="1:9" x14ac:dyDescent="0.25">
      <c r="A767" s="12">
        <v>766</v>
      </c>
      <c r="B767" s="12" t="s">
        <v>2731</v>
      </c>
      <c r="C767" s="12" t="s">
        <v>2732</v>
      </c>
      <c r="D767" s="12" t="s">
        <v>10</v>
      </c>
      <c r="E767" s="12" t="s">
        <v>2733</v>
      </c>
      <c r="F767" s="12" t="s">
        <v>1646</v>
      </c>
      <c r="G767" s="12" t="b">
        <v>0</v>
      </c>
      <c r="H767" s="12" t="b">
        <v>1</v>
      </c>
      <c r="I767" s="12" t="b">
        <v>1</v>
      </c>
    </row>
    <row r="768" spans="1:9" x14ac:dyDescent="0.25">
      <c r="A768" s="12">
        <v>767</v>
      </c>
      <c r="B768" s="12" t="s">
        <v>128</v>
      </c>
      <c r="C768" s="12" t="s">
        <v>2734</v>
      </c>
      <c r="D768" s="12" t="s">
        <v>14</v>
      </c>
      <c r="E768" s="12" t="s">
        <v>2735</v>
      </c>
      <c r="F768" s="12" t="s">
        <v>1432</v>
      </c>
      <c r="G768" s="12" t="b">
        <v>0</v>
      </c>
      <c r="H768" s="12" t="b">
        <v>0</v>
      </c>
      <c r="I768" s="12" t="b">
        <v>0</v>
      </c>
    </row>
    <row r="769" spans="1:9" x14ac:dyDescent="0.25">
      <c r="A769" s="12">
        <v>768</v>
      </c>
      <c r="B769" s="12" t="s">
        <v>2736</v>
      </c>
      <c r="C769" s="12" t="s">
        <v>2737</v>
      </c>
      <c r="D769" s="12" t="s">
        <v>45</v>
      </c>
      <c r="E769" s="12" t="s">
        <v>2738</v>
      </c>
      <c r="F769" s="12" t="s">
        <v>2739</v>
      </c>
      <c r="G769" s="12" t="b">
        <v>0</v>
      </c>
      <c r="H769" s="12" t="b">
        <v>0</v>
      </c>
      <c r="I769" s="12" t="b">
        <v>0</v>
      </c>
    </row>
    <row r="770" spans="1:9" x14ac:dyDescent="0.25">
      <c r="A770" s="12">
        <v>769</v>
      </c>
      <c r="B770" s="12" t="s">
        <v>2740</v>
      </c>
      <c r="C770" s="12" t="s">
        <v>2741</v>
      </c>
      <c r="D770" s="12" t="s">
        <v>14</v>
      </c>
      <c r="E770" s="12" t="s">
        <v>2742</v>
      </c>
      <c r="F770" s="12" t="s">
        <v>2739</v>
      </c>
      <c r="G770" s="12" t="b">
        <v>0</v>
      </c>
      <c r="H770" s="12" t="b">
        <v>0</v>
      </c>
      <c r="I770" s="12" t="b">
        <v>0</v>
      </c>
    </row>
    <row r="771" spans="1:9" x14ac:dyDescent="0.25">
      <c r="A771" s="12">
        <v>770</v>
      </c>
      <c r="B771" s="12" t="s">
        <v>2743</v>
      </c>
      <c r="C771" s="12" t="s">
        <v>2744</v>
      </c>
      <c r="D771" s="12" t="s">
        <v>45</v>
      </c>
      <c r="E771" s="12" t="s">
        <v>2745</v>
      </c>
      <c r="F771" s="12" t="s">
        <v>2746</v>
      </c>
      <c r="G771" s="12" t="b">
        <v>0</v>
      </c>
      <c r="H771" s="12" t="b">
        <v>0</v>
      </c>
      <c r="I771" s="12" t="b">
        <v>0</v>
      </c>
    </row>
    <row r="772" spans="1:9" x14ac:dyDescent="0.25">
      <c r="A772" s="12">
        <v>771</v>
      </c>
      <c r="B772" s="12" t="s">
        <v>2747</v>
      </c>
      <c r="C772" s="12" t="s">
        <v>2748</v>
      </c>
      <c r="D772" s="12" t="s">
        <v>10</v>
      </c>
      <c r="E772" s="12" t="s">
        <v>2749</v>
      </c>
      <c r="F772" s="12" t="s">
        <v>952</v>
      </c>
      <c r="G772" s="12" t="b">
        <v>0</v>
      </c>
      <c r="H772" s="12" t="b">
        <v>1</v>
      </c>
      <c r="I772" s="12" t="b">
        <v>1</v>
      </c>
    </row>
    <row r="773" spans="1:9" x14ac:dyDescent="0.25">
      <c r="A773" s="12">
        <v>772</v>
      </c>
      <c r="B773" s="12" t="s">
        <v>2750</v>
      </c>
      <c r="C773" s="12" t="s">
        <v>2751</v>
      </c>
      <c r="D773" s="12" t="s">
        <v>45</v>
      </c>
      <c r="E773" s="12" t="s">
        <v>1488</v>
      </c>
      <c r="F773" s="12" t="s">
        <v>1013</v>
      </c>
      <c r="G773" s="12" t="b">
        <v>1</v>
      </c>
      <c r="H773" s="12" t="b">
        <v>0</v>
      </c>
      <c r="I773" s="12" t="b">
        <v>0</v>
      </c>
    </row>
    <row r="774" spans="1:9" x14ac:dyDescent="0.25">
      <c r="A774" s="12">
        <v>773</v>
      </c>
      <c r="B774" s="12" t="s">
        <v>2752</v>
      </c>
      <c r="C774" s="12" t="s">
        <v>2753</v>
      </c>
      <c r="D774" s="12" t="s">
        <v>45</v>
      </c>
      <c r="E774" s="12" t="s">
        <v>2754</v>
      </c>
      <c r="F774" s="12" t="s">
        <v>1199</v>
      </c>
      <c r="G774" s="12" t="b">
        <v>0</v>
      </c>
      <c r="H774" s="12" t="b">
        <v>0</v>
      </c>
      <c r="I774" s="12" t="b">
        <v>0</v>
      </c>
    </row>
    <row r="775" spans="1:9" x14ac:dyDescent="0.25">
      <c r="A775" s="12">
        <v>774</v>
      </c>
      <c r="B775" s="12" t="s">
        <v>2755</v>
      </c>
      <c r="C775" s="12" t="s">
        <v>2756</v>
      </c>
      <c r="D775" s="12" t="s">
        <v>45</v>
      </c>
      <c r="E775" s="12" t="s">
        <v>2757</v>
      </c>
      <c r="F775" s="12" t="s">
        <v>426</v>
      </c>
      <c r="G775" s="12" t="b">
        <v>1</v>
      </c>
      <c r="H775" s="12" t="b">
        <v>1</v>
      </c>
      <c r="I775" s="12" t="b">
        <v>1</v>
      </c>
    </row>
    <row r="776" spans="1:9" x14ac:dyDescent="0.25">
      <c r="A776" s="12">
        <v>775</v>
      </c>
      <c r="B776" s="12" t="s">
        <v>2758</v>
      </c>
      <c r="C776" s="12" t="s">
        <v>2759</v>
      </c>
      <c r="D776" s="12" t="s">
        <v>14</v>
      </c>
      <c r="E776" s="12" t="s">
        <v>2760</v>
      </c>
      <c r="F776" s="12" t="s">
        <v>525</v>
      </c>
      <c r="G776" s="12" t="b">
        <v>0</v>
      </c>
      <c r="H776" s="12" t="b">
        <v>1</v>
      </c>
      <c r="I776" s="12" t="b">
        <v>1</v>
      </c>
    </row>
    <row r="777" spans="1:9" x14ac:dyDescent="0.25">
      <c r="A777" s="12">
        <v>776</v>
      </c>
      <c r="B777" s="12" t="s">
        <v>2761</v>
      </c>
      <c r="C777" s="12" t="s">
        <v>2762</v>
      </c>
      <c r="D777" s="12" t="s">
        <v>14</v>
      </c>
      <c r="E777" s="12" t="s">
        <v>2763</v>
      </c>
      <c r="F777" s="12" t="s">
        <v>2764</v>
      </c>
      <c r="G777" s="12" t="b">
        <v>1</v>
      </c>
      <c r="H777" s="12" t="b">
        <v>1</v>
      </c>
      <c r="I777" s="12" t="b">
        <v>1</v>
      </c>
    </row>
    <row r="778" spans="1:9" x14ac:dyDescent="0.25">
      <c r="A778" s="12">
        <v>777</v>
      </c>
      <c r="B778" s="12" t="s">
        <v>2765</v>
      </c>
      <c r="C778" s="12" t="s">
        <v>2766</v>
      </c>
      <c r="D778" s="12" t="s">
        <v>14</v>
      </c>
      <c r="E778" s="12" t="s">
        <v>2767</v>
      </c>
      <c r="F778" s="12" t="s">
        <v>702</v>
      </c>
      <c r="G778" s="12" t="b">
        <v>0</v>
      </c>
      <c r="H778" s="12" t="b">
        <v>0</v>
      </c>
      <c r="I778" s="12" t="b">
        <v>0</v>
      </c>
    </row>
    <row r="779" spans="1:9" x14ac:dyDescent="0.25">
      <c r="A779" s="12">
        <v>778</v>
      </c>
      <c r="B779" s="12" t="s">
        <v>2768</v>
      </c>
      <c r="C779" s="12" t="s">
        <v>2769</v>
      </c>
      <c r="D779" s="12" t="s">
        <v>45</v>
      </c>
      <c r="E779" s="12" t="s">
        <v>2770</v>
      </c>
      <c r="F779" s="12" t="s">
        <v>2771</v>
      </c>
      <c r="G779" s="12" t="b">
        <v>0</v>
      </c>
      <c r="H779" s="12" t="b">
        <v>1</v>
      </c>
      <c r="I779" s="12" t="b">
        <v>1</v>
      </c>
    </row>
    <row r="780" spans="1:9" x14ac:dyDescent="0.25">
      <c r="A780" s="12">
        <v>779</v>
      </c>
      <c r="B780" s="12" t="s">
        <v>2772</v>
      </c>
      <c r="C780" s="12" t="s">
        <v>2773</v>
      </c>
      <c r="D780" s="12" t="s">
        <v>14</v>
      </c>
      <c r="E780" s="12" t="s">
        <v>2774</v>
      </c>
      <c r="F780" s="12" t="s">
        <v>1036</v>
      </c>
      <c r="G780" s="12" t="b">
        <v>0</v>
      </c>
      <c r="H780" s="12" t="b">
        <v>0</v>
      </c>
      <c r="I780" s="12" t="b">
        <v>0</v>
      </c>
    </row>
    <row r="781" spans="1:9" x14ac:dyDescent="0.25">
      <c r="A781" s="12">
        <v>780</v>
      </c>
      <c r="B781" s="12" t="s">
        <v>2775</v>
      </c>
      <c r="C781" s="12" t="s">
        <v>2776</v>
      </c>
      <c r="D781" s="12" t="s">
        <v>45</v>
      </c>
      <c r="E781" s="12" t="s">
        <v>2777</v>
      </c>
      <c r="F781" s="12" t="s">
        <v>315</v>
      </c>
      <c r="G781" s="12" t="b">
        <v>0</v>
      </c>
      <c r="H781" s="12" t="b">
        <v>1</v>
      </c>
      <c r="I781" s="12" t="b">
        <v>1</v>
      </c>
    </row>
    <row r="782" spans="1:9" x14ac:dyDescent="0.25">
      <c r="A782" s="12">
        <v>781</v>
      </c>
      <c r="B782" s="12" t="s">
        <v>2778</v>
      </c>
      <c r="C782" s="12" t="s">
        <v>2779</v>
      </c>
      <c r="D782" s="12" t="s">
        <v>14</v>
      </c>
      <c r="E782" s="12" t="s">
        <v>2780</v>
      </c>
      <c r="F782" s="12" t="s">
        <v>2781</v>
      </c>
      <c r="G782" s="12" t="b">
        <v>0</v>
      </c>
      <c r="H782" s="12" t="b">
        <v>1</v>
      </c>
      <c r="I782" s="12" t="b">
        <v>1</v>
      </c>
    </row>
    <row r="783" spans="1:9" x14ac:dyDescent="0.25">
      <c r="A783" s="12">
        <v>782</v>
      </c>
      <c r="B783" s="12" t="s">
        <v>2782</v>
      </c>
      <c r="C783" s="12" t="s">
        <v>2783</v>
      </c>
      <c r="D783" s="12" t="s">
        <v>45</v>
      </c>
      <c r="E783" s="12" t="s">
        <v>2784</v>
      </c>
      <c r="F783" s="12" t="s">
        <v>2785</v>
      </c>
      <c r="G783" s="12" t="b">
        <v>0</v>
      </c>
      <c r="H783" s="12" t="b">
        <v>1</v>
      </c>
      <c r="I783" s="12" t="b">
        <v>1</v>
      </c>
    </row>
    <row r="784" spans="1:9" x14ac:dyDescent="0.25">
      <c r="A784" s="12">
        <v>783</v>
      </c>
      <c r="B784" s="12" t="s">
        <v>2786</v>
      </c>
      <c r="C784" s="12" t="s">
        <v>2787</v>
      </c>
      <c r="D784" s="12" t="s">
        <v>10</v>
      </c>
      <c r="E784" s="12" t="s">
        <v>2788</v>
      </c>
      <c r="F784" s="12" t="s">
        <v>1993</v>
      </c>
      <c r="G784" s="12" t="b">
        <v>0</v>
      </c>
      <c r="H784" s="12" t="b">
        <v>1</v>
      </c>
      <c r="I784" s="12" t="b">
        <v>1</v>
      </c>
    </row>
    <row r="785" spans="1:9" x14ac:dyDescent="0.25">
      <c r="A785" s="12">
        <v>784</v>
      </c>
      <c r="B785" s="12" t="s">
        <v>32</v>
      </c>
      <c r="C785" s="12" t="s">
        <v>2789</v>
      </c>
      <c r="D785" s="12" t="s">
        <v>14</v>
      </c>
      <c r="E785" s="12" t="s">
        <v>2790</v>
      </c>
      <c r="F785" s="12" t="s">
        <v>1307</v>
      </c>
      <c r="G785" s="12" t="b">
        <v>0</v>
      </c>
      <c r="H785" s="12" t="b">
        <v>1</v>
      </c>
      <c r="I785" s="12" t="b">
        <v>1</v>
      </c>
    </row>
    <row r="786" spans="1:9" x14ac:dyDescent="0.25">
      <c r="A786" s="12">
        <v>785</v>
      </c>
      <c r="B786" s="12" t="s">
        <v>2791</v>
      </c>
      <c r="C786" s="12" t="s">
        <v>2792</v>
      </c>
      <c r="D786" s="12" t="s">
        <v>14</v>
      </c>
      <c r="E786" s="12" t="s">
        <v>2793</v>
      </c>
      <c r="F786" s="12" t="s">
        <v>1122</v>
      </c>
      <c r="G786" s="12" t="b">
        <v>0</v>
      </c>
      <c r="H786" s="12" t="b">
        <v>1</v>
      </c>
      <c r="I786" s="12" t="b">
        <v>1</v>
      </c>
    </row>
    <row r="787" spans="1:9" x14ac:dyDescent="0.25">
      <c r="A787" s="12">
        <v>786</v>
      </c>
      <c r="B787" s="12" t="s">
        <v>2794</v>
      </c>
      <c r="C787" s="12" t="s">
        <v>2795</v>
      </c>
      <c r="D787" s="12" t="s">
        <v>14</v>
      </c>
      <c r="E787" s="12" t="s">
        <v>2796</v>
      </c>
      <c r="F787" s="12" t="s">
        <v>2797</v>
      </c>
      <c r="G787" s="12" t="b">
        <v>0</v>
      </c>
      <c r="H787" s="12" t="b">
        <v>1</v>
      </c>
      <c r="I787" s="12" t="b">
        <v>1</v>
      </c>
    </row>
    <row r="788" spans="1:9" x14ac:dyDescent="0.25">
      <c r="A788" s="12">
        <v>787</v>
      </c>
      <c r="B788" s="12" t="s">
        <v>2798</v>
      </c>
      <c r="C788" s="12" t="s">
        <v>2799</v>
      </c>
      <c r="D788" s="12" t="s">
        <v>14</v>
      </c>
      <c r="E788" s="12" t="s">
        <v>2800</v>
      </c>
      <c r="F788" s="12" t="s">
        <v>2801</v>
      </c>
      <c r="G788" s="12" t="b">
        <v>0</v>
      </c>
      <c r="H788" s="12" t="b">
        <v>1</v>
      </c>
      <c r="I788" s="12" t="b">
        <v>1</v>
      </c>
    </row>
    <row r="789" spans="1:9" x14ac:dyDescent="0.25">
      <c r="A789" s="12">
        <v>788</v>
      </c>
      <c r="B789" s="12" t="s">
        <v>2802</v>
      </c>
      <c r="C789" s="12" t="s">
        <v>2803</v>
      </c>
      <c r="D789" s="12" t="s">
        <v>14</v>
      </c>
      <c r="E789" s="12" t="s">
        <v>2804</v>
      </c>
      <c r="F789" s="12" t="s">
        <v>1379</v>
      </c>
      <c r="G789" s="12" t="b">
        <v>0</v>
      </c>
      <c r="H789" s="12" t="b">
        <v>0</v>
      </c>
      <c r="I789" s="12" t="b">
        <v>0</v>
      </c>
    </row>
    <row r="790" spans="1:9" x14ac:dyDescent="0.25">
      <c r="A790" s="12">
        <v>789</v>
      </c>
      <c r="B790" s="12" t="s">
        <v>2805</v>
      </c>
      <c r="C790" s="12" t="s">
        <v>2806</v>
      </c>
      <c r="D790" s="12" t="s">
        <v>14</v>
      </c>
      <c r="E790" s="12" t="s">
        <v>2807</v>
      </c>
      <c r="F790" s="12" t="s">
        <v>525</v>
      </c>
      <c r="G790" s="12" t="b">
        <v>0</v>
      </c>
      <c r="H790" s="12" t="b">
        <v>1</v>
      </c>
      <c r="I790" s="12" t="b">
        <v>1</v>
      </c>
    </row>
    <row r="791" spans="1:9" x14ac:dyDescent="0.25">
      <c r="A791" s="12">
        <v>790</v>
      </c>
      <c r="B791" s="12" t="s">
        <v>2808</v>
      </c>
      <c r="C791" s="12" t="s">
        <v>2809</v>
      </c>
      <c r="D791" s="12" t="s">
        <v>14</v>
      </c>
      <c r="E791" s="12" t="s">
        <v>2810</v>
      </c>
      <c r="F791" s="12" t="s">
        <v>292</v>
      </c>
      <c r="G791" s="12" t="b">
        <v>0</v>
      </c>
      <c r="H791" s="12" t="b">
        <v>1</v>
      </c>
      <c r="I791" s="12" t="b">
        <v>1</v>
      </c>
    </row>
    <row r="792" spans="1:9" x14ac:dyDescent="0.25">
      <c r="A792" s="12">
        <v>791</v>
      </c>
      <c r="B792" s="12" t="s">
        <v>2811</v>
      </c>
      <c r="C792" s="12" t="s">
        <v>2812</v>
      </c>
      <c r="D792" s="12" t="s">
        <v>14</v>
      </c>
      <c r="E792" s="12" t="s">
        <v>2813</v>
      </c>
      <c r="F792" s="12" t="s">
        <v>1069</v>
      </c>
      <c r="G792" s="12" t="b">
        <v>0</v>
      </c>
      <c r="H792" s="12" t="b">
        <v>1</v>
      </c>
      <c r="I792" s="12" t="b">
        <v>1</v>
      </c>
    </row>
    <row r="793" spans="1:9" x14ac:dyDescent="0.25">
      <c r="A793" s="12">
        <v>792</v>
      </c>
      <c r="B793" s="12" t="s">
        <v>2814</v>
      </c>
      <c r="C793" s="12" t="s">
        <v>2815</v>
      </c>
      <c r="D793" s="12" t="s">
        <v>14</v>
      </c>
      <c r="E793" s="12" t="s">
        <v>2816</v>
      </c>
      <c r="F793" s="12" t="s">
        <v>2817</v>
      </c>
      <c r="G793" s="12" t="b">
        <v>0</v>
      </c>
      <c r="H793" s="12" t="b">
        <v>1</v>
      </c>
      <c r="I793" s="12" t="b">
        <v>1</v>
      </c>
    </row>
    <row r="794" spans="1:9" x14ac:dyDescent="0.25">
      <c r="A794" s="12">
        <v>793</v>
      </c>
      <c r="B794" s="12" t="s">
        <v>2818</v>
      </c>
      <c r="C794" s="12" t="s">
        <v>2819</v>
      </c>
      <c r="D794" s="12" t="s">
        <v>45</v>
      </c>
      <c r="E794" s="12" t="s">
        <v>2820</v>
      </c>
      <c r="F794" s="12" t="s">
        <v>537</v>
      </c>
      <c r="G794" s="12" t="b">
        <v>0</v>
      </c>
      <c r="H794" s="12" t="b">
        <v>1</v>
      </c>
      <c r="I794" s="12" t="b">
        <v>1</v>
      </c>
    </row>
    <row r="795" spans="1:9" x14ac:dyDescent="0.25">
      <c r="A795" s="12">
        <v>794</v>
      </c>
      <c r="B795" s="12" t="s">
        <v>2821</v>
      </c>
      <c r="C795" s="12" t="s">
        <v>2822</v>
      </c>
      <c r="D795" s="12" t="s">
        <v>14</v>
      </c>
      <c r="E795" s="12" t="s">
        <v>2823</v>
      </c>
      <c r="F795" s="12" t="s">
        <v>1072</v>
      </c>
      <c r="G795" s="12" t="b">
        <v>0</v>
      </c>
      <c r="H795" s="12" t="b">
        <v>0</v>
      </c>
      <c r="I795" s="12" t="b">
        <v>0</v>
      </c>
    </row>
    <row r="796" spans="1:9" x14ac:dyDescent="0.25">
      <c r="A796" s="12">
        <v>795</v>
      </c>
      <c r="B796" s="12" t="s">
        <v>2824</v>
      </c>
      <c r="C796" s="12" t="s">
        <v>2825</v>
      </c>
      <c r="D796" s="12" t="s">
        <v>14</v>
      </c>
      <c r="E796" s="12" t="s">
        <v>2826</v>
      </c>
      <c r="F796" s="12" t="s">
        <v>404</v>
      </c>
      <c r="G796" s="12" t="b">
        <v>0</v>
      </c>
      <c r="H796" s="12" t="b">
        <v>1</v>
      </c>
      <c r="I796" s="12" t="b">
        <v>1</v>
      </c>
    </row>
    <row r="797" spans="1:9" x14ac:dyDescent="0.25">
      <c r="A797" s="12">
        <v>796</v>
      </c>
      <c r="B797" s="12" t="s">
        <v>2827</v>
      </c>
      <c r="C797" s="12" t="s">
        <v>2828</v>
      </c>
      <c r="D797" s="12" t="s">
        <v>10</v>
      </c>
      <c r="E797" s="12" t="s">
        <v>2829</v>
      </c>
      <c r="F797" s="12" t="s">
        <v>1760</v>
      </c>
      <c r="G797" s="12" t="b">
        <v>0</v>
      </c>
      <c r="H797" s="12" t="b">
        <v>1</v>
      </c>
      <c r="I797" s="12" t="b">
        <v>1</v>
      </c>
    </row>
    <row r="798" spans="1:9" x14ac:dyDescent="0.25">
      <c r="A798" s="12">
        <v>797</v>
      </c>
      <c r="B798" s="12" t="s">
        <v>2830</v>
      </c>
      <c r="C798" s="12" t="s">
        <v>2831</v>
      </c>
      <c r="D798" s="12" t="s">
        <v>14</v>
      </c>
      <c r="E798" s="12" t="s">
        <v>2832</v>
      </c>
      <c r="F798" s="12" t="s">
        <v>2833</v>
      </c>
      <c r="G798" s="12" t="b">
        <v>0</v>
      </c>
      <c r="H798" s="12" t="b">
        <v>1</v>
      </c>
      <c r="I798" s="12" t="b">
        <v>1</v>
      </c>
    </row>
    <row r="799" spans="1:9" x14ac:dyDescent="0.25">
      <c r="A799" s="12">
        <v>798</v>
      </c>
      <c r="B799" s="12" t="s">
        <v>2834</v>
      </c>
      <c r="C799" s="12" t="s">
        <v>2835</v>
      </c>
      <c r="D799" s="12" t="s">
        <v>45</v>
      </c>
      <c r="E799" s="12" t="s">
        <v>2836</v>
      </c>
      <c r="F799" s="12" t="s">
        <v>1055</v>
      </c>
      <c r="G799" s="12" t="b">
        <v>0</v>
      </c>
      <c r="H799" s="12" t="b">
        <v>1</v>
      </c>
      <c r="I799" s="12" t="b">
        <v>1</v>
      </c>
    </row>
    <row r="800" spans="1:9" x14ac:dyDescent="0.25">
      <c r="A800" s="12">
        <v>799</v>
      </c>
      <c r="B800" s="12" t="s">
        <v>2837</v>
      </c>
      <c r="C800" s="12" t="s">
        <v>2838</v>
      </c>
      <c r="D800" s="12" t="s">
        <v>14</v>
      </c>
      <c r="E800" s="12" t="s">
        <v>2839</v>
      </c>
      <c r="F800" s="12" t="s">
        <v>292</v>
      </c>
      <c r="G800" s="12" t="b">
        <v>0</v>
      </c>
      <c r="H800" s="12" t="b">
        <v>1</v>
      </c>
      <c r="I800" s="12" t="b">
        <v>1</v>
      </c>
    </row>
    <row r="801" spans="1:9" x14ac:dyDescent="0.25">
      <c r="A801" s="12">
        <v>800</v>
      </c>
      <c r="B801" s="12" t="s">
        <v>2840</v>
      </c>
      <c r="C801" s="12" t="s">
        <v>2841</v>
      </c>
      <c r="D801" s="12" t="s">
        <v>10</v>
      </c>
      <c r="E801" s="12" t="s">
        <v>2842</v>
      </c>
      <c r="F801" s="12" t="s">
        <v>2843</v>
      </c>
      <c r="G801" s="12" t="b">
        <v>1</v>
      </c>
      <c r="H801" s="12" t="b">
        <v>0</v>
      </c>
      <c r="I801" s="12" t="b">
        <v>0</v>
      </c>
    </row>
    <row r="802" spans="1:9" x14ac:dyDescent="0.25">
      <c r="A802" s="12">
        <v>801</v>
      </c>
      <c r="B802" s="12" t="s">
        <v>2844</v>
      </c>
      <c r="C802" s="12" t="s">
        <v>2845</v>
      </c>
      <c r="D802" s="12" t="s">
        <v>45</v>
      </c>
      <c r="E802" s="12" t="s">
        <v>2846</v>
      </c>
      <c r="F802" s="12" t="s">
        <v>681</v>
      </c>
      <c r="G802" s="12" t="b">
        <v>0</v>
      </c>
      <c r="H802" s="12" t="b">
        <v>0</v>
      </c>
      <c r="I802" s="12" t="b">
        <v>0</v>
      </c>
    </row>
    <row r="803" spans="1:9" x14ac:dyDescent="0.25">
      <c r="A803" s="12">
        <v>802</v>
      </c>
      <c r="B803" s="12" t="s">
        <v>2847</v>
      </c>
      <c r="C803" s="12" t="s">
        <v>2848</v>
      </c>
      <c r="D803" s="12" t="s">
        <v>14</v>
      </c>
      <c r="E803" s="12" t="s">
        <v>2849</v>
      </c>
      <c r="F803" s="12" t="s">
        <v>957</v>
      </c>
      <c r="G803" s="12" t="b">
        <v>0</v>
      </c>
      <c r="H803" s="12" t="b">
        <v>1</v>
      </c>
      <c r="I803" s="12" t="b">
        <v>1</v>
      </c>
    </row>
    <row r="804" spans="1:9" x14ac:dyDescent="0.25">
      <c r="A804" s="12">
        <v>803</v>
      </c>
      <c r="B804" s="12" t="s">
        <v>2850</v>
      </c>
      <c r="C804" s="12" t="s">
        <v>2851</v>
      </c>
      <c r="D804" s="12" t="s">
        <v>45</v>
      </c>
      <c r="E804" s="12" t="s">
        <v>2852</v>
      </c>
      <c r="F804" s="12" t="s">
        <v>2853</v>
      </c>
      <c r="G804" s="12" t="b">
        <v>0</v>
      </c>
      <c r="H804" s="12" t="b">
        <v>1</v>
      </c>
      <c r="I804" s="12" t="b">
        <v>1</v>
      </c>
    </row>
    <row r="805" spans="1:9" x14ac:dyDescent="0.25">
      <c r="A805" s="12">
        <v>804</v>
      </c>
      <c r="B805" s="12" t="s">
        <v>2854</v>
      </c>
      <c r="C805" s="12" t="s">
        <v>2855</v>
      </c>
      <c r="D805" s="12" t="s">
        <v>10</v>
      </c>
      <c r="E805" s="12" t="s">
        <v>2856</v>
      </c>
      <c r="F805" s="12" t="s">
        <v>1090</v>
      </c>
      <c r="G805" s="12" t="b">
        <v>0</v>
      </c>
      <c r="H805" s="12" t="b">
        <v>1</v>
      </c>
      <c r="I805" s="12" t="b">
        <v>1</v>
      </c>
    </row>
    <row r="806" spans="1:9" x14ac:dyDescent="0.25">
      <c r="A806" s="12">
        <v>805</v>
      </c>
      <c r="B806" s="12" t="s">
        <v>2857</v>
      </c>
      <c r="C806" s="12" t="s">
        <v>2858</v>
      </c>
      <c r="D806" s="12" t="s">
        <v>45</v>
      </c>
      <c r="E806" s="12" t="s">
        <v>2859</v>
      </c>
      <c r="F806" s="12" t="s">
        <v>2860</v>
      </c>
      <c r="G806" s="12" t="b">
        <v>0</v>
      </c>
      <c r="H806" s="12" t="b">
        <v>0</v>
      </c>
      <c r="I806" s="12" t="b">
        <v>0</v>
      </c>
    </row>
    <row r="807" spans="1:9" x14ac:dyDescent="0.25">
      <c r="A807" s="12">
        <v>806</v>
      </c>
      <c r="B807" s="12" t="s">
        <v>2861</v>
      </c>
      <c r="C807" s="12" t="s">
        <v>2862</v>
      </c>
      <c r="D807" s="12" t="s">
        <v>10</v>
      </c>
      <c r="E807" s="12" t="s">
        <v>2863</v>
      </c>
      <c r="F807" s="12" t="s">
        <v>1072</v>
      </c>
      <c r="G807" s="12" t="b">
        <v>0</v>
      </c>
      <c r="H807" s="12" t="b">
        <v>1</v>
      </c>
      <c r="I807" s="12" t="b">
        <v>1</v>
      </c>
    </row>
    <row r="808" spans="1:9" x14ac:dyDescent="0.25">
      <c r="A808" s="12">
        <v>807</v>
      </c>
      <c r="B808" s="12" t="s">
        <v>2864</v>
      </c>
      <c r="C808" s="12" t="s">
        <v>2865</v>
      </c>
      <c r="D808" s="12" t="s">
        <v>14</v>
      </c>
      <c r="E808" s="12" t="s">
        <v>2866</v>
      </c>
      <c r="F808" s="12" t="s">
        <v>2867</v>
      </c>
      <c r="G808" s="12" t="b">
        <v>0</v>
      </c>
      <c r="H808" s="12" t="b">
        <v>1</v>
      </c>
      <c r="I808" s="12" t="b">
        <v>1</v>
      </c>
    </row>
    <row r="809" spans="1:9" x14ac:dyDescent="0.25">
      <c r="A809" s="12">
        <v>808</v>
      </c>
      <c r="B809" s="12" t="s">
        <v>2868</v>
      </c>
      <c r="C809" s="12" t="s">
        <v>2869</v>
      </c>
      <c r="D809" s="12" t="s">
        <v>14</v>
      </c>
      <c r="E809" s="12" t="s">
        <v>2870</v>
      </c>
      <c r="F809" s="12" t="s">
        <v>2871</v>
      </c>
      <c r="G809" s="12" t="b">
        <v>0</v>
      </c>
      <c r="H809" s="12" t="b">
        <v>0</v>
      </c>
      <c r="I809" s="12" t="b">
        <v>0</v>
      </c>
    </row>
    <row r="810" spans="1:9" x14ac:dyDescent="0.25">
      <c r="A810" s="12">
        <v>809</v>
      </c>
      <c r="B810" s="12" t="s">
        <v>2872</v>
      </c>
      <c r="C810" s="12" t="s">
        <v>2873</v>
      </c>
      <c r="D810" s="12" t="s">
        <v>14</v>
      </c>
      <c r="E810" s="12" t="s">
        <v>2874</v>
      </c>
      <c r="F810" s="12" t="s">
        <v>2875</v>
      </c>
      <c r="G810" s="12" t="b">
        <v>0</v>
      </c>
      <c r="H810" s="12" t="b">
        <v>0</v>
      </c>
      <c r="I810" s="12" t="b">
        <v>0</v>
      </c>
    </row>
    <row r="811" spans="1:9" x14ac:dyDescent="0.25">
      <c r="A811" s="12">
        <v>810</v>
      </c>
      <c r="B811" s="12" t="s">
        <v>2876</v>
      </c>
      <c r="C811" s="12" t="s">
        <v>2877</v>
      </c>
      <c r="D811" s="12" t="s">
        <v>45</v>
      </c>
      <c r="E811" s="12" t="s">
        <v>2878</v>
      </c>
      <c r="F811" s="12" t="s">
        <v>2879</v>
      </c>
      <c r="G811" s="12" t="b">
        <v>0</v>
      </c>
      <c r="H811" s="12" t="b">
        <v>1</v>
      </c>
      <c r="I811" s="12" t="b">
        <v>1</v>
      </c>
    </row>
    <row r="812" spans="1:9" x14ac:dyDescent="0.25">
      <c r="A812" s="12">
        <v>811</v>
      </c>
      <c r="B812" s="12" t="s">
        <v>2880</v>
      </c>
      <c r="C812" s="12" t="s">
        <v>2881</v>
      </c>
      <c r="D812" s="12" t="s">
        <v>14</v>
      </c>
      <c r="E812" s="12" t="s">
        <v>2882</v>
      </c>
      <c r="F812" s="12" t="s">
        <v>2883</v>
      </c>
      <c r="G812" s="12" t="b">
        <v>0</v>
      </c>
      <c r="H812" s="12" t="b">
        <v>1</v>
      </c>
      <c r="I812" s="12" t="b">
        <v>1</v>
      </c>
    </row>
    <row r="813" spans="1:9" x14ac:dyDescent="0.25">
      <c r="A813" s="12">
        <v>812</v>
      </c>
      <c r="B813" s="12" t="s">
        <v>2884</v>
      </c>
      <c r="C813" s="12" t="s">
        <v>2885</v>
      </c>
      <c r="D813" s="12" t="s">
        <v>10</v>
      </c>
      <c r="E813" s="12" t="s">
        <v>2886</v>
      </c>
      <c r="F813" s="12" t="s">
        <v>1354</v>
      </c>
      <c r="G813" s="12" t="b">
        <v>0</v>
      </c>
      <c r="H813" s="12" t="b">
        <v>0</v>
      </c>
      <c r="I813" s="12" t="b">
        <v>0</v>
      </c>
    </row>
    <row r="814" spans="1:9" x14ac:dyDescent="0.25">
      <c r="A814" s="12">
        <v>813</v>
      </c>
      <c r="B814" s="12" t="s">
        <v>2887</v>
      </c>
      <c r="C814" s="12" t="s">
        <v>2888</v>
      </c>
      <c r="D814" s="12" t="s">
        <v>14</v>
      </c>
      <c r="E814" s="12" t="s">
        <v>2889</v>
      </c>
      <c r="F814" s="12" t="s">
        <v>681</v>
      </c>
      <c r="G814" s="12" t="b">
        <v>0</v>
      </c>
      <c r="H814" s="12" t="b">
        <v>1</v>
      </c>
      <c r="I814" s="12" t="b">
        <v>1</v>
      </c>
    </row>
    <row r="815" spans="1:9" x14ac:dyDescent="0.25">
      <c r="A815" s="12">
        <v>814</v>
      </c>
      <c r="B815" s="12" t="s">
        <v>2890</v>
      </c>
      <c r="C815" s="12" t="s">
        <v>2891</v>
      </c>
      <c r="D815" s="12" t="s">
        <v>14</v>
      </c>
      <c r="E815" s="12" t="s">
        <v>2892</v>
      </c>
      <c r="F815" s="12" t="s">
        <v>658</v>
      </c>
      <c r="G815" s="12" t="b">
        <v>0</v>
      </c>
      <c r="H815" s="12" t="b">
        <v>1</v>
      </c>
      <c r="I815" s="12" t="b">
        <v>1</v>
      </c>
    </row>
    <row r="816" spans="1:9" x14ac:dyDescent="0.25">
      <c r="A816" s="12">
        <v>815</v>
      </c>
      <c r="B816" s="12" t="s">
        <v>2893</v>
      </c>
      <c r="C816" s="12" t="s">
        <v>2894</v>
      </c>
      <c r="D816" s="12" t="s">
        <v>45</v>
      </c>
      <c r="E816" s="12" t="s">
        <v>2895</v>
      </c>
      <c r="F816" s="12" t="s">
        <v>2896</v>
      </c>
      <c r="G816" s="12" t="b">
        <v>0</v>
      </c>
      <c r="H816" s="12" t="b">
        <v>1</v>
      </c>
      <c r="I816" s="12" t="b">
        <v>1</v>
      </c>
    </row>
    <row r="817" spans="1:9" x14ac:dyDescent="0.25">
      <c r="A817" s="12">
        <v>816</v>
      </c>
      <c r="B817" s="12" t="s">
        <v>2897</v>
      </c>
      <c r="C817" s="12" t="s">
        <v>2898</v>
      </c>
      <c r="D817" s="12" t="s">
        <v>14</v>
      </c>
      <c r="E817" s="12" t="s">
        <v>2899</v>
      </c>
      <c r="F817" s="12" t="s">
        <v>604</v>
      </c>
      <c r="G817" s="12" t="b">
        <v>0</v>
      </c>
      <c r="H817" s="12" t="b">
        <v>1</v>
      </c>
      <c r="I817" s="12" t="b">
        <v>1</v>
      </c>
    </row>
    <row r="818" spans="1:9" x14ac:dyDescent="0.25">
      <c r="A818" s="12">
        <v>817</v>
      </c>
      <c r="B818" s="12" t="s">
        <v>2900</v>
      </c>
      <c r="C818" s="12" t="s">
        <v>2901</v>
      </c>
      <c r="D818" s="12" t="s">
        <v>14</v>
      </c>
      <c r="E818" s="12" t="s">
        <v>2902</v>
      </c>
      <c r="F818" s="12" t="s">
        <v>745</v>
      </c>
      <c r="G818" s="12" t="b">
        <v>0</v>
      </c>
      <c r="H818" s="12" t="b">
        <v>0</v>
      </c>
      <c r="I818" s="12" t="b">
        <v>0</v>
      </c>
    </row>
    <row r="819" spans="1:9" x14ac:dyDescent="0.25">
      <c r="A819" s="12">
        <v>818</v>
      </c>
      <c r="B819" s="12" t="s">
        <v>2903</v>
      </c>
      <c r="C819" s="12" t="s">
        <v>2904</v>
      </c>
      <c r="D819" s="12" t="s">
        <v>45</v>
      </c>
      <c r="E819" s="12" t="s">
        <v>2905</v>
      </c>
      <c r="F819" s="12" t="s">
        <v>292</v>
      </c>
      <c r="G819" s="12" t="b">
        <v>0</v>
      </c>
      <c r="H819" s="12" t="b">
        <v>0</v>
      </c>
      <c r="I819" s="12" t="b">
        <v>0</v>
      </c>
    </row>
    <row r="820" spans="1:9" x14ac:dyDescent="0.25">
      <c r="A820" s="12">
        <v>819</v>
      </c>
      <c r="B820" s="12" t="s">
        <v>2906</v>
      </c>
      <c r="C820" s="12" t="s">
        <v>2907</v>
      </c>
      <c r="D820" s="12" t="s">
        <v>10</v>
      </c>
      <c r="E820" s="12" t="s">
        <v>2908</v>
      </c>
      <c r="F820" s="12" t="s">
        <v>1240</v>
      </c>
      <c r="G820" s="12" t="b">
        <v>0</v>
      </c>
      <c r="H820" s="12" t="b">
        <v>1</v>
      </c>
      <c r="I820" s="12" t="b">
        <v>1</v>
      </c>
    </row>
    <row r="821" spans="1:9" x14ac:dyDescent="0.25">
      <c r="A821" s="12">
        <v>820</v>
      </c>
      <c r="B821" s="12" t="s">
        <v>2909</v>
      </c>
      <c r="C821" s="12" t="s">
        <v>2910</v>
      </c>
      <c r="D821" s="12" t="s">
        <v>14</v>
      </c>
      <c r="E821" s="12" t="s">
        <v>2911</v>
      </c>
      <c r="F821" s="12" t="s">
        <v>1357</v>
      </c>
      <c r="G821" s="12" t="b">
        <v>0</v>
      </c>
      <c r="H821" s="12" t="b">
        <v>1</v>
      </c>
      <c r="I821" s="12" t="b">
        <v>1</v>
      </c>
    </row>
    <row r="822" spans="1:9" x14ac:dyDescent="0.25">
      <c r="A822" s="12">
        <v>821</v>
      </c>
      <c r="B822" s="12" t="s">
        <v>2912</v>
      </c>
      <c r="C822" s="12" t="s">
        <v>2913</v>
      </c>
      <c r="D822" s="12" t="s">
        <v>10</v>
      </c>
      <c r="E822" s="12" t="s">
        <v>2914</v>
      </c>
      <c r="F822" s="12" t="s">
        <v>2875</v>
      </c>
      <c r="G822" s="12" t="b">
        <v>0</v>
      </c>
      <c r="H822" s="12" t="b">
        <v>1</v>
      </c>
      <c r="I822" s="12" t="b">
        <v>1</v>
      </c>
    </row>
    <row r="823" spans="1:9" x14ac:dyDescent="0.25">
      <c r="A823" s="12">
        <v>822</v>
      </c>
      <c r="B823" s="12" t="s">
        <v>2915</v>
      </c>
      <c r="C823" s="12" t="s">
        <v>2916</v>
      </c>
      <c r="D823" s="12" t="s">
        <v>14</v>
      </c>
      <c r="E823" s="12" t="s">
        <v>2917</v>
      </c>
      <c r="F823" s="12" t="s">
        <v>328</v>
      </c>
      <c r="G823" s="12" t="b">
        <v>0</v>
      </c>
      <c r="H823" s="12" t="b">
        <v>0</v>
      </c>
      <c r="I823" s="12" t="b">
        <v>0</v>
      </c>
    </row>
    <row r="824" spans="1:9" x14ac:dyDescent="0.25">
      <c r="A824" s="12">
        <v>823</v>
      </c>
      <c r="B824" s="12" t="s">
        <v>2918</v>
      </c>
      <c r="C824" s="12" t="s">
        <v>2919</v>
      </c>
      <c r="D824" s="12" t="s">
        <v>14</v>
      </c>
      <c r="E824" s="12" t="s">
        <v>2920</v>
      </c>
      <c r="F824" s="12" t="s">
        <v>2649</v>
      </c>
      <c r="G824" s="12" t="b">
        <v>0</v>
      </c>
      <c r="H824" s="12" t="b">
        <v>1</v>
      </c>
      <c r="I824" s="12" t="b">
        <v>1</v>
      </c>
    </row>
    <row r="825" spans="1:9" x14ac:dyDescent="0.25">
      <c r="A825" s="12">
        <v>824</v>
      </c>
      <c r="B825" s="12" t="s">
        <v>2921</v>
      </c>
      <c r="C825" s="12" t="s">
        <v>2922</v>
      </c>
      <c r="D825" s="12" t="s">
        <v>10</v>
      </c>
      <c r="E825" s="12" t="s">
        <v>2923</v>
      </c>
      <c r="F825" s="12" t="s">
        <v>316</v>
      </c>
      <c r="G825" s="12" t="b">
        <v>0</v>
      </c>
      <c r="H825" s="12" t="b">
        <v>0</v>
      </c>
      <c r="I825" s="12" t="b">
        <v>0</v>
      </c>
    </row>
    <row r="826" spans="1:9" x14ac:dyDescent="0.25">
      <c r="A826" s="12">
        <v>825</v>
      </c>
      <c r="B826" s="12" t="s">
        <v>2924</v>
      </c>
      <c r="C826" s="12" t="s">
        <v>2925</v>
      </c>
      <c r="D826" s="12" t="s">
        <v>14</v>
      </c>
      <c r="E826" s="12" t="s">
        <v>2926</v>
      </c>
      <c r="F826" s="12" t="s">
        <v>1116</v>
      </c>
      <c r="G826" s="12" t="b">
        <v>0</v>
      </c>
      <c r="H826" s="12" t="b">
        <v>0</v>
      </c>
      <c r="I826" s="12" t="b">
        <v>0</v>
      </c>
    </row>
    <row r="827" spans="1:9" x14ac:dyDescent="0.25">
      <c r="A827" s="12">
        <v>826</v>
      </c>
      <c r="B827" s="12" t="s">
        <v>2927</v>
      </c>
      <c r="C827" s="12" t="s">
        <v>2928</v>
      </c>
      <c r="D827" s="12" t="s">
        <v>14</v>
      </c>
      <c r="E827" s="12" t="s">
        <v>2929</v>
      </c>
      <c r="F827" s="12" t="s">
        <v>2242</v>
      </c>
      <c r="G827" s="12" t="b">
        <v>0</v>
      </c>
      <c r="H827" s="12" t="b">
        <v>1</v>
      </c>
      <c r="I827" s="12" t="b">
        <v>1</v>
      </c>
    </row>
    <row r="828" spans="1:9" x14ac:dyDescent="0.25">
      <c r="A828" s="12">
        <v>827</v>
      </c>
      <c r="B828" s="12" t="s">
        <v>2930</v>
      </c>
      <c r="C828" s="12" t="s">
        <v>2931</v>
      </c>
      <c r="D828" s="12" t="s">
        <v>45</v>
      </c>
      <c r="E828" s="12" t="s">
        <v>2932</v>
      </c>
      <c r="F828" s="12" t="s">
        <v>720</v>
      </c>
      <c r="G828" s="12" t="b">
        <v>0</v>
      </c>
      <c r="H828" s="12" t="b">
        <v>1</v>
      </c>
      <c r="I828" s="12" t="b">
        <v>1</v>
      </c>
    </row>
    <row r="829" spans="1:9" x14ac:dyDescent="0.25">
      <c r="A829" s="12">
        <v>828</v>
      </c>
      <c r="B829" s="12" t="s">
        <v>164</v>
      </c>
      <c r="C829" s="12" t="s">
        <v>2933</v>
      </c>
      <c r="D829" s="12" t="s">
        <v>45</v>
      </c>
      <c r="E829" s="12" t="s">
        <v>2934</v>
      </c>
      <c r="F829" s="12" t="s">
        <v>2935</v>
      </c>
      <c r="G829" s="12" t="b">
        <v>0</v>
      </c>
      <c r="H829" s="12" t="b">
        <v>0</v>
      </c>
      <c r="I829" s="12" t="b">
        <v>0</v>
      </c>
    </row>
    <row r="830" spans="1:9" x14ac:dyDescent="0.25">
      <c r="A830" s="12">
        <v>829</v>
      </c>
      <c r="B830" s="12" t="s">
        <v>2936</v>
      </c>
      <c r="C830" s="12" t="s">
        <v>2937</v>
      </c>
      <c r="D830" s="12" t="s">
        <v>45</v>
      </c>
      <c r="E830" s="12" t="s">
        <v>2938</v>
      </c>
      <c r="F830" s="12" t="s">
        <v>2939</v>
      </c>
      <c r="G830" s="12" t="b">
        <v>0</v>
      </c>
      <c r="H830" s="12" t="b">
        <v>1</v>
      </c>
      <c r="I830" s="12" t="b">
        <v>1</v>
      </c>
    </row>
    <row r="831" spans="1:9" x14ac:dyDescent="0.25">
      <c r="A831" s="12">
        <v>830</v>
      </c>
      <c r="B831" s="12" t="s">
        <v>2940</v>
      </c>
      <c r="C831" s="12" t="s">
        <v>2941</v>
      </c>
      <c r="D831" s="12" t="s">
        <v>10</v>
      </c>
      <c r="E831" s="12" t="s">
        <v>2942</v>
      </c>
      <c r="F831" s="12" t="s">
        <v>316</v>
      </c>
      <c r="G831" s="12" t="b">
        <v>0</v>
      </c>
      <c r="H831" s="12" t="b">
        <v>1</v>
      </c>
      <c r="I831" s="12" t="b">
        <v>1</v>
      </c>
    </row>
    <row r="832" spans="1:9" x14ac:dyDescent="0.25">
      <c r="A832" s="12">
        <v>831</v>
      </c>
      <c r="B832" s="12" t="s">
        <v>2943</v>
      </c>
      <c r="C832" s="12" t="s">
        <v>2944</v>
      </c>
      <c r="D832" s="12" t="s">
        <v>14</v>
      </c>
      <c r="E832" s="12" t="s">
        <v>2945</v>
      </c>
      <c r="F832" s="12" t="s">
        <v>316</v>
      </c>
      <c r="G832" s="12" t="b">
        <v>0</v>
      </c>
      <c r="H832" s="12" t="b">
        <v>0</v>
      </c>
      <c r="I832" s="12" t="b">
        <v>0</v>
      </c>
    </row>
    <row r="833" spans="1:9" x14ac:dyDescent="0.25">
      <c r="A833" s="12">
        <v>832</v>
      </c>
      <c r="B833" s="12" t="s">
        <v>2946</v>
      </c>
      <c r="C833" s="12" t="s">
        <v>2947</v>
      </c>
      <c r="D833" s="12" t="s">
        <v>10</v>
      </c>
      <c r="E833" s="12" t="s">
        <v>2948</v>
      </c>
      <c r="F833" s="12" t="s">
        <v>2593</v>
      </c>
      <c r="G833" s="12" t="b">
        <v>0</v>
      </c>
      <c r="H833" s="12" t="b">
        <v>1</v>
      </c>
      <c r="I833" s="12" t="b">
        <v>1</v>
      </c>
    </row>
    <row r="834" spans="1:9" x14ac:dyDescent="0.25">
      <c r="A834" s="12">
        <v>833</v>
      </c>
      <c r="B834" s="12" t="s">
        <v>2949</v>
      </c>
      <c r="C834" s="12" t="s">
        <v>2950</v>
      </c>
      <c r="D834" s="12" t="s">
        <v>14</v>
      </c>
      <c r="E834" s="12" t="s">
        <v>2951</v>
      </c>
      <c r="F834" s="12" t="s">
        <v>2952</v>
      </c>
      <c r="G834" s="12" t="b">
        <v>0</v>
      </c>
      <c r="H834" s="12" t="b">
        <v>0</v>
      </c>
      <c r="I834" s="12" t="b">
        <v>0</v>
      </c>
    </row>
    <row r="835" spans="1:9" x14ac:dyDescent="0.25">
      <c r="A835" s="12">
        <v>834</v>
      </c>
      <c r="B835" s="12" t="s">
        <v>2953</v>
      </c>
      <c r="C835" s="12" t="s">
        <v>2954</v>
      </c>
      <c r="D835" s="12" t="s">
        <v>45</v>
      </c>
      <c r="E835" s="12" t="s">
        <v>2955</v>
      </c>
      <c r="F835" s="12" t="s">
        <v>2956</v>
      </c>
      <c r="G835" s="12" t="b">
        <v>0</v>
      </c>
      <c r="H835" s="12" t="b">
        <v>1</v>
      </c>
      <c r="I835" s="12" t="b">
        <v>1</v>
      </c>
    </row>
    <row r="836" spans="1:9" x14ac:dyDescent="0.25">
      <c r="A836" s="12">
        <v>835</v>
      </c>
      <c r="B836" s="12" t="s">
        <v>2957</v>
      </c>
      <c r="C836" s="12" t="s">
        <v>2958</v>
      </c>
      <c r="D836" s="12" t="s">
        <v>14</v>
      </c>
      <c r="E836" s="12" t="s">
        <v>2959</v>
      </c>
      <c r="F836" s="12" t="s">
        <v>1646</v>
      </c>
      <c r="G836" s="12" t="b">
        <v>0</v>
      </c>
      <c r="H836" s="12" t="b">
        <v>1</v>
      </c>
      <c r="I836" s="12" t="b">
        <v>1</v>
      </c>
    </row>
    <row r="837" spans="1:9" x14ac:dyDescent="0.25">
      <c r="A837" s="12">
        <v>836</v>
      </c>
      <c r="B837" s="12" t="s">
        <v>2960</v>
      </c>
      <c r="C837" s="12" t="s">
        <v>2961</v>
      </c>
      <c r="D837" s="12" t="s">
        <v>10</v>
      </c>
      <c r="E837" s="12" t="s">
        <v>2962</v>
      </c>
      <c r="F837" s="12" t="s">
        <v>1009</v>
      </c>
      <c r="G837" s="12" t="b">
        <v>0</v>
      </c>
      <c r="H837" s="12" t="b">
        <v>1</v>
      </c>
      <c r="I837" s="12" t="b">
        <v>1</v>
      </c>
    </row>
    <row r="838" spans="1:9" x14ac:dyDescent="0.25">
      <c r="A838" s="12">
        <v>837</v>
      </c>
      <c r="B838" s="12" t="s">
        <v>2963</v>
      </c>
      <c r="C838" s="12" t="s">
        <v>2964</v>
      </c>
      <c r="D838" s="12" t="s">
        <v>14</v>
      </c>
      <c r="E838" s="12" t="s">
        <v>2965</v>
      </c>
      <c r="F838" s="12" t="s">
        <v>2966</v>
      </c>
      <c r="G838" s="12" t="b">
        <v>0</v>
      </c>
      <c r="H838" s="12" t="b">
        <v>0</v>
      </c>
      <c r="I838" s="12" t="b">
        <v>0</v>
      </c>
    </row>
    <row r="839" spans="1:9" x14ac:dyDescent="0.25">
      <c r="A839" s="12">
        <v>838</v>
      </c>
      <c r="B839" s="12" t="s">
        <v>2967</v>
      </c>
      <c r="C839" s="12" t="s">
        <v>2968</v>
      </c>
      <c r="D839" s="12" t="s">
        <v>14</v>
      </c>
      <c r="E839" s="12" t="s">
        <v>2969</v>
      </c>
      <c r="F839" s="12" t="s">
        <v>1544</v>
      </c>
      <c r="G839" s="12" t="b">
        <v>0</v>
      </c>
      <c r="H839" s="12" t="b">
        <v>1</v>
      </c>
      <c r="I839" s="12" t="b">
        <v>1</v>
      </c>
    </row>
    <row r="840" spans="1:9" x14ac:dyDescent="0.25">
      <c r="A840" s="12">
        <v>839</v>
      </c>
      <c r="B840" s="12" t="s">
        <v>2970</v>
      </c>
      <c r="C840" s="12" t="s">
        <v>2971</v>
      </c>
      <c r="D840" s="12" t="s">
        <v>45</v>
      </c>
      <c r="E840" s="12" t="s">
        <v>2972</v>
      </c>
      <c r="F840" s="12" t="s">
        <v>2587</v>
      </c>
      <c r="G840" s="12" t="b">
        <v>0</v>
      </c>
      <c r="H840" s="12" t="b">
        <v>0</v>
      </c>
      <c r="I840" s="12" t="b">
        <v>0</v>
      </c>
    </row>
    <row r="841" spans="1:9" x14ac:dyDescent="0.25">
      <c r="A841" s="12">
        <v>840</v>
      </c>
      <c r="B841" s="12" t="s">
        <v>2973</v>
      </c>
      <c r="C841" s="12" t="s">
        <v>2974</v>
      </c>
      <c r="D841" s="12" t="s">
        <v>14</v>
      </c>
      <c r="E841" s="12" t="s">
        <v>2975</v>
      </c>
      <c r="F841" s="12" t="s">
        <v>471</v>
      </c>
      <c r="G841" s="12" t="b">
        <v>0</v>
      </c>
      <c r="H841" s="12" t="b">
        <v>0</v>
      </c>
      <c r="I841" s="12" t="b">
        <v>0</v>
      </c>
    </row>
    <row r="842" spans="1:9" x14ac:dyDescent="0.25">
      <c r="A842" s="12">
        <v>841</v>
      </c>
      <c r="B842" s="12" t="s">
        <v>2976</v>
      </c>
      <c r="C842" s="12" t="s">
        <v>2977</v>
      </c>
      <c r="D842" s="12" t="s">
        <v>14</v>
      </c>
      <c r="E842" s="12" t="s">
        <v>2978</v>
      </c>
      <c r="F842" s="12" t="s">
        <v>1860</v>
      </c>
      <c r="G842" s="12" t="b">
        <v>0</v>
      </c>
      <c r="H842" s="12" t="b">
        <v>1</v>
      </c>
      <c r="I842" s="12" t="b">
        <v>1</v>
      </c>
    </row>
    <row r="843" spans="1:9" x14ac:dyDescent="0.25">
      <c r="A843" s="12">
        <v>842</v>
      </c>
      <c r="B843" s="12" t="s">
        <v>2979</v>
      </c>
      <c r="C843" s="12" t="s">
        <v>2980</v>
      </c>
      <c r="D843" s="12" t="s">
        <v>14</v>
      </c>
      <c r="E843" s="12" t="s">
        <v>2981</v>
      </c>
      <c r="F843" s="12" t="s">
        <v>604</v>
      </c>
      <c r="G843" s="12" t="b">
        <v>0</v>
      </c>
      <c r="H843" s="12" t="b">
        <v>1</v>
      </c>
      <c r="I843" s="12" t="b">
        <v>1</v>
      </c>
    </row>
    <row r="844" spans="1:9" x14ac:dyDescent="0.25">
      <c r="A844" s="12">
        <v>843</v>
      </c>
      <c r="B844" s="12" t="s">
        <v>2982</v>
      </c>
      <c r="C844" s="12" t="s">
        <v>2983</v>
      </c>
      <c r="D844" s="12" t="s">
        <v>45</v>
      </c>
      <c r="E844" s="12" t="s">
        <v>2984</v>
      </c>
      <c r="F844" s="12" t="s">
        <v>2985</v>
      </c>
      <c r="G844" s="12" t="b">
        <v>0</v>
      </c>
      <c r="H844" s="12" t="b">
        <v>0</v>
      </c>
      <c r="I844" s="12" t="b">
        <v>0</v>
      </c>
    </row>
    <row r="845" spans="1:9" x14ac:dyDescent="0.25">
      <c r="A845" s="12">
        <v>844</v>
      </c>
      <c r="B845" s="12" t="s">
        <v>182</v>
      </c>
      <c r="C845" s="12" t="s">
        <v>2986</v>
      </c>
      <c r="D845" s="12" t="s">
        <v>10</v>
      </c>
      <c r="E845" s="12" t="s">
        <v>2987</v>
      </c>
      <c r="F845" s="12" t="s">
        <v>2988</v>
      </c>
      <c r="G845" s="12" t="b">
        <v>0</v>
      </c>
      <c r="H845" s="12" t="b">
        <v>1</v>
      </c>
      <c r="I845" s="12" t="b">
        <v>1</v>
      </c>
    </row>
    <row r="846" spans="1:9" x14ac:dyDescent="0.25">
      <c r="A846" s="12">
        <v>845</v>
      </c>
      <c r="B846" s="12" t="s">
        <v>2989</v>
      </c>
      <c r="C846" s="12" t="s">
        <v>2990</v>
      </c>
      <c r="D846" s="12" t="s">
        <v>14</v>
      </c>
      <c r="E846" s="12" t="s">
        <v>2991</v>
      </c>
      <c r="F846" s="12" t="s">
        <v>2992</v>
      </c>
      <c r="G846" s="12" t="b">
        <v>0</v>
      </c>
      <c r="H846" s="12" t="b">
        <v>1</v>
      </c>
      <c r="I846" s="12" t="b">
        <v>1</v>
      </c>
    </row>
    <row r="847" spans="1:9" x14ac:dyDescent="0.25">
      <c r="A847" s="12">
        <v>846</v>
      </c>
      <c r="B847" s="12" t="s">
        <v>2993</v>
      </c>
      <c r="C847" s="12" t="s">
        <v>2994</v>
      </c>
      <c r="D847" s="12" t="s">
        <v>14</v>
      </c>
      <c r="E847" s="12" t="s">
        <v>2995</v>
      </c>
      <c r="F847" s="12" t="s">
        <v>2996</v>
      </c>
      <c r="G847" s="12" t="b">
        <v>0</v>
      </c>
      <c r="H847" s="12" t="b">
        <v>0</v>
      </c>
      <c r="I847" s="12" t="b">
        <v>0</v>
      </c>
    </row>
    <row r="848" spans="1:9" x14ac:dyDescent="0.25">
      <c r="A848" s="12">
        <v>847</v>
      </c>
      <c r="B848" s="12" t="s">
        <v>2997</v>
      </c>
      <c r="C848" s="12" t="s">
        <v>2998</v>
      </c>
      <c r="D848" s="12" t="s">
        <v>45</v>
      </c>
      <c r="E848" s="12" t="s">
        <v>2999</v>
      </c>
      <c r="F848" s="12" t="s">
        <v>3000</v>
      </c>
      <c r="G848" s="12" t="b">
        <v>0</v>
      </c>
      <c r="H848" s="12" t="b">
        <v>1</v>
      </c>
      <c r="I848" s="12" t="b">
        <v>1</v>
      </c>
    </row>
    <row r="849" spans="1:9" x14ac:dyDescent="0.25">
      <c r="A849" s="12">
        <v>848</v>
      </c>
      <c r="B849" s="12" t="s">
        <v>3001</v>
      </c>
      <c r="C849" s="12" t="s">
        <v>3002</v>
      </c>
      <c r="D849" s="12" t="s">
        <v>14</v>
      </c>
      <c r="E849" s="12" t="s">
        <v>3003</v>
      </c>
      <c r="F849" s="12" t="s">
        <v>1072</v>
      </c>
      <c r="G849" s="12" t="b">
        <v>0</v>
      </c>
      <c r="H849" s="12" t="b">
        <v>1</v>
      </c>
      <c r="I849" s="12" t="b">
        <v>1</v>
      </c>
    </row>
    <row r="850" spans="1:9" x14ac:dyDescent="0.25">
      <c r="A850" s="12">
        <v>849</v>
      </c>
      <c r="B850" s="12" t="s">
        <v>3004</v>
      </c>
      <c r="C850" s="12" t="s">
        <v>3005</v>
      </c>
      <c r="D850" s="12" t="s">
        <v>14</v>
      </c>
      <c r="E850" s="12" t="s">
        <v>3006</v>
      </c>
      <c r="F850" s="12" t="s">
        <v>317</v>
      </c>
      <c r="G850" s="12" t="b">
        <v>0</v>
      </c>
      <c r="H850" s="12" t="b">
        <v>1</v>
      </c>
      <c r="I850" s="12" t="b">
        <v>1</v>
      </c>
    </row>
    <row r="851" spans="1:9" x14ac:dyDescent="0.25">
      <c r="A851" s="12">
        <v>850</v>
      </c>
      <c r="B851" s="12" t="s">
        <v>3007</v>
      </c>
      <c r="C851" s="12" t="s">
        <v>3008</v>
      </c>
      <c r="D851" s="12" t="s">
        <v>45</v>
      </c>
      <c r="E851" s="12" t="s">
        <v>3009</v>
      </c>
      <c r="F851" s="12" t="s">
        <v>3010</v>
      </c>
      <c r="G851" s="12" t="b">
        <v>0</v>
      </c>
      <c r="H851" s="12" t="b">
        <v>1</v>
      </c>
      <c r="I851" s="12" t="b">
        <v>1</v>
      </c>
    </row>
    <row r="852" spans="1:9" x14ac:dyDescent="0.25">
      <c r="A852" s="12">
        <v>851</v>
      </c>
      <c r="B852" s="12" t="s">
        <v>3011</v>
      </c>
      <c r="C852" s="12" t="s">
        <v>3012</v>
      </c>
      <c r="D852" s="12" t="s">
        <v>14</v>
      </c>
      <c r="E852" s="12" t="s">
        <v>3013</v>
      </c>
      <c r="F852" s="12" t="s">
        <v>3014</v>
      </c>
      <c r="G852" s="12" t="b">
        <v>0</v>
      </c>
      <c r="H852" s="12" t="b">
        <v>1</v>
      </c>
      <c r="I852" s="12" t="b">
        <v>1</v>
      </c>
    </row>
    <row r="853" spans="1:9" x14ac:dyDescent="0.25">
      <c r="A853" s="12">
        <v>852</v>
      </c>
      <c r="B853" s="12" t="s">
        <v>49</v>
      </c>
      <c r="C853" s="12" t="s">
        <v>3015</v>
      </c>
      <c r="D853" s="12" t="s">
        <v>10</v>
      </c>
      <c r="E853" s="12" t="s">
        <v>3016</v>
      </c>
      <c r="F853" s="12" t="s">
        <v>426</v>
      </c>
      <c r="G853" s="12" t="b">
        <v>0</v>
      </c>
      <c r="H853" s="12" t="b">
        <v>1</v>
      </c>
      <c r="I853" s="12" t="b">
        <v>1</v>
      </c>
    </row>
    <row r="854" spans="1:9" x14ac:dyDescent="0.25">
      <c r="A854" s="12">
        <v>853</v>
      </c>
      <c r="B854" s="12" t="s">
        <v>3017</v>
      </c>
      <c r="C854" s="12" t="s">
        <v>3018</v>
      </c>
      <c r="D854" s="12" t="s">
        <v>14</v>
      </c>
      <c r="E854" s="12" t="s">
        <v>3019</v>
      </c>
      <c r="F854" s="12" t="s">
        <v>3020</v>
      </c>
      <c r="G854" s="12" t="b">
        <v>0</v>
      </c>
      <c r="H854" s="12" t="b">
        <v>0</v>
      </c>
      <c r="I854" s="12" t="b">
        <v>0</v>
      </c>
    </row>
    <row r="855" spans="1:9" x14ac:dyDescent="0.25">
      <c r="A855" s="12">
        <v>854</v>
      </c>
      <c r="B855" s="12" t="s">
        <v>3021</v>
      </c>
      <c r="C855" s="12" t="s">
        <v>3022</v>
      </c>
      <c r="D855" s="12" t="s">
        <v>45</v>
      </c>
      <c r="E855" s="12" t="s">
        <v>3023</v>
      </c>
      <c r="F855" s="12" t="s">
        <v>3024</v>
      </c>
      <c r="G855" s="12" t="b">
        <v>0</v>
      </c>
      <c r="H855" s="12" t="b">
        <v>0</v>
      </c>
      <c r="I855" s="12" t="b">
        <v>0</v>
      </c>
    </row>
    <row r="856" spans="1:9" x14ac:dyDescent="0.25">
      <c r="A856" s="12">
        <v>855</v>
      </c>
      <c r="B856" s="12" t="s">
        <v>3025</v>
      </c>
      <c r="C856" s="12" t="s">
        <v>3026</v>
      </c>
      <c r="D856" s="12" t="s">
        <v>14</v>
      </c>
      <c r="E856" s="12" t="s">
        <v>3027</v>
      </c>
      <c r="F856" s="12" t="s">
        <v>3028</v>
      </c>
      <c r="G856" s="12" t="b">
        <v>0</v>
      </c>
      <c r="H856" s="12" t="b">
        <v>0</v>
      </c>
      <c r="I856" s="12" t="b">
        <v>0</v>
      </c>
    </row>
    <row r="857" spans="1:9" x14ac:dyDescent="0.25">
      <c r="A857" s="12">
        <v>856</v>
      </c>
      <c r="B857" s="12" t="s">
        <v>3029</v>
      </c>
      <c r="C857" s="12" t="s">
        <v>3030</v>
      </c>
      <c r="D857" s="12" t="s">
        <v>14</v>
      </c>
      <c r="E857" s="12" t="s">
        <v>3031</v>
      </c>
      <c r="F857" s="12" t="s">
        <v>387</v>
      </c>
      <c r="G857" s="12" t="b">
        <v>0</v>
      </c>
      <c r="H857" s="12" t="b">
        <v>1</v>
      </c>
      <c r="I857" s="12" t="b">
        <v>1</v>
      </c>
    </row>
    <row r="858" spans="1:9" x14ac:dyDescent="0.25">
      <c r="A858" s="12">
        <v>857</v>
      </c>
      <c r="B858" s="12" t="s">
        <v>3032</v>
      </c>
      <c r="C858" s="12" t="s">
        <v>3033</v>
      </c>
      <c r="D858" s="12" t="s">
        <v>45</v>
      </c>
      <c r="E858" s="12" t="s">
        <v>3034</v>
      </c>
      <c r="F858" s="12" t="s">
        <v>1901</v>
      </c>
      <c r="G858" s="12" t="b">
        <v>0</v>
      </c>
      <c r="H858" s="12" t="b">
        <v>1</v>
      </c>
      <c r="I858" s="12" t="b">
        <v>1</v>
      </c>
    </row>
    <row r="859" spans="1:9" x14ac:dyDescent="0.25">
      <c r="A859" s="12">
        <v>858</v>
      </c>
      <c r="B859" s="12" t="s">
        <v>3035</v>
      </c>
      <c r="C859" s="12" t="s">
        <v>3036</v>
      </c>
      <c r="D859" s="12" t="s">
        <v>14</v>
      </c>
      <c r="E859" s="12" t="s">
        <v>3037</v>
      </c>
      <c r="F859" s="12" t="s">
        <v>1009</v>
      </c>
      <c r="G859" s="12" t="b">
        <v>0</v>
      </c>
      <c r="H859" s="12" t="b">
        <v>0</v>
      </c>
      <c r="I859" s="12" t="b">
        <v>0</v>
      </c>
    </row>
    <row r="860" spans="1:9" x14ac:dyDescent="0.25">
      <c r="A860" s="12">
        <v>859</v>
      </c>
      <c r="B860" s="12" t="s">
        <v>3038</v>
      </c>
      <c r="C860" s="12" t="s">
        <v>3039</v>
      </c>
      <c r="D860" s="12" t="s">
        <v>10</v>
      </c>
      <c r="E860" s="12" t="s">
        <v>3040</v>
      </c>
      <c r="F860" s="12" t="s">
        <v>952</v>
      </c>
      <c r="G860" s="12" t="b">
        <v>0</v>
      </c>
      <c r="H860" s="12" t="b">
        <v>1</v>
      </c>
      <c r="I860" s="12" t="b">
        <v>1</v>
      </c>
    </row>
    <row r="861" spans="1:9" x14ac:dyDescent="0.25">
      <c r="A861" s="12">
        <v>860</v>
      </c>
      <c r="B861" s="12" t="s">
        <v>3041</v>
      </c>
      <c r="C861" s="12" t="s">
        <v>3042</v>
      </c>
      <c r="D861" s="12" t="s">
        <v>10</v>
      </c>
      <c r="E861" s="12" t="s">
        <v>3043</v>
      </c>
      <c r="F861" s="12" t="s">
        <v>732</v>
      </c>
      <c r="G861" s="12" t="b">
        <v>0</v>
      </c>
      <c r="H861" s="12" t="b">
        <v>1</v>
      </c>
      <c r="I861" s="12" t="b">
        <v>1</v>
      </c>
    </row>
    <row r="862" spans="1:9" x14ac:dyDescent="0.25">
      <c r="A862" s="12">
        <v>861</v>
      </c>
      <c r="B862" s="12" t="s">
        <v>3044</v>
      </c>
      <c r="C862" s="12" t="s">
        <v>3045</v>
      </c>
      <c r="D862" s="12" t="s">
        <v>14</v>
      </c>
      <c r="E862" s="12" t="s">
        <v>3046</v>
      </c>
      <c r="F862" s="12" t="s">
        <v>3047</v>
      </c>
      <c r="G862" s="12" t="b">
        <v>0</v>
      </c>
      <c r="H862" s="12" t="b">
        <v>0</v>
      </c>
      <c r="I862" s="12" t="b">
        <v>0</v>
      </c>
    </row>
    <row r="863" spans="1:9" x14ac:dyDescent="0.25">
      <c r="A863" s="12">
        <v>862</v>
      </c>
      <c r="B863" s="12" t="s">
        <v>3048</v>
      </c>
      <c r="C863" s="12" t="s">
        <v>3049</v>
      </c>
      <c r="D863" s="12" t="s">
        <v>45</v>
      </c>
      <c r="E863" s="12" t="s">
        <v>3050</v>
      </c>
      <c r="F863" s="12" t="s">
        <v>3051</v>
      </c>
      <c r="G863" s="12" t="b">
        <v>0</v>
      </c>
      <c r="H863" s="12" t="b">
        <v>1</v>
      </c>
      <c r="I863" s="12" t="b">
        <v>1</v>
      </c>
    </row>
    <row r="864" spans="1:9" x14ac:dyDescent="0.25">
      <c r="A864" s="12">
        <v>863</v>
      </c>
      <c r="B864" s="12" t="s">
        <v>28</v>
      </c>
      <c r="C864" s="12" t="s">
        <v>3052</v>
      </c>
      <c r="D864" s="12" t="s">
        <v>14</v>
      </c>
      <c r="E864" s="12" t="s">
        <v>3053</v>
      </c>
      <c r="F864" s="12" t="s">
        <v>628</v>
      </c>
      <c r="G864" s="12" t="b">
        <v>0</v>
      </c>
      <c r="H864" s="12" t="b">
        <v>1</v>
      </c>
      <c r="I864" s="12" t="b">
        <v>1</v>
      </c>
    </row>
    <row r="865" spans="1:9" x14ac:dyDescent="0.25">
      <c r="A865" s="12">
        <v>864</v>
      </c>
      <c r="B865" s="12" t="s">
        <v>3054</v>
      </c>
      <c r="C865" s="12" t="s">
        <v>3055</v>
      </c>
      <c r="D865" s="12" t="s">
        <v>45</v>
      </c>
      <c r="E865" s="12" t="s">
        <v>3056</v>
      </c>
      <c r="F865" s="12" t="s">
        <v>3057</v>
      </c>
      <c r="G865" s="12" t="b">
        <v>0</v>
      </c>
      <c r="H865" s="12" t="b">
        <v>0</v>
      </c>
      <c r="I865" s="12" t="b">
        <v>0</v>
      </c>
    </row>
    <row r="866" spans="1:9" x14ac:dyDescent="0.25">
      <c r="A866" s="12">
        <v>865</v>
      </c>
      <c r="B866" s="12" t="s">
        <v>3058</v>
      </c>
      <c r="C866" s="12" t="s">
        <v>3059</v>
      </c>
      <c r="D866" s="12" t="s">
        <v>14</v>
      </c>
      <c r="E866" s="12" t="s">
        <v>3060</v>
      </c>
      <c r="F866" s="12" t="s">
        <v>1286</v>
      </c>
      <c r="G866" s="12" t="b">
        <v>0</v>
      </c>
      <c r="H866" s="12" t="b">
        <v>1</v>
      </c>
      <c r="I866" s="12" t="b">
        <v>1</v>
      </c>
    </row>
    <row r="867" spans="1:9" x14ac:dyDescent="0.25">
      <c r="A867" s="12">
        <v>866</v>
      </c>
      <c r="B867" s="12" t="s">
        <v>3061</v>
      </c>
      <c r="C867" s="12" t="s">
        <v>3062</v>
      </c>
      <c r="D867" s="12" t="s">
        <v>14</v>
      </c>
      <c r="E867" s="12" t="s">
        <v>3063</v>
      </c>
      <c r="F867" s="12" t="s">
        <v>315</v>
      </c>
      <c r="G867" s="12" t="b">
        <v>0</v>
      </c>
      <c r="H867" s="12" t="b">
        <v>1</v>
      </c>
      <c r="I867" s="12" t="b">
        <v>1</v>
      </c>
    </row>
    <row r="868" spans="1:9" x14ac:dyDescent="0.25">
      <c r="A868" s="12">
        <v>867</v>
      </c>
      <c r="B868" s="12" t="s">
        <v>3064</v>
      </c>
      <c r="C868" s="12" t="s">
        <v>3065</v>
      </c>
      <c r="D868" s="12" t="s">
        <v>10</v>
      </c>
      <c r="E868" s="12" t="s">
        <v>3066</v>
      </c>
      <c r="F868" s="12" t="s">
        <v>490</v>
      </c>
      <c r="G868" s="12" t="b">
        <v>0</v>
      </c>
      <c r="H868" s="12" t="b">
        <v>1</v>
      </c>
      <c r="I868" s="12" t="b">
        <v>1</v>
      </c>
    </row>
    <row r="869" spans="1:9" x14ac:dyDescent="0.25">
      <c r="A869" s="12">
        <v>868</v>
      </c>
      <c r="B869" s="12" t="s">
        <v>3067</v>
      </c>
      <c r="C869" s="12" t="s">
        <v>3068</v>
      </c>
      <c r="D869" s="12" t="s">
        <v>10</v>
      </c>
      <c r="E869" s="12" t="s">
        <v>3069</v>
      </c>
      <c r="F869" s="12" t="s">
        <v>61</v>
      </c>
      <c r="G869" s="12" t="b">
        <v>0</v>
      </c>
      <c r="H869" s="12" t="b">
        <v>1</v>
      </c>
      <c r="I869" s="12" t="b">
        <v>1</v>
      </c>
    </row>
    <row r="870" spans="1:9" x14ac:dyDescent="0.25">
      <c r="A870" s="12">
        <v>869</v>
      </c>
      <c r="B870" s="12" t="s">
        <v>3070</v>
      </c>
      <c r="C870" s="12" t="s">
        <v>3071</v>
      </c>
      <c r="D870" s="12" t="s">
        <v>14</v>
      </c>
      <c r="E870" s="12" t="s">
        <v>3072</v>
      </c>
      <c r="F870" s="12" t="s">
        <v>3073</v>
      </c>
      <c r="G870" s="12" t="b">
        <v>0</v>
      </c>
      <c r="H870" s="12" t="b">
        <v>1</v>
      </c>
      <c r="I870" s="12" t="b">
        <v>1</v>
      </c>
    </row>
    <row r="871" spans="1:9" x14ac:dyDescent="0.25">
      <c r="A871" s="12">
        <v>870</v>
      </c>
      <c r="B871" s="12" t="s">
        <v>3074</v>
      </c>
      <c r="C871" s="12" t="s">
        <v>3075</v>
      </c>
      <c r="D871" s="12" t="s">
        <v>14</v>
      </c>
      <c r="E871" s="12" t="s">
        <v>3076</v>
      </c>
      <c r="F871" s="12" t="s">
        <v>1181</v>
      </c>
      <c r="G871" s="12" t="b">
        <v>0</v>
      </c>
      <c r="H871" s="12" t="b">
        <v>1</v>
      </c>
      <c r="I871" s="12" t="b">
        <v>1</v>
      </c>
    </row>
    <row r="872" spans="1:9" x14ac:dyDescent="0.25">
      <c r="A872" s="12">
        <v>871</v>
      </c>
      <c r="B872" s="12" t="s">
        <v>3077</v>
      </c>
      <c r="C872" s="12" t="s">
        <v>3078</v>
      </c>
      <c r="D872" s="12" t="s">
        <v>45</v>
      </c>
      <c r="E872" s="12" t="s">
        <v>3079</v>
      </c>
      <c r="F872" s="12" t="s">
        <v>3080</v>
      </c>
      <c r="G872" s="12" t="b">
        <v>0</v>
      </c>
      <c r="H872" s="12" t="b">
        <v>1</v>
      </c>
      <c r="I872" s="12" t="b">
        <v>1</v>
      </c>
    </row>
    <row r="873" spans="1:9" x14ac:dyDescent="0.25">
      <c r="A873" s="12">
        <v>872</v>
      </c>
      <c r="B873" s="12" t="s">
        <v>3081</v>
      </c>
      <c r="C873" s="12" t="s">
        <v>3082</v>
      </c>
      <c r="D873" s="12" t="s">
        <v>10</v>
      </c>
      <c r="E873" s="12" t="s">
        <v>3083</v>
      </c>
      <c r="F873" s="12" t="s">
        <v>658</v>
      </c>
      <c r="G873" s="12" t="b">
        <v>0</v>
      </c>
      <c r="H873" s="12" t="b">
        <v>1</v>
      </c>
      <c r="I873" s="12" t="b">
        <v>1</v>
      </c>
    </row>
    <row r="874" spans="1:9" x14ac:dyDescent="0.25">
      <c r="A874" s="12">
        <v>873</v>
      </c>
      <c r="B874" s="12" t="s">
        <v>3084</v>
      </c>
      <c r="C874" s="12" t="s">
        <v>3085</v>
      </c>
      <c r="D874" s="12" t="s">
        <v>14</v>
      </c>
      <c r="E874" s="12" t="s">
        <v>3086</v>
      </c>
      <c r="F874" s="12" t="s">
        <v>2649</v>
      </c>
      <c r="G874" s="12" t="b">
        <v>0</v>
      </c>
      <c r="H874" s="12" t="b">
        <v>1</v>
      </c>
      <c r="I874" s="12" t="b">
        <v>1</v>
      </c>
    </row>
    <row r="875" spans="1:9" x14ac:dyDescent="0.25">
      <c r="A875" s="12">
        <v>874</v>
      </c>
      <c r="B875" s="12" t="s">
        <v>3087</v>
      </c>
      <c r="C875" s="12" t="s">
        <v>3088</v>
      </c>
      <c r="D875" s="12" t="s">
        <v>14</v>
      </c>
      <c r="E875" s="12" t="s">
        <v>3089</v>
      </c>
      <c r="F875" s="12" t="s">
        <v>1877</v>
      </c>
      <c r="G875" s="12" t="b">
        <v>0</v>
      </c>
      <c r="H875" s="12" t="b">
        <v>0</v>
      </c>
      <c r="I875" s="12" t="b">
        <v>0</v>
      </c>
    </row>
    <row r="876" spans="1:9" x14ac:dyDescent="0.25">
      <c r="A876" s="12">
        <v>875</v>
      </c>
      <c r="B876" s="12" t="s">
        <v>3090</v>
      </c>
      <c r="C876" s="12" t="s">
        <v>3091</v>
      </c>
      <c r="D876" s="12" t="s">
        <v>14</v>
      </c>
      <c r="E876" s="12" t="s">
        <v>3092</v>
      </c>
      <c r="F876" s="12" t="s">
        <v>426</v>
      </c>
      <c r="G876" s="12" t="b">
        <v>0</v>
      </c>
      <c r="H876" s="12" t="b">
        <v>1</v>
      </c>
      <c r="I876" s="12" t="b">
        <v>1</v>
      </c>
    </row>
    <row r="877" spans="1:9" x14ac:dyDescent="0.25">
      <c r="A877" s="12">
        <v>876</v>
      </c>
      <c r="B877" s="12" t="s">
        <v>112</v>
      </c>
      <c r="C877" s="12" t="s">
        <v>3093</v>
      </c>
      <c r="D877" s="12" t="s">
        <v>10</v>
      </c>
      <c r="E877" s="12" t="s">
        <v>3094</v>
      </c>
      <c r="F877" s="12" t="s">
        <v>383</v>
      </c>
      <c r="G877" s="12" t="b">
        <v>0</v>
      </c>
      <c r="H877" s="12" t="b">
        <v>1</v>
      </c>
      <c r="I877" s="12" t="b">
        <v>1</v>
      </c>
    </row>
    <row r="878" spans="1:9" x14ac:dyDescent="0.25">
      <c r="A878" s="12">
        <v>877</v>
      </c>
      <c r="B878" s="12" t="s">
        <v>3095</v>
      </c>
      <c r="C878" s="12" t="s">
        <v>3096</v>
      </c>
      <c r="D878" s="12" t="s">
        <v>14</v>
      </c>
      <c r="E878" s="12" t="s">
        <v>3097</v>
      </c>
      <c r="F878" s="12" t="s">
        <v>3098</v>
      </c>
      <c r="G878" s="12" t="b">
        <v>0</v>
      </c>
      <c r="H878" s="12" t="b">
        <v>1</v>
      </c>
      <c r="I878" s="12" t="b">
        <v>1</v>
      </c>
    </row>
    <row r="879" spans="1:9" x14ac:dyDescent="0.25">
      <c r="A879" s="12">
        <v>878</v>
      </c>
      <c r="B879" s="12" t="s">
        <v>3099</v>
      </c>
      <c r="C879" s="12" t="s">
        <v>3100</v>
      </c>
      <c r="D879" s="12" t="s">
        <v>45</v>
      </c>
      <c r="E879" s="12" t="s">
        <v>3101</v>
      </c>
      <c r="F879" s="12" t="s">
        <v>537</v>
      </c>
      <c r="G879" s="12" t="b">
        <v>0</v>
      </c>
      <c r="H879" s="12" t="b">
        <v>1</v>
      </c>
      <c r="I879" s="12" t="b">
        <v>1</v>
      </c>
    </row>
    <row r="880" spans="1:9" x14ac:dyDescent="0.25">
      <c r="A880" s="12">
        <v>879</v>
      </c>
      <c r="B880" s="12" t="s">
        <v>3102</v>
      </c>
      <c r="C880" s="12" t="s">
        <v>3103</v>
      </c>
      <c r="D880" s="12" t="s">
        <v>45</v>
      </c>
      <c r="E880" s="12" t="s">
        <v>3104</v>
      </c>
      <c r="F880" s="12" t="s">
        <v>681</v>
      </c>
      <c r="G880" s="12" t="b">
        <v>0</v>
      </c>
      <c r="H880" s="12" t="b">
        <v>1</v>
      </c>
      <c r="I880" s="12" t="b">
        <v>1</v>
      </c>
    </row>
    <row r="881" spans="1:9" x14ac:dyDescent="0.25">
      <c r="A881" s="12">
        <v>880</v>
      </c>
      <c r="B881" s="12" t="s">
        <v>3105</v>
      </c>
      <c r="C881" s="12" t="s">
        <v>3106</v>
      </c>
      <c r="D881" s="12" t="s">
        <v>14</v>
      </c>
      <c r="E881" s="12" t="s">
        <v>3107</v>
      </c>
      <c r="F881" s="12" t="s">
        <v>387</v>
      </c>
      <c r="G881" s="12" t="b">
        <v>0</v>
      </c>
      <c r="H881" s="12" t="b">
        <v>1</v>
      </c>
      <c r="I881" s="12" t="b">
        <v>1</v>
      </c>
    </row>
    <row r="882" spans="1:9" x14ac:dyDescent="0.25">
      <c r="A882" s="12">
        <v>881</v>
      </c>
      <c r="B882" s="12" t="s">
        <v>3108</v>
      </c>
      <c r="C882" s="12" t="s">
        <v>3109</v>
      </c>
      <c r="D882" s="12" t="s">
        <v>14</v>
      </c>
      <c r="E882" s="12" t="s">
        <v>3110</v>
      </c>
      <c r="F882" s="12" t="s">
        <v>3111</v>
      </c>
      <c r="G882" s="12" t="b">
        <v>0</v>
      </c>
      <c r="H882" s="12" t="b">
        <v>1</v>
      </c>
      <c r="I882" s="12" t="b">
        <v>1</v>
      </c>
    </row>
    <row r="883" spans="1:9" x14ac:dyDescent="0.25">
      <c r="A883" s="12">
        <v>882</v>
      </c>
      <c r="B883" s="12" t="s">
        <v>3112</v>
      </c>
      <c r="C883" s="12" t="s">
        <v>3113</v>
      </c>
      <c r="D883" s="12" t="s">
        <v>45</v>
      </c>
      <c r="E883" s="12" t="s">
        <v>3114</v>
      </c>
      <c r="F883" s="12" t="s">
        <v>3115</v>
      </c>
      <c r="G883" s="12" t="b">
        <v>0</v>
      </c>
      <c r="H883" s="12" t="b">
        <v>1</v>
      </c>
      <c r="I883" s="12" t="b">
        <v>1</v>
      </c>
    </row>
    <row r="884" spans="1:9" x14ac:dyDescent="0.25">
      <c r="A884" s="12">
        <v>883</v>
      </c>
      <c r="B884" s="12" t="s">
        <v>3116</v>
      </c>
      <c r="C884" s="12" t="s">
        <v>3117</v>
      </c>
      <c r="D884" s="12" t="s">
        <v>10</v>
      </c>
      <c r="E884" s="12" t="s">
        <v>3118</v>
      </c>
      <c r="F884" s="12" t="s">
        <v>3119</v>
      </c>
      <c r="G884" s="12" t="b">
        <v>0</v>
      </c>
      <c r="H884" s="12" t="b">
        <v>1</v>
      </c>
      <c r="I884" s="12" t="b">
        <v>1</v>
      </c>
    </row>
    <row r="885" spans="1:9" x14ac:dyDescent="0.25">
      <c r="A885" s="12">
        <v>884</v>
      </c>
      <c r="B885" s="12" t="s">
        <v>3120</v>
      </c>
      <c r="C885" s="12" t="s">
        <v>3121</v>
      </c>
      <c r="D885" s="12" t="s">
        <v>10</v>
      </c>
      <c r="E885" s="12" t="s">
        <v>3122</v>
      </c>
      <c r="F885" s="12" t="s">
        <v>952</v>
      </c>
      <c r="G885" s="12" t="b">
        <v>0</v>
      </c>
      <c r="H885" s="12" t="b">
        <v>1</v>
      </c>
      <c r="I885" s="12" t="b">
        <v>1</v>
      </c>
    </row>
    <row r="886" spans="1:9" x14ac:dyDescent="0.25">
      <c r="A886" s="12">
        <v>885</v>
      </c>
      <c r="B886" s="12" t="s">
        <v>3123</v>
      </c>
      <c r="C886" s="12" t="s">
        <v>3124</v>
      </c>
      <c r="D886" s="12" t="s">
        <v>14</v>
      </c>
      <c r="E886" s="12" t="s">
        <v>3125</v>
      </c>
      <c r="F886" s="12" t="s">
        <v>490</v>
      </c>
      <c r="G886" s="12" t="b">
        <v>0</v>
      </c>
      <c r="H886" s="12" t="b">
        <v>1</v>
      </c>
      <c r="I886" s="12" t="b">
        <v>1</v>
      </c>
    </row>
    <row r="887" spans="1:9" x14ac:dyDescent="0.25">
      <c r="A887" s="12">
        <v>886</v>
      </c>
      <c r="B887" s="12" t="s">
        <v>3126</v>
      </c>
      <c r="C887" s="12" t="s">
        <v>3127</v>
      </c>
      <c r="D887" s="12" t="s">
        <v>14</v>
      </c>
      <c r="E887" s="12" t="s">
        <v>3128</v>
      </c>
      <c r="F887" s="12" t="s">
        <v>1122</v>
      </c>
      <c r="G887" s="12" t="b">
        <v>0</v>
      </c>
      <c r="H887" s="12" t="b">
        <v>0</v>
      </c>
      <c r="I887" s="12" t="b">
        <v>0</v>
      </c>
    </row>
    <row r="888" spans="1:9" x14ac:dyDescent="0.25">
      <c r="A888" s="12">
        <v>887</v>
      </c>
      <c r="B888" s="12" t="s">
        <v>3129</v>
      </c>
      <c r="C888" s="12" t="s">
        <v>3130</v>
      </c>
      <c r="D888" s="12" t="s">
        <v>45</v>
      </c>
      <c r="E888" s="12" t="s">
        <v>3131</v>
      </c>
      <c r="F888" s="12" t="s">
        <v>3132</v>
      </c>
      <c r="G888" s="12" t="b">
        <v>0</v>
      </c>
      <c r="H888" s="12" t="b">
        <v>1</v>
      </c>
      <c r="I888" s="12" t="b">
        <v>1</v>
      </c>
    </row>
    <row r="889" spans="1:9" x14ac:dyDescent="0.25">
      <c r="A889" s="12">
        <v>888</v>
      </c>
      <c r="B889" s="12" t="s">
        <v>3133</v>
      </c>
      <c r="C889" s="12" t="s">
        <v>3134</v>
      </c>
      <c r="D889" s="12" t="s">
        <v>10</v>
      </c>
      <c r="E889" s="12" t="s">
        <v>3135</v>
      </c>
      <c r="F889" s="12" t="s">
        <v>3136</v>
      </c>
      <c r="G889" s="12" t="b">
        <v>0</v>
      </c>
      <c r="H889" s="12" t="b">
        <v>1</v>
      </c>
      <c r="I889" s="12" t="b">
        <v>1</v>
      </c>
    </row>
    <row r="890" spans="1:9" x14ac:dyDescent="0.25">
      <c r="A890" s="12">
        <v>889</v>
      </c>
      <c r="B890" s="12" t="s">
        <v>3137</v>
      </c>
      <c r="C890" s="12" t="s">
        <v>3138</v>
      </c>
      <c r="D890" s="12" t="s">
        <v>14</v>
      </c>
      <c r="E890" s="12" t="s">
        <v>3139</v>
      </c>
      <c r="F890" s="12" t="s">
        <v>641</v>
      </c>
      <c r="G890" s="12" t="b">
        <v>0</v>
      </c>
      <c r="H890" s="12" t="b">
        <v>0</v>
      </c>
      <c r="I890" s="12" t="b">
        <v>0</v>
      </c>
    </row>
    <row r="891" spans="1:9" x14ac:dyDescent="0.25">
      <c r="A891" s="12">
        <v>890</v>
      </c>
      <c r="B891" s="12" t="s">
        <v>3140</v>
      </c>
      <c r="C891" s="12" t="s">
        <v>3141</v>
      </c>
      <c r="D891" s="12" t="s">
        <v>14</v>
      </c>
      <c r="E891" s="12" t="s">
        <v>3142</v>
      </c>
      <c r="F891" s="12" t="s">
        <v>1090</v>
      </c>
      <c r="G891" s="12" t="b">
        <v>0</v>
      </c>
      <c r="H891" s="12" t="b">
        <v>1</v>
      </c>
      <c r="I891" s="12" t="b">
        <v>1</v>
      </c>
    </row>
    <row r="892" spans="1:9" x14ac:dyDescent="0.25">
      <c r="A892" s="12">
        <v>891</v>
      </c>
      <c r="B892" s="12" t="s">
        <v>3143</v>
      </c>
      <c r="C892" s="12" t="s">
        <v>3144</v>
      </c>
      <c r="D892" s="12" t="s">
        <v>45</v>
      </c>
      <c r="E892" s="12" t="s">
        <v>3145</v>
      </c>
      <c r="F892" s="12" t="s">
        <v>1770</v>
      </c>
      <c r="G892" s="12" t="b">
        <v>0</v>
      </c>
      <c r="H892" s="12" t="b">
        <v>1</v>
      </c>
      <c r="I892" s="12" t="b">
        <v>1</v>
      </c>
    </row>
    <row r="893" spans="1:9" x14ac:dyDescent="0.25">
      <c r="A893" s="12">
        <v>892</v>
      </c>
      <c r="B893" s="12" t="s">
        <v>3146</v>
      </c>
      <c r="C893" s="12" t="s">
        <v>3147</v>
      </c>
      <c r="D893" s="12" t="s">
        <v>10</v>
      </c>
      <c r="E893" s="12" t="s">
        <v>3148</v>
      </c>
      <c r="F893" s="12" t="s">
        <v>3119</v>
      </c>
      <c r="G893" s="12" t="b">
        <v>0</v>
      </c>
      <c r="H893" s="12" t="b">
        <v>0</v>
      </c>
      <c r="I893" s="12" t="b">
        <v>0</v>
      </c>
    </row>
    <row r="894" spans="1:9" x14ac:dyDescent="0.25">
      <c r="A894" s="12">
        <v>893</v>
      </c>
      <c r="B894" s="12" t="s">
        <v>3149</v>
      </c>
      <c r="C894" s="12" t="s">
        <v>3150</v>
      </c>
      <c r="D894" s="12" t="s">
        <v>14</v>
      </c>
      <c r="E894" s="12" t="s">
        <v>3151</v>
      </c>
      <c r="F894" s="12" t="s">
        <v>1090</v>
      </c>
      <c r="G894" s="12" t="b">
        <v>0</v>
      </c>
      <c r="H894" s="12" t="b">
        <v>0</v>
      </c>
      <c r="I894" s="12" t="b">
        <v>0</v>
      </c>
    </row>
    <row r="895" spans="1:9" x14ac:dyDescent="0.25">
      <c r="A895" s="12">
        <v>894</v>
      </c>
      <c r="B895" s="12" t="s">
        <v>3152</v>
      </c>
      <c r="C895" s="12" t="s">
        <v>3153</v>
      </c>
      <c r="D895" s="12" t="s">
        <v>14</v>
      </c>
      <c r="E895" s="12" t="s">
        <v>3154</v>
      </c>
      <c r="F895" s="12" t="s">
        <v>3155</v>
      </c>
      <c r="G895" s="12" t="b">
        <v>0</v>
      </c>
      <c r="H895" s="12" t="b">
        <v>1</v>
      </c>
      <c r="I895" s="12" t="b">
        <v>1</v>
      </c>
    </row>
    <row r="896" spans="1:9" x14ac:dyDescent="0.25">
      <c r="A896" s="12">
        <v>895</v>
      </c>
      <c r="B896" s="12" t="s">
        <v>65</v>
      </c>
      <c r="C896" s="12" t="s">
        <v>3156</v>
      </c>
      <c r="D896" s="12" t="s">
        <v>45</v>
      </c>
      <c r="E896" s="12" t="s">
        <v>3157</v>
      </c>
      <c r="F896" s="12" t="s">
        <v>3158</v>
      </c>
      <c r="G896" s="12" t="b">
        <v>0</v>
      </c>
      <c r="H896" s="12" t="b">
        <v>1</v>
      </c>
      <c r="I896" s="12" t="b">
        <v>1</v>
      </c>
    </row>
    <row r="897" spans="1:9" x14ac:dyDescent="0.25">
      <c r="A897" s="12">
        <v>896</v>
      </c>
      <c r="B897" s="12" t="s">
        <v>3159</v>
      </c>
      <c r="C897" s="12" t="s">
        <v>3160</v>
      </c>
      <c r="D897" s="12" t="s">
        <v>10</v>
      </c>
      <c r="E897" s="12" t="s">
        <v>3161</v>
      </c>
      <c r="F897" s="12" t="s">
        <v>317</v>
      </c>
      <c r="G897" s="12" t="b">
        <v>0</v>
      </c>
      <c r="H897" s="12" t="b">
        <v>1</v>
      </c>
      <c r="I897" s="12" t="b">
        <v>1</v>
      </c>
    </row>
    <row r="898" spans="1:9" x14ac:dyDescent="0.25">
      <c r="A898" s="12">
        <v>897</v>
      </c>
      <c r="B898" s="12" t="s">
        <v>3162</v>
      </c>
      <c r="C898" s="12" t="s">
        <v>3163</v>
      </c>
      <c r="D898" s="12" t="s">
        <v>10</v>
      </c>
      <c r="E898" s="12" t="s">
        <v>3164</v>
      </c>
      <c r="F898" s="12" t="s">
        <v>3165</v>
      </c>
      <c r="G898" s="12" t="b">
        <v>0</v>
      </c>
      <c r="H898" s="12" t="b">
        <v>1</v>
      </c>
      <c r="I898" s="12" t="b">
        <v>1</v>
      </c>
    </row>
    <row r="899" spans="1:9" x14ac:dyDescent="0.25">
      <c r="A899" s="12">
        <v>898</v>
      </c>
      <c r="B899" s="12" t="s">
        <v>3166</v>
      </c>
      <c r="C899" s="12" t="s">
        <v>3167</v>
      </c>
      <c r="D899" s="12" t="s">
        <v>14</v>
      </c>
      <c r="E899" s="12" t="s">
        <v>3168</v>
      </c>
      <c r="F899" s="12" t="s">
        <v>3169</v>
      </c>
      <c r="G899" s="12" t="b">
        <v>0</v>
      </c>
      <c r="H899" s="12" t="b">
        <v>0</v>
      </c>
      <c r="I899" s="12" t="b">
        <v>0</v>
      </c>
    </row>
    <row r="900" spans="1:9" x14ac:dyDescent="0.25">
      <c r="A900" s="12">
        <v>899</v>
      </c>
      <c r="B900" s="12" t="s">
        <v>3170</v>
      </c>
      <c r="C900" s="12" t="s">
        <v>3171</v>
      </c>
      <c r="D900" s="12" t="s">
        <v>45</v>
      </c>
      <c r="E900" s="12" t="s">
        <v>3172</v>
      </c>
      <c r="F900" s="12" t="s">
        <v>3173</v>
      </c>
      <c r="G900" s="12" t="b">
        <v>0</v>
      </c>
      <c r="H900" s="12" t="b">
        <v>1</v>
      </c>
      <c r="I900" s="12" t="b">
        <v>1</v>
      </c>
    </row>
    <row r="901" spans="1:9" x14ac:dyDescent="0.25">
      <c r="A901" s="12">
        <v>900</v>
      </c>
      <c r="B901" s="12" t="s">
        <v>3174</v>
      </c>
      <c r="C901" s="12" t="s">
        <v>3175</v>
      </c>
      <c r="D901" s="12" t="s">
        <v>14</v>
      </c>
      <c r="E901" s="12" t="s">
        <v>3176</v>
      </c>
      <c r="F901" s="12" t="s">
        <v>3177</v>
      </c>
      <c r="G901" s="12" t="b">
        <v>0</v>
      </c>
      <c r="H901" s="12" t="b">
        <v>0</v>
      </c>
      <c r="I901" s="12" t="b">
        <v>0</v>
      </c>
    </row>
    <row r="902" spans="1:9" x14ac:dyDescent="0.25">
      <c r="A902" s="12">
        <v>901</v>
      </c>
      <c r="B902" s="12" t="s">
        <v>3178</v>
      </c>
      <c r="C902" s="12" t="s">
        <v>3179</v>
      </c>
      <c r="D902" s="12" t="s">
        <v>14</v>
      </c>
      <c r="E902" s="12" t="s">
        <v>3180</v>
      </c>
      <c r="F902" s="12" t="s">
        <v>3181</v>
      </c>
      <c r="G902" s="12" t="b">
        <v>0</v>
      </c>
      <c r="H902" s="12" t="b">
        <v>0</v>
      </c>
      <c r="I902" s="12" t="b">
        <v>0</v>
      </c>
    </row>
    <row r="903" spans="1:9" x14ac:dyDescent="0.25">
      <c r="A903" s="12">
        <v>902</v>
      </c>
      <c r="B903" s="12" t="s">
        <v>3182</v>
      </c>
      <c r="C903" s="12" t="s">
        <v>3183</v>
      </c>
      <c r="D903" s="12" t="s">
        <v>45</v>
      </c>
      <c r="E903" s="12" t="s">
        <v>3184</v>
      </c>
      <c r="F903" s="12" t="s">
        <v>3185</v>
      </c>
      <c r="G903" s="12" t="b">
        <v>0</v>
      </c>
      <c r="H903" s="12" t="b">
        <v>1</v>
      </c>
      <c r="I903" s="12" t="b">
        <v>1</v>
      </c>
    </row>
    <row r="904" spans="1:9" x14ac:dyDescent="0.25">
      <c r="A904" s="12">
        <v>903</v>
      </c>
      <c r="B904" s="12" t="s">
        <v>3186</v>
      </c>
      <c r="C904" s="12" t="s">
        <v>3187</v>
      </c>
      <c r="D904" s="12" t="s">
        <v>45</v>
      </c>
      <c r="E904" s="12" t="s">
        <v>3188</v>
      </c>
      <c r="F904" s="12" t="s">
        <v>292</v>
      </c>
      <c r="G904" s="12" t="b">
        <v>0</v>
      </c>
      <c r="H904" s="12" t="b">
        <v>0</v>
      </c>
      <c r="I904" s="12" t="b">
        <v>0</v>
      </c>
    </row>
    <row r="905" spans="1:9" x14ac:dyDescent="0.25">
      <c r="A905" s="12">
        <v>904</v>
      </c>
      <c r="B905" s="12" t="s">
        <v>158</v>
      </c>
      <c r="C905" s="12" t="s">
        <v>3189</v>
      </c>
      <c r="D905" s="12" t="s">
        <v>14</v>
      </c>
      <c r="E905" s="12" t="s">
        <v>3190</v>
      </c>
      <c r="F905" s="12" t="s">
        <v>994</v>
      </c>
      <c r="G905" s="12" t="b">
        <v>0</v>
      </c>
      <c r="H905" s="12" t="b">
        <v>0</v>
      </c>
      <c r="I905" s="12" t="b">
        <v>0</v>
      </c>
    </row>
    <row r="906" spans="1:9" x14ac:dyDescent="0.25">
      <c r="A906" s="12">
        <v>905</v>
      </c>
      <c r="B906" s="12" t="s">
        <v>3191</v>
      </c>
      <c r="C906" s="12" t="s">
        <v>3192</v>
      </c>
      <c r="D906" s="12" t="s">
        <v>10</v>
      </c>
      <c r="E906" s="12" t="s">
        <v>3193</v>
      </c>
      <c r="F906" s="12" t="s">
        <v>372</v>
      </c>
      <c r="G906" s="12" t="b">
        <v>0</v>
      </c>
      <c r="H906" s="12" t="b">
        <v>1</v>
      </c>
      <c r="I906" s="12" t="b">
        <v>1</v>
      </c>
    </row>
    <row r="907" spans="1:9" x14ac:dyDescent="0.25">
      <c r="A907" s="12">
        <v>906</v>
      </c>
      <c r="B907" s="12" t="s">
        <v>3194</v>
      </c>
      <c r="C907" s="12" t="s">
        <v>3195</v>
      </c>
      <c r="D907" s="12" t="s">
        <v>45</v>
      </c>
      <c r="E907" s="12" t="s">
        <v>3196</v>
      </c>
      <c r="F907" s="12" t="s">
        <v>2939</v>
      </c>
      <c r="G907" s="12" t="b">
        <v>0</v>
      </c>
      <c r="H907" s="12" t="b">
        <v>1</v>
      </c>
      <c r="I907" s="12" t="b">
        <v>1</v>
      </c>
    </row>
    <row r="908" spans="1:9" x14ac:dyDescent="0.25">
      <c r="A908" s="12">
        <v>907</v>
      </c>
      <c r="B908" s="12" t="s">
        <v>3197</v>
      </c>
      <c r="C908" s="12" t="s">
        <v>3198</v>
      </c>
      <c r="D908" s="12" t="s">
        <v>14</v>
      </c>
      <c r="E908" s="12" t="s">
        <v>3199</v>
      </c>
      <c r="F908" s="12" t="s">
        <v>3200</v>
      </c>
      <c r="G908" s="12" t="b">
        <v>0</v>
      </c>
      <c r="H908" s="12" t="b">
        <v>0</v>
      </c>
      <c r="I908" s="12" t="b">
        <v>0</v>
      </c>
    </row>
    <row r="909" spans="1:9" x14ac:dyDescent="0.25">
      <c r="A909" s="12">
        <v>908</v>
      </c>
      <c r="B909" s="12" t="s">
        <v>3201</v>
      </c>
      <c r="C909" s="12" t="s">
        <v>3202</v>
      </c>
      <c r="D909" s="12" t="s">
        <v>10</v>
      </c>
      <c r="E909" s="12" t="s">
        <v>3203</v>
      </c>
      <c r="F909" s="12" t="s">
        <v>525</v>
      </c>
      <c r="G909" s="12" t="b">
        <v>0</v>
      </c>
      <c r="H909" s="12" t="b">
        <v>0</v>
      </c>
      <c r="I909" s="12" t="b">
        <v>0</v>
      </c>
    </row>
    <row r="910" spans="1:9" x14ac:dyDescent="0.25">
      <c r="A910" s="12">
        <v>909</v>
      </c>
      <c r="B910" s="12" t="s">
        <v>3204</v>
      </c>
      <c r="C910" s="12" t="s">
        <v>3205</v>
      </c>
      <c r="D910" s="12" t="s">
        <v>14</v>
      </c>
      <c r="E910" s="12" t="s">
        <v>3206</v>
      </c>
      <c r="F910" s="12" t="s">
        <v>1199</v>
      </c>
      <c r="G910" s="12" t="b">
        <v>0</v>
      </c>
      <c r="H910" s="12" t="b">
        <v>0</v>
      </c>
      <c r="I910" s="12" t="b">
        <v>0</v>
      </c>
    </row>
    <row r="911" spans="1:9" x14ac:dyDescent="0.25">
      <c r="A911" s="12">
        <v>910</v>
      </c>
      <c r="B911" s="12" t="s">
        <v>3207</v>
      </c>
      <c r="C911" s="12" t="s">
        <v>3208</v>
      </c>
      <c r="D911" s="12" t="s">
        <v>14</v>
      </c>
      <c r="E911" s="12" t="s">
        <v>3209</v>
      </c>
      <c r="F911" s="12" t="s">
        <v>3210</v>
      </c>
      <c r="G911" s="12" t="b">
        <v>0</v>
      </c>
      <c r="H911" s="12" t="b">
        <v>1</v>
      </c>
      <c r="I911" s="12" t="b">
        <v>1</v>
      </c>
    </row>
    <row r="912" spans="1:9" x14ac:dyDescent="0.25">
      <c r="A912" s="12">
        <v>911</v>
      </c>
      <c r="B912" s="12" t="s">
        <v>3211</v>
      </c>
      <c r="C912" s="12" t="s">
        <v>3212</v>
      </c>
      <c r="D912" s="12" t="s">
        <v>14</v>
      </c>
      <c r="E912" s="12" t="s">
        <v>3213</v>
      </c>
      <c r="F912" s="12" t="s">
        <v>3214</v>
      </c>
      <c r="G912" s="12" t="b">
        <v>0</v>
      </c>
      <c r="H912" s="12" t="b">
        <v>1</v>
      </c>
      <c r="I912" s="12" t="b">
        <v>1</v>
      </c>
    </row>
    <row r="913" spans="1:9" x14ac:dyDescent="0.25">
      <c r="A913" s="12">
        <v>912</v>
      </c>
      <c r="B913" s="12" t="s">
        <v>3215</v>
      </c>
      <c r="C913" s="12" t="s">
        <v>3216</v>
      </c>
      <c r="D913" s="12" t="s">
        <v>14</v>
      </c>
      <c r="E913" s="12" t="s">
        <v>3217</v>
      </c>
      <c r="F913" s="12" t="s">
        <v>3218</v>
      </c>
      <c r="G913" s="12" t="b">
        <v>0</v>
      </c>
      <c r="H913" s="12" t="b">
        <v>0</v>
      </c>
      <c r="I913" s="12" t="b">
        <v>0</v>
      </c>
    </row>
    <row r="914" spans="1:9" x14ac:dyDescent="0.25">
      <c r="A914" s="12">
        <v>913</v>
      </c>
      <c r="B914" s="12" t="s">
        <v>3219</v>
      </c>
      <c r="C914" s="12" t="s">
        <v>3220</v>
      </c>
      <c r="D914" s="12" t="s">
        <v>45</v>
      </c>
      <c r="E914" s="12" t="s">
        <v>3221</v>
      </c>
      <c r="F914" s="12" t="s">
        <v>3222</v>
      </c>
      <c r="G914" s="12" t="b">
        <v>0</v>
      </c>
      <c r="H914" s="12" t="b">
        <v>1</v>
      </c>
      <c r="I914" s="12" t="b">
        <v>1</v>
      </c>
    </row>
    <row r="915" spans="1:9" x14ac:dyDescent="0.25">
      <c r="A915" s="12">
        <v>914</v>
      </c>
      <c r="B915" s="12" t="s">
        <v>3223</v>
      </c>
      <c r="C915" s="12" t="s">
        <v>3224</v>
      </c>
      <c r="D915" s="12" t="s">
        <v>10</v>
      </c>
      <c r="E915" s="12" t="s">
        <v>3225</v>
      </c>
      <c r="F915" s="12" t="s">
        <v>3226</v>
      </c>
      <c r="G915" s="12" t="b">
        <v>0</v>
      </c>
      <c r="H915" s="12" t="b">
        <v>1</v>
      </c>
      <c r="I915" s="12" t="b">
        <v>1</v>
      </c>
    </row>
    <row r="916" spans="1:9" x14ac:dyDescent="0.25">
      <c r="A916" s="12">
        <v>915</v>
      </c>
      <c r="B916" s="12" t="s">
        <v>3227</v>
      </c>
      <c r="C916" s="12" t="s">
        <v>3228</v>
      </c>
      <c r="D916" s="12" t="s">
        <v>14</v>
      </c>
      <c r="E916" s="12" t="s">
        <v>3229</v>
      </c>
      <c r="F916" s="12" t="s">
        <v>317</v>
      </c>
      <c r="G916" s="12" t="b">
        <v>0</v>
      </c>
      <c r="H916" s="12" t="b">
        <v>1</v>
      </c>
      <c r="I916" s="12" t="b">
        <v>1</v>
      </c>
    </row>
    <row r="917" spans="1:9" x14ac:dyDescent="0.25">
      <c r="A917" s="12">
        <v>916</v>
      </c>
      <c r="B917" s="12" t="s">
        <v>3230</v>
      </c>
      <c r="C917" s="12" t="s">
        <v>3231</v>
      </c>
      <c r="D917" s="12" t="s">
        <v>14</v>
      </c>
      <c r="E917" s="12" t="s">
        <v>3232</v>
      </c>
      <c r="F917" s="12" t="s">
        <v>1090</v>
      </c>
      <c r="G917" s="12" t="b">
        <v>0</v>
      </c>
      <c r="H917" s="12" t="b">
        <v>1</v>
      </c>
      <c r="I917" s="12" t="b">
        <v>1</v>
      </c>
    </row>
    <row r="918" spans="1:9" x14ac:dyDescent="0.25">
      <c r="A918" s="12">
        <v>917</v>
      </c>
      <c r="B918" s="12" t="s">
        <v>3233</v>
      </c>
      <c r="C918" s="12" t="s">
        <v>3234</v>
      </c>
      <c r="D918" s="12" t="s">
        <v>10</v>
      </c>
      <c r="E918" s="12" t="s">
        <v>3235</v>
      </c>
      <c r="F918" s="12" t="s">
        <v>702</v>
      </c>
      <c r="G918" s="12" t="b">
        <v>0</v>
      </c>
      <c r="H918" s="12" t="b">
        <v>1</v>
      </c>
      <c r="I918" s="12" t="b">
        <v>1</v>
      </c>
    </row>
    <row r="919" spans="1:9" x14ac:dyDescent="0.25">
      <c r="A919" s="12">
        <v>918</v>
      </c>
      <c r="B919" s="12" t="s">
        <v>3236</v>
      </c>
      <c r="C919" s="12" t="s">
        <v>3237</v>
      </c>
      <c r="D919" s="12" t="s">
        <v>14</v>
      </c>
      <c r="E919" s="12" t="s">
        <v>971</v>
      </c>
      <c r="F919" s="12" t="s">
        <v>3238</v>
      </c>
      <c r="G919" s="12" t="b">
        <v>0</v>
      </c>
      <c r="H919" s="12" t="b">
        <v>1</v>
      </c>
      <c r="I919" s="12" t="b">
        <v>1</v>
      </c>
    </row>
    <row r="920" spans="1:9" x14ac:dyDescent="0.25">
      <c r="A920" s="12">
        <v>919</v>
      </c>
      <c r="B920" s="12" t="s">
        <v>3239</v>
      </c>
      <c r="C920" s="12" t="s">
        <v>3240</v>
      </c>
      <c r="D920" s="12" t="s">
        <v>14</v>
      </c>
      <c r="E920" s="12" t="s">
        <v>3241</v>
      </c>
      <c r="F920" s="12" t="s">
        <v>3242</v>
      </c>
      <c r="G920" s="12" t="b">
        <v>0</v>
      </c>
      <c r="H920" s="12" t="b">
        <v>1</v>
      </c>
      <c r="I920" s="12" t="b">
        <v>1</v>
      </c>
    </row>
    <row r="921" spans="1:9" x14ac:dyDescent="0.25">
      <c r="A921" s="12">
        <v>920</v>
      </c>
      <c r="B921" s="12" t="s">
        <v>3243</v>
      </c>
      <c r="C921" s="12" t="s">
        <v>3244</v>
      </c>
      <c r="D921" s="12" t="s">
        <v>45</v>
      </c>
      <c r="E921" s="12" t="s">
        <v>3245</v>
      </c>
      <c r="F921" s="12" t="s">
        <v>511</v>
      </c>
      <c r="G921" s="12" t="b">
        <v>0</v>
      </c>
      <c r="H921" s="12" t="b">
        <v>1</v>
      </c>
      <c r="I921" s="12" t="b">
        <v>1</v>
      </c>
    </row>
    <row r="922" spans="1:9" x14ac:dyDescent="0.25">
      <c r="A922" s="12">
        <v>921</v>
      </c>
      <c r="B922" s="12" t="s">
        <v>3246</v>
      </c>
      <c r="C922" s="12" t="s">
        <v>3247</v>
      </c>
      <c r="D922" s="12" t="s">
        <v>14</v>
      </c>
      <c r="E922" s="12" t="s">
        <v>3248</v>
      </c>
      <c r="F922" s="12" t="s">
        <v>3249</v>
      </c>
      <c r="G922" s="12" t="b">
        <v>0</v>
      </c>
      <c r="H922" s="12" t="b">
        <v>1</v>
      </c>
      <c r="I922" s="12" t="b">
        <v>1</v>
      </c>
    </row>
    <row r="923" spans="1:9" x14ac:dyDescent="0.25">
      <c r="A923" s="12">
        <v>922</v>
      </c>
      <c r="B923" s="12" t="s">
        <v>3250</v>
      </c>
      <c r="C923" s="12" t="s">
        <v>3251</v>
      </c>
      <c r="D923" s="12" t="s">
        <v>10</v>
      </c>
      <c r="E923" s="12" t="s">
        <v>3252</v>
      </c>
      <c r="F923" s="12" t="s">
        <v>372</v>
      </c>
      <c r="G923" s="12" t="b">
        <v>0</v>
      </c>
      <c r="H923" s="12" t="b">
        <v>1</v>
      </c>
      <c r="I923" s="12" t="b">
        <v>1</v>
      </c>
    </row>
    <row r="924" spans="1:9" x14ac:dyDescent="0.25">
      <c r="A924" s="12">
        <v>923</v>
      </c>
      <c r="B924" s="12" t="s">
        <v>3253</v>
      </c>
      <c r="C924" s="12" t="s">
        <v>3254</v>
      </c>
      <c r="D924" s="12" t="s">
        <v>14</v>
      </c>
      <c r="E924" s="12" t="s">
        <v>3255</v>
      </c>
      <c r="F924" s="12" t="s">
        <v>3256</v>
      </c>
      <c r="G924" s="12" t="b">
        <v>0</v>
      </c>
      <c r="H924" s="12" t="b">
        <v>1</v>
      </c>
      <c r="I924" s="12" t="b">
        <v>1</v>
      </c>
    </row>
    <row r="925" spans="1:9" x14ac:dyDescent="0.25">
      <c r="A925" s="12">
        <v>924</v>
      </c>
      <c r="B925" s="12" t="s">
        <v>3257</v>
      </c>
      <c r="C925" s="12" t="s">
        <v>3258</v>
      </c>
      <c r="D925" s="12" t="s">
        <v>45</v>
      </c>
      <c r="E925" s="12" t="s">
        <v>3259</v>
      </c>
      <c r="F925" s="12" t="s">
        <v>720</v>
      </c>
      <c r="G925" s="12" t="b">
        <v>0</v>
      </c>
      <c r="H925" s="12" t="b">
        <v>1</v>
      </c>
      <c r="I925" s="12" t="b">
        <v>1</v>
      </c>
    </row>
    <row r="926" spans="1:9" x14ac:dyDescent="0.25">
      <c r="A926" s="12">
        <v>925</v>
      </c>
      <c r="B926" s="12" t="s">
        <v>3260</v>
      </c>
      <c r="C926" s="12" t="s">
        <v>3261</v>
      </c>
      <c r="D926" s="12" t="s">
        <v>10</v>
      </c>
      <c r="E926" s="12" t="s">
        <v>3262</v>
      </c>
      <c r="F926" s="12" t="s">
        <v>702</v>
      </c>
      <c r="G926" s="12" t="b">
        <v>0</v>
      </c>
      <c r="H926" s="12" t="b">
        <v>0</v>
      </c>
      <c r="I926" s="12" t="b">
        <v>0</v>
      </c>
    </row>
    <row r="927" spans="1:9" x14ac:dyDescent="0.25">
      <c r="A927" s="12">
        <v>926</v>
      </c>
      <c r="B927" s="12" t="s">
        <v>3263</v>
      </c>
      <c r="C927" s="12" t="s">
        <v>3264</v>
      </c>
      <c r="D927" s="12" t="s">
        <v>14</v>
      </c>
      <c r="E927" s="12" t="s">
        <v>3265</v>
      </c>
      <c r="F927" s="12" t="s">
        <v>340</v>
      </c>
      <c r="G927" s="12" t="b">
        <v>0</v>
      </c>
      <c r="H927" s="12" t="b">
        <v>1</v>
      </c>
      <c r="I927" s="12" t="b">
        <v>1</v>
      </c>
    </row>
    <row r="928" spans="1:9" x14ac:dyDescent="0.25">
      <c r="A928" s="12">
        <v>927</v>
      </c>
      <c r="B928" s="12" t="s">
        <v>3266</v>
      </c>
      <c r="C928" s="12" t="s">
        <v>3267</v>
      </c>
      <c r="D928" s="12" t="s">
        <v>45</v>
      </c>
      <c r="E928" s="12" t="s">
        <v>3268</v>
      </c>
      <c r="F928" s="12" t="s">
        <v>525</v>
      </c>
      <c r="G928" s="12" t="b">
        <v>0</v>
      </c>
      <c r="H928" s="12" t="b">
        <v>1</v>
      </c>
      <c r="I928" s="12" t="b">
        <v>1</v>
      </c>
    </row>
    <row r="929" spans="1:9" x14ac:dyDescent="0.25">
      <c r="A929" s="12">
        <v>928</v>
      </c>
      <c r="B929" s="12" t="s">
        <v>3269</v>
      </c>
      <c r="C929" s="12" t="s">
        <v>3270</v>
      </c>
      <c r="D929" s="12" t="s">
        <v>45</v>
      </c>
      <c r="E929" s="12" t="s">
        <v>3271</v>
      </c>
      <c r="F929" s="12" t="s">
        <v>720</v>
      </c>
      <c r="G929" s="12" t="b">
        <v>0</v>
      </c>
      <c r="H929" s="12" t="b">
        <v>1</v>
      </c>
      <c r="I929" s="12" t="b">
        <v>1</v>
      </c>
    </row>
    <row r="930" spans="1:9" x14ac:dyDescent="0.25">
      <c r="A930" s="12">
        <v>929</v>
      </c>
      <c r="B930" s="12" t="s">
        <v>3272</v>
      </c>
      <c r="C930" s="12" t="s">
        <v>3273</v>
      </c>
      <c r="D930" s="12" t="s">
        <v>10</v>
      </c>
      <c r="E930" s="12" t="s">
        <v>3274</v>
      </c>
      <c r="F930" s="12" t="s">
        <v>1090</v>
      </c>
      <c r="G930" s="12" t="b">
        <v>0</v>
      </c>
      <c r="H930" s="12" t="b">
        <v>1</v>
      </c>
      <c r="I930" s="12" t="b">
        <v>1</v>
      </c>
    </row>
    <row r="931" spans="1:9" x14ac:dyDescent="0.25">
      <c r="A931" s="12">
        <v>930</v>
      </c>
      <c r="B931" s="12" t="s">
        <v>3275</v>
      </c>
      <c r="C931" s="12" t="s">
        <v>3276</v>
      </c>
      <c r="D931" s="12" t="s">
        <v>14</v>
      </c>
      <c r="E931" s="12" t="s">
        <v>3277</v>
      </c>
      <c r="F931" s="12" t="s">
        <v>3278</v>
      </c>
      <c r="G931" s="12" t="b">
        <v>0</v>
      </c>
      <c r="H931" s="12" t="b">
        <v>1</v>
      </c>
      <c r="I931" s="12" t="b">
        <v>1</v>
      </c>
    </row>
    <row r="932" spans="1:9" x14ac:dyDescent="0.25">
      <c r="A932" s="12">
        <v>931</v>
      </c>
      <c r="B932" s="12" t="s">
        <v>3279</v>
      </c>
      <c r="C932" s="12" t="s">
        <v>3280</v>
      </c>
      <c r="D932" s="12" t="s">
        <v>14</v>
      </c>
      <c r="E932" s="12" t="s">
        <v>3281</v>
      </c>
      <c r="F932" s="12" t="s">
        <v>515</v>
      </c>
      <c r="G932" s="12" t="b">
        <v>0</v>
      </c>
      <c r="H932" s="12" t="b">
        <v>1</v>
      </c>
      <c r="I932" s="12" t="b">
        <v>1</v>
      </c>
    </row>
    <row r="933" spans="1:9" x14ac:dyDescent="0.25">
      <c r="A933" s="12">
        <v>932</v>
      </c>
      <c r="B933" s="12" t="s">
        <v>3282</v>
      </c>
      <c r="C933" s="12" t="s">
        <v>3283</v>
      </c>
      <c r="D933" s="12" t="s">
        <v>14</v>
      </c>
      <c r="E933" s="12" t="s">
        <v>3284</v>
      </c>
      <c r="F933" s="12" t="s">
        <v>3285</v>
      </c>
      <c r="G933" s="12" t="b">
        <v>0</v>
      </c>
      <c r="H933" s="12" t="b">
        <v>1</v>
      </c>
      <c r="I933" s="12" t="b">
        <v>1</v>
      </c>
    </row>
    <row r="934" spans="1:9" x14ac:dyDescent="0.25">
      <c r="A934" s="12">
        <v>933</v>
      </c>
      <c r="B934" s="12" t="s">
        <v>3286</v>
      </c>
      <c r="C934" s="12" t="s">
        <v>3287</v>
      </c>
      <c r="D934" s="12" t="s">
        <v>10</v>
      </c>
      <c r="E934" s="12" t="s">
        <v>3288</v>
      </c>
      <c r="F934" s="12" t="s">
        <v>3289</v>
      </c>
      <c r="G934" s="12" t="b">
        <v>0</v>
      </c>
      <c r="H934" s="12" t="b">
        <v>1</v>
      </c>
      <c r="I934" s="12" t="b">
        <v>1</v>
      </c>
    </row>
    <row r="935" spans="1:9" x14ac:dyDescent="0.25">
      <c r="A935" s="12">
        <v>934</v>
      </c>
      <c r="B935" s="12" t="s">
        <v>3290</v>
      </c>
      <c r="C935" s="12" t="s">
        <v>3291</v>
      </c>
      <c r="D935" s="12" t="s">
        <v>14</v>
      </c>
      <c r="E935" s="12" t="s">
        <v>3292</v>
      </c>
      <c r="F935" s="12" t="s">
        <v>1628</v>
      </c>
      <c r="G935" s="12" t="b">
        <v>0</v>
      </c>
      <c r="H935" s="12" t="b">
        <v>0</v>
      </c>
      <c r="I935" s="12" t="b">
        <v>0</v>
      </c>
    </row>
    <row r="936" spans="1:9" x14ac:dyDescent="0.25">
      <c r="A936" s="12">
        <v>935</v>
      </c>
      <c r="B936" s="12" t="s">
        <v>3293</v>
      </c>
      <c r="C936" s="12" t="s">
        <v>3294</v>
      </c>
      <c r="D936" s="12" t="s">
        <v>14</v>
      </c>
      <c r="E936" s="12" t="s">
        <v>3295</v>
      </c>
      <c r="F936" s="12" t="s">
        <v>292</v>
      </c>
      <c r="G936" s="12" t="b">
        <v>0</v>
      </c>
      <c r="H936" s="12" t="b">
        <v>0</v>
      </c>
      <c r="I936" s="12" t="b">
        <v>0</v>
      </c>
    </row>
    <row r="937" spans="1:9" x14ac:dyDescent="0.25">
      <c r="A937" s="12">
        <v>936</v>
      </c>
      <c r="B937" s="12" t="s">
        <v>3296</v>
      </c>
      <c r="C937" s="12" t="s">
        <v>3297</v>
      </c>
      <c r="D937" s="12" t="s">
        <v>45</v>
      </c>
      <c r="E937" s="12" t="s">
        <v>3298</v>
      </c>
      <c r="F937" s="12" t="s">
        <v>3299</v>
      </c>
      <c r="G937" s="12" t="b">
        <v>0</v>
      </c>
      <c r="H937" s="12" t="b">
        <v>1</v>
      </c>
      <c r="I937" s="12" t="b">
        <v>1</v>
      </c>
    </row>
    <row r="938" spans="1:9" x14ac:dyDescent="0.25">
      <c r="A938" s="12">
        <v>937</v>
      </c>
      <c r="B938" s="12" t="s">
        <v>3300</v>
      </c>
      <c r="C938" s="12" t="s">
        <v>3301</v>
      </c>
      <c r="D938" s="12" t="s">
        <v>10</v>
      </c>
      <c r="E938" s="12" t="s">
        <v>3302</v>
      </c>
      <c r="F938" s="12" t="s">
        <v>2952</v>
      </c>
      <c r="G938" s="12" t="b">
        <v>0</v>
      </c>
      <c r="H938" s="12" t="b">
        <v>1</v>
      </c>
      <c r="I938" s="12" t="b">
        <v>1</v>
      </c>
    </row>
    <row r="939" spans="1:9" x14ac:dyDescent="0.25">
      <c r="A939" s="12">
        <v>938</v>
      </c>
      <c r="B939" s="12" t="s">
        <v>3303</v>
      </c>
      <c r="C939" s="12" t="s">
        <v>3304</v>
      </c>
      <c r="D939" s="12" t="s">
        <v>10</v>
      </c>
      <c r="E939" s="12" t="s">
        <v>3305</v>
      </c>
      <c r="F939" s="12" t="s">
        <v>622</v>
      </c>
      <c r="G939" s="12" t="b">
        <v>0</v>
      </c>
      <c r="H939" s="12" t="b">
        <v>1</v>
      </c>
      <c r="I939" s="12" t="b">
        <v>1</v>
      </c>
    </row>
    <row r="940" spans="1:9" x14ac:dyDescent="0.25">
      <c r="A940" s="12">
        <v>939</v>
      </c>
      <c r="B940" s="12" t="s">
        <v>3306</v>
      </c>
      <c r="C940" s="12" t="s">
        <v>3307</v>
      </c>
      <c r="D940" s="12" t="s">
        <v>14</v>
      </c>
      <c r="E940" s="12" t="s">
        <v>3308</v>
      </c>
      <c r="F940" s="12" t="s">
        <v>3309</v>
      </c>
      <c r="G940" s="12" t="b">
        <v>0</v>
      </c>
      <c r="H940" s="12" t="b">
        <v>0</v>
      </c>
      <c r="I940" s="12" t="b">
        <v>0</v>
      </c>
    </row>
    <row r="941" spans="1:9" x14ac:dyDescent="0.25">
      <c r="A941" s="12">
        <v>940</v>
      </c>
      <c r="B941" s="12" t="s">
        <v>3310</v>
      </c>
      <c r="C941" s="12" t="s">
        <v>3311</v>
      </c>
      <c r="D941" s="12" t="s">
        <v>45</v>
      </c>
      <c r="E941" s="12" t="s">
        <v>3312</v>
      </c>
      <c r="F941" s="12" t="s">
        <v>340</v>
      </c>
      <c r="G941" s="12" t="b">
        <v>0</v>
      </c>
      <c r="H941" s="12" t="b">
        <v>1</v>
      </c>
      <c r="I941" s="12" t="b">
        <v>1</v>
      </c>
    </row>
    <row r="942" spans="1:9" x14ac:dyDescent="0.25">
      <c r="A942" s="12">
        <v>941</v>
      </c>
      <c r="B942" s="12" t="s">
        <v>3313</v>
      </c>
      <c r="C942" s="12" t="s">
        <v>3314</v>
      </c>
      <c r="D942" s="12" t="s">
        <v>10</v>
      </c>
      <c r="E942" s="12" t="s">
        <v>3315</v>
      </c>
      <c r="F942" s="12" t="s">
        <v>317</v>
      </c>
      <c r="G942" s="12" t="b">
        <v>0</v>
      </c>
      <c r="H942" s="12" t="b">
        <v>1</v>
      </c>
      <c r="I942" s="12" t="b">
        <v>1</v>
      </c>
    </row>
    <row r="943" spans="1:9" x14ac:dyDescent="0.25">
      <c r="A943" s="12">
        <v>942</v>
      </c>
      <c r="B943" s="12" t="s">
        <v>3316</v>
      </c>
      <c r="C943" s="12" t="s">
        <v>3317</v>
      </c>
      <c r="D943" s="12" t="s">
        <v>10</v>
      </c>
      <c r="E943" s="12" t="s">
        <v>3318</v>
      </c>
      <c r="F943" s="12" t="s">
        <v>3319</v>
      </c>
      <c r="G943" s="12" t="b">
        <v>0</v>
      </c>
      <c r="H943" s="12" t="b">
        <v>1</v>
      </c>
      <c r="I943" s="12" t="b">
        <v>1</v>
      </c>
    </row>
    <row r="944" spans="1:9" x14ac:dyDescent="0.25">
      <c r="A944" s="12">
        <v>943</v>
      </c>
      <c r="B944" s="12" t="s">
        <v>3320</v>
      </c>
      <c r="C944" s="12" t="s">
        <v>3321</v>
      </c>
      <c r="D944" s="12" t="s">
        <v>45</v>
      </c>
      <c r="E944" s="12" t="s">
        <v>494</v>
      </c>
      <c r="F944" s="12" t="s">
        <v>3322</v>
      </c>
      <c r="G944" s="12" t="b">
        <v>0</v>
      </c>
      <c r="H944" s="12" t="b">
        <v>1</v>
      </c>
      <c r="I944" s="12" t="b">
        <v>1</v>
      </c>
    </row>
    <row r="945" spans="1:9" x14ac:dyDescent="0.25">
      <c r="A945" s="12">
        <v>944</v>
      </c>
      <c r="B945" s="12" t="s">
        <v>3323</v>
      </c>
      <c r="C945" s="12" t="s">
        <v>3324</v>
      </c>
      <c r="D945" s="12" t="s">
        <v>10</v>
      </c>
      <c r="E945" s="12" t="s">
        <v>3325</v>
      </c>
      <c r="F945" s="12" t="s">
        <v>1072</v>
      </c>
      <c r="G945" s="12" t="b">
        <v>0</v>
      </c>
      <c r="H945" s="12" t="b">
        <v>0</v>
      </c>
      <c r="I945" s="12" t="b">
        <v>0</v>
      </c>
    </row>
    <row r="946" spans="1:9" x14ac:dyDescent="0.25">
      <c r="A946" s="12">
        <v>945</v>
      </c>
      <c r="B946" s="12" t="s">
        <v>3326</v>
      </c>
      <c r="C946" s="12" t="s">
        <v>3327</v>
      </c>
      <c r="D946" s="12" t="s">
        <v>14</v>
      </c>
      <c r="E946" s="12" t="s">
        <v>3328</v>
      </c>
      <c r="F946" s="12" t="s">
        <v>3329</v>
      </c>
      <c r="G946" s="12" t="b">
        <v>0</v>
      </c>
      <c r="H946" s="12" t="b">
        <v>1</v>
      </c>
      <c r="I946" s="12" t="b">
        <v>1</v>
      </c>
    </row>
    <row r="947" spans="1:9" x14ac:dyDescent="0.25">
      <c r="A947" s="12">
        <v>946</v>
      </c>
      <c r="B947" s="12" t="s">
        <v>3330</v>
      </c>
      <c r="C947" s="12" t="s">
        <v>3331</v>
      </c>
      <c r="D947" s="12" t="s">
        <v>14</v>
      </c>
      <c r="E947" s="12" t="s">
        <v>3332</v>
      </c>
      <c r="F947" s="12" t="s">
        <v>2462</v>
      </c>
      <c r="G947" s="12" t="b">
        <v>0</v>
      </c>
      <c r="H947" s="12" t="b">
        <v>1</v>
      </c>
      <c r="I947" s="12" t="b">
        <v>1</v>
      </c>
    </row>
    <row r="948" spans="1:9" x14ac:dyDescent="0.25">
      <c r="A948" s="12">
        <v>947</v>
      </c>
      <c r="B948" s="12" t="s">
        <v>3333</v>
      </c>
      <c r="C948" s="12" t="s">
        <v>3334</v>
      </c>
      <c r="D948" s="12" t="s">
        <v>14</v>
      </c>
      <c r="E948" s="12" t="s">
        <v>3335</v>
      </c>
      <c r="F948" s="12" t="s">
        <v>3336</v>
      </c>
      <c r="G948" s="12" t="b">
        <v>0</v>
      </c>
      <c r="H948" s="12" t="b">
        <v>0</v>
      </c>
      <c r="I948" s="12" t="b">
        <v>0</v>
      </c>
    </row>
    <row r="949" spans="1:9" x14ac:dyDescent="0.25">
      <c r="A949" s="12">
        <v>948</v>
      </c>
      <c r="B949" s="12" t="s">
        <v>3337</v>
      </c>
      <c r="C949" s="12" t="s">
        <v>3338</v>
      </c>
      <c r="D949" s="12" t="s">
        <v>14</v>
      </c>
      <c r="E949" s="12" t="s">
        <v>3339</v>
      </c>
      <c r="F949" s="12" t="s">
        <v>3111</v>
      </c>
      <c r="G949" s="12" t="b">
        <v>0</v>
      </c>
      <c r="H949" s="12" t="b">
        <v>1</v>
      </c>
      <c r="I949" s="12" t="b">
        <v>1</v>
      </c>
    </row>
    <row r="950" spans="1:9" x14ac:dyDescent="0.25">
      <c r="A950" s="12">
        <v>949</v>
      </c>
      <c r="B950" s="12" t="s">
        <v>3340</v>
      </c>
      <c r="C950" s="12" t="s">
        <v>3341</v>
      </c>
      <c r="D950" s="12" t="s">
        <v>14</v>
      </c>
      <c r="E950" s="12" t="s">
        <v>3342</v>
      </c>
      <c r="F950" s="12" t="s">
        <v>2458</v>
      </c>
      <c r="G950" s="12" t="b">
        <v>0</v>
      </c>
      <c r="H950" s="12" t="b">
        <v>1</v>
      </c>
      <c r="I950" s="12" t="b">
        <v>1</v>
      </c>
    </row>
    <row r="951" spans="1:9" x14ac:dyDescent="0.25">
      <c r="A951" s="12">
        <v>950</v>
      </c>
      <c r="B951" s="12" t="s">
        <v>3343</v>
      </c>
      <c r="C951" s="12" t="s">
        <v>3344</v>
      </c>
      <c r="D951" s="12" t="s">
        <v>14</v>
      </c>
      <c r="E951" s="12" t="s">
        <v>3345</v>
      </c>
      <c r="F951" s="12" t="s">
        <v>3346</v>
      </c>
      <c r="G951" s="12" t="b">
        <v>0</v>
      </c>
      <c r="H951" s="12" t="b">
        <v>1</v>
      </c>
      <c r="I951" s="12" t="b">
        <v>1</v>
      </c>
    </row>
    <row r="952" spans="1:9" x14ac:dyDescent="0.25">
      <c r="A952" s="12">
        <v>951</v>
      </c>
      <c r="B952" s="12" t="s">
        <v>3347</v>
      </c>
      <c r="C952" s="12" t="s">
        <v>3348</v>
      </c>
      <c r="D952" s="12" t="s">
        <v>14</v>
      </c>
      <c r="E952" s="12" t="s">
        <v>3349</v>
      </c>
      <c r="F952" s="12" t="s">
        <v>658</v>
      </c>
      <c r="G952" s="12" t="b">
        <v>0</v>
      </c>
      <c r="H952" s="12" t="b">
        <v>1</v>
      </c>
      <c r="I952" s="12" t="b">
        <v>1</v>
      </c>
    </row>
    <row r="953" spans="1:9" x14ac:dyDescent="0.25">
      <c r="A953" s="12">
        <v>952</v>
      </c>
      <c r="B953" s="12" t="s">
        <v>3350</v>
      </c>
      <c r="C953" s="12" t="s">
        <v>3351</v>
      </c>
      <c r="D953" s="12" t="s">
        <v>45</v>
      </c>
      <c r="E953" s="12" t="s">
        <v>3352</v>
      </c>
      <c r="F953" s="12" t="s">
        <v>3353</v>
      </c>
      <c r="G953" s="12" t="b">
        <v>0</v>
      </c>
      <c r="H953" s="12" t="b">
        <v>1</v>
      </c>
      <c r="I953" s="12" t="b">
        <v>1</v>
      </c>
    </row>
    <row r="954" spans="1:9" x14ac:dyDescent="0.25">
      <c r="A954" s="12">
        <v>953</v>
      </c>
      <c r="B954" s="12" t="s">
        <v>3354</v>
      </c>
      <c r="C954" s="12" t="s">
        <v>3355</v>
      </c>
      <c r="D954" s="12" t="s">
        <v>10</v>
      </c>
      <c r="E954" s="12" t="s">
        <v>3356</v>
      </c>
      <c r="F954" s="12" t="s">
        <v>1090</v>
      </c>
      <c r="G954" s="12" t="b">
        <v>0</v>
      </c>
      <c r="H954" s="12" t="b">
        <v>1</v>
      </c>
      <c r="I954" s="12" t="b">
        <v>1</v>
      </c>
    </row>
    <row r="955" spans="1:9" x14ac:dyDescent="0.25">
      <c r="A955" s="12">
        <v>954</v>
      </c>
      <c r="B955" s="12" t="s">
        <v>3357</v>
      </c>
      <c r="C955" s="12" t="s">
        <v>3358</v>
      </c>
      <c r="D955" s="12" t="s">
        <v>14</v>
      </c>
      <c r="E955" s="12" t="s">
        <v>3359</v>
      </c>
      <c r="F955" s="12" t="s">
        <v>2996</v>
      </c>
      <c r="G955" s="12" t="b">
        <v>0</v>
      </c>
      <c r="H955" s="12" t="b">
        <v>1</v>
      </c>
      <c r="I955" s="12" t="b">
        <v>1</v>
      </c>
    </row>
    <row r="956" spans="1:9" x14ac:dyDescent="0.25">
      <c r="A956" s="12">
        <v>955</v>
      </c>
      <c r="B956" s="12" t="s">
        <v>3360</v>
      </c>
      <c r="C956" s="12" t="s">
        <v>3361</v>
      </c>
      <c r="D956" s="12" t="s">
        <v>14</v>
      </c>
      <c r="E956" s="12" t="s">
        <v>3362</v>
      </c>
      <c r="F956" s="12" t="s">
        <v>2070</v>
      </c>
      <c r="G956" s="12" t="b">
        <v>0</v>
      </c>
      <c r="H956" s="12" t="b">
        <v>0</v>
      </c>
      <c r="I956" s="12" t="b">
        <v>0</v>
      </c>
    </row>
    <row r="957" spans="1:9" x14ac:dyDescent="0.25">
      <c r="A957" s="12">
        <v>956</v>
      </c>
      <c r="B957" s="12" t="s">
        <v>3363</v>
      </c>
      <c r="C957" s="12" t="s">
        <v>3364</v>
      </c>
      <c r="D957" s="12" t="s">
        <v>45</v>
      </c>
      <c r="E957" s="12" t="s">
        <v>369</v>
      </c>
      <c r="F957" s="12" t="s">
        <v>681</v>
      </c>
      <c r="G957" s="12" t="b">
        <v>0</v>
      </c>
      <c r="H957" s="12" t="b">
        <v>0</v>
      </c>
      <c r="I957" s="12" t="b">
        <v>0</v>
      </c>
    </row>
    <row r="958" spans="1:9" x14ac:dyDescent="0.25">
      <c r="A958" s="12">
        <v>957</v>
      </c>
      <c r="B958" s="12" t="s">
        <v>3365</v>
      </c>
      <c r="C958" s="12" t="s">
        <v>3366</v>
      </c>
      <c r="D958" s="12" t="s">
        <v>14</v>
      </c>
      <c r="E958" s="12" t="s">
        <v>3367</v>
      </c>
      <c r="F958" s="12" t="s">
        <v>3368</v>
      </c>
      <c r="G958" s="12" t="b">
        <v>0</v>
      </c>
      <c r="H958" s="12" t="b">
        <v>1</v>
      </c>
      <c r="I958" s="12" t="b">
        <v>1</v>
      </c>
    </row>
    <row r="959" spans="1:9" x14ac:dyDescent="0.25">
      <c r="A959" s="12">
        <v>958</v>
      </c>
      <c r="B959" s="12" t="s">
        <v>3369</v>
      </c>
      <c r="C959" s="12" t="s">
        <v>3370</v>
      </c>
      <c r="D959" s="12" t="s">
        <v>14</v>
      </c>
      <c r="E959" s="12" t="s">
        <v>3371</v>
      </c>
      <c r="F959" s="12" t="s">
        <v>634</v>
      </c>
      <c r="G959" s="12" t="b">
        <v>0</v>
      </c>
      <c r="H959" s="12" t="b">
        <v>0</v>
      </c>
      <c r="I959" s="12" t="b">
        <v>0</v>
      </c>
    </row>
    <row r="960" spans="1:9" x14ac:dyDescent="0.25">
      <c r="A960" s="12">
        <v>959</v>
      </c>
      <c r="B960" s="12" t="s">
        <v>3372</v>
      </c>
      <c r="C960" s="12" t="s">
        <v>3373</v>
      </c>
      <c r="D960" s="12" t="s">
        <v>14</v>
      </c>
      <c r="E960" s="12" t="s">
        <v>3374</v>
      </c>
      <c r="F960" s="12" t="s">
        <v>1122</v>
      </c>
      <c r="G960" s="12" t="b">
        <v>0</v>
      </c>
      <c r="H960" s="12" t="b">
        <v>1</v>
      </c>
      <c r="I960" s="12" t="b">
        <v>1</v>
      </c>
    </row>
    <row r="961" spans="1:9" x14ac:dyDescent="0.25">
      <c r="A961" s="12">
        <v>960</v>
      </c>
      <c r="B961" s="12" t="s">
        <v>3375</v>
      </c>
      <c r="C961" s="12" t="s">
        <v>3376</v>
      </c>
      <c r="D961" s="12" t="s">
        <v>45</v>
      </c>
      <c r="E961" s="12" t="s">
        <v>3377</v>
      </c>
      <c r="F961" s="12" t="s">
        <v>1808</v>
      </c>
      <c r="G961" s="12" t="b">
        <v>0</v>
      </c>
      <c r="H961" s="12" t="b">
        <v>1</v>
      </c>
      <c r="I961" s="12" t="b">
        <v>1</v>
      </c>
    </row>
    <row r="962" spans="1:9" x14ac:dyDescent="0.25">
      <c r="A962" s="12">
        <v>961</v>
      </c>
      <c r="B962" s="12" t="s">
        <v>3378</v>
      </c>
      <c r="C962" s="12" t="s">
        <v>3379</v>
      </c>
      <c r="D962" s="12" t="s">
        <v>10</v>
      </c>
      <c r="E962" s="12" t="s">
        <v>3380</v>
      </c>
      <c r="F962" s="12" t="s">
        <v>328</v>
      </c>
      <c r="G962" s="12" t="b">
        <v>0</v>
      </c>
      <c r="H962" s="12" t="b">
        <v>1</v>
      </c>
      <c r="I962" s="12" t="b">
        <v>1</v>
      </c>
    </row>
    <row r="963" spans="1:9" x14ac:dyDescent="0.25">
      <c r="A963" s="12">
        <v>962</v>
      </c>
      <c r="B963" s="12" t="s">
        <v>3381</v>
      </c>
      <c r="C963" s="12" t="s">
        <v>3382</v>
      </c>
      <c r="D963" s="12" t="s">
        <v>14</v>
      </c>
      <c r="E963" s="12" t="s">
        <v>3383</v>
      </c>
      <c r="F963" s="12" t="s">
        <v>577</v>
      </c>
      <c r="G963" s="12" t="b">
        <v>0</v>
      </c>
      <c r="H963" s="12" t="b">
        <v>0</v>
      </c>
      <c r="I963" s="12" t="b">
        <v>0</v>
      </c>
    </row>
    <row r="964" spans="1:9" x14ac:dyDescent="0.25">
      <c r="A964" s="12">
        <v>963</v>
      </c>
      <c r="B964" s="12" t="s">
        <v>3384</v>
      </c>
      <c r="C964" s="12" t="s">
        <v>3385</v>
      </c>
      <c r="D964" s="12" t="s">
        <v>14</v>
      </c>
      <c r="E964" s="12" t="s">
        <v>3386</v>
      </c>
      <c r="F964" s="12" t="s">
        <v>1354</v>
      </c>
      <c r="G964" s="12" t="b">
        <v>0</v>
      </c>
      <c r="H964" s="12" t="b">
        <v>0</v>
      </c>
      <c r="I964" s="12" t="b">
        <v>0</v>
      </c>
    </row>
    <row r="965" spans="1:9" x14ac:dyDescent="0.25">
      <c r="A965" s="12">
        <v>964</v>
      </c>
      <c r="B965" s="12" t="s">
        <v>3387</v>
      </c>
      <c r="C965" s="12" t="s">
        <v>3388</v>
      </c>
      <c r="D965" s="12" t="s">
        <v>45</v>
      </c>
      <c r="E965" s="12" t="s">
        <v>3389</v>
      </c>
      <c r="F965" s="12" t="s">
        <v>1379</v>
      </c>
      <c r="G965" s="12" t="b">
        <v>0</v>
      </c>
      <c r="H965" s="12" t="b">
        <v>0</v>
      </c>
      <c r="I965" s="12" t="b">
        <v>0</v>
      </c>
    </row>
    <row r="966" spans="1:9" x14ac:dyDescent="0.25">
      <c r="A966" s="12">
        <v>965</v>
      </c>
      <c r="B966" s="12" t="s">
        <v>3390</v>
      </c>
      <c r="C966" s="12" t="s">
        <v>3391</v>
      </c>
      <c r="D966" s="12" t="s">
        <v>10</v>
      </c>
      <c r="E966" s="12" t="s">
        <v>3392</v>
      </c>
      <c r="F966" s="12" t="s">
        <v>628</v>
      </c>
      <c r="G966" s="12" t="b">
        <v>0</v>
      </c>
      <c r="H966" s="12" t="b">
        <v>1</v>
      </c>
      <c r="I966" s="12" t="b">
        <v>1</v>
      </c>
    </row>
    <row r="967" spans="1:9" x14ac:dyDescent="0.25">
      <c r="A967" s="12">
        <v>966</v>
      </c>
      <c r="B967" s="12" t="s">
        <v>3393</v>
      </c>
      <c r="C967" s="12" t="s">
        <v>3394</v>
      </c>
      <c r="D967" s="12" t="s">
        <v>14</v>
      </c>
      <c r="E967" s="12" t="s">
        <v>3395</v>
      </c>
      <c r="F967" s="12" t="s">
        <v>1090</v>
      </c>
      <c r="G967" s="12" t="b">
        <v>0</v>
      </c>
      <c r="H967" s="12" t="b">
        <v>1</v>
      </c>
      <c r="I967" s="12" t="b">
        <v>1</v>
      </c>
    </row>
    <row r="968" spans="1:9" x14ac:dyDescent="0.25">
      <c r="A968" s="12">
        <v>967</v>
      </c>
      <c r="B968" s="12" t="s">
        <v>3396</v>
      </c>
      <c r="C968" s="12" t="s">
        <v>3397</v>
      </c>
      <c r="D968" s="12" t="s">
        <v>14</v>
      </c>
      <c r="E968" s="12" t="s">
        <v>3398</v>
      </c>
      <c r="F968" s="12" t="s">
        <v>3399</v>
      </c>
      <c r="G968" s="12" t="b">
        <v>0</v>
      </c>
      <c r="H968" s="12" t="b">
        <v>1</v>
      </c>
      <c r="I968" s="12" t="b">
        <v>1</v>
      </c>
    </row>
    <row r="969" spans="1:9" x14ac:dyDescent="0.25">
      <c r="A969" s="12">
        <v>968</v>
      </c>
      <c r="B969" s="12" t="s">
        <v>3400</v>
      </c>
      <c r="C969" s="12" t="s">
        <v>3401</v>
      </c>
      <c r="D969" s="12" t="s">
        <v>45</v>
      </c>
      <c r="E969" s="12" t="s">
        <v>3402</v>
      </c>
      <c r="F969" s="12" t="s">
        <v>698</v>
      </c>
      <c r="G969" s="12" t="b">
        <v>0</v>
      </c>
      <c r="H969" s="12" t="b">
        <v>1</v>
      </c>
      <c r="I969" s="12" t="b">
        <v>1</v>
      </c>
    </row>
    <row r="970" spans="1:9" x14ac:dyDescent="0.25">
      <c r="A970" s="12">
        <v>969</v>
      </c>
      <c r="B970" s="12" t="s">
        <v>3403</v>
      </c>
      <c r="C970" s="12" t="s">
        <v>3404</v>
      </c>
      <c r="D970" s="12" t="s">
        <v>14</v>
      </c>
      <c r="E970" s="12" t="s">
        <v>3405</v>
      </c>
      <c r="F970" s="12" t="s">
        <v>3111</v>
      </c>
      <c r="G970" s="12" t="b">
        <v>0</v>
      </c>
      <c r="H970" s="12" t="b">
        <v>1</v>
      </c>
      <c r="I970" s="12" t="b">
        <v>1</v>
      </c>
    </row>
    <row r="971" spans="1:9" x14ac:dyDescent="0.25">
      <c r="A971" s="12">
        <v>970</v>
      </c>
      <c r="B971" s="12" t="s">
        <v>3406</v>
      </c>
      <c r="C971" s="12" t="s">
        <v>3407</v>
      </c>
      <c r="D971" s="12" t="s">
        <v>14</v>
      </c>
      <c r="E971" s="12" t="s">
        <v>3408</v>
      </c>
      <c r="F971" s="12" t="s">
        <v>3409</v>
      </c>
      <c r="G971" s="12" t="b">
        <v>0</v>
      </c>
      <c r="H971" s="12" t="b">
        <v>1</v>
      </c>
      <c r="I971" s="12" t="b">
        <v>1</v>
      </c>
    </row>
    <row r="972" spans="1:9" x14ac:dyDescent="0.25">
      <c r="A972" s="12">
        <v>971</v>
      </c>
      <c r="B972" s="12" t="s">
        <v>3410</v>
      </c>
      <c r="C972" s="12" t="s">
        <v>3411</v>
      </c>
      <c r="D972" s="12" t="s">
        <v>14</v>
      </c>
      <c r="E972" s="12" t="s">
        <v>3412</v>
      </c>
      <c r="F972" s="12" t="s">
        <v>658</v>
      </c>
      <c r="G972" s="12" t="b">
        <v>0</v>
      </c>
      <c r="H972" s="12" t="b">
        <v>1</v>
      </c>
      <c r="I972" s="12" t="b">
        <v>1</v>
      </c>
    </row>
    <row r="973" spans="1:9" x14ac:dyDescent="0.25">
      <c r="A973" s="12">
        <v>972</v>
      </c>
      <c r="B973" s="12" t="s">
        <v>3413</v>
      </c>
      <c r="C973" s="12" t="s">
        <v>3414</v>
      </c>
      <c r="D973" s="12" t="s">
        <v>45</v>
      </c>
      <c r="E973" s="12" t="s">
        <v>3415</v>
      </c>
      <c r="F973" s="12" t="s">
        <v>836</v>
      </c>
      <c r="G973" s="12" t="b">
        <v>0</v>
      </c>
      <c r="H973" s="12" t="b">
        <v>1</v>
      </c>
      <c r="I973" s="12" t="b">
        <v>1</v>
      </c>
    </row>
    <row r="974" spans="1:9" x14ac:dyDescent="0.25">
      <c r="A974" s="12">
        <v>973</v>
      </c>
      <c r="B974" s="12" t="s">
        <v>135</v>
      </c>
      <c r="C974" s="12" t="s">
        <v>3416</v>
      </c>
      <c r="D974" s="12" t="s">
        <v>14</v>
      </c>
      <c r="E974" s="12" t="s">
        <v>3417</v>
      </c>
      <c r="F974" s="12" t="s">
        <v>3418</v>
      </c>
      <c r="G974" s="12" t="b">
        <v>0</v>
      </c>
      <c r="H974" s="12" t="b">
        <v>1</v>
      </c>
      <c r="I974" s="12" t="b">
        <v>1</v>
      </c>
    </row>
    <row r="975" spans="1:9" x14ac:dyDescent="0.25">
      <c r="A975" s="12">
        <v>974</v>
      </c>
      <c r="B975" s="12" t="s">
        <v>3419</v>
      </c>
      <c r="C975" s="12" t="s">
        <v>3420</v>
      </c>
      <c r="D975" s="12" t="s">
        <v>14</v>
      </c>
      <c r="E975" s="12" t="s">
        <v>3421</v>
      </c>
      <c r="F975" s="12" t="s">
        <v>1976</v>
      </c>
      <c r="G975" s="12" t="b">
        <v>0</v>
      </c>
      <c r="H975" s="12" t="b">
        <v>0</v>
      </c>
      <c r="I975" s="12" t="b">
        <v>0</v>
      </c>
    </row>
    <row r="976" spans="1:9" x14ac:dyDescent="0.25">
      <c r="A976" s="12">
        <v>975</v>
      </c>
      <c r="B976" s="12" t="s">
        <v>3422</v>
      </c>
      <c r="C976" s="12" t="s">
        <v>3423</v>
      </c>
      <c r="D976" s="12" t="s">
        <v>45</v>
      </c>
      <c r="E976" s="12" t="s">
        <v>3424</v>
      </c>
      <c r="F976" s="12" t="s">
        <v>3425</v>
      </c>
      <c r="G976" s="12" t="b">
        <v>0</v>
      </c>
      <c r="H976" s="12" t="b">
        <v>0</v>
      </c>
      <c r="I976" s="12" t="b">
        <v>0</v>
      </c>
    </row>
    <row r="977" spans="1:9" x14ac:dyDescent="0.25">
      <c r="A977" s="12">
        <v>976</v>
      </c>
      <c r="B977" s="12" t="s">
        <v>3426</v>
      </c>
      <c r="C977" s="12" t="s">
        <v>3427</v>
      </c>
      <c r="D977" s="12" t="s">
        <v>10</v>
      </c>
      <c r="E977" s="12" t="s">
        <v>3428</v>
      </c>
      <c r="F977" s="12" t="s">
        <v>3210</v>
      </c>
      <c r="G977" s="12" t="b">
        <v>0</v>
      </c>
      <c r="H977" s="12" t="b">
        <v>1</v>
      </c>
      <c r="I977" s="12" t="b">
        <v>1</v>
      </c>
    </row>
    <row r="978" spans="1:9" x14ac:dyDescent="0.25">
      <c r="A978" s="12">
        <v>977</v>
      </c>
      <c r="B978" s="12" t="s">
        <v>181</v>
      </c>
      <c r="C978" s="12" t="s">
        <v>3429</v>
      </c>
      <c r="D978" s="12" t="s">
        <v>10</v>
      </c>
      <c r="E978" s="12" t="s">
        <v>3430</v>
      </c>
      <c r="F978" s="12" t="s">
        <v>372</v>
      </c>
      <c r="G978" s="12" t="b">
        <v>0</v>
      </c>
      <c r="H978" s="12" t="b">
        <v>1</v>
      </c>
      <c r="I978" s="12" t="b">
        <v>1</v>
      </c>
    </row>
    <row r="979" spans="1:9" x14ac:dyDescent="0.25">
      <c r="A979" s="12">
        <v>978</v>
      </c>
      <c r="B979" s="12" t="s">
        <v>3431</v>
      </c>
      <c r="C979" s="12" t="s">
        <v>3432</v>
      </c>
      <c r="D979" s="12" t="s">
        <v>14</v>
      </c>
      <c r="E979" s="12" t="s">
        <v>3433</v>
      </c>
      <c r="F979" s="12" t="s">
        <v>1850</v>
      </c>
      <c r="G979" s="12" t="b">
        <v>0</v>
      </c>
      <c r="H979" s="12" t="b">
        <v>1</v>
      </c>
      <c r="I979" s="12" t="b">
        <v>1</v>
      </c>
    </row>
    <row r="980" spans="1:9" x14ac:dyDescent="0.25">
      <c r="A980" s="12">
        <v>979</v>
      </c>
      <c r="B980" s="12" t="s">
        <v>3434</v>
      </c>
      <c r="C980" s="12" t="s">
        <v>3435</v>
      </c>
      <c r="D980" s="12" t="s">
        <v>14</v>
      </c>
      <c r="E980" s="12" t="s">
        <v>3436</v>
      </c>
      <c r="F980" s="12" t="s">
        <v>658</v>
      </c>
      <c r="G980" s="12" t="b">
        <v>0</v>
      </c>
      <c r="H980" s="12" t="b">
        <v>1</v>
      </c>
      <c r="I980" s="12" t="b">
        <v>1</v>
      </c>
    </row>
    <row r="981" spans="1:9" x14ac:dyDescent="0.25">
      <c r="A981" s="12">
        <v>980</v>
      </c>
      <c r="B981" s="12" t="s">
        <v>3437</v>
      </c>
      <c r="C981" s="12" t="s">
        <v>3438</v>
      </c>
      <c r="D981" s="12" t="s">
        <v>45</v>
      </c>
      <c r="E981" s="12" t="s">
        <v>3439</v>
      </c>
      <c r="F981" s="12" t="s">
        <v>3440</v>
      </c>
      <c r="G981" s="12" t="b">
        <v>0</v>
      </c>
      <c r="H981" s="12" t="b">
        <v>1</v>
      </c>
      <c r="I981" s="12" t="b">
        <v>1</v>
      </c>
    </row>
    <row r="982" spans="1:9" x14ac:dyDescent="0.25">
      <c r="A982" s="12">
        <v>981</v>
      </c>
      <c r="B982" s="12" t="s">
        <v>3441</v>
      </c>
      <c r="C982" s="12" t="s">
        <v>3442</v>
      </c>
      <c r="D982" s="12" t="s">
        <v>14</v>
      </c>
      <c r="E982" s="12" t="s">
        <v>3443</v>
      </c>
      <c r="F982" s="12" t="s">
        <v>3444</v>
      </c>
      <c r="G982" s="12" t="b">
        <v>0</v>
      </c>
      <c r="H982" s="12" t="b">
        <v>0</v>
      </c>
      <c r="I982" s="12" t="b">
        <v>0</v>
      </c>
    </row>
    <row r="983" spans="1:9" x14ac:dyDescent="0.25">
      <c r="A983" s="12">
        <v>982</v>
      </c>
      <c r="B983" s="12" t="s">
        <v>3445</v>
      </c>
      <c r="C983" s="12" t="s">
        <v>3446</v>
      </c>
      <c r="D983" s="12" t="s">
        <v>45</v>
      </c>
      <c r="E983" s="12" t="s">
        <v>3447</v>
      </c>
      <c r="F983" s="12" t="s">
        <v>3448</v>
      </c>
      <c r="G983" s="12" t="b">
        <v>0</v>
      </c>
      <c r="H983" s="12" t="b">
        <v>0</v>
      </c>
      <c r="I983" s="12" t="b">
        <v>0</v>
      </c>
    </row>
    <row r="984" spans="1:9" x14ac:dyDescent="0.25">
      <c r="A984" s="12">
        <v>983</v>
      </c>
      <c r="B984" s="12" t="s">
        <v>3449</v>
      </c>
      <c r="C984" s="12" t="s">
        <v>3450</v>
      </c>
      <c r="D984" s="12" t="s">
        <v>14</v>
      </c>
      <c r="E984" s="12" t="s">
        <v>3451</v>
      </c>
      <c r="F984" s="12" t="s">
        <v>681</v>
      </c>
      <c r="G984" s="12" t="b">
        <v>0</v>
      </c>
      <c r="H984" s="12" t="b">
        <v>1</v>
      </c>
      <c r="I984" s="12" t="b">
        <v>1</v>
      </c>
    </row>
    <row r="985" spans="1:9" x14ac:dyDescent="0.25">
      <c r="A985" s="12">
        <v>984</v>
      </c>
      <c r="B985" s="12" t="s">
        <v>3452</v>
      </c>
      <c r="C985" s="12" t="s">
        <v>3453</v>
      </c>
      <c r="D985" s="12" t="s">
        <v>14</v>
      </c>
      <c r="E985" s="12" t="s">
        <v>3454</v>
      </c>
      <c r="F985" s="12" t="s">
        <v>3455</v>
      </c>
      <c r="G985" s="12" t="b">
        <v>0</v>
      </c>
      <c r="H985" s="12" t="b">
        <v>1</v>
      </c>
      <c r="I985" s="12" t="b">
        <v>1</v>
      </c>
    </row>
    <row r="986" spans="1:9" x14ac:dyDescent="0.25">
      <c r="A986" s="12">
        <v>985</v>
      </c>
      <c r="B986" s="12" t="s">
        <v>3456</v>
      </c>
      <c r="C986" s="12" t="s">
        <v>3457</v>
      </c>
      <c r="D986" s="12" t="s">
        <v>14</v>
      </c>
      <c r="E986" s="12" t="s">
        <v>3458</v>
      </c>
      <c r="F986" s="12" t="s">
        <v>1877</v>
      </c>
      <c r="G986" s="12" t="b">
        <v>0</v>
      </c>
      <c r="H986" s="12" t="b">
        <v>1</v>
      </c>
      <c r="I986" s="12" t="b">
        <v>1</v>
      </c>
    </row>
    <row r="987" spans="1:9" x14ac:dyDescent="0.25">
      <c r="A987" s="12">
        <v>986</v>
      </c>
      <c r="B987" s="12" t="s">
        <v>153</v>
      </c>
      <c r="C987" s="12" t="s">
        <v>3459</v>
      </c>
      <c r="D987" s="12" t="s">
        <v>14</v>
      </c>
      <c r="E987" s="12" t="s">
        <v>3460</v>
      </c>
      <c r="F987" s="12" t="s">
        <v>404</v>
      </c>
      <c r="G987" s="12" t="b">
        <v>0</v>
      </c>
      <c r="H987" s="12" t="b">
        <v>1</v>
      </c>
      <c r="I987" s="12" t="b">
        <v>1</v>
      </c>
    </row>
    <row r="988" spans="1:9" x14ac:dyDescent="0.25">
      <c r="A988" s="12">
        <v>987</v>
      </c>
      <c r="B988" s="12" t="s">
        <v>3461</v>
      </c>
      <c r="C988" s="12" t="s">
        <v>3462</v>
      </c>
      <c r="D988" s="12" t="s">
        <v>45</v>
      </c>
      <c r="E988" s="12" t="s">
        <v>3463</v>
      </c>
      <c r="F988" s="12" t="s">
        <v>1286</v>
      </c>
      <c r="G988" s="12" t="b">
        <v>0</v>
      </c>
      <c r="H988" s="12" t="b">
        <v>1</v>
      </c>
      <c r="I988" s="12" t="b">
        <v>1</v>
      </c>
    </row>
    <row r="989" spans="1:9" x14ac:dyDescent="0.25">
      <c r="A989" s="12">
        <v>988</v>
      </c>
      <c r="B989" s="12" t="s">
        <v>3464</v>
      </c>
      <c r="C989" s="12" t="s">
        <v>3465</v>
      </c>
      <c r="D989" s="12" t="s">
        <v>14</v>
      </c>
      <c r="E989" s="12" t="s">
        <v>3466</v>
      </c>
      <c r="F989" s="12" t="s">
        <v>2011</v>
      </c>
      <c r="G989" s="12" t="b">
        <v>0</v>
      </c>
      <c r="H989" s="12" t="b">
        <v>1</v>
      </c>
      <c r="I989" s="12" t="b">
        <v>1</v>
      </c>
    </row>
    <row r="990" spans="1:9" x14ac:dyDescent="0.25">
      <c r="A990" s="12">
        <v>989</v>
      </c>
      <c r="B990" s="12" t="s">
        <v>3467</v>
      </c>
      <c r="C990" s="12" t="s">
        <v>3468</v>
      </c>
      <c r="D990" s="12" t="s">
        <v>10</v>
      </c>
      <c r="E990" s="12" t="s">
        <v>3469</v>
      </c>
      <c r="F990" s="12" t="s">
        <v>525</v>
      </c>
      <c r="G990" s="12" t="b">
        <v>0</v>
      </c>
      <c r="H990" s="12" t="b">
        <v>1</v>
      </c>
      <c r="I990" s="12" t="b">
        <v>1</v>
      </c>
    </row>
    <row r="991" spans="1:9" x14ac:dyDescent="0.25">
      <c r="A991" s="12">
        <v>990</v>
      </c>
      <c r="B991" s="12" t="s">
        <v>3470</v>
      </c>
      <c r="C991" s="12" t="s">
        <v>3471</v>
      </c>
      <c r="D991" s="12" t="s">
        <v>14</v>
      </c>
      <c r="E991" s="12" t="s">
        <v>3472</v>
      </c>
      <c r="F991" s="12" t="s">
        <v>3473</v>
      </c>
      <c r="G991" s="12" t="b">
        <v>0</v>
      </c>
      <c r="H991" s="12" t="b">
        <v>1</v>
      </c>
      <c r="I991" s="12" t="b">
        <v>1</v>
      </c>
    </row>
    <row r="992" spans="1:9" x14ac:dyDescent="0.25">
      <c r="A992" s="12">
        <v>991</v>
      </c>
      <c r="B992" s="12" t="s">
        <v>3474</v>
      </c>
      <c r="C992" s="12" t="s">
        <v>3475</v>
      </c>
      <c r="D992" s="12" t="s">
        <v>14</v>
      </c>
      <c r="E992" s="12" t="s">
        <v>3476</v>
      </c>
      <c r="F992" s="12" t="s">
        <v>2284</v>
      </c>
      <c r="G992" s="12" t="b">
        <v>0</v>
      </c>
      <c r="H992" s="12" t="b">
        <v>1</v>
      </c>
      <c r="I992" s="12" t="b">
        <v>1</v>
      </c>
    </row>
    <row r="993" spans="1:9" x14ac:dyDescent="0.25">
      <c r="A993" s="12">
        <v>992</v>
      </c>
      <c r="B993" s="12" t="s">
        <v>3477</v>
      </c>
      <c r="C993" s="12" t="s">
        <v>3478</v>
      </c>
      <c r="D993" s="12" t="s">
        <v>45</v>
      </c>
      <c r="E993" s="12" t="s">
        <v>3479</v>
      </c>
      <c r="F993" s="12" t="s">
        <v>3480</v>
      </c>
      <c r="G993" s="12" t="b">
        <v>0</v>
      </c>
      <c r="H993" s="12" t="b">
        <v>0</v>
      </c>
      <c r="I993" s="12" t="b">
        <v>0</v>
      </c>
    </row>
    <row r="994" spans="1:9" x14ac:dyDescent="0.25">
      <c r="A994" s="12">
        <v>993</v>
      </c>
      <c r="B994" s="12" t="s">
        <v>3481</v>
      </c>
      <c r="C994" s="12" t="s">
        <v>3482</v>
      </c>
      <c r="D994" s="12" t="s">
        <v>10</v>
      </c>
      <c r="E994" s="12" t="s">
        <v>3483</v>
      </c>
      <c r="F994" s="12" t="s">
        <v>628</v>
      </c>
      <c r="G994" s="12" t="b">
        <v>0</v>
      </c>
      <c r="H994" s="12" t="b">
        <v>1</v>
      </c>
      <c r="I994" s="12" t="b">
        <v>1</v>
      </c>
    </row>
    <row r="995" spans="1:9" x14ac:dyDescent="0.25">
      <c r="A995" s="12">
        <v>994</v>
      </c>
      <c r="B995" s="12" t="s">
        <v>3484</v>
      </c>
      <c r="C995" s="12" t="s">
        <v>3485</v>
      </c>
      <c r="D995" s="12" t="s">
        <v>14</v>
      </c>
      <c r="E995" s="12" t="s">
        <v>3486</v>
      </c>
      <c r="F995" s="12" t="s">
        <v>1199</v>
      </c>
      <c r="G995" s="12" t="b">
        <v>0</v>
      </c>
      <c r="H995" s="12" t="b">
        <v>1</v>
      </c>
      <c r="I995" s="12" t="b">
        <v>1</v>
      </c>
    </row>
    <row r="996" spans="1:9" x14ac:dyDescent="0.25">
      <c r="A996" s="12">
        <v>995</v>
      </c>
      <c r="B996" s="12" t="s">
        <v>163</v>
      </c>
      <c r="C996" s="12" t="s">
        <v>3487</v>
      </c>
      <c r="D996" s="12" t="s">
        <v>45</v>
      </c>
      <c r="E996" s="12" t="s">
        <v>3488</v>
      </c>
      <c r="F996" s="12" t="s">
        <v>3489</v>
      </c>
      <c r="G996" s="12" t="b">
        <v>0</v>
      </c>
      <c r="H996" s="12" t="b">
        <v>0</v>
      </c>
      <c r="I996" s="12" t="b">
        <v>0</v>
      </c>
    </row>
    <row r="997" spans="1:9" x14ac:dyDescent="0.25">
      <c r="A997" s="12">
        <v>996</v>
      </c>
      <c r="B997" s="12" t="s">
        <v>3490</v>
      </c>
      <c r="C997" s="12" t="s">
        <v>3491</v>
      </c>
      <c r="D997" s="12" t="s">
        <v>45</v>
      </c>
      <c r="E997" s="12" t="s">
        <v>3492</v>
      </c>
      <c r="F997" s="12" t="s">
        <v>3493</v>
      </c>
      <c r="G997" s="12" t="b">
        <v>0</v>
      </c>
      <c r="H997" s="12" t="b">
        <v>0</v>
      </c>
      <c r="I997" s="12" t="b">
        <v>0</v>
      </c>
    </row>
    <row r="998" spans="1:9" x14ac:dyDescent="0.25">
      <c r="A998" s="12">
        <v>997</v>
      </c>
      <c r="B998" s="12" t="s">
        <v>3494</v>
      </c>
      <c r="C998" s="12" t="s">
        <v>3495</v>
      </c>
      <c r="D998" s="12" t="s">
        <v>10</v>
      </c>
      <c r="E998" s="12" t="s">
        <v>3496</v>
      </c>
      <c r="F998" s="12" t="s">
        <v>3497</v>
      </c>
      <c r="G998" s="12" t="b">
        <v>0</v>
      </c>
      <c r="H998" s="12" t="b">
        <v>1</v>
      </c>
      <c r="I998" s="12" t="b">
        <v>1</v>
      </c>
    </row>
    <row r="999" spans="1:9" x14ac:dyDescent="0.25">
      <c r="A999" s="12">
        <v>998</v>
      </c>
      <c r="B999" s="12" t="s">
        <v>3498</v>
      </c>
      <c r="C999" s="12" t="s">
        <v>3499</v>
      </c>
      <c r="D999" s="12" t="s">
        <v>14</v>
      </c>
      <c r="E999" s="12" t="s">
        <v>3500</v>
      </c>
      <c r="F999" s="12" t="s">
        <v>3501</v>
      </c>
      <c r="G999" s="12" t="b">
        <v>0</v>
      </c>
      <c r="H999" s="12" t="b">
        <v>0</v>
      </c>
      <c r="I999" s="12" t="b">
        <v>0</v>
      </c>
    </row>
    <row r="1000" spans="1:9" x14ac:dyDescent="0.25">
      <c r="A1000" s="12">
        <v>999</v>
      </c>
      <c r="B1000" s="12" t="s">
        <v>3502</v>
      </c>
      <c r="C1000" s="12" t="s">
        <v>3503</v>
      </c>
      <c r="D1000" s="12" t="s">
        <v>10</v>
      </c>
      <c r="E1000" s="12" t="s">
        <v>3504</v>
      </c>
      <c r="F1000" s="12" t="s">
        <v>490</v>
      </c>
      <c r="G1000" s="12" t="b">
        <v>0</v>
      </c>
      <c r="H1000" s="12" t="b">
        <v>0</v>
      </c>
      <c r="I1000" s="12" t="b">
        <v>0</v>
      </c>
    </row>
    <row r="1001" spans="1:9" x14ac:dyDescent="0.25">
      <c r="A1001" s="12">
        <v>1000</v>
      </c>
      <c r="B1001" s="12" t="s">
        <v>3505</v>
      </c>
      <c r="C1001" s="12" t="s">
        <v>3506</v>
      </c>
      <c r="D1001" s="12" t="s">
        <v>45</v>
      </c>
      <c r="E1001" s="12" t="s">
        <v>3507</v>
      </c>
      <c r="F1001" s="12" t="s">
        <v>681</v>
      </c>
      <c r="G1001" s="12" t="b">
        <v>0</v>
      </c>
      <c r="H1001" s="12" t="b">
        <v>0</v>
      </c>
      <c r="I1001" s="12" t="b">
        <v>0</v>
      </c>
    </row>
    <row r="1002" spans="1:9" x14ac:dyDescent="0.25">
      <c r="A1002" s="12">
        <v>1001</v>
      </c>
      <c r="B1002" s="12" t="s">
        <v>3508</v>
      </c>
      <c r="C1002" s="12" t="s">
        <v>3509</v>
      </c>
      <c r="D1002" s="12" t="s">
        <v>45</v>
      </c>
      <c r="E1002" s="12" t="s">
        <v>3510</v>
      </c>
      <c r="F1002" s="12" t="s">
        <v>328</v>
      </c>
      <c r="G1002" s="12" t="b">
        <v>0</v>
      </c>
      <c r="H1002" s="12" t="b">
        <v>0</v>
      </c>
      <c r="I1002" s="12" t="b">
        <v>0</v>
      </c>
    </row>
    <row r="1003" spans="1:9" x14ac:dyDescent="0.25">
      <c r="A1003" s="12">
        <v>1002</v>
      </c>
      <c r="B1003" s="12" t="s">
        <v>3511</v>
      </c>
      <c r="C1003" s="12" t="s">
        <v>3512</v>
      </c>
      <c r="D1003" s="12" t="s">
        <v>10</v>
      </c>
      <c r="E1003" s="12" t="s">
        <v>3513</v>
      </c>
      <c r="F1003" s="12" t="s">
        <v>1090</v>
      </c>
      <c r="G1003" s="12" t="b">
        <v>0</v>
      </c>
      <c r="H1003" s="12" t="b">
        <v>0</v>
      </c>
      <c r="I1003" s="12" t="b">
        <v>0</v>
      </c>
    </row>
    <row r="1004" spans="1:9" x14ac:dyDescent="0.25">
      <c r="A1004" s="12">
        <v>1003</v>
      </c>
      <c r="B1004" s="12" t="s">
        <v>3514</v>
      </c>
      <c r="C1004" s="12" t="s">
        <v>3515</v>
      </c>
      <c r="D1004" s="12" t="s">
        <v>14</v>
      </c>
      <c r="E1004" s="12" t="s">
        <v>3516</v>
      </c>
      <c r="F1004" s="12" t="s">
        <v>387</v>
      </c>
      <c r="G1004" s="12" t="b">
        <v>0</v>
      </c>
      <c r="H1004" s="12" t="b">
        <v>0</v>
      </c>
      <c r="I1004" s="12" t="b">
        <v>0</v>
      </c>
    </row>
    <row r="1005" spans="1:9" x14ac:dyDescent="0.25">
      <c r="A1005" s="12">
        <v>1004</v>
      </c>
      <c r="B1005" s="12" t="s">
        <v>311</v>
      </c>
      <c r="C1005" s="12" t="s">
        <v>3517</v>
      </c>
      <c r="D1005" s="12" t="s">
        <v>14</v>
      </c>
      <c r="E1005" s="12" t="s">
        <v>3518</v>
      </c>
      <c r="F1005" s="12" t="s">
        <v>963</v>
      </c>
      <c r="G1005" s="12" t="b">
        <v>0</v>
      </c>
      <c r="H1005" s="12" t="b">
        <v>1</v>
      </c>
      <c r="I1005" s="12" t="b">
        <v>1</v>
      </c>
    </row>
    <row r="1006" spans="1:9" x14ac:dyDescent="0.25">
      <c r="A1006" s="12">
        <v>1005</v>
      </c>
      <c r="B1006" s="12" t="s">
        <v>3519</v>
      </c>
      <c r="C1006" s="12" t="s">
        <v>3520</v>
      </c>
      <c r="D1006" s="12" t="s">
        <v>10</v>
      </c>
      <c r="E1006" s="12" t="s">
        <v>3521</v>
      </c>
      <c r="F1006" s="12" t="s">
        <v>1181</v>
      </c>
      <c r="G1006" s="12" t="b">
        <v>0</v>
      </c>
      <c r="H1006" s="12" t="b">
        <v>0</v>
      </c>
      <c r="I1006" s="12" t="b">
        <v>0</v>
      </c>
    </row>
    <row r="1007" spans="1:9" x14ac:dyDescent="0.25">
      <c r="A1007" s="12">
        <v>1006</v>
      </c>
      <c r="B1007" s="12" t="s">
        <v>3522</v>
      </c>
      <c r="C1007" s="12" t="s">
        <v>3523</v>
      </c>
      <c r="D1007" s="12" t="s">
        <v>14</v>
      </c>
      <c r="E1007" s="12" t="s">
        <v>3524</v>
      </c>
      <c r="F1007" s="12" t="s">
        <v>3525</v>
      </c>
      <c r="G1007" s="12" t="b">
        <v>0</v>
      </c>
      <c r="H1007" s="12" t="b">
        <v>0</v>
      </c>
      <c r="I1007" s="12" t="b">
        <v>0</v>
      </c>
    </row>
    <row r="1008" spans="1:9" x14ac:dyDescent="0.25">
      <c r="A1008" s="12">
        <v>1007</v>
      </c>
      <c r="B1008" s="12" t="s">
        <v>3526</v>
      </c>
      <c r="C1008" s="12" t="s">
        <v>3527</v>
      </c>
      <c r="D1008" s="12" t="s">
        <v>14</v>
      </c>
      <c r="E1008" s="12" t="s">
        <v>3528</v>
      </c>
      <c r="F1008" s="12" t="s">
        <v>732</v>
      </c>
      <c r="G1008" s="12" t="b">
        <v>0</v>
      </c>
      <c r="H1008" s="12" t="b">
        <v>1</v>
      </c>
      <c r="I1008" s="12" t="b">
        <v>1</v>
      </c>
    </row>
    <row r="1009" spans="1:9" x14ac:dyDescent="0.25">
      <c r="A1009" s="12">
        <v>1008</v>
      </c>
      <c r="B1009" s="12" t="s">
        <v>3529</v>
      </c>
      <c r="C1009" s="12" t="s">
        <v>3530</v>
      </c>
      <c r="D1009" s="12" t="s">
        <v>14</v>
      </c>
      <c r="E1009" s="12" t="s">
        <v>3531</v>
      </c>
      <c r="F1009" s="12" t="s">
        <v>3532</v>
      </c>
      <c r="G1009" s="12" t="b">
        <v>0</v>
      </c>
      <c r="H1009" s="12" t="b">
        <v>1</v>
      </c>
      <c r="I1009" s="12" t="b">
        <v>1</v>
      </c>
    </row>
    <row r="1010" spans="1:9" x14ac:dyDescent="0.25">
      <c r="A1010" s="12">
        <v>1009</v>
      </c>
      <c r="B1010" s="12" t="s">
        <v>3533</v>
      </c>
      <c r="C1010" s="12" t="s">
        <v>3534</v>
      </c>
      <c r="D1010" s="12" t="s">
        <v>10</v>
      </c>
      <c r="E1010" s="12" t="s">
        <v>3535</v>
      </c>
      <c r="F1010" s="12" t="s">
        <v>61</v>
      </c>
      <c r="G1010" s="12" t="b">
        <v>0</v>
      </c>
      <c r="H1010" s="12" t="b">
        <v>1</v>
      </c>
      <c r="I1010" s="12" t="b">
        <v>1</v>
      </c>
    </row>
    <row r="1011" spans="1:9" x14ac:dyDescent="0.25">
      <c r="A1011" s="12">
        <v>1010</v>
      </c>
      <c r="B1011" s="12" t="s">
        <v>3536</v>
      </c>
      <c r="C1011" s="12" t="s">
        <v>3537</v>
      </c>
      <c r="D1011" s="12" t="s">
        <v>14</v>
      </c>
      <c r="E1011" s="12" t="s">
        <v>3538</v>
      </c>
      <c r="F1011" s="12" t="s">
        <v>3539</v>
      </c>
      <c r="G1011" s="12" t="b">
        <v>0</v>
      </c>
      <c r="H1011" s="12" t="b">
        <v>1</v>
      </c>
      <c r="I1011" s="12" t="b">
        <v>1</v>
      </c>
    </row>
    <row r="1012" spans="1:9" x14ac:dyDescent="0.25">
      <c r="A1012" s="12">
        <v>1011</v>
      </c>
      <c r="B1012" s="12" t="s">
        <v>3540</v>
      </c>
      <c r="C1012" s="12" t="s">
        <v>3541</v>
      </c>
      <c r="D1012" s="12" t="s">
        <v>14</v>
      </c>
      <c r="E1012" s="12" t="s">
        <v>3542</v>
      </c>
      <c r="F1012" s="12" t="s">
        <v>426</v>
      </c>
      <c r="G1012" s="12" t="b">
        <v>0</v>
      </c>
      <c r="H1012" s="12" t="b">
        <v>0</v>
      </c>
      <c r="I1012" s="12" t="b">
        <v>0</v>
      </c>
    </row>
    <row r="1013" spans="1:9" x14ac:dyDescent="0.25">
      <c r="A1013" s="12">
        <v>1012</v>
      </c>
      <c r="B1013" s="12" t="s">
        <v>3543</v>
      </c>
      <c r="C1013" s="12" t="s">
        <v>3544</v>
      </c>
      <c r="D1013" s="12" t="s">
        <v>45</v>
      </c>
      <c r="E1013" s="12" t="s">
        <v>3545</v>
      </c>
      <c r="F1013" s="12" t="s">
        <v>1379</v>
      </c>
      <c r="G1013" s="12" t="b">
        <v>0</v>
      </c>
      <c r="H1013" s="12" t="b">
        <v>0</v>
      </c>
      <c r="I1013" s="12" t="b">
        <v>0</v>
      </c>
    </row>
    <row r="1014" spans="1:9" x14ac:dyDescent="0.25">
      <c r="A1014" s="12">
        <v>1013</v>
      </c>
      <c r="B1014" s="12" t="s">
        <v>3546</v>
      </c>
      <c r="C1014" s="12" t="s">
        <v>3547</v>
      </c>
      <c r="D1014" s="12" t="s">
        <v>10</v>
      </c>
      <c r="E1014" s="12" t="s">
        <v>3548</v>
      </c>
      <c r="F1014" s="12" t="s">
        <v>732</v>
      </c>
      <c r="G1014" s="12" t="b">
        <v>0</v>
      </c>
      <c r="H1014" s="12" t="b">
        <v>0</v>
      </c>
      <c r="I1014" s="12" t="b">
        <v>0</v>
      </c>
    </row>
    <row r="1015" spans="1:9" x14ac:dyDescent="0.25">
      <c r="A1015" s="12">
        <v>1014</v>
      </c>
      <c r="B1015" s="12" t="s">
        <v>3549</v>
      </c>
      <c r="C1015" s="12" t="s">
        <v>3550</v>
      </c>
      <c r="D1015" s="12" t="s">
        <v>14</v>
      </c>
      <c r="E1015" s="12" t="s">
        <v>3551</v>
      </c>
      <c r="F1015" s="12" t="s">
        <v>681</v>
      </c>
      <c r="G1015" s="12" t="b">
        <v>0</v>
      </c>
      <c r="H1015" s="12" t="b">
        <v>0</v>
      </c>
      <c r="I1015" s="12" t="b">
        <v>0</v>
      </c>
    </row>
    <row r="1016" spans="1:9" x14ac:dyDescent="0.25">
      <c r="A1016" s="12">
        <v>1015</v>
      </c>
      <c r="B1016" s="12" t="s">
        <v>3552</v>
      </c>
      <c r="C1016" s="12" t="s">
        <v>3553</v>
      </c>
      <c r="D1016" s="12" t="s">
        <v>14</v>
      </c>
      <c r="E1016" s="12" t="s">
        <v>3554</v>
      </c>
      <c r="F1016" s="12" t="s">
        <v>3409</v>
      </c>
      <c r="G1016" s="12" t="b">
        <v>0</v>
      </c>
      <c r="H1016" s="12" t="b">
        <v>1</v>
      </c>
      <c r="I1016" s="12" t="b">
        <v>1</v>
      </c>
    </row>
    <row r="1017" spans="1:9" x14ac:dyDescent="0.25">
      <c r="A1017" s="12">
        <v>1016</v>
      </c>
      <c r="B1017" s="12" t="s">
        <v>3555</v>
      </c>
      <c r="C1017" s="12" t="s">
        <v>3556</v>
      </c>
      <c r="D1017" s="12" t="s">
        <v>14</v>
      </c>
      <c r="E1017" s="12" t="s">
        <v>3557</v>
      </c>
      <c r="F1017" s="12" t="s">
        <v>316</v>
      </c>
      <c r="G1017" s="12" t="b">
        <v>0</v>
      </c>
      <c r="H1017" s="12" t="b">
        <v>0</v>
      </c>
      <c r="I1017" s="12" t="b">
        <v>0</v>
      </c>
    </row>
    <row r="1018" spans="1:9" x14ac:dyDescent="0.25">
      <c r="A1018" s="12">
        <v>1017</v>
      </c>
      <c r="B1018" s="12" t="s">
        <v>3558</v>
      </c>
      <c r="C1018" s="12" t="s">
        <v>3559</v>
      </c>
      <c r="D1018" s="12" t="s">
        <v>14</v>
      </c>
      <c r="E1018" s="12" t="s">
        <v>3560</v>
      </c>
      <c r="F1018" s="12" t="s">
        <v>315</v>
      </c>
      <c r="G1018" s="12" t="b">
        <v>0</v>
      </c>
      <c r="H1018" s="12" t="b">
        <v>0</v>
      </c>
      <c r="I1018" s="12" t="b">
        <v>0</v>
      </c>
    </row>
    <row r="1019" spans="1:9" x14ac:dyDescent="0.25">
      <c r="A1019" s="12">
        <v>1018</v>
      </c>
      <c r="B1019" s="12" t="s">
        <v>3561</v>
      </c>
      <c r="C1019" s="12" t="s">
        <v>3562</v>
      </c>
      <c r="D1019" s="12" t="s">
        <v>10</v>
      </c>
      <c r="E1019" s="12" t="s">
        <v>3563</v>
      </c>
      <c r="F1019" s="12" t="s">
        <v>317</v>
      </c>
      <c r="G1019" s="12" t="b">
        <v>0</v>
      </c>
      <c r="H1019" s="12" t="b">
        <v>0</v>
      </c>
      <c r="I1019" s="12" t="b">
        <v>0</v>
      </c>
    </row>
    <row r="1020" spans="1:9" x14ac:dyDescent="0.25">
      <c r="A1020" s="12">
        <v>1019</v>
      </c>
      <c r="B1020" s="12" t="s">
        <v>3564</v>
      </c>
      <c r="C1020" s="12" t="s">
        <v>3565</v>
      </c>
      <c r="D1020" s="12" t="s">
        <v>14</v>
      </c>
      <c r="E1020" s="12" t="s">
        <v>3566</v>
      </c>
      <c r="F1020" s="12" t="s">
        <v>3567</v>
      </c>
      <c r="G1020" s="12" t="b">
        <v>0</v>
      </c>
      <c r="H1020" s="12" t="b">
        <v>0</v>
      </c>
      <c r="I1020" s="12" t="b">
        <v>0</v>
      </c>
    </row>
    <row r="1021" spans="1:9" x14ac:dyDescent="0.25">
      <c r="A1021" s="12">
        <v>1020</v>
      </c>
      <c r="B1021" s="12" t="s">
        <v>3568</v>
      </c>
      <c r="C1021" s="12" t="s">
        <v>3569</v>
      </c>
      <c r="D1021" s="12" t="s">
        <v>14</v>
      </c>
      <c r="E1021" s="12" t="s">
        <v>3570</v>
      </c>
      <c r="F1021" s="12" t="s">
        <v>720</v>
      </c>
      <c r="G1021" s="12" t="b">
        <v>0</v>
      </c>
      <c r="H1021" s="12" t="b">
        <v>0</v>
      </c>
      <c r="I1021" s="12" t="b">
        <v>0</v>
      </c>
    </row>
    <row r="1022" spans="1:9" x14ac:dyDescent="0.25">
      <c r="A1022" s="12">
        <v>1021</v>
      </c>
      <c r="B1022" s="12" t="s">
        <v>3571</v>
      </c>
      <c r="C1022" s="12" t="s">
        <v>3572</v>
      </c>
      <c r="D1022" s="12" t="s">
        <v>10</v>
      </c>
      <c r="E1022" s="12" t="s">
        <v>3573</v>
      </c>
      <c r="F1022" s="12" t="s">
        <v>387</v>
      </c>
      <c r="G1022" s="12" t="b">
        <v>0</v>
      </c>
      <c r="H1022" s="12" t="b">
        <v>0</v>
      </c>
      <c r="I1022" s="12" t="b">
        <v>0</v>
      </c>
    </row>
    <row r="1023" spans="1:9" x14ac:dyDescent="0.25">
      <c r="A1023" s="12">
        <v>1022</v>
      </c>
      <c r="B1023" s="12" t="s">
        <v>3574</v>
      </c>
      <c r="C1023" s="12" t="s">
        <v>3575</v>
      </c>
      <c r="D1023" s="12" t="s">
        <v>10</v>
      </c>
      <c r="E1023" s="12" t="s">
        <v>3576</v>
      </c>
      <c r="F1023" s="12" t="s">
        <v>658</v>
      </c>
      <c r="G1023" s="12" t="b">
        <v>0</v>
      </c>
      <c r="H1023" s="12" t="b">
        <v>1</v>
      </c>
      <c r="I1023" s="12" t="b">
        <v>1</v>
      </c>
    </row>
    <row r="1024" spans="1:9" x14ac:dyDescent="0.25">
      <c r="A1024" s="12">
        <v>1023</v>
      </c>
      <c r="B1024" s="12" t="s">
        <v>3577</v>
      </c>
      <c r="C1024" s="12" t="s">
        <v>3578</v>
      </c>
      <c r="D1024" s="12" t="s">
        <v>14</v>
      </c>
      <c r="E1024" s="12" t="s">
        <v>1198</v>
      </c>
      <c r="F1024" s="12" t="s">
        <v>3579</v>
      </c>
      <c r="G1024" s="12" t="b">
        <v>0</v>
      </c>
      <c r="H1024" s="12" t="b">
        <v>0</v>
      </c>
      <c r="I1024" s="12" t="b">
        <v>0</v>
      </c>
    </row>
    <row r="1025" spans="1:9" x14ac:dyDescent="0.25">
      <c r="A1025" s="12">
        <v>1024</v>
      </c>
      <c r="B1025" s="12" t="s">
        <v>3580</v>
      </c>
      <c r="C1025" s="12" t="s">
        <v>3581</v>
      </c>
      <c r="D1025" s="12" t="s">
        <v>14</v>
      </c>
      <c r="E1025" s="12" t="s">
        <v>3582</v>
      </c>
      <c r="F1025" s="12" t="s">
        <v>464</v>
      </c>
      <c r="G1025" s="12" t="b">
        <v>0</v>
      </c>
      <c r="H1025" s="12" t="b">
        <v>0</v>
      </c>
      <c r="I1025" s="12" t="b">
        <v>0</v>
      </c>
    </row>
    <row r="1026" spans="1:9" x14ac:dyDescent="0.25">
      <c r="A1026" s="12">
        <v>1025</v>
      </c>
      <c r="B1026" s="12" t="s">
        <v>3583</v>
      </c>
      <c r="C1026" s="12" t="s">
        <v>3584</v>
      </c>
      <c r="D1026" s="12" t="s">
        <v>10</v>
      </c>
      <c r="E1026" s="12" t="s">
        <v>3585</v>
      </c>
      <c r="F1026" s="12" t="s">
        <v>3586</v>
      </c>
      <c r="G1026" s="12" t="b">
        <v>0</v>
      </c>
      <c r="H1026" s="12" t="b">
        <v>0</v>
      </c>
      <c r="I1026" s="12" t="b">
        <v>0</v>
      </c>
    </row>
    <row r="1027" spans="1:9" x14ac:dyDescent="0.25">
      <c r="A1027" s="12">
        <v>1026</v>
      </c>
      <c r="B1027" s="12" t="s">
        <v>3587</v>
      </c>
      <c r="C1027" s="12" t="s">
        <v>3588</v>
      </c>
      <c r="D1027" s="12" t="s">
        <v>14</v>
      </c>
      <c r="E1027" s="12" t="s">
        <v>3589</v>
      </c>
      <c r="F1027" s="12" t="s">
        <v>658</v>
      </c>
      <c r="G1027" s="12" t="b">
        <v>0</v>
      </c>
      <c r="H1027" s="12" t="b">
        <v>1</v>
      </c>
      <c r="I1027" s="12" t="b">
        <v>1</v>
      </c>
    </row>
    <row r="1028" spans="1:9" x14ac:dyDescent="0.25">
      <c r="A1028" s="12">
        <v>1027</v>
      </c>
      <c r="B1028" s="12" t="s">
        <v>3590</v>
      </c>
      <c r="C1028" s="12" t="s">
        <v>3591</v>
      </c>
      <c r="D1028" s="12" t="s">
        <v>14</v>
      </c>
      <c r="E1028" s="12" t="s">
        <v>3592</v>
      </c>
      <c r="F1028" s="12" t="s">
        <v>3593</v>
      </c>
      <c r="G1028" s="12" t="b">
        <v>0</v>
      </c>
      <c r="H1028" s="12" t="b">
        <v>0</v>
      </c>
      <c r="I1028" s="12" t="b">
        <v>0</v>
      </c>
    </row>
    <row r="1029" spans="1:9" x14ac:dyDescent="0.25">
      <c r="A1029" s="12">
        <v>1028</v>
      </c>
      <c r="B1029" s="12" t="s">
        <v>3594</v>
      </c>
      <c r="C1029" s="12" t="s">
        <v>3595</v>
      </c>
      <c r="D1029" s="12" t="s">
        <v>45</v>
      </c>
      <c r="E1029" s="12" t="s">
        <v>3596</v>
      </c>
      <c r="F1029" s="12" t="s">
        <v>2011</v>
      </c>
      <c r="G1029" s="12" t="b">
        <v>0</v>
      </c>
      <c r="H1029" s="12" t="b">
        <v>0</v>
      </c>
      <c r="I1029" s="12" t="b">
        <v>0</v>
      </c>
    </row>
    <row r="1030" spans="1:9" x14ac:dyDescent="0.25">
      <c r="A1030" s="12">
        <v>1029</v>
      </c>
      <c r="B1030" s="12" t="s">
        <v>3597</v>
      </c>
      <c r="C1030" s="12" t="s">
        <v>3598</v>
      </c>
      <c r="D1030" s="12" t="s">
        <v>14</v>
      </c>
      <c r="E1030" s="12" t="s">
        <v>3599</v>
      </c>
      <c r="F1030" s="12" t="s">
        <v>1181</v>
      </c>
      <c r="G1030" s="12" t="b">
        <v>0</v>
      </c>
      <c r="H1030" s="12" t="b">
        <v>1</v>
      </c>
      <c r="I1030" s="12" t="b">
        <v>1</v>
      </c>
    </row>
    <row r="1031" spans="1:9" x14ac:dyDescent="0.25">
      <c r="A1031" s="12">
        <v>1030</v>
      </c>
      <c r="B1031" s="12" t="s">
        <v>3600</v>
      </c>
      <c r="C1031" s="12" t="s">
        <v>3601</v>
      </c>
      <c r="D1031" s="12" t="s">
        <v>10</v>
      </c>
      <c r="E1031" s="12" t="s">
        <v>3602</v>
      </c>
      <c r="F1031" s="12" t="s">
        <v>3603</v>
      </c>
      <c r="G1031" s="12" t="b">
        <v>0</v>
      </c>
      <c r="H1031" s="12" t="b">
        <v>0</v>
      </c>
      <c r="I1031" s="12" t="b">
        <v>0</v>
      </c>
    </row>
    <row r="1032" spans="1:9" x14ac:dyDescent="0.25">
      <c r="A1032" s="12">
        <v>1031</v>
      </c>
      <c r="B1032" s="12" t="s">
        <v>3604</v>
      </c>
      <c r="C1032" s="12" t="s">
        <v>3605</v>
      </c>
      <c r="D1032" s="12" t="s">
        <v>14</v>
      </c>
      <c r="E1032" s="12" t="s">
        <v>3606</v>
      </c>
      <c r="F1032" s="12" t="s">
        <v>1850</v>
      </c>
      <c r="G1032" s="12" t="b">
        <v>0</v>
      </c>
      <c r="H1032" s="12" t="b">
        <v>0</v>
      </c>
      <c r="I1032" s="12" t="b">
        <v>0</v>
      </c>
    </row>
    <row r="1033" spans="1:9" x14ac:dyDescent="0.25">
      <c r="A1033" s="12">
        <v>1032</v>
      </c>
      <c r="B1033" s="12" t="s">
        <v>3607</v>
      </c>
      <c r="C1033" s="12" t="s">
        <v>3608</v>
      </c>
      <c r="D1033" s="12" t="s">
        <v>45</v>
      </c>
      <c r="E1033" s="12" t="s">
        <v>3609</v>
      </c>
      <c r="F1033" s="12" t="s">
        <v>3610</v>
      </c>
      <c r="G1033" s="12" t="b">
        <v>0</v>
      </c>
      <c r="H1033" s="12" t="b">
        <v>1</v>
      </c>
      <c r="I1033" s="12" t="b">
        <v>1</v>
      </c>
    </row>
    <row r="1034" spans="1:9" x14ac:dyDescent="0.25">
      <c r="A1034" s="12">
        <v>1033</v>
      </c>
      <c r="B1034" s="12" t="s">
        <v>3611</v>
      </c>
      <c r="C1034" s="12" t="s">
        <v>3612</v>
      </c>
      <c r="D1034" s="12" t="s">
        <v>14</v>
      </c>
      <c r="E1034" s="12" t="s">
        <v>3613</v>
      </c>
      <c r="F1034" s="12" t="s">
        <v>1304</v>
      </c>
      <c r="G1034" s="12" t="b">
        <v>0</v>
      </c>
      <c r="H1034" s="12" t="b">
        <v>0</v>
      </c>
      <c r="I1034" s="12" t="b">
        <v>0</v>
      </c>
    </row>
    <row r="1035" spans="1:9" x14ac:dyDescent="0.25">
      <c r="A1035" s="12">
        <v>1034</v>
      </c>
      <c r="B1035" s="12" t="s">
        <v>3614</v>
      </c>
      <c r="C1035" s="12" t="s">
        <v>3615</v>
      </c>
      <c r="D1035" s="12" t="s">
        <v>14</v>
      </c>
      <c r="E1035" s="12" t="s">
        <v>3616</v>
      </c>
      <c r="F1035" s="12" t="s">
        <v>1628</v>
      </c>
      <c r="G1035" s="12" t="b">
        <v>0</v>
      </c>
      <c r="H1035" s="12" t="b">
        <v>0</v>
      </c>
      <c r="I1035" s="12" t="b">
        <v>0</v>
      </c>
    </row>
    <row r="1036" spans="1:9" x14ac:dyDescent="0.25">
      <c r="A1036" s="12">
        <v>1035</v>
      </c>
      <c r="B1036" s="12" t="s">
        <v>3617</v>
      </c>
      <c r="C1036" s="12" t="s">
        <v>3618</v>
      </c>
      <c r="D1036" s="12" t="s">
        <v>14</v>
      </c>
      <c r="E1036" s="12" t="s">
        <v>3619</v>
      </c>
      <c r="F1036" s="12" t="s">
        <v>681</v>
      </c>
      <c r="G1036" s="12" t="b">
        <v>0</v>
      </c>
      <c r="H1036" s="12" t="b">
        <v>0</v>
      </c>
      <c r="I1036" s="12" t="b">
        <v>0</v>
      </c>
    </row>
    <row r="1037" spans="1:9" x14ac:dyDescent="0.25">
      <c r="A1037" s="12">
        <v>1036</v>
      </c>
      <c r="B1037" s="12" t="s">
        <v>3620</v>
      </c>
      <c r="C1037" s="12" t="s">
        <v>3621</v>
      </c>
      <c r="D1037" s="12" t="s">
        <v>45</v>
      </c>
      <c r="E1037" s="12" t="s">
        <v>3622</v>
      </c>
      <c r="F1037" s="12" t="s">
        <v>3623</v>
      </c>
      <c r="G1037" s="12" t="b">
        <v>0</v>
      </c>
      <c r="H1037" s="12" t="b">
        <v>0</v>
      </c>
      <c r="I1037" s="12" t="b">
        <v>0</v>
      </c>
    </row>
    <row r="1038" spans="1:9" x14ac:dyDescent="0.25">
      <c r="A1038" s="12">
        <v>1037</v>
      </c>
      <c r="B1038" s="12" t="s">
        <v>3624</v>
      </c>
      <c r="C1038" s="12" t="s">
        <v>3625</v>
      </c>
      <c r="D1038" s="12" t="s">
        <v>10</v>
      </c>
      <c r="E1038" s="12" t="s">
        <v>3626</v>
      </c>
      <c r="F1038" s="12" t="s">
        <v>1354</v>
      </c>
      <c r="G1038" s="12" t="b">
        <v>0</v>
      </c>
      <c r="H1038" s="12" t="b">
        <v>0</v>
      </c>
      <c r="I1038" s="12" t="b">
        <v>0</v>
      </c>
    </row>
    <row r="1039" spans="1:9" x14ac:dyDescent="0.25">
      <c r="A1039" s="12">
        <v>1038</v>
      </c>
      <c r="B1039" s="12" t="s">
        <v>3627</v>
      </c>
      <c r="C1039" s="12" t="s">
        <v>3628</v>
      </c>
      <c r="D1039" s="12" t="s">
        <v>14</v>
      </c>
      <c r="E1039" s="12" t="s">
        <v>3629</v>
      </c>
      <c r="F1039" s="12" t="s">
        <v>622</v>
      </c>
      <c r="G1039" s="12" t="b">
        <v>0</v>
      </c>
      <c r="H1039" s="12" t="b">
        <v>0</v>
      </c>
      <c r="I1039" s="12" t="b">
        <v>0</v>
      </c>
    </row>
    <row r="1040" spans="1:9" x14ac:dyDescent="0.25">
      <c r="A1040" s="12">
        <v>1039</v>
      </c>
      <c r="B1040" s="12" t="s">
        <v>3630</v>
      </c>
      <c r="C1040" s="12" t="s">
        <v>3631</v>
      </c>
      <c r="D1040" s="12" t="s">
        <v>14</v>
      </c>
      <c r="E1040" s="12" t="s">
        <v>3632</v>
      </c>
      <c r="F1040" s="12" t="s">
        <v>681</v>
      </c>
      <c r="G1040" s="12" t="b">
        <v>0</v>
      </c>
      <c r="H1040" s="12" t="b">
        <v>0</v>
      </c>
      <c r="I1040" s="12" t="b">
        <v>0</v>
      </c>
    </row>
    <row r="1041" spans="1:9" x14ac:dyDescent="0.25">
      <c r="A1041" s="12">
        <v>1040</v>
      </c>
      <c r="B1041" s="12" t="s">
        <v>3633</v>
      </c>
      <c r="C1041" s="12" t="s">
        <v>3634</v>
      </c>
      <c r="D1041" s="12" t="s">
        <v>14</v>
      </c>
      <c r="E1041" s="12" t="s">
        <v>3635</v>
      </c>
      <c r="F1041" s="12" t="s">
        <v>1438</v>
      </c>
      <c r="G1041" s="12" t="b">
        <v>0</v>
      </c>
      <c r="H1041" s="12" t="b">
        <v>0</v>
      </c>
      <c r="I1041" s="12" t="b">
        <v>0</v>
      </c>
    </row>
    <row r="1042" spans="1:9" x14ac:dyDescent="0.25">
      <c r="A1042" s="12">
        <v>1041</v>
      </c>
      <c r="B1042" s="12" t="s">
        <v>3636</v>
      </c>
      <c r="C1042" s="12" t="s">
        <v>3637</v>
      </c>
      <c r="D1042" s="12" t="s">
        <v>14</v>
      </c>
      <c r="E1042" s="12" t="s">
        <v>3638</v>
      </c>
      <c r="F1042" s="12" t="s">
        <v>456</v>
      </c>
      <c r="G1042" s="12" t="b">
        <v>0</v>
      </c>
      <c r="H1042" s="12" t="b">
        <v>1</v>
      </c>
      <c r="I1042" s="12" t="b">
        <v>1</v>
      </c>
    </row>
    <row r="1043" spans="1:9" x14ac:dyDescent="0.25">
      <c r="A1043" s="12">
        <v>1042</v>
      </c>
      <c r="B1043" s="12" t="s">
        <v>3639</v>
      </c>
      <c r="C1043" s="12" t="s">
        <v>3640</v>
      </c>
      <c r="D1043" s="12" t="s">
        <v>14</v>
      </c>
      <c r="E1043" s="12" t="s">
        <v>3641</v>
      </c>
      <c r="F1043" s="12" t="s">
        <v>1860</v>
      </c>
      <c r="G1043" s="12" t="b">
        <v>0</v>
      </c>
      <c r="H1043" s="12" t="b">
        <v>0</v>
      </c>
      <c r="I1043" s="12" t="b">
        <v>0</v>
      </c>
    </row>
    <row r="1044" spans="1:9" x14ac:dyDescent="0.25">
      <c r="A1044" s="12">
        <v>1043</v>
      </c>
      <c r="B1044" s="12" t="s">
        <v>3642</v>
      </c>
      <c r="C1044" s="12" t="s">
        <v>3643</v>
      </c>
      <c r="D1044" s="12" t="s">
        <v>14</v>
      </c>
      <c r="E1044" s="12" t="s">
        <v>3644</v>
      </c>
      <c r="F1044" s="12" t="s">
        <v>681</v>
      </c>
      <c r="G1044" s="12" t="b">
        <v>0</v>
      </c>
      <c r="H1044" s="12" t="b">
        <v>0</v>
      </c>
      <c r="I1044" s="12" t="b">
        <v>0</v>
      </c>
    </row>
    <row r="1045" spans="1:9" x14ac:dyDescent="0.25">
      <c r="A1045" s="12">
        <v>1044</v>
      </c>
      <c r="B1045" s="12" t="s">
        <v>3645</v>
      </c>
      <c r="C1045" s="12" t="s">
        <v>3646</v>
      </c>
      <c r="D1045" s="12" t="s">
        <v>45</v>
      </c>
      <c r="E1045" s="12" t="s">
        <v>3647</v>
      </c>
      <c r="F1045" s="12" t="s">
        <v>3648</v>
      </c>
      <c r="G1045" s="12" t="b">
        <v>0</v>
      </c>
      <c r="H1045" s="12" t="b">
        <v>1</v>
      </c>
      <c r="I1045" s="12" t="b">
        <v>1</v>
      </c>
    </row>
    <row r="1046" spans="1:9" x14ac:dyDescent="0.25">
      <c r="A1046" s="12">
        <v>1045</v>
      </c>
      <c r="B1046" s="12" t="s">
        <v>3649</v>
      </c>
      <c r="C1046" s="12" t="s">
        <v>3650</v>
      </c>
      <c r="D1046" s="12" t="s">
        <v>14</v>
      </c>
      <c r="E1046" s="12" t="s">
        <v>3651</v>
      </c>
      <c r="F1046" s="12" t="s">
        <v>859</v>
      </c>
      <c r="G1046" s="12" t="b">
        <v>1</v>
      </c>
      <c r="H1046" s="12" t="b">
        <v>0</v>
      </c>
      <c r="I1046" s="12" t="b">
        <v>0</v>
      </c>
    </row>
    <row r="1047" spans="1:9" x14ac:dyDescent="0.25">
      <c r="A1047" s="12">
        <v>1046</v>
      </c>
      <c r="B1047" s="12" t="s">
        <v>3652</v>
      </c>
      <c r="C1047" s="12" t="s">
        <v>3653</v>
      </c>
      <c r="D1047" s="12" t="s">
        <v>10</v>
      </c>
      <c r="E1047" s="12" t="s">
        <v>3654</v>
      </c>
      <c r="F1047" s="12" t="s">
        <v>1478</v>
      </c>
      <c r="G1047" s="12" t="b">
        <v>0</v>
      </c>
      <c r="H1047" s="12" t="b">
        <v>1</v>
      </c>
      <c r="I1047" s="12" t="b">
        <v>1</v>
      </c>
    </row>
    <row r="1048" spans="1:9" x14ac:dyDescent="0.25">
      <c r="A1048" s="12">
        <v>1047</v>
      </c>
      <c r="B1048" s="12" t="s">
        <v>3655</v>
      </c>
      <c r="C1048" s="12" t="s">
        <v>3656</v>
      </c>
      <c r="D1048" s="12" t="s">
        <v>10</v>
      </c>
      <c r="E1048" s="12" t="s">
        <v>3657</v>
      </c>
      <c r="F1048" s="12" t="s">
        <v>387</v>
      </c>
      <c r="G1048" s="12" t="b">
        <v>0</v>
      </c>
      <c r="H1048" s="12" t="b">
        <v>1</v>
      </c>
      <c r="I1048" s="12" t="b">
        <v>1</v>
      </c>
    </row>
    <row r="1049" spans="1:9" x14ac:dyDescent="0.25">
      <c r="A1049" s="12">
        <v>1048</v>
      </c>
      <c r="B1049" s="12" t="s">
        <v>3658</v>
      </c>
      <c r="C1049" s="12" t="s">
        <v>3659</v>
      </c>
      <c r="D1049" s="12" t="s">
        <v>14</v>
      </c>
      <c r="E1049" s="12" t="s">
        <v>3660</v>
      </c>
      <c r="F1049" s="12" t="s">
        <v>3661</v>
      </c>
      <c r="G1049" s="12" t="b">
        <v>0</v>
      </c>
      <c r="H1049" s="12" t="b">
        <v>1</v>
      </c>
      <c r="I1049" s="12" t="b">
        <v>1</v>
      </c>
    </row>
    <row r="1050" spans="1:9" x14ac:dyDescent="0.25">
      <c r="A1050" s="12">
        <v>1049</v>
      </c>
      <c r="B1050" s="12" t="s">
        <v>3662</v>
      </c>
      <c r="C1050" s="12" t="s">
        <v>3663</v>
      </c>
      <c r="D1050" s="12" t="s">
        <v>14</v>
      </c>
      <c r="E1050" s="12" t="s">
        <v>3664</v>
      </c>
      <c r="F1050" s="12" t="s">
        <v>681</v>
      </c>
      <c r="G1050" s="12" t="b">
        <v>0</v>
      </c>
      <c r="H1050" s="12" t="b">
        <v>0</v>
      </c>
      <c r="I1050" s="12" t="b">
        <v>0</v>
      </c>
    </row>
    <row r="1051" spans="1:9" x14ac:dyDescent="0.25">
      <c r="A1051" s="12">
        <v>1050</v>
      </c>
      <c r="B1051" s="12" t="s">
        <v>3665</v>
      </c>
      <c r="C1051" s="12" t="s">
        <v>3666</v>
      </c>
      <c r="D1051" s="12" t="s">
        <v>10</v>
      </c>
      <c r="E1051" s="12" t="s">
        <v>3667</v>
      </c>
      <c r="F1051" s="12" t="s">
        <v>859</v>
      </c>
      <c r="G1051" s="12" t="b">
        <v>0</v>
      </c>
      <c r="H1051" s="12" t="b">
        <v>0</v>
      </c>
      <c r="I1051" s="12" t="b">
        <v>0</v>
      </c>
    </row>
    <row r="1052" spans="1:9" x14ac:dyDescent="0.25">
      <c r="A1052" s="12">
        <v>1051</v>
      </c>
      <c r="B1052" s="12" t="s">
        <v>3668</v>
      </c>
      <c r="C1052" s="12" t="s">
        <v>3669</v>
      </c>
      <c r="D1052" s="12" t="s">
        <v>10</v>
      </c>
      <c r="E1052" s="12" t="s">
        <v>3670</v>
      </c>
      <c r="F1052" s="12" t="s">
        <v>1162</v>
      </c>
      <c r="G1052" s="12" t="b">
        <v>0</v>
      </c>
      <c r="H1052" s="12" t="b">
        <v>0</v>
      </c>
      <c r="I1052" s="12" t="b">
        <v>0</v>
      </c>
    </row>
    <row r="1053" spans="1:9" x14ac:dyDescent="0.25">
      <c r="A1053" s="12">
        <v>1052</v>
      </c>
      <c r="B1053" s="12" t="s">
        <v>3671</v>
      </c>
      <c r="C1053" s="12" t="s">
        <v>3672</v>
      </c>
      <c r="D1053" s="12" t="s">
        <v>14</v>
      </c>
      <c r="E1053" s="12" t="s">
        <v>3673</v>
      </c>
      <c r="F1053" s="12" t="s">
        <v>2340</v>
      </c>
      <c r="G1053" s="12" t="b">
        <v>0</v>
      </c>
      <c r="H1053" s="12" t="b">
        <v>0</v>
      </c>
      <c r="I1053" s="12" t="b">
        <v>0</v>
      </c>
    </row>
    <row r="1054" spans="1:9" x14ac:dyDescent="0.25">
      <c r="A1054" s="12">
        <v>1053</v>
      </c>
      <c r="B1054" s="12" t="s">
        <v>3674</v>
      </c>
      <c r="C1054" s="12" t="s">
        <v>3675</v>
      </c>
      <c r="D1054" s="12" t="s">
        <v>14</v>
      </c>
      <c r="E1054" s="12" t="s">
        <v>3676</v>
      </c>
      <c r="F1054" s="12" t="s">
        <v>732</v>
      </c>
      <c r="G1054" s="12" t="b">
        <v>0</v>
      </c>
      <c r="H1054" s="12" t="b">
        <v>0</v>
      </c>
      <c r="I1054" s="12" t="b">
        <v>0</v>
      </c>
    </row>
    <row r="1055" spans="1:9" x14ac:dyDescent="0.25">
      <c r="A1055" s="12">
        <v>1054</v>
      </c>
      <c r="B1055" s="12" t="s">
        <v>3677</v>
      </c>
      <c r="C1055" s="12" t="s">
        <v>3678</v>
      </c>
      <c r="D1055" s="12" t="s">
        <v>14</v>
      </c>
      <c r="E1055" s="12" t="s">
        <v>3679</v>
      </c>
      <c r="F1055" s="12" t="s">
        <v>2271</v>
      </c>
      <c r="G1055" s="12" t="b">
        <v>0</v>
      </c>
      <c r="H1055" s="12" t="b">
        <v>0</v>
      </c>
      <c r="I1055" s="12" t="b">
        <v>0</v>
      </c>
    </row>
    <row r="1056" spans="1:9" x14ac:dyDescent="0.25">
      <c r="A1056" s="12">
        <v>1055</v>
      </c>
      <c r="B1056" s="12" t="s">
        <v>3680</v>
      </c>
      <c r="C1056" s="12" t="s">
        <v>3681</v>
      </c>
      <c r="D1056" s="12" t="s">
        <v>14</v>
      </c>
      <c r="E1056" s="12" t="s">
        <v>3682</v>
      </c>
      <c r="F1056" s="12" t="s">
        <v>3683</v>
      </c>
      <c r="G1056" s="12" t="b">
        <v>1</v>
      </c>
      <c r="H1056" s="12" t="b">
        <v>0</v>
      </c>
      <c r="I1056" s="12" t="b">
        <v>0</v>
      </c>
    </row>
    <row r="1057" spans="1:9" x14ac:dyDescent="0.25">
      <c r="A1057" s="12">
        <v>1056</v>
      </c>
      <c r="B1057" s="12" t="s">
        <v>3684</v>
      </c>
      <c r="C1057" s="12" t="s">
        <v>3685</v>
      </c>
      <c r="D1057" s="12" t="s">
        <v>10</v>
      </c>
      <c r="E1057" s="12" t="s">
        <v>3686</v>
      </c>
      <c r="F1057" s="12" t="s">
        <v>315</v>
      </c>
      <c r="G1057" s="12" t="b">
        <v>1</v>
      </c>
      <c r="H1057" s="12" t="b">
        <v>0</v>
      </c>
      <c r="I1057" s="12" t="b">
        <v>0</v>
      </c>
    </row>
    <row r="1058" spans="1:9" x14ac:dyDescent="0.25">
      <c r="A1058" s="12">
        <v>1057</v>
      </c>
      <c r="B1058" s="12" t="s">
        <v>3687</v>
      </c>
      <c r="C1058" s="12" t="s">
        <v>3688</v>
      </c>
      <c r="D1058" s="12" t="s">
        <v>14</v>
      </c>
      <c r="E1058" s="12" t="s">
        <v>3689</v>
      </c>
      <c r="F1058" s="12" t="s">
        <v>1181</v>
      </c>
      <c r="G1058" s="12" t="b">
        <v>1</v>
      </c>
      <c r="H1058" s="12" t="b">
        <v>1</v>
      </c>
      <c r="I1058" s="12" t="b">
        <v>1</v>
      </c>
    </row>
    <row r="1059" spans="1:9" x14ac:dyDescent="0.25">
      <c r="A1059" s="12">
        <v>1058</v>
      </c>
      <c r="B1059" s="12" t="s">
        <v>3690</v>
      </c>
      <c r="C1059" s="12" t="s">
        <v>3691</v>
      </c>
      <c r="D1059" s="12" t="s">
        <v>14</v>
      </c>
      <c r="E1059" s="12" t="s">
        <v>3692</v>
      </c>
      <c r="F1059" s="12" t="s">
        <v>3693</v>
      </c>
      <c r="G1059" s="12" t="b">
        <v>1</v>
      </c>
      <c r="H1059" s="12" t="b">
        <v>0</v>
      </c>
      <c r="I1059" s="12" t="b">
        <v>0</v>
      </c>
    </row>
    <row r="1060" spans="1:9" x14ac:dyDescent="0.25">
      <c r="A1060" s="12">
        <v>1059</v>
      </c>
      <c r="B1060" s="12" t="s">
        <v>3694</v>
      </c>
      <c r="C1060" s="12" t="s">
        <v>3695</v>
      </c>
      <c r="D1060" s="12" t="s">
        <v>14</v>
      </c>
      <c r="E1060" s="12" t="s">
        <v>3696</v>
      </c>
      <c r="F1060" s="12" t="s">
        <v>3697</v>
      </c>
      <c r="G1060" s="12" t="b">
        <v>1</v>
      </c>
      <c r="H1060" s="12" t="b">
        <v>1</v>
      </c>
      <c r="I1060" s="12" t="b">
        <v>1</v>
      </c>
    </row>
    <row r="1061" spans="1:9" x14ac:dyDescent="0.25">
      <c r="A1061" s="12">
        <v>1060</v>
      </c>
      <c r="B1061" s="12" t="s">
        <v>3698</v>
      </c>
      <c r="C1061" s="12" t="s">
        <v>3699</v>
      </c>
      <c r="D1061" s="12" t="s">
        <v>14</v>
      </c>
      <c r="E1061" s="12" t="s">
        <v>3700</v>
      </c>
      <c r="F1061" s="12" t="s">
        <v>426</v>
      </c>
      <c r="G1061" s="12" t="b">
        <v>1</v>
      </c>
      <c r="H1061" s="12" t="b">
        <v>1</v>
      </c>
      <c r="I1061" s="12" t="b">
        <v>1</v>
      </c>
    </row>
    <row r="1062" spans="1:9" x14ac:dyDescent="0.25">
      <c r="A1062" s="12">
        <v>1061</v>
      </c>
      <c r="B1062" s="12" t="s">
        <v>3701</v>
      </c>
      <c r="C1062" s="12" t="s">
        <v>3702</v>
      </c>
      <c r="D1062" s="12" t="s">
        <v>14</v>
      </c>
      <c r="E1062" s="12" t="s">
        <v>3703</v>
      </c>
      <c r="F1062" s="12" t="s">
        <v>3704</v>
      </c>
      <c r="G1062" s="12" t="b">
        <v>1</v>
      </c>
      <c r="H1062" s="12" t="b">
        <v>0</v>
      </c>
      <c r="I1062" s="12" t="b">
        <v>0</v>
      </c>
    </row>
    <row r="1063" spans="1:9" x14ac:dyDescent="0.25">
      <c r="A1063" s="12">
        <v>1062</v>
      </c>
      <c r="B1063" s="12" t="s">
        <v>3705</v>
      </c>
      <c r="C1063" s="12" t="s">
        <v>3706</v>
      </c>
      <c r="D1063" s="12" t="s">
        <v>14</v>
      </c>
      <c r="E1063" s="12" t="s">
        <v>3707</v>
      </c>
      <c r="F1063" s="12" t="s">
        <v>3708</v>
      </c>
      <c r="G1063" s="12" t="b">
        <v>1</v>
      </c>
      <c r="H1063" s="12" t="b">
        <v>1</v>
      </c>
      <c r="I1063" s="12" t="b">
        <v>1</v>
      </c>
    </row>
    <row r="1064" spans="1:9" x14ac:dyDescent="0.25">
      <c r="A1064" s="12">
        <v>1063</v>
      </c>
      <c r="B1064" s="12" t="s">
        <v>3709</v>
      </c>
      <c r="C1064" s="12" t="s">
        <v>3710</v>
      </c>
      <c r="D1064" s="12" t="s">
        <v>45</v>
      </c>
      <c r="E1064" s="12" t="s">
        <v>3711</v>
      </c>
      <c r="F1064" s="12" t="s">
        <v>577</v>
      </c>
      <c r="G1064" s="12" t="b">
        <v>1</v>
      </c>
      <c r="H1064" s="12" t="b">
        <v>0</v>
      </c>
      <c r="I1064" s="12" t="b">
        <v>0</v>
      </c>
    </row>
    <row r="1065" spans="1:9" x14ac:dyDescent="0.25">
      <c r="A1065" s="12">
        <v>1064</v>
      </c>
      <c r="B1065" s="12" t="s">
        <v>3712</v>
      </c>
      <c r="C1065" s="12" t="s">
        <v>3713</v>
      </c>
      <c r="D1065" s="12" t="s">
        <v>10</v>
      </c>
      <c r="E1065" s="12" t="s">
        <v>3714</v>
      </c>
      <c r="F1065" s="12" t="s">
        <v>426</v>
      </c>
      <c r="G1065" s="12" t="b">
        <v>1</v>
      </c>
      <c r="H1065" s="12" t="b">
        <v>1</v>
      </c>
      <c r="I1065" s="12" t="b">
        <v>1</v>
      </c>
    </row>
    <row r="1066" spans="1:9" x14ac:dyDescent="0.25">
      <c r="A1066" s="12">
        <v>1065</v>
      </c>
      <c r="B1066" s="12" t="s">
        <v>171</v>
      </c>
      <c r="C1066" s="12" t="s">
        <v>3715</v>
      </c>
      <c r="D1066" s="12" t="s">
        <v>10</v>
      </c>
      <c r="E1066" s="12" t="s">
        <v>3716</v>
      </c>
      <c r="F1066" s="12" t="s">
        <v>3717</v>
      </c>
      <c r="G1066" s="12" t="b">
        <v>1</v>
      </c>
      <c r="H1066" s="12" t="b">
        <v>0</v>
      </c>
      <c r="I1066" s="12" t="b">
        <v>0</v>
      </c>
    </row>
    <row r="1067" spans="1:9" x14ac:dyDescent="0.25">
      <c r="A1067" s="12">
        <v>1066</v>
      </c>
      <c r="B1067" s="12" t="s">
        <v>3718</v>
      </c>
      <c r="C1067" s="12" t="s">
        <v>3719</v>
      </c>
      <c r="D1067" s="12" t="s">
        <v>14</v>
      </c>
      <c r="E1067" s="12" t="s">
        <v>3720</v>
      </c>
      <c r="F1067" s="12" t="s">
        <v>1780</v>
      </c>
      <c r="G1067" s="12" t="b">
        <v>1</v>
      </c>
      <c r="H1067" s="12" t="b">
        <v>1</v>
      </c>
      <c r="I1067" s="12" t="b">
        <v>1</v>
      </c>
    </row>
    <row r="1068" spans="1:9" x14ac:dyDescent="0.25">
      <c r="A1068" s="12">
        <v>1067</v>
      </c>
      <c r="B1068" s="12" t="s">
        <v>3721</v>
      </c>
      <c r="C1068" s="12" t="s">
        <v>3722</v>
      </c>
      <c r="D1068" s="12" t="s">
        <v>45</v>
      </c>
      <c r="E1068" s="12" t="s">
        <v>3723</v>
      </c>
      <c r="F1068" s="12" t="s">
        <v>1379</v>
      </c>
      <c r="G1068" s="12" t="b">
        <v>1</v>
      </c>
      <c r="H1068" s="12" t="b">
        <v>0</v>
      </c>
      <c r="I1068" s="12" t="b">
        <v>0</v>
      </c>
    </row>
    <row r="1069" spans="1:9" x14ac:dyDescent="0.25">
      <c r="A1069" s="12">
        <v>1068</v>
      </c>
      <c r="B1069" s="12" t="s">
        <v>3724</v>
      </c>
      <c r="C1069" s="12" t="s">
        <v>3725</v>
      </c>
      <c r="D1069" s="12" t="s">
        <v>10</v>
      </c>
      <c r="E1069" s="12" t="s">
        <v>3726</v>
      </c>
      <c r="F1069" s="12" t="s">
        <v>859</v>
      </c>
      <c r="G1069" s="12" t="b">
        <v>1</v>
      </c>
      <c r="H1069" s="12" t="b">
        <v>0</v>
      </c>
      <c r="I1069" s="12" t="b">
        <v>0</v>
      </c>
    </row>
    <row r="1070" spans="1:9" x14ac:dyDescent="0.25">
      <c r="A1070" s="12">
        <v>1069</v>
      </c>
      <c r="B1070" s="12" t="s">
        <v>3727</v>
      </c>
      <c r="C1070" s="12" t="s">
        <v>3728</v>
      </c>
      <c r="D1070" s="12" t="s">
        <v>10</v>
      </c>
      <c r="E1070" s="12" t="s">
        <v>3729</v>
      </c>
      <c r="F1070" s="12" t="s">
        <v>859</v>
      </c>
      <c r="G1070" s="12" t="b">
        <v>1</v>
      </c>
      <c r="H1070" s="12" t="b">
        <v>0</v>
      </c>
      <c r="I1070" s="12" t="b">
        <v>0</v>
      </c>
    </row>
    <row r="1071" spans="1:9" x14ac:dyDescent="0.25">
      <c r="A1071" s="12">
        <v>1070</v>
      </c>
      <c r="B1071" s="12" t="s">
        <v>3730</v>
      </c>
      <c r="C1071" s="12" t="s">
        <v>3731</v>
      </c>
      <c r="D1071" s="12" t="s">
        <v>14</v>
      </c>
      <c r="E1071" s="12" t="s">
        <v>3732</v>
      </c>
      <c r="F1071" s="12" t="s">
        <v>859</v>
      </c>
      <c r="G1071" s="12" t="b">
        <v>1</v>
      </c>
      <c r="H1071" s="12" t="b">
        <v>0</v>
      </c>
      <c r="I1071" s="12" t="b">
        <v>0</v>
      </c>
    </row>
    <row r="1072" spans="1:9" x14ac:dyDescent="0.25">
      <c r="A1072" s="12">
        <v>1071</v>
      </c>
      <c r="B1072" s="12" t="s">
        <v>3733</v>
      </c>
      <c r="C1072" s="12" t="s">
        <v>3734</v>
      </c>
      <c r="D1072" s="12" t="s">
        <v>10</v>
      </c>
      <c r="E1072" s="12" t="s">
        <v>3735</v>
      </c>
      <c r="F1072" s="12" t="s">
        <v>836</v>
      </c>
      <c r="G1072" s="12" t="b">
        <v>0</v>
      </c>
      <c r="H1072" s="12" t="b">
        <v>0</v>
      </c>
      <c r="I1072" s="12" t="b">
        <v>0</v>
      </c>
    </row>
    <row r="1073" spans="1:9" x14ac:dyDescent="0.25">
      <c r="A1073" s="12">
        <v>1072</v>
      </c>
      <c r="B1073" s="12" t="s">
        <v>3736</v>
      </c>
      <c r="C1073" s="12" t="s">
        <v>3737</v>
      </c>
      <c r="D1073" s="12" t="s">
        <v>14</v>
      </c>
      <c r="E1073" s="12" t="s">
        <v>3738</v>
      </c>
      <c r="F1073" s="12" t="s">
        <v>436</v>
      </c>
      <c r="G1073" s="12" t="b">
        <v>0</v>
      </c>
      <c r="H1073" s="12" t="b">
        <v>0</v>
      </c>
      <c r="I1073" s="12" t="b">
        <v>0</v>
      </c>
    </row>
    <row r="1074" spans="1:9" x14ac:dyDescent="0.25">
      <c r="A1074" s="12">
        <v>1073</v>
      </c>
      <c r="B1074" s="12" t="s">
        <v>3739</v>
      </c>
      <c r="C1074" s="12" t="s">
        <v>3740</v>
      </c>
      <c r="D1074" s="12" t="s">
        <v>14</v>
      </c>
      <c r="E1074" s="12" t="s">
        <v>3741</v>
      </c>
      <c r="F1074" s="12" t="s">
        <v>525</v>
      </c>
      <c r="G1074" s="12" t="b">
        <v>0</v>
      </c>
      <c r="H1074" s="12" t="b">
        <v>0</v>
      </c>
      <c r="I1074" s="12" t="b">
        <v>0</v>
      </c>
    </row>
    <row r="1075" spans="1:9" x14ac:dyDescent="0.25">
      <c r="A1075" s="12">
        <v>1074</v>
      </c>
      <c r="B1075" s="12" t="s">
        <v>3742</v>
      </c>
      <c r="C1075" s="12" t="s">
        <v>3743</v>
      </c>
      <c r="D1075" s="12" t="s">
        <v>45</v>
      </c>
      <c r="E1075" s="12" t="s">
        <v>3744</v>
      </c>
      <c r="F1075" s="12" t="s">
        <v>3745</v>
      </c>
      <c r="G1075" s="12" t="b">
        <v>0</v>
      </c>
      <c r="H1075" s="12" t="b">
        <v>1</v>
      </c>
      <c r="I1075" s="12" t="b">
        <v>1</v>
      </c>
    </row>
    <row r="1076" spans="1:9" x14ac:dyDescent="0.25">
      <c r="A1076" s="12">
        <v>1075</v>
      </c>
      <c r="B1076" s="12" t="s">
        <v>3746</v>
      </c>
      <c r="C1076" s="12" t="s">
        <v>3747</v>
      </c>
      <c r="D1076" s="12" t="s">
        <v>10</v>
      </c>
      <c r="E1076" s="12" t="s">
        <v>3748</v>
      </c>
      <c r="F1076" s="12" t="s">
        <v>859</v>
      </c>
      <c r="G1076" s="12" t="b">
        <v>1</v>
      </c>
      <c r="H1076" s="12" t="b">
        <v>0</v>
      </c>
      <c r="I1076" s="12" t="b">
        <v>0</v>
      </c>
    </row>
    <row r="1077" spans="1:9" x14ac:dyDescent="0.25">
      <c r="A1077" s="12">
        <v>1076</v>
      </c>
      <c r="B1077" s="12" t="s">
        <v>3749</v>
      </c>
      <c r="C1077" s="12" t="s">
        <v>3750</v>
      </c>
      <c r="D1077" s="12" t="s">
        <v>10</v>
      </c>
      <c r="E1077" s="12" t="s">
        <v>3751</v>
      </c>
      <c r="F1077" s="12" t="s">
        <v>859</v>
      </c>
      <c r="G1077" s="12" t="b">
        <v>1</v>
      </c>
      <c r="H1077" s="12" t="b">
        <v>0</v>
      </c>
      <c r="I1077" s="12" t="b">
        <v>0</v>
      </c>
    </row>
    <row r="1078" spans="1:9" x14ac:dyDescent="0.25">
      <c r="A1078" s="12">
        <v>1077</v>
      </c>
      <c r="B1078" s="12" t="s">
        <v>3752</v>
      </c>
      <c r="C1078" s="12" t="s">
        <v>3753</v>
      </c>
      <c r="D1078" s="12" t="s">
        <v>14</v>
      </c>
      <c r="E1078" s="12" t="s">
        <v>3754</v>
      </c>
      <c r="F1078" s="12" t="s">
        <v>859</v>
      </c>
      <c r="G1078" s="12" t="b">
        <v>1</v>
      </c>
      <c r="H1078" s="12" t="b">
        <v>0</v>
      </c>
      <c r="I1078" s="12" t="b">
        <v>0</v>
      </c>
    </row>
    <row r="1079" spans="1:9" x14ac:dyDescent="0.25">
      <c r="A1079" s="12">
        <v>1078</v>
      </c>
      <c r="B1079" s="12" t="s">
        <v>3755</v>
      </c>
      <c r="C1079" s="12" t="s">
        <v>3756</v>
      </c>
      <c r="D1079" s="12" t="s">
        <v>10</v>
      </c>
      <c r="E1079" s="12" t="s">
        <v>3757</v>
      </c>
      <c r="F1079" s="12" t="s">
        <v>316</v>
      </c>
      <c r="G1079" s="12" t="b">
        <v>0</v>
      </c>
      <c r="H1079" s="12" t="b">
        <v>0</v>
      </c>
      <c r="I1079" s="12" t="b">
        <v>0</v>
      </c>
    </row>
    <row r="1080" spans="1:9" x14ac:dyDescent="0.25">
      <c r="A1080" s="12">
        <v>1079</v>
      </c>
      <c r="B1080" s="12" t="s">
        <v>3758</v>
      </c>
      <c r="C1080" s="12" t="s">
        <v>3759</v>
      </c>
      <c r="D1080" s="12" t="s">
        <v>14</v>
      </c>
      <c r="E1080" s="12" t="s">
        <v>3760</v>
      </c>
      <c r="F1080" s="12" t="s">
        <v>604</v>
      </c>
      <c r="G1080" s="12" t="b">
        <v>0</v>
      </c>
      <c r="H1080" s="12" t="b">
        <v>0</v>
      </c>
      <c r="I1080" s="12" t="b">
        <v>0</v>
      </c>
    </row>
    <row r="1081" spans="1:9" x14ac:dyDescent="0.25">
      <c r="A1081" s="12">
        <v>1080</v>
      </c>
      <c r="B1081" s="12" t="s">
        <v>3761</v>
      </c>
      <c r="C1081" s="12" t="s">
        <v>3762</v>
      </c>
      <c r="D1081" s="12" t="s">
        <v>14</v>
      </c>
      <c r="E1081" s="12" t="s">
        <v>3763</v>
      </c>
      <c r="F1081" s="12" t="s">
        <v>658</v>
      </c>
      <c r="G1081" s="12" t="b">
        <v>0</v>
      </c>
      <c r="H1081" s="12" t="b">
        <v>0</v>
      </c>
      <c r="I1081" s="12" t="b">
        <v>0</v>
      </c>
    </row>
    <row r="1082" spans="1:9" x14ac:dyDescent="0.25">
      <c r="A1082" s="12">
        <v>1081</v>
      </c>
      <c r="B1082" s="12" t="s">
        <v>3764</v>
      </c>
      <c r="C1082" s="12" t="s">
        <v>3765</v>
      </c>
      <c r="D1082" s="12" t="s">
        <v>14</v>
      </c>
      <c r="E1082" s="12" t="s">
        <v>3766</v>
      </c>
      <c r="F1082" s="12" t="s">
        <v>1294</v>
      </c>
      <c r="G1082" s="12" t="b">
        <v>0</v>
      </c>
      <c r="H1082" s="12" t="b">
        <v>0</v>
      </c>
      <c r="I1082" s="12" t="b">
        <v>0</v>
      </c>
    </row>
    <row r="1083" spans="1:9" x14ac:dyDescent="0.25">
      <c r="A1083" s="12">
        <v>1082</v>
      </c>
      <c r="B1083" s="12" t="s">
        <v>3767</v>
      </c>
      <c r="C1083" s="12" t="s">
        <v>3768</v>
      </c>
      <c r="D1083" s="12" t="s">
        <v>10</v>
      </c>
      <c r="E1083" s="12" t="s">
        <v>2193</v>
      </c>
      <c r="F1083" s="12" t="s">
        <v>859</v>
      </c>
      <c r="G1083" s="12" t="b">
        <v>1</v>
      </c>
      <c r="H1083" s="12" t="b">
        <v>0</v>
      </c>
      <c r="I1083" s="12" t="b">
        <v>0</v>
      </c>
    </row>
    <row r="1084" spans="1:9" x14ac:dyDescent="0.25">
      <c r="A1084" s="12">
        <v>1083</v>
      </c>
      <c r="B1084" s="12" t="s">
        <v>3769</v>
      </c>
      <c r="C1084" s="12" t="s">
        <v>3770</v>
      </c>
      <c r="D1084" s="12" t="s">
        <v>10</v>
      </c>
      <c r="E1084" s="12" t="s">
        <v>3771</v>
      </c>
      <c r="F1084" s="12" t="s">
        <v>859</v>
      </c>
      <c r="G1084" s="12" t="b">
        <v>1</v>
      </c>
      <c r="H1084" s="12" t="b">
        <v>0</v>
      </c>
      <c r="I1084" s="12" t="b">
        <v>0</v>
      </c>
    </row>
    <row r="1085" spans="1:9" x14ac:dyDescent="0.25">
      <c r="A1085" s="12">
        <v>1084</v>
      </c>
      <c r="B1085" s="12" t="s">
        <v>3772</v>
      </c>
      <c r="C1085" s="12" t="s">
        <v>3773</v>
      </c>
      <c r="D1085" s="12" t="s">
        <v>10</v>
      </c>
      <c r="E1085" s="12" t="s">
        <v>3774</v>
      </c>
      <c r="F1085" s="12" t="s">
        <v>859</v>
      </c>
      <c r="G1085" s="12" t="b">
        <v>0</v>
      </c>
      <c r="H1085" s="12" t="b">
        <v>0</v>
      </c>
      <c r="I1085" s="12" t="b">
        <v>0</v>
      </c>
    </row>
    <row r="1086" spans="1:9" x14ac:dyDescent="0.25">
      <c r="A1086" s="12">
        <v>1085</v>
      </c>
      <c r="B1086" s="12" t="s">
        <v>3775</v>
      </c>
      <c r="C1086" s="12" t="s">
        <v>3776</v>
      </c>
      <c r="D1086" s="12" t="s">
        <v>10</v>
      </c>
      <c r="E1086" s="12" t="s">
        <v>3777</v>
      </c>
      <c r="F1086" s="12" t="s">
        <v>525</v>
      </c>
      <c r="G1086" s="12" t="b">
        <v>1</v>
      </c>
      <c r="H1086" s="12" t="b">
        <v>0</v>
      </c>
      <c r="I1086" s="12" t="b">
        <v>0</v>
      </c>
    </row>
    <row r="1087" spans="1:9" x14ac:dyDescent="0.25">
      <c r="A1087" s="12">
        <v>1086</v>
      </c>
      <c r="B1087" s="12" t="s">
        <v>3778</v>
      </c>
      <c r="C1087" s="12" t="s">
        <v>3779</v>
      </c>
      <c r="D1087" s="12" t="s">
        <v>10</v>
      </c>
      <c r="E1087" s="12" t="s">
        <v>3780</v>
      </c>
      <c r="F1087" s="12" t="s">
        <v>986</v>
      </c>
      <c r="G1087" s="12" t="b">
        <v>1</v>
      </c>
      <c r="H1087" s="12" t="b">
        <v>1</v>
      </c>
      <c r="I1087" s="12" t="b">
        <v>1</v>
      </c>
    </row>
    <row r="1088" spans="1:9" x14ac:dyDescent="0.25">
      <c r="A1088" s="12">
        <v>1087</v>
      </c>
      <c r="B1088" s="12" t="s">
        <v>3781</v>
      </c>
      <c r="C1088" s="12" t="s">
        <v>3782</v>
      </c>
      <c r="D1088" s="12" t="s">
        <v>14</v>
      </c>
      <c r="E1088" s="12" t="s">
        <v>3783</v>
      </c>
      <c r="F1088" s="12" t="s">
        <v>1247</v>
      </c>
      <c r="G1088" s="12" t="b">
        <v>1</v>
      </c>
      <c r="H1088" s="12" t="b">
        <v>1</v>
      </c>
      <c r="I1088" s="12" t="b">
        <v>1</v>
      </c>
    </row>
    <row r="1089" spans="1:9" x14ac:dyDescent="0.25">
      <c r="A1089" s="12">
        <v>1088</v>
      </c>
      <c r="B1089" s="12" t="s">
        <v>3784</v>
      </c>
      <c r="C1089" s="12" t="s">
        <v>3785</v>
      </c>
      <c r="D1089" s="12" t="s">
        <v>45</v>
      </c>
      <c r="E1089" s="12" t="s">
        <v>3786</v>
      </c>
      <c r="F1089" s="12" t="s">
        <v>3787</v>
      </c>
      <c r="G1089" s="12" t="b">
        <v>1</v>
      </c>
      <c r="H1089" s="12" t="b">
        <v>0</v>
      </c>
      <c r="I1089" s="12" t="b">
        <v>0</v>
      </c>
    </row>
    <row r="1090" spans="1:9" x14ac:dyDescent="0.25">
      <c r="A1090" s="12">
        <v>1089</v>
      </c>
      <c r="B1090" s="12" t="s">
        <v>3788</v>
      </c>
      <c r="C1090" s="12" t="s">
        <v>3789</v>
      </c>
      <c r="D1090" s="12" t="s">
        <v>10</v>
      </c>
      <c r="E1090" s="12" t="s">
        <v>3790</v>
      </c>
      <c r="F1090" s="12" t="s">
        <v>404</v>
      </c>
      <c r="G1090" s="12" t="b">
        <v>0</v>
      </c>
      <c r="H1090" s="12" t="b">
        <v>1</v>
      </c>
      <c r="I1090" s="12" t="b">
        <v>1</v>
      </c>
    </row>
    <row r="1091" spans="1:9" x14ac:dyDescent="0.25">
      <c r="A1091" s="12">
        <v>1090</v>
      </c>
      <c r="B1091" s="12" t="s">
        <v>3791</v>
      </c>
      <c r="C1091" s="12" t="s">
        <v>3792</v>
      </c>
      <c r="D1091" s="12" t="s">
        <v>14</v>
      </c>
      <c r="E1091" s="12" t="s">
        <v>3793</v>
      </c>
      <c r="F1091" s="12" t="s">
        <v>3794</v>
      </c>
      <c r="G1091" s="12" t="b">
        <v>0</v>
      </c>
      <c r="H1091" s="12" t="b">
        <v>0</v>
      </c>
      <c r="I1091" s="12" t="b">
        <v>0</v>
      </c>
    </row>
    <row r="1092" spans="1:9" x14ac:dyDescent="0.25">
      <c r="A1092" s="12">
        <v>1091</v>
      </c>
      <c r="B1092" s="12" t="s">
        <v>3795</v>
      </c>
      <c r="C1092" s="12" t="s">
        <v>3796</v>
      </c>
      <c r="D1092" s="12" t="s">
        <v>14</v>
      </c>
      <c r="E1092" s="12" t="s">
        <v>3797</v>
      </c>
      <c r="F1092" s="12" t="s">
        <v>1199</v>
      </c>
      <c r="G1092" s="12" t="b">
        <v>0</v>
      </c>
      <c r="H1092" s="12" t="b">
        <v>1</v>
      </c>
      <c r="I1092" s="12" t="b">
        <v>1</v>
      </c>
    </row>
    <row r="1093" spans="1:9" x14ac:dyDescent="0.25">
      <c r="A1093" s="12">
        <v>1092</v>
      </c>
      <c r="B1093" s="12" t="s">
        <v>3798</v>
      </c>
      <c r="C1093" s="12" t="s">
        <v>3799</v>
      </c>
      <c r="D1093" s="12" t="s">
        <v>45</v>
      </c>
      <c r="E1093" s="12" t="s">
        <v>3800</v>
      </c>
      <c r="F1093" s="12" t="s">
        <v>340</v>
      </c>
      <c r="G1093" s="12" t="b">
        <v>0</v>
      </c>
      <c r="H1093" s="12" t="b">
        <v>0</v>
      </c>
      <c r="I1093" s="12" t="b">
        <v>0</v>
      </c>
    </row>
    <row r="1094" spans="1:9" x14ac:dyDescent="0.25">
      <c r="A1094" s="12">
        <v>1093</v>
      </c>
      <c r="B1094" s="12" t="s">
        <v>3801</v>
      </c>
      <c r="C1094" s="12" t="s">
        <v>3802</v>
      </c>
      <c r="D1094" s="12" t="s">
        <v>14</v>
      </c>
      <c r="E1094" s="12" t="s">
        <v>3803</v>
      </c>
      <c r="F1094" s="12" t="s">
        <v>3804</v>
      </c>
      <c r="G1094" s="12" t="b">
        <v>0</v>
      </c>
      <c r="H1094" s="12" t="b">
        <v>0</v>
      </c>
      <c r="I1094" s="12" t="b">
        <v>0</v>
      </c>
    </row>
    <row r="1095" spans="1:9" x14ac:dyDescent="0.25">
      <c r="A1095" s="12">
        <v>1094</v>
      </c>
      <c r="B1095" s="12" t="s">
        <v>3805</v>
      </c>
      <c r="C1095" s="12" t="s">
        <v>3806</v>
      </c>
      <c r="D1095" s="12" t="s">
        <v>14</v>
      </c>
      <c r="E1095" s="12" t="s">
        <v>3807</v>
      </c>
      <c r="F1095" s="12" t="s">
        <v>3808</v>
      </c>
      <c r="G1095" s="12" t="b">
        <v>0</v>
      </c>
      <c r="H1095" s="12" t="b">
        <v>1</v>
      </c>
      <c r="I1095" s="12" t="b">
        <v>1</v>
      </c>
    </row>
    <row r="1096" spans="1:9" x14ac:dyDescent="0.25">
      <c r="A1096" s="12">
        <v>1095</v>
      </c>
      <c r="B1096" s="12" t="s">
        <v>3809</v>
      </c>
      <c r="C1096" s="12" t="s">
        <v>3810</v>
      </c>
      <c r="D1096" s="12" t="s">
        <v>45</v>
      </c>
      <c r="E1096" s="12" t="s">
        <v>2800</v>
      </c>
      <c r="F1096" s="12" t="s">
        <v>2526</v>
      </c>
      <c r="G1096" s="12" t="b">
        <v>0</v>
      </c>
      <c r="H1096" s="12" t="b">
        <v>0</v>
      </c>
      <c r="I1096" s="12" t="b">
        <v>0</v>
      </c>
    </row>
    <row r="1097" spans="1:9" x14ac:dyDescent="0.25">
      <c r="A1097" s="12">
        <v>1096</v>
      </c>
      <c r="B1097" s="12" t="s">
        <v>3811</v>
      </c>
      <c r="C1097" s="12" t="s">
        <v>3812</v>
      </c>
      <c r="D1097" s="12" t="s">
        <v>45</v>
      </c>
      <c r="E1097" s="12" t="s">
        <v>3813</v>
      </c>
      <c r="F1097" s="12" t="s">
        <v>3814</v>
      </c>
      <c r="G1097" s="12" t="b">
        <v>0</v>
      </c>
      <c r="H1097" s="12" t="b">
        <v>0</v>
      </c>
      <c r="I1097" s="12" t="b">
        <v>0</v>
      </c>
    </row>
    <row r="1098" spans="1:9" x14ac:dyDescent="0.25">
      <c r="A1098" s="12">
        <v>1097</v>
      </c>
      <c r="B1098" s="12" t="s">
        <v>3815</v>
      </c>
      <c r="C1098" s="12" t="s">
        <v>3816</v>
      </c>
      <c r="D1098" s="12" t="s">
        <v>45</v>
      </c>
      <c r="E1098" s="12" t="s">
        <v>3817</v>
      </c>
      <c r="F1098" s="12" t="s">
        <v>859</v>
      </c>
      <c r="G1098" s="12" t="b">
        <v>1</v>
      </c>
      <c r="H1098" s="12" t="b">
        <v>0</v>
      </c>
      <c r="I1098" s="12" t="b">
        <v>0</v>
      </c>
    </row>
    <row r="1099" spans="1:9" x14ac:dyDescent="0.25">
      <c r="A1099" s="12">
        <v>1098</v>
      </c>
      <c r="B1099" s="12" t="s">
        <v>3818</v>
      </c>
      <c r="C1099" s="12" t="s">
        <v>3819</v>
      </c>
      <c r="D1099" s="12" t="s">
        <v>14</v>
      </c>
      <c r="E1099" s="12" t="s">
        <v>3820</v>
      </c>
      <c r="F1099" s="12" t="s">
        <v>859</v>
      </c>
      <c r="G1099" s="12" t="b">
        <v>1</v>
      </c>
      <c r="H1099" s="12" t="b">
        <v>0</v>
      </c>
      <c r="I1099" s="12" t="b">
        <v>0</v>
      </c>
    </row>
    <row r="1100" spans="1:9" x14ac:dyDescent="0.25">
      <c r="A1100" s="12">
        <v>1099</v>
      </c>
      <c r="B1100" s="12" t="s">
        <v>3821</v>
      </c>
      <c r="C1100" s="12" t="s">
        <v>3822</v>
      </c>
      <c r="D1100" s="12" t="s">
        <v>10</v>
      </c>
      <c r="E1100" s="12" t="s">
        <v>3823</v>
      </c>
      <c r="F1100" s="12" t="s">
        <v>1116</v>
      </c>
      <c r="G1100" s="12" t="b">
        <v>1</v>
      </c>
      <c r="H1100" s="12" t="b">
        <v>1</v>
      </c>
      <c r="I1100" s="12" t="b">
        <v>1</v>
      </c>
    </row>
    <row r="1101" spans="1:9" x14ac:dyDescent="0.25">
      <c r="A1101" s="12">
        <v>1100</v>
      </c>
      <c r="B1101" s="12" t="s">
        <v>3824</v>
      </c>
      <c r="C1101" s="12" t="s">
        <v>3825</v>
      </c>
      <c r="D1101" s="12" t="s">
        <v>14</v>
      </c>
      <c r="E1101" s="12" t="s">
        <v>3826</v>
      </c>
      <c r="F1101" s="12" t="s">
        <v>334</v>
      </c>
      <c r="G1101" s="12" t="b">
        <v>1</v>
      </c>
      <c r="H1101" s="12" t="b">
        <v>1</v>
      </c>
      <c r="I1101" s="12" t="b">
        <v>1</v>
      </c>
    </row>
    <row r="1102" spans="1:9" x14ac:dyDescent="0.25">
      <c r="A1102" s="12">
        <v>1101</v>
      </c>
      <c r="B1102" s="12" t="s">
        <v>3827</v>
      </c>
      <c r="C1102" s="12" t="s">
        <v>3828</v>
      </c>
      <c r="D1102" s="12" t="s">
        <v>14</v>
      </c>
      <c r="E1102" s="12" t="s">
        <v>3829</v>
      </c>
      <c r="F1102" s="12" t="s">
        <v>1260</v>
      </c>
      <c r="G1102" s="12" t="b">
        <v>1</v>
      </c>
      <c r="H1102" s="12" t="b">
        <v>1</v>
      </c>
      <c r="I1102" s="12" t="b">
        <v>1</v>
      </c>
    </row>
    <row r="1103" spans="1:9" x14ac:dyDescent="0.25">
      <c r="A1103" s="12">
        <v>1102</v>
      </c>
      <c r="B1103" s="12" t="s">
        <v>3830</v>
      </c>
      <c r="C1103" s="12" t="s">
        <v>3831</v>
      </c>
      <c r="D1103" s="12" t="s">
        <v>14</v>
      </c>
      <c r="E1103" s="12" t="s">
        <v>3832</v>
      </c>
      <c r="F1103" s="12" t="s">
        <v>3833</v>
      </c>
      <c r="G1103" s="12" t="b">
        <v>1</v>
      </c>
      <c r="H1103" s="12" t="b">
        <v>1</v>
      </c>
      <c r="I1103" s="12" t="b">
        <v>1</v>
      </c>
    </row>
    <row r="1104" spans="1:9" x14ac:dyDescent="0.25">
      <c r="A1104" s="12">
        <v>1103</v>
      </c>
      <c r="B1104" s="12" t="s">
        <v>3834</v>
      </c>
      <c r="C1104" s="12" t="s">
        <v>3835</v>
      </c>
      <c r="D1104" s="12" t="s">
        <v>10</v>
      </c>
      <c r="E1104" s="12" t="s">
        <v>3836</v>
      </c>
      <c r="F1104" s="12" t="s">
        <v>3837</v>
      </c>
      <c r="G1104" s="12" t="b">
        <v>0</v>
      </c>
      <c r="H1104" s="12" t="b">
        <v>0</v>
      </c>
      <c r="I1104" s="12" t="b">
        <v>0</v>
      </c>
    </row>
    <row r="1105" spans="1:9" x14ac:dyDescent="0.25">
      <c r="A1105" s="12">
        <v>1104</v>
      </c>
      <c r="B1105" s="12" t="s">
        <v>3838</v>
      </c>
      <c r="C1105" s="12" t="s">
        <v>3839</v>
      </c>
      <c r="D1105" s="12" t="s">
        <v>14</v>
      </c>
      <c r="E1105" s="12" t="s">
        <v>3840</v>
      </c>
      <c r="F1105" s="12" t="s">
        <v>3841</v>
      </c>
      <c r="G1105" s="12" t="b">
        <v>0</v>
      </c>
      <c r="H1105" s="12" t="b">
        <v>0</v>
      </c>
      <c r="I1105" s="12" t="b">
        <v>0</v>
      </c>
    </row>
    <row r="1106" spans="1:9" x14ac:dyDescent="0.25">
      <c r="A1106" s="12">
        <v>1105</v>
      </c>
      <c r="B1106" s="12" t="s">
        <v>3842</v>
      </c>
      <c r="C1106" s="12" t="s">
        <v>3843</v>
      </c>
      <c r="D1106" s="12" t="s">
        <v>14</v>
      </c>
      <c r="E1106" s="12" t="s">
        <v>3844</v>
      </c>
      <c r="F1106" s="12" t="s">
        <v>681</v>
      </c>
      <c r="G1106" s="12" t="b">
        <v>0</v>
      </c>
      <c r="H1106" s="12" t="b">
        <v>0</v>
      </c>
      <c r="I1106" s="12" t="b">
        <v>0</v>
      </c>
    </row>
    <row r="1107" spans="1:9" x14ac:dyDescent="0.25">
      <c r="A1107" s="12">
        <v>1106</v>
      </c>
      <c r="B1107" s="12" t="s">
        <v>3845</v>
      </c>
      <c r="C1107" s="12" t="s">
        <v>3846</v>
      </c>
      <c r="D1107" s="12" t="s">
        <v>45</v>
      </c>
      <c r="E1107" s="12" t="s">
        <v>3847</v>
      </c>
      <c r="F1107" s="12" t="s">
        <v>1551</v>
      </c>
      <c r="G1107" s="12" t="b">
        <v>0</v>
      </c>
      <c r="H1107" s="12" t="b">
        <v>0</v>
      </c>
      <c r="I1107" s="12" t="b">
        <v>0</v>
      </c>
    </row>
    <row r="1108" spans="1:9" x14ac:dyDescent="0.25">
      <c r="A1108" s="12">
        <v>1107</v>
      </c>
      <c r="B1108" s="12" t="s">
        <v>3848</v>
      </c>
      <c r="C1108" s="12" t="s">
        <v>3849</v>
      </c>
      <c r="D1108" s="12" t="s">
        <v>14</v>
      </c>
      <c r="E1108" s="12" t="s">
        <v>3850</v>
      </c>
      <c r="F1108" s="12" t="s">
        <v>859</v>
      </c>
      <c r="G1108" s="12" t="b">
        <v>1</v>
      </c>
      <c r="H1108" s="12" t="b">
        <v>0</v>
      </c>
      <c r="I1108" s="12" t="b">
        <v>0</v>
      </c>
    </row>
    <row r="1109" spans="1:9" x14ac:dyDescent="0.25">
      <c r="A1109" s="12">
        <v>1108</v>
      </c>
      <c r="B1109" s="12" t="s">
        <v>3851</v>
      </c>
      <c r="C1109" s="12" t="s">
        <v>3852</v>
      </c>
      <c r="D1109" s="12" t="s">
        <v>10</v>
      </c>
      <c r="E1109" s="12" t="s">
        <v>3853</v>
      </c>
      <c r="F1109" s="12" t="s">
        <v>316</v>
      </c>
      <c r="G1109" s="12" t="b">
        <v>0</v>
      </c>
      <c r="H1109" s="12" t="b">
        <v>0</v>
      </c>
      <c r="I1109" s="12" t="b">
        <v>0</v>
      </c>
    </row>
    <row r="1110" spans="1:9" x14ac:dyDescent="0.25">
      <c r="A1110" s="12">
        <v>1109</v>
      </c>
      <c r="B1110" s="12" t="s">
        <v>3854</v>
      </c>
      <c r="C1110" s="12" t="s">
        <v>3855</v>
      </c>
      <c r="D1110" s="12" t="s">
        <v>14</v>
      </c>
      <c r="E1110" s="12" t="s">
        <v>3856</v>
      </c>
      <c r="F1110" s="12" t="s">
        <v>1055</v>
      </c>
      <c r="G1110" s="12" t="b">
        <v>0</v>
      </c>
      <c r="H1110" s="12" t="b">
        <v>0</v>
      </c>
      <c r="I1110" s="12" t="b">
        <v>0</v>
      </c>
    </row>
    <row r="1111" spans="1:9" x14ac:dyDescent="0.25">
      <c r="A1111" s="12">
        <v>1110</v>
      </c>
      <c r="B1111" s="12" t="s">
        <v>3857</v>
      </c>
      <c r="C1111" s="12" t="s">
        <v>3858</v>
      </c>
      <c r="D1111" s="12" t="s">
        <v>14</v>
      </c>
      <c r="E1111" s="12" t="s">
        <v>3859</v>
      </c>
      <c r="F1111" s="12" t="s">
        <v>658</v>
      </c>
      <c r="G1111" s="12" t="b">
        <v>0</v>
      </c>
      <c r="H1111" s="12" t="b">
        <v>0</v>
      </c>
      <c r="I1111" s="12" t="b">
        <v>0</v>
      </c>
    </row>
    <row r="1112" spans="1:9" x14ac:dyDescent="0.25">
      <c r="A1112" s="12">
        <v>1111</v>
      </c>
      <c r="B1112" s="12" t="s">
        <v>3860</v>
      </c>
      <c r="C1112" s="12" t="s">
        <v>3861</v>
      </c>
      <c r="D1112" s="12" t="s">
        <v>14</v>
      </c>
      <c r="E1112" s="12" t="s">
        <v>3862</v>
      </c>
      <c r="F1112" s="12" t="s">
        <v>387</v>
      </c>
      <c r="G1112" s="12" t="b">
        <v>0</v>
      </c>
      <c r="H1112" s="12" t="b">
        <v>0</v>
      </c>
      <c r="I1112" s="12" t="b">
        <v>0</v>
      </c>
    </row>
    <row r="1113" spans="1:9" x14ac:dyDescent="0.25">
      <c r="A1113" s="12">
        <v>1112</v>
      </c>
      <c r="B1113" s="12" t="s">
        <v>3863</v>
      </c>
      <c r="C1113" s="12" t="s">
        <v>3864</v>
      </c>
      <c r="D1113" s="12" t="s">
        <v>14</v>
      </c>
      <c r="E1113" s="12" t="s">
        <v>3865</v>
      </c>
      <c r="F1113" s="12" t="s">
        <v>859</v>
      </c>
      <c r="G1113" s="12" t="b">
        <v>1</v>
      </c>
      <c r="H1113" s="12" t="b">
        <v>0</v>
      </c>
      <c r="I1113" s="12" t="b">
        <v>0</v>
      </c>
    </row>
    <row r="1114" spans="1:9" x14ac:dyDescent="0.25">
      <c r="A1114" s="12">
        <v>1113</v>
      </c>
      <c r="B1114" s="12" t="s">
        <v>3866</v>
      </c>
      <c r="C1114" s="12" t="s">
        <v>3867</v>
      </c>
      <c r="D1114" s="12" t="s">
        <v>10</v>
      </c>
      <c r="E1114" s="12" t="s">
        <v>3868</v>
      </c>
      <c r="F1114" s="12" t="s">
        <v>859</v>
      </c>
      <c r="G1114" s="12" t="b">
        <v>1</v>
      </c>
      <c r="H1114" s="12" t="b">
        <v>0</v>
      </c>
      <c r="I1114" s="12" t="b">
        <v>0</v>
      </c>
    </row>
    <row r="1115" spans="1:9" x14ac:dyDescent="0.25">
      <c r="A1115" s="12">
        <v>1114</v>
      </c>
      <c r="B1115" s="12" t="s">
        <v>3869</v>
      </c>
      <c r="C1115" s="12" t="s">
        <v>3870</v>
      </c>
      <c r="D1115" s="12" t="s">
        <v>10</v>
      </c>
      <c r="E1115" s="12" t="s">
        <v>3871</v>
      </c>
      <c r="F1115" s="12" t="s">
        <v>3872</v>
      </c>
      <c r="G1115" s="12" t="b">
        <v>0</v>
      </c>
      <c r="H1115" s="12" t="b">
        <v>1</v>
      </c>
      <c r="I1115" s="12" t="b">
        <v>1</v>
      </c>
    </row>
    <row r="1116" spans="1:9" x14ac:dyDescent="0.25">
      <c r="A1116" s="12">
        <v>1115</v>
      </c>
      <c r="B1116" s="12" t="s">
        <v>3873</v>
      </c>
      <c r="C1116" s="12" t="s">
        <v>3874</v>
      </c>
      <c r="D1116" s="12" t="s">
        <v>14</v>
      </c>
      <c r="E1116" s="12" t="s">
        <v>3875</v>
      </c>
      <c r="F1116" s="12" t="s">
        <v>3872</v>
      </c>
      <c r="G1116" s="12" t="b">
        <v>0</v>
      </c>
      <c r="H1116" s="12" t="b">
        <v>0</v>
      </c>
      <c r="I1116" s="12" t="b">
        <v>0</v>
      </c>
    </row>
    <row r="1117" spans="1:9" x14ac:dyDescent="0.25">
      <c r="A1117" s="12">
        <v>1116</v>
      </c>
      <c r="B1117" s="12" t="s">
        <v>3876</v>
      </c>
      <c r="C1117" s="12" t="s">
        <v>3877</v>
      </c>
      <c r="D1117" s="12" t="s">
        <v>14</v>
      </c>
      <c r="E1117" s="12" t="s">
        <v>3878</v>
      </c>
      <c r="F1117" s="12" t="s">
        <v>3872</v>
      </c>
      <c r="G1117" s="12" t="b">
        <v>0</v>
      </c>
      <c r="H1117" s="12" t="b">
        <v>0</v>
      </c>
      <c r="I1117" s="12" t="b">
        <v>0</v>
      </c>
    </row>
    <row r="1118" spans="1:9" x14ac:dyDescent="0.25">
      <c r="A1118" s="12">
        <v>1117</v>
      </c>
      <c r="B1118" s="12" t="s">
        <v>3879</v>
      </c>
      <c r="C1118" s="12" t="s">
        <v>3880</v>
      </c>
      <c r="D1118" s="12" t="s">
        <v>14</v>
      </c>
      <c r="E1118" s="12" t="s">
        <v>3881</v>
      </c>
      <c r="F1118" s="12" t="s">
        <v>3872</v>
      </c>
      <c r="G1118" s="12" t="b">
        <v>0</v>
      </c>
      <c r="H1118" s="12" t="b">
        <v>0</v>
      </c>
      <c r="I1118" s="12" t="b">
        <v>0</v>
      </c>
    </row>
    <row r="1119" spans="1:9" x14ac:dyDescent="0.25">
      <c r="A1119" s="12">
        <v>1118</v>
      </c>
      <c r="B1119" s="12" t="s">
        <v>3882</v>
      </c>
      <c r="C1119" s="12" t="s">
        <v>3883</v>
      </c>
      <c r="D1119" s="12" t="s">
        <v>10</v>
      </c>
      <c r="E1119" s="12" t="s">
        <v>3884</v>
      </c>
      <c r="F1119" s="12" t="s">
        <v>315</v>
      </c>
      <c r="G1119" s="12" t="b">
        <v>1</v>
      </c>
      <c r="H1119" s="12" t="b">
        <v>0</v>
      </c>
      <c r="I1119" s="12" t="b">
        <v>0</v>
      </c>
    </row>
    <row r="1120" spans="1:9" x14ac:dyDescent="0.25">
      <c r="A1120" s="12">
        <v>1119</v>
      </c>
      <c r="B1120" s="12" t="s">
        <v>3885</v>
      </c>
      <c r="C1120" s="12" t="s">
        <v>3886</v>
      </c>
      <c r="D1120" s="12" t="s">
        <v>10</v>
      </c>
      <c r="E1120" s="12" t="s">
        <v>3887</v>
      </c>
      <c r="F1120" s="12" t="s">
        <v>316</v>
      </c>
      <c r="G1120" s="12" t="b">
        <v>1</v>
      </c>
      <c r="H1120" s="12" t="b">
        <v>0</v>
      </c>
      <c r="I1120" s="12" t="b">
        <v>0</v>
      </c>
    </row>
    <row r="1121" spans="1:9" x14ac:dyDescent="0.25">
      <c r="A1121" s="12">
        <v>1120</v>
      </c>
      <c r="B1121" s="12" t="s">
        <v>3888</v>
      </c>
      <c r="C1121" s="12" t="s">
        <v>3889</v>
      </c>
      <c r="D1121" s="12" t="s">
        <v>14</v>
      </c>
      <c r="E1121" s="12" t="s">
        <v>3890</v>
      </c>
      <c r="F1121" s="12" t="s">
        <v>658</v>
      </c>
      <c r="G1121" s="12" t="b">
        <v>1</v>
      </c>
      <c r="H1121" s="12" t="b">
        <v>1</v>
      </c>
      <c r="I1121" s="12" t="b">
        <v>1</v>
      </c>
    </row>
    <row r="1122" spans="1:9" x14ac:dyDescent="0.25">
      <c r="A1122" s="12">
        <v>1121</v>
      </c>
      <c r="B1122" s="12" t="s">
        <v>3891</v>
      </c>
      <c r="C1122" s="12" t="s">
        <v>3892</v>
      </c>
      <c r="D1122" s="12" t="s">
        <v>45</v>
      </c>
      <c r="E1122" s="12" t="s">
        <v>3893</v>
      </c>
      <c r="F1122" s="12" t="s">
        <v>732</v>
      </c>
      <c r="G1122" s="12" t="b">
        <v>1</v>
      </c>
      <c r="H1122" s="12" t="b">
        <v>0</v>
      </c>
      <c r="I1122" s="12" t="b">
        <v>0</v>
      </c>
    </row>
    <row r="1123" spans="1:9" x14ac:dyDescent="0.25">
      <c r="A1123" s="12">
        <v>1122</v>
      </c>
      <c r="B1123" s="12" t="s">
        <v>3894</v>
      </c>
      <c r="C1123" s="12" t="s">
        <v>3895</v>
      </c>
      <c r="D1123" s="12" t="s">
        <v>10</v>
      </c>
      <c r="E1123" s="12" t="s">
        <v>3896</v>
      </c>
      <c r="F1123" s="12" t="s">
        <v>3897</v>
      </c>
      <c r="G1123" s="12" t="b">
        <v>0</v>
      </c>
      <c r="H1123" s="12" t="b">
        <v>0</v>
      </c>
      <c r="I1123" s="12" t="b">
        <v>0</v>
      </c>
    </row>
    <row r="1124" spans="1:9" x14ac:dyDescent="0.25">
      <c r="A1124" s="12">
        <v>1123</v>
      </c>
      <c r="B1124" s="12" t="s">
        <v>3898</v>
      </c>
      <c r="C1124" s="12" t="s">
        <v>3899</v>
      </c>
      <c r="D1124" s="12" t="s">
        <v>14</v>
      </c>
      <c r="E1124" s="12" t="s">
        <v>3900</v>
      </c>
      <c r="F1124" s="12" t="s">
        <v>1286</v>
      </c>
      <c r="G1124" s="12" t="b">
        <v>0</v>
      </c>
      <c r="H1124" s="12" t="b">
        <v>0</v>
      </c>
      <c r="I1124" s="12" t="b">
        <v>0</v>
      </c>
    </row>
    <row r="1125" spans="1:9" x14ac:dyDescent="0.25">
      <c r="A1125" s="12">
        <v>1124</v>
      </c>
      <c r="B1125" s="12" t="s">
        <v>3901</v>
      </c>
      <c r="C1125" s="12" t="s">
        <v>3902</v>
      </c>
      <c r="D1125" s="12" t="s">
        <v>14</v>
      </c>
      <c r="E1125" s="12" t="s">
        <v>3903</v>
      </c>
      <c r="F1125" s="12" t="s">
        <v>3904</v>
      </c>
      <c r="G1125" s="12" t="b">
        <v>0</v>
      </c>
      <c r="H1125" s="12" t="b">
        <v>0</v>
      </c>
      <c r="I1125" s="12" t="b">
        <v>0</v>
      </c>
    </row>
    <row r="1126" spans="1:9" x14ac:dyDescent="0.25">
      <c r="A1126" s="12">
        <v>1125</v>
      </c>
      <c r="B1126" s="12" t="s">
        <v>3905</v>
      </c>
      <c r="C1126" s="12" t="s">
        <v>3906</v>
      </c>
      <c r="D1126" s="12" t="s">
        <v>45</v>
      </c>
      <c r="E1126" s="12" t="s">
        <v>3907</v>
      </c>
      <c r="F1126" s="12" t="s">
        <v>3908</v>
      </c>
      <c r="G1126" s="12" t="b">
        <v>0</v>
      </c>
      <c r="H1126" s="12" t="b">
        <v>0</v>
      </c>
      <c r="I1126" s="12" t="b">
        <v>0</v>
      </c>
    </row>
    <row r="1127" spans="1:9" x14ac:dyDescent="0.25">
      <c r="A1127" s="12">
        <v>1126</v>
      </c>
      <c r="B1127" s="12" t="s">
        <v>3909</v>
      </c>
      <c r="C1127" s="12" t="s">
        <v>3910</v>
      </c>
      <c r="D1127" s="12" t="s">
        <v>14</v>
      </c>
      <c r="E1127" s="12" t="s">
        <v>3911</v>
      </c>
      <c r="F1127" s="12" t="s">
        <v>859</v>
      </c>
      <c r="G1127" s="12" t="b">
        <v>1</v>
      </c>
      <c r="H1127" s="12" t="b">
        <v>0</v>
      </c>
      <c r="I1127" s="12" t="b">
        <v>0</v>
      </c>
    </row>
    <row r="1128" spans="1:9" x14ac:dyDescent="0.25">
      <c r="A1128" s="12">
        <v>1127</v>
      </c>
      <c r="B1128" s="12" t="s">
        <v>3912</v>
      </c>
      <c r="C1128" s="12" t="s">
        <v>3913</v>
      </c>
      <c r="D1128" s="12" t="s">
        <v>45</v>
      </c>
      <c r="E1128" s="12" t="s">
        <v>3914</v>
      </c>
      <c r="F1128" s="12" t="s">
        <v>859</v>
      </c>
      <c r="G1128" s="12" t="b">
        <v>1</v>
      </c>
      <c r="H1128" s="12" t="b">
        <v>0</v>
      </c>
      <c r="I1128" s="12" t="b">
        <v>0</v>
      </c>
    </row>
    <row r="1129" spans="1:9" x14ac:dyDescent="0.25">
      <c r="A1129" s="12">
        <v>1128</v>
      </c>
      <c r="B1129" s="12" t="s">
        <v>3915</v>
      </c>
      <c r="C1129" s="12" t="s">
        <v>3916</v>
      </c>
      <c r="D1129" s="12" t="s">
        <v>10</v>
      </c>
      <c r="E1129" s="12" t="s">
        <v>3917</v>
      </c>
      <c r="F1129" s="12" t="s">
        <v>3539</v>
      </c>
      <c r="G1129" s="12" t="b">
        <v>0</v>
      </c>
      <c r="H1129" s="12" t="b">
        <v>0</v>
      </c>
      <c r="I1129" s="12" t="b">
        <v>0</v>
      </c>
    </row>
    <row r="1130" spans="1:9" x14ac:dyDescent="0.25">
      <c r="A1130" s="12">
        <v>1129</v>
      </c>
      <c r="B1130" s="12" t="s">
        <v>3918</v>
      </c>
      <c r="C1130" s="12" t="s">
        <v>3919</v>
      </c>
      <c r="D1130" s="12" t="s">
        <v>14</v>
      </c>
      <c r="E1130" s="12" t="s">
        <v>3920</v>
      </c>
      <c r="F1130" s="12" t="s">
        <v>3921</v>
      </c>
      <c r="G1130" s="12" t="b">
        <v>0</v>
      </c>
      <c r="H1130" s="12" t="b">
        <v>0</v>
      </c>
      <c r="I1130" s="12" t="b">
        <v>0</v>
      </c>
    </row>
    <row r="1131" spans="1:9" x14ac:dyDescent="0.25">
      <c r="A1131" s="12">
        <v>1130</v>
      </c>
      <c r="B1131" s="12" t="s">
        <v>3922</v>
      </c>
      <c r="C1131" s="12" t="s">
        <v>3923</v>
      </c>
      <c r="D1131" s="12" t="s">
        <v>14</v>
      </c>
      <c r="E1131" s="12" t="s">
        <v>3924</v>
      </c>
      <c r="F1131" s="12" t="s">
        <v>3925</v>
      </c>
      <c r="G1131" s="12" t="b">
        <v>0</v>
      </c>
      <c r="H1131" s="12" t="b">
        <v>0</v>
      </c>
      <c r="I1131" s="12" t="b">
        <v>0</v>
      </c>
    </row>
    <row r="1132" spans="1:9" x14ac:dyDescent="0.25">
      <c r="A1132" s="12">
        <v>1131</v>
      </c>
      <c r="B1132" s="12" t="s">
        <v>3926</v>
      </c>
      <c r="C1132" s="12" t="s">
        <v>3927</v>
      </c>
      <c r="D1132" s="12" t="s">
        <v>14</v>
      </c>
      <c r="E1132" s="12" t="s">
        <v>3928</v>
      </c>
      <c r="F1132" s="12" t="s">
        <v>525</v>
      </c>
      <c r="G1132" s="12" t="b">
        <v>0</v>
      </c>
      <c r="H1132" s="12" t="b">
        <v>0</v>
      </c>
      <c r="I1132" s="12" t="b">
        <v>0</v>
      </c>
    </row>
    <row r="1133" spans="1:9" x14ac:dyDescent="0.25">
      <c r="A1133" s="12">
        <v>1132</v>
      </c>
      <c r="B1133" s="12" t="s">
        <v>3929</v>
      </c>
      <c r="C1133" s="12" t="s">
        <v>3930</v>
      </c>
      <c r="D1133" s="12" t="s">
        <v>14</v>
      </c>
      <c r="E1133" s="12" t="s">
        <v>3931</v>
      </c>
      <c r="F1133" s="12" t="s">
        <v>859</v>
      </c>
      <c r="G1133" s="12" t="b">
        <v>1</v>
      </c>
      <c r="H1133" s="12" t="b">
        <v>0</v>
      </c>
      <c r="I1133" s="12" t="b">
        <v>0</v>
      </c>
    </row>
    <row r="1134" spans="1:9" x14ac:dyDescent="0.25">
      <c r="A1134" s="12">
        <v>1133</v>
      </c>
      <c r="B1134" s="12" t="s">
        <v>3932</v>
      </c>
      <c r="C1134" s="12" t="s">
        <v>3933</v>
      </c>
      <c r="D1134" s="12" t="s">
        <v>10</v>
      </c>
      <c r="E1134" s="12" t="s">
        <v>3934</v>
      </c>
      <c r="F1134" s="12" t="s">
        <v>986</v>
      </c>
      <c r="G1134" s="12" t="b">
        <v>1</v>
      </c>
      <c r="H1134" s="12" t="b">
        <v>1</v>
      </c>
      <c r="I1134" s="12" t="b">
        <v>1</v>
      </c>
    </row>
    <row r="1135" spans="1:9" x14ac:dyDescent="0.25">
      <c r="A1135" s="12">
        <v>1134</v>
      </c>
      <c r="B1135" s="12" t="s">
        <v>3935</v>
      </c>
      <c r="C1135" s="12" t="s">
        <v>3936</v>
      </c>
      <c r="D1135" s="12" t="s">
        <v>10</v>
      </c>
      <c r="E1135" s="12" t="s">
        <v>3937</v>
      </c>
      <c r="F1135" s="12" t="s">
        <v>315</v>
      </c>
      <c r="G1135" s="12" t="b">
        <v>1</v>
      </c>
      <c r="H1135" s="12" t="b">
        <v>1</v>
      </c>
      <c r="I1135" s="12" t="b">
        <v>1</v>
      </c>
    </row>
    <row r="1136" spans="1:9" x14ac:dyDescent="0.25">
      <c r="A1136" s="12">
        <v>1135</v>
      </c>
      <c r="B1136" s="12" t="s">
        <v>3938</v>
      </c>
      <c r="C1136" s="12" t="s">
        <v>3939</v>
      </c>
      <c r="D1136" s="12" t="s">
        <v>14</v>
      </c>
      <c r="E1136" s="12" t="s">
        <v>3940</v>
      </c>
      <c r="F1136" s="12" t="s">
        <v>3941</v>
      </c>
      <c r="G1136" s="12" t="b">
        <v>1</v>
      </c>
      <c r="H1136" s="12" t="b">
        <v>1</v>
      </c>
      <c r="I1136" s="12" t="b">
        <v>1</v>
      </c>
    </row>
    <row r="1137" spans="1:9" x14ac:dyDescent="0.25">
      <c r="A1137" s="12">
        <v>1136</v>
      </c>
      <c r="B1137" s="12" t="s">
        <v>3942</v>
      </c>
      <c r="C1137" s="12" t="s">
        <v>3943</v>
      </c>
      <c r="D1137" s="12" t="s">
        <v>14</v>
      </c>
      <c r="E1137" s="12" t="s">
        <v>3944</v>
      </c>
      <c r="F1137" s="12" t="s">
        <v>3945</v>
      </c>
      <c r="G1137" s="12" t="b">
        <v>1</v>
      </c>
      <c r="H1137" s="12" t="b">
        <v>1</v>
      </c>
      <c r="I1137" s="12" t="b">
        <v>1</v>
      </c>
    </row>
    <row r="1138" spans="1:9" x14ac:dyDescent="0.25">
      <c r="A1138" s="12">
        <v>1137</v>
      </c>
      <c r="B1138" s="12" t="s">
        <v>3946</v>
      </c>
      <c r="C1138" s="12" t="s">
        <v>3947</v>
      </c>
      <c r="D1138" s="12" t="s">
        <v>10</v>
      </c>
      <c r="E1138" s="12" t="s">
        <v>3948</v>
      </c>
      <c r="F1138" s="12" t="s">
        <v>540</v>
      </c>
      <c r="G1138" s="12" t="b">
        <v>0</v>
      </c>
      <c r="H1138" s="12" t="b">
        <v>1</v>
      </c>
      <c r="I1138" s="12" t="b">
        <v>1</v>
      </c>
    </row>
    <row r="1139" spans="1:9" x14ac:dyDescent="0.25">
      <c r="A1139" s="12">
        <v>1138</v>
      </c>
      <c r="B1139" s="12" t="s">
        <v>3949</v>
      </c>
      <c r="C1139" s="12" t="s">
        <v>3950</v>
      </c>
      <c r="D1139" s="12" t="s">
        <v>14</v>
      </c>
      <c r="E1139" s="12" t="s">
        <v>3951</v>
      </c>
      <c r="F1139" s="12" t="s">
        <v>952</v>
      </c>
      <c r="G1139" s="12" t="b">
        <v>0</v>
      </c>
      <c r="H1139" s="12" t="b">
        <v>0</v>
      </c>
      <c r="I1139" s="12" t="b">
        <v>0</v>
      </c>
    </row>
    <row r="1140" spans="1:9" x14ac:dyDescent="0.25">
      <c r="A1140" s="12">
        <v>1139</v>
      </c>
      <c r="B1140" s="12" t="s">
        <v>3952</v>
      </c>
      <c r="C1140" s="12" t="s">
        <v>3953</v>
      </c>
      <c r="D1140" s="12" t="s">
        <v>14</v>
      </c>
      <c r="E1140" s="12" t="s">
        <v>3954</v>
      </c>
      <c r="F1140" s="12" t="s">
        <v>515</v>
      </c>
      <c r="G1140" s="12" t="b">
        <v>0</v>
      </c>
      <c r="H1140" s="12" t="b">
        <v>0</v>
      </c>
      <c r="I1140" s="12" t="b">
        <v>0</v>
      </c>
    </row>
    <row r="1141" spans="1:9" x14ac:dyDescent="0.25">
      <c r="A1141" s="12">
        <v>1140</v>
      </c>
      <c r="B1141" s="12" t="s">
        <v>3955</v>
      </c>
      <c r="C1141" s="12" t="s">
        <v>3956</v>
      </c>
      <c r="D1141" s="12" t="s">
        <v>14</v>
      </c>
      <c r="E1141" s="12" t="s">
        <v>3957</v>
      </c>
      <c r="F1141" s="12" t="s">
        <v>3098</v>
      </c>
      <c r="G1141" s="12" t="b">
        <v>0</v>
      </c>
      <c r="H1141" s="12" t="b">
        <v>0</v>
      </c>
      <c r="I1141" s="12" t="b">
        <v>0</v>
      </c>
    </row>
    <row r="1142" spans="1:9" x14ac:dyDescent="0.25">
      <c r="A1142" s="12">
        <v>1141</v>
      </c>
      <c r="B1142" s="12" t="s">
        <v>3958</v>
      </c>
      <c r="C1142" s="12" t="s">
        <v>3959</v>
      </c>
      <c r="D1142" s="12" t="s">
        <v>10</v>
      </c>
      <c r="E1142" s="12" t="s">
        <v>3960</v>
      </c>
      <c r="F1142" s="12" t="s">
        <v>859</v>
      </c>
      <c r="G1142" s="12" t="b">
        <v>0</v>
      </c>
      <c r="H1142" s="12" t="b">
        <v>0</v>
      </c>
      <c r="I1142" s="12" t="b">
        <v>0</v>
      </c>
    </row>
    <row r="1143" spans="1:9" x14ac:dyDescent="0.25">
      <c r="A1143" s="12">
        <v>1142</v>
      </c>
      <c r="B1143" s="12" t="s">
        <v>3961</v>
      </c>
      <c r="C1143" s="12" t="s">
        <v>3962</v>
      </c>
      <c r="D1143" s="12" t="s">
        <v>10</v>
      </c>
      <c r="E1143" s="12" t="s">
        <v>3963</v>
      </c>
      <c r="F1143" s="12" t="s">
        <v>859</v>
      </c>
      <c r="G1143" s="12" t="b">
        <v>1</v>
      </c>
      <c r="H1143" s="12" t="b">
        <v>0</v>
      </c>
      <c r="I1143" s="12" t="b">
        <v>0</v>
      </c>
    </row>
    <row r="1144" spans="1:9" x14ac:dyDescent="0.25">
      <c r="A1144" s="12">
        <v>1143</v>
      </c>
      <c r="B1144" s="12" t="s">
        <v>3964</v>
      </c>
      <c r="C1144" s="12" t="s">
        <v>3965</v>
      </c>
      <c r="D1144" s="12" t="s">
        <v>14</v>
      </c>
      <c r="E1144" s="12" t="s">
        <v>3966</v>
      </c>
      <c r="F1144" s="12" t="s">
        <v>340</v>
      </c>
      <c r="G1144" s="12" t="b">
        <v>0</v>
      </c>
      <c r="H1144" s="12" t="b">
        <v>1</v>
      </c>
      <c r="I1144" s="12" t="b">
        <v>1</v>
      </c>
    </row>
    <row r="1145" spans="1:9" x14ac:dyDescent="0.25">
      <c r="A1145" s="12">
        <v>1144</v>
      </c>
      <c r="B1145" s="12" t="s">
        <v>3967</v>
      </c>
      <c r="C1145" s="12" t="s">
        <v>3968</v>
      </c>
      <c r="D1145" s="12" t="s">
        <v>14</v>
      </c>
      <c r="E1145" s="12" t="s">
        <v>3969</v>
      </c>
      <c r="F1145" s="12" t="s">
        <v>732</v>
      </c>
      <c r="G1145" s="12" t="b">
        <v>0</v>
      </c>
      <c r="H1145" s="12" t="b">
        <v>0</v>
      </c>
      <c r="I1145" s="12" t="b">
        <v>0</v>
      </c>
    </row>
    <row r="1146" spans="1:9" x14ac:dyDescent="0.25">
      <c r="A1146" s="12">
        <v>1145</v>
      </c>
      <c r="B1146" s="12" t="s">
        <v>3970</v>
      </c>
      <c r="C1146" s="12" t="s">
        <v>3971</v>
      </c>
      <c r="D1146" s="12" t="s">
        <v>14</v>
      </c>
      <c r="E1146" s="12" t="s">
        <v>3972</v>
      </c>
      <c r="F1146" s="12" t="s">
        <v>658</v>
      </c>
      <c r="G1146" s="12" t="b">
        <v>0</v>
      </c>
      <c r="H1146" s="12" t="b">
        <v>0</v>
      </c>
      <c r="I1146" s="12" t="b">
        <v>0</v>
      </c>
    </row>
    <row r="1147" spans="1:9" x14ac:dyDescent="0.25">
      <c r="A1147" s="12">
        <v>1146</v>
      </c>
      <c r="B1147" s="12" t="s">
        <v>3973</v>
      </c>
      <c r="C1147" s="12" t="s">
        <v>3974</v>
      </c>
      <c r="D1147" s="12" t="s">
        <v>14</v>
      </c>
      <c r="E1147" s="12" t="s">
        <v>3975</v>
      </c>
      <c r="F1147" s="12" t="s">
        <v>3214</v>
      </c>
      <c r="G1147" s="12" t="b">
        <v>0</v>
      </c>
      <c r="H1147" s="12" t="b">
        <v>0</v>
      </c>
      <c r="I1147" s="12" t="b">
        <v>0</v>
      </c>
    </row>
    <row r="1148" spans="1:9" x14ac:dyDescent="0.25">
      <c r="A1148" s="12">
        <v>1147</v>
      </c>
      <c r="B1148" s="12" t="s">
        <v>3976</v>
      </c>
      <c r="C1148" s="12" t="s">
        <v>3977</v>
      </c>
      <c r="D1148" s="12" t="s">
        <v>45</v>
      </c>
      <c r="E1148" s="12" t="s">
        <v>3978</v>
      </c>
      <c r="F1148" s="12" t="s">
        <v>3979</v>
      </c>
      <c r="G1148" s="12" t="b">
        <v>0</v>
      </c>
      <c r="H1148" s="12" t="b">
        <v>0</v>
      </c>
      <c r="I1148" s="12" t="b">
        <v>0</v>
      </c>
    </row>
    <row r="1149" spans="1:9" x14ac:dyDescent="0.25">
      <c r="A1149" s="12">
        <v>1148</v>
      </c>
      <c r="B1149" s="12" t="s">
        <v>3980</v>
      </c>
      <c r="C1149" s="12" t="s">
        <v>3981</v>
      </c>
      <c r="D1149" s="12" t="s">
        <v>10</v>
      </c>
      <c r="E1149" s="12" t="s">
        <v>3982</v>
      </c>
      <c r="F1149" s="12" t="s">
        <v>859</v>
      </c>
      <c r="G1149" s="12" t="b">
        <v>0</v>
      </c>
      <c r="H1149" s="12" t="b">
        <v>0</v>
      </c>
      <c r="I1149" s="12" t="b">
        <v>0</v>
      </c>
    </row>
    <row r="1150" spans="1:9" x14ac:dyDescent="0.25">
      <c r="A1150" s="12">
        <v>1149</v>
      </c>
      <c r="B1150" s="12" t="s">
        <v>3983</v>
      </c>
      <c r="C1150" s="12" t="s">
        <v>3984</v>
      </c>
      <c r="D1150" s="12" t="s">
        <v>14</v>
      </c>
      <c r="E1150" s="12" t="s">
        <v>3985</v>
      </c>
      <c r="F1150" s="12" t="s">
        <v>859</v>
      </c>
      <c r="G1150" s="12" t="b">
        <v>1</v>
      </c>
      <c r="H1150" s="12" t="b">
        <v>0</v>
      </c>
      <c r="I1150" s="12" t="b">
        <v>0</v>
      </c>
    </row>
    <row r="1151" spans="1:9" x14ac:dyDescent="0.25">
      <c r="A1151" s="12">
        <v>1150</v>
      </c>
      <c r="B1151" s="12" t="s">
        <v>3986</v>
      </c>
      <c r="C1151" s="12" t="s">
        <v>3987</v>
      </c>
      <c r="D1151" s="12" t="s">
        <v>10</v>
      </c>
      <c r="E1151" s="12" t="s">
        <v>3988</v>
      </c>
      <c r="F1151" s="12" t="s">
        <v>426</v>
      </c>
      <c r="G1151" s="12" t="b">
        <v>1</v>
      </c>
      <c r="H1151" s="12" t="b">
        <v>0</v>
      </c>
      <c r="I1151" s="12" t="b">
        <v>0</v>
      </c>
    </row>
    <row r="1152" spans="1:9" x14ac:dyDescent="0.25">
      <c r="A1152" s="12">
        <v>1151</v>
      </c>
      <c r="B1152" s="12" t="s">
        <v>3989</v>
      </c>
      <c r="C1152" s="12" t="s">
        <v>3990</v>
      </c>
      <c r="D1152" s="12" t="s">
        <v>14</v>
      </c>
      <c r="E1152" s="12" t="s">
        <v>3991</v>
      </c>
      <c r="F1152" s="12" t="s">
        <v>2340</v>
      </c>
      <c r="G1152" s="12" t="b">
        <v>1</v>
      </c>
      <c r="H1152" s="12" t="b">
        <v>1</v>
      </c>
      <c r="I1152" s="12" t="b">
        <v>1</v>
      </c>
    </row>
    <row r="1153" spans="1:9" x14ac:dyDescent="0.25">
      <c r="A1153" s="12">
        <v>1152</v>
      </c>
      <c r="B1153" s="12" t="s">
        <v>3992</v>
      </c>
      <c r="C1153" s="12" t="s">
        <v>3993</v>
      </c>
      <c r="D1153" s="12" t="s">
        <v>14</v>
      </c>
      <c r="E1153" s="12" t="s">
        <v>3994</v>
      </c>
      <c r="F1153" s="12" t="s">
        <v>986</v>
      </c>
      <c r="G1153" s="12" t="b">
        <v>1</v>
      </c>
      <c r="H1153" s="12" t="b">
        <v>0</v>
      </c>
      <c r="I1153" s="12" t="b">
        <v>0</v>
      </c>
    </row>
    <row r="1154" spans="1:9" x14ac:dyDescent="0.25">
      <c r="A1154" s="12">
        <v>1153</v>
      </c>
      <c r="B1154" s="12" t="s">
        <v>3995</v>
      </c>
      <c r="C1154" s="12" t="s">
        <v>3996</v>
      </c>
      <c r="D1154" s="12" t="s">
        <v>45</v>
      </c>
      <c r="E1154" s="12" t="s">
        <v>3997</v>
      </c>
      <c r="F1154" s="12" t="s">
        <v>952</v>
      </c>
      <c r="G1154" s="12" t="b">
        <v>1</v>
      </c>
      <c r="H1154" s="12" t="b">
        <v>1</v>
      </c>
      <c r="I1154" s="12" t="b">
        <v>1</v>
      </c>
    </row>
    <row r="1155" spans="1:9" x14ac:dyDescent="0.25">
      <c r="A1155" s="12">
        <v>1154</v>
      </c>
      <c r="B1155" s="12" t="s">
        <v>3998</v>
      </c>
      <c r="C1155" s="12" t="s">
        <v>3999</v>
      </c>
      <c r="D1155" s="12" t="s">
        <v>10</v>
      </c>
      <c r="E1155" s="12" t="s">
        <v>4000</v>
      </c>
      <c r="F1155" s="12" t="s">
        <v>836</v>
      </c>
      <c r="G1155" s="12" t="b">
        <v>0</v>
      </c>
      <c r="H1155" s="12" t="b">
        <v>0</v>
      </c>
      <c r="I1155" s="12" t="b">
        <v>0</v>
      </c>
    </row>
    <row r="1156" spans="1:9" x14ac:dyDescent="0.25">
      <c r="A1156" s="12">
        <v>1155</v>
      </c>
      <c r="B1156" s="12" t="s">
        <v>4001</v>
      </c>
      <c r="C1156" s="12" t="s">
        <v>4002</v>
      </c>
      <c r="D1156" s="12" t="s">
        <v>14</v>
      </c>
      <c r="E1156" s="12" t="s">
        <v>4003</v>
      </c>
      <c r="F1156" s="12" t="s">
        <v>292</v>
      </c>
      <c r="G1156" s="12" t="b">
        <v>0</v>
      </c>
      <c r="H1156" s="12" t="b">
        <v>0</v>
      </c>
      <c r="I1156" s="12" t="b">
        <v>0</v>
      </c>
    </row>
    <row r="1157" spans="1:9" x14ac:dyDescent="0.25">
      <c r="A1157" s="12">
        <v>1156</v>
      </c>
      <c r="B1157" s="12" t="s">
        <v>4004</v>
      </c>
      <c r="C1157" s="12" t="s">
        <v>4005</v>
      </c>
      <c r="D1157" s="12" t="s">
        <v>14</v>
      </c>
      <c r="E1157" s="12" t="s">
        <v>4006</v>
      </c>
      <c r="F1157" s="12" t="s">
        <v>4007</v>
      </c>
      <c r="G1157" s="12" t="b">
        <v>0</v>
      </c>
      <c r="H1157" s="12" t="b">
        <v>0</v>
      </c>
      <c r="I1157" s="12" t="b">
        <v>0</v>
      </c>
    </row>
    <row r="1158" spans="1:9" x14ac:dyDescent="0.25">
      <c r="A1158" s="12">
        <v>1157</v>
      </c>
      <c r="B1158" s="12" t="s">
        <v>4008</v>
      </c>
      <c r="C1158" s="12" t="s">
        <v>4009</v>
      </c>
      <c r="D1158" s="12" t="s">
        <v>45</v>
      </c>
      <c r="E1158" s="12" t="s">
        <v>4010</v>
      </c>
      <c r="F1158" s="12" t="s">
        <v>4011</v>
      </c>
      <c r="G1158" s="12" t="b">
        <v>0</v>
      </c>
      <c r="H1158" s="12" t="b">
        <v>0</v>
      </c>
      <c r="I1158" s="12" t="b">
        <v>0</v>
      </c>
    </row>
    <row r="1159" spans="1:9" x14ac:dyDescent="0.25">
      <c r="A1159" s="12">
        <v>1158</v>
      </c>
      <c r="B1159" s="12" t="s">
        <v>4012</v>
      </c>
      <c r="C1159" s="12" t="s">
        <v>4013</v>
      </c>
      <c r="D1159" s="12" t="s">
        <v>14</v>
      </c>
      <c r="E1159" s="12" t="s">
        <v>4014</v>
      </c>
      <c r="F1159" s="12" t="s">
        <v>859</v>
      </c>
      <c r="G1159" s="12" t="b">
        <v>0</v>
      </c>
      <c r="H1159" s="12" t="b">
        <v>0</v>
      </c>
      <c r="I1159" s="12" t="b">
        <v>0</v>
      </c>
    </row>
    <row r="1160" spans="1:9" x14ac:dyDescent="0.25">
      <c r="A1160" s="12">
        <v>1159</v>
      </c>
      <c r="B1160" s="12" t="s">
        <v>4015</v>
      </c>
      <c r="C1160" s="12" t="s">
        <v>4016</v>
      </c>
      <c r="D1160" s="12" t="s">
        <v>45</v>
      </c>
      <c r="E1160" s="12" t="s">
        <v>4017</v>
      </c>
      <c r="F1160" s="12" t="s">
        <v>859</v>
      </c>
      <c r="G1160" s="12" t="b">
        <v>1</v>
      </c>
      <c r="H1160" s="12" t="b">
        <v>0</v>
      </c>
      <c r="I1160" s="12" t="b">
        <v>0</v>
      </c>
    </row>
    <row r="1161" spans="1:9" x14ac:dyDescent="0.25">
      <c r="A1161" s="12">
        <v>1160</v>
      </c>
      <c r="B1161" s="12" t="s">
        <v>4018</v>
      </c>
      <c r="C1161" s="12" t="s">
        <v>4019</v>
      </c>
      <c r="D1161" s="12" t="s">
        <v>10</v>
      </c>
      <c r="E1161" s="12" t="s">
        <v>4020</v>
      </c>
      <c r="F1161" s="12" t="s">
        <v>1090</v>
      </c>
      <c r="G1161" s="12" t="b">
        <v>0</v>
      </c>
      <c r="H1161" s="12" t="b">
        <v>0</v>
      </c>
      <c r="I1161" s="12" t="b">
        <v>0</v>
      </c>
    </row>
    <row r="1162" spans="1:9" x14ac:dyDescent="0.25">
      <c r="A1162" s="12">
        <v>1161</v>
      </c>
      <c r="B1162" s="12" t="s">
        <v>4021</v>
      </c>
      <c r="C1162" s="12" t="s">
        <v>4022</v>
      </c>
      <c r="D1162" s="12" t="s">
        <v>14</v>
      </c>
      <c r="E1162" s="12" t="s">
        <v>4023</v>
      </c>
      <c r="F1162" s="12" t="s">
        <v>628</v>
      </c>
      <c r="G1162" s="12" t="b">
        <v>0</v>
      </c>
      <c r="H1162" s="12" t="b">
        <v>1</v>
      </c>
      <c r="I1162" s="12" t="b">
        <v>1</v>
      </c>
    </row>
    <row r="1163" spans="1:9" x14ac:dyDescent="0.25">
      <c r="A1163" s="12">
        <v>1162</v>
      </c>
      <c r="B1163" s="12" t="s">
        <v>4024</v>
      </c>
      <c r="C1163" s="12" t="s">
        <v>4025</v>
      </c>
      <c r="D1163" s="12" t="s">
        <v>14</v>
      </c>
      <c r="E1163" s="12" t="s">
        <v>4026</v>
      </c>
      <c r="F1163" s="12" t="s">
        <v>2031</v>
      </c>
      <c r="G1163" s="12" t="b">
        <v>0</v>
      </c>
      <c r="H1163" s="12" t="b">
        <v>0</v>
      </c>
      <c r="I1163" s="12" t="b">
        <v>0</v>
      </c>
    </row>
    <row r="1164" spans="1:9" x14ac:dyDescent="0.25">
      <c r="A1164" s="12">
        <v>1163</v>
      </c>
      <c r="B1164" s="12" t="s">
        <v>4027</v>
      </c>
      <c r="C1164" s="12" t="s">
        <v>4028</v>
      </c>
      <c r="D1164" s="12" t="s">
        <v>45</v>
      </c>
      <c r="E1164" s="12" t="s">
        <v>4029</v>
      </c>
      <c r="F1164" s="12" t="s">
        <v>702</v>
      </c>
      <c r="G1164" s="12" t="b">
        <v>0</v>
      </c>
      <c r="H1164" s="12" t="b">
        <v>0</v>
      </c>
      <c r="I1164" s="12" t="b">
        <v>0</v>
      </c>
    </row>
    <row r="1165" spans="1:9" x14ac:dyDescent="0.25">
      <c r="A1165" s="12">
        <v>1164</v>
      </c>
      <c r="B1165" s="12" t="s">
        <v>4030</v>
      </c>
      <c r="C1165" s="12" t="s">
        <v>4031</v>
      </c>
      <c r="D1165" s="12" t="s">
        <v>14</v>
      </c>
      <c r="E1165" s="12" t="s">
        <v>4032</v>
      </c>
      <c r="F1165" s="12" t="s">
        <v>859</v>
      </c>
      <c r="G1165" s="12" t="b">
        <v>1</v>
      </c>
      <c r="H1165" s="12" t="b">
        <v>0</v>
      </c>
      <c r="I1165" s="12" t="b">
        <v>0</v>
      </c>
    </row>
    <row r="1166" spans="1:9" x14ac:dyDescent="0.25">
      <c r="A1166" s="12">
        <v>1165</v>
      </c>
      <c r="B1166" s="12" t="s">
        <v>4033</v>
      </c>
      <c r="C1166" s="12" t="s">
        <v>4034</v>
      </c>
      <c r="D1166" s="12" t="s">
        <v>10</v>
      </c>
      <c r="E1166" s="12" t="s">
        <v>4035</v>
      </c>
      <c r="F1166" s="12" t="s">
        <v>952</v>
      </c>
      <c r="G1166" s="12" t="b">
        <v>1</v>
      </c>
      <c r="H1166" s="12" t="b">
        <v>1</v>
      </c>
      <c r="I1166" s="12" t="b">
        <v>1</v>
      </c>
    </row>
    <row r="1167" spans="1:9" x14ac:dyDescent="0.25">
      <c r="A1167" s="12">
        <v>1166</v>
      </c>
      <c r="B1167" s="12" t="s">
        <v>4036</v>
      </c>
      <c r="C1167" s="12" t="s">
        <v>4037</v>
      </c>
      <c r="D1167" s="12" t="s">
        <v>14</v>
      </c>
      <c r="E1167" s="12" t="s">
        <v>4038</v>
      </c>
      <c r="F1167" s="12" t="s">
        <v>960</v>
      </c>
      <c r="G1167" s="12" t="b">
        <v>1</v>
      </c>
      <c r="H1167" s="12" t="b">
        <v>1</v>
      </c>
      <c r="I1167" s="12" t="b">
        <v>1</v>
      </c>
    </row>
    <row r="1168" spans="1:9" x14ac:dyDescent="0.25">
      <c r="A1168" s="12">
        <v>1167</v>
      </c>
      <c r="B1168" s="12" t="s">
        <v>4039</v>
      </c>
      <c r="C1168" s="12" t="s">
        <v>4040</v>
      </c>
      <c r="D1168" s="12" t="s">
        <v>14</v>
      </c>
      <c r="E1168" s="12" t="s">
        <v>4041</v>
      </c>
      <c r="F1168" s="12" t="s">
        <v>2299</v>
      </c>
      <c r="G1168" s="12" t="b">
        <v>1</v>
      </c>
      <c r="H1168" s="12" t="b">
        <v>1</v>
      </c>
      <c r="I1168" s="12" t="b">
        <v>1</v>
      </c>
    </row>
    <row r="1169" spans="1:9" x14ac:dyDescent="0.25">
      <c r="A1169" s="12">
        <v>1168</v>
      </c>
      <c r="B1169" s="12" t="s">
        <v>4042</v>
      </c>
      <c r="C1169" s="12" t="s">
        <v>4043</v>
      </c>
      <c r="D1169" s="12" t="s">
        <v>45</v>
      </c>
      <c r="E1169" s="12" t="s">
        <v>4044</v>
      </c>
      <c r="F1169" s="12" t="s">
        <v>4045</v>
      </c>
      <c r="G1169" s="12" t="b">
        <v>1</v>
      </c>
      <c r="H1169" s="12" t="b">
        <v>1</v>
      </c>
      <c r="I1169" s="12" t="b">
        <v>1</v>
      </c>
    </row>
    <row r="1170" spans="1:9" x14ac:dyDescent="0.25">
      <c r="A1170" s="12">
        <v>1169</v>
      </c>
      <c r="B1170" s="12" t="s">
        <v>4046</v>
      </c>
      <c r="C1170" s="12" t="s">
        <v>4047</v>
      </c>
      <c r="D1170" s="12" t="s">
        <v>14</v>
      </c>
      <c r="E1170" s="12" t="s">
        <v>4048</v>
      </c>
      <c r="F1170" s="12" t="s">
        <v>475</v>
      </c>
      <c r="G1170" s="12" t="b">
        <v>0</v>
      </c>
      <c r="H1170" s="12" t="b">
        <v>0</v>
      </c>
      <c r="I1170" s="12" t="b">
        <v>0</v>
      </c>
    </row>
    <row r="1171" spans="1:9" x14ac:dyDescent="0.25">
      <c r="A1171" s="12">
        <v>1170</v>
      </c>
      <c r="B1171" s="12" t="s">
        <v>4049</v>
      </c>
      <c r="C1171" s="12" t="s">
        <v>4050</v>
      </c>
      <c r="D1171" s="12" t="s">
        <v>14</v>
      </c>
      <c r="E1171" s="12" t="s">
        <v>4051</v>
      </c>
      <c r="F1171" s="12" t="s">
        <v>4052</v>
      </c>
      <c r="G1171" s="12" t="b">
        <v>0</v>
      </c>
      <c r="H1171" s="12" t="b">
        <v>0</v>
      </c>
      <c r="I1171" s="12" t="b">
        <v>0</v>
      </c>
    </row>
    <row r="1172" spans="1:9" x14ac:dyDescent="0.25">
      <c r="A1172" s="12">
        <v>1171</v>
      </c>
      <c r="B1172" s="12" t="s">
        <v>4053</v>
      </c>
      <c r="C1172" s="12" t="s">
        <v>4054</v>
      </c>
      <c r="D1172" s="12" t="s">
        <v>14</v>
      </c>
      <c r="E1172" s="12" t="s">
        <v>4055</v>
      </c>
      <c r="F1172" s="12" t="s">
        <v>745</v>
      </c>
      <c r="G1172" s="12" t="b">
        <v>0</v>
      </c>
      <c r="H1172" s="12" t="b">
        <v>0</v>
      </c>
      <c r="I1172" s="12" t="b">
        <v>0</v>
      </c>
    </row>
    <row r="1173" spans="1:9" x14ac:dyDescent="0.25">
      <c r="A1173" s="12">
        <v>1172</v>
      </c>
      <c r="B1173" s="12" t="s">
        <v>4056</v>
      </c>
      <c r="C1173" s="12" t="s">
        <v>4057</v>
      </c>
      <c r="D1173" s="12" t="s">
        <v>45</v>
      </c>
      <c r="E1173" s="12" t="s">
        <v>4058</v>
      </c>
      <c r="F1173" s="12" t="s">
        <v>4059</v>
      </c>
      <c r="G1173" s="12" t="b">
        <v>0</v>
      </c>
      <c r="H1173" s="12" t="b">
        <v>0</v>
      </c>
      <c r="I1173" s="12" t="b">
        <v>0</v>
      </c>
    </row>
    <row r="1174" spans="1:9" x14ac:dyDescent="0.25">
      <c r="A1174" s="12">
        <v>1173</v>
      </c>
      <c r="B1174" s="12" t="s">
        <v>4060</v>
      </c>
      <c r="C1174" s="12" t="s">
        <v>4061</v>
      </c>
      <c r="D1174" s="12" t="s">
        <v>10</v>
      </c>
      <c r="E1174" s="12" t="s">
        <v>4062</v>
      </c>
      <c r="F1174" s="12" t="s">
        <v>859</v>
      </c>
      <c r="G1174" s="12" t="b">
        <v>1</v>
      </c>
      <c r="H1174" s="12" t="b">
        <v>0</v>
      </c>
      <c r="I1174" s="12" t="b">
        <v>0</v>
      </c>
    </row>
    <row r="1175" spans="1:9" x14ac:dyDescent="0.25">
      <c r="A1175" s="12">
        <v>1174</v>
      </c>
      <c r="B1175" s="12" t="s">
        <v>4063</v>
      </c>
      <c r="C1175" s="12" t="s">
        <v>4064</v>
      </c>
      <c r="D1175" s="12" t="s">
        <v>14</v>
      </c>
      <c r="E1175" s="12" t="s">
        <v>4065</v>
      </c>
      <c r="F1175" s="12" t="s">
        <v>859</v>
      </c>
      <c r="G1175" s="12" t="b">
        <v>1</v>
      </c>
      <c r="H1175" s="12" t="b">
        <v>0</v>
      </c>
      <c r="I1175" s="12" t="b">
        <v>0</v>
      </c>
    </row>
    <row r="1176" spans="1:9" x14ac:dyDescent="0.25">
      <c r="A1176" s="12">
        <v>1175</v>
      </c>
      <c r="B1176" s="12" t="s">
        <v>4066</v>
      </c>
      <c r="C1176" s="12" t="s">
        <v>4067</v>
      </c>
      <c r="D1176" s="12" t="s">
        <v>10</v>
      </c>
      <c r="E1176" s="12" t="s">
        <v>4068</v>
      </c>
      <c r="F1176" s="12" t="s">
        <v>315</v>
      </c>
      <c r="G1176" s="12" t="b">
        <v>0</v>
      </c>
      <c r="H1176" s="12" t="b">
        <v>0</v>
      </c>
      <c r="I1176" s="12" t="b">
        <v>0</v>
      </c>
    </row>
    <row r="1177" spans="1:9" x14ac:dyDescent="0.25">
      <c r="A1177" s="12">
        <v>1176</v>
      </c>
      <c r="B1177" s="12" t="s">
        <v>4069</v>
      </c>
      <c r="C1177" s="12" t="s">
        <v>4070</v>
      </c>
      <c r="D1177" s="12" t="s">
        <v>10</v>
      </c>
      <c r="E1177" s="12" t="s">
        <v>4071</v>
      </c>
      <c r="F1177" s="12" t="s">
        <v>2340</v>
      </c>
      <c r="G1177" s="12" t="b">
        <v>1</v>
      </c>
      <c r="H1177" s="12" t="b">
        <v>0</v>
      </c>
      <c r="I1177" s="12" t="b">
        <v>0</v>
      </c>
    </row>
    <row r="1178" spans="1:9" x14ac:dyDescent="0.25">
      <c r="A1178" s="12">
        <v>1177</v>
      </c>
      <c r="B1178" s="12" t="s">
        <v>4072</v>
      </c>
      <c r="C1178" s="12" t="s">
        <v>4073</v>
      </c>
      <c r="D1178" s="12" t="s">
        <v>14</v>
      </c>
      <c r="E1178" s="12" t="s">
        <v>4074</v>
      </c>
      <c r="F1178" s="12" t="s">
        <v>4075</v>
      </c>
      <c r="G1178" s="12" t="b">
        <v>0</v>
      </c>
      <c r="H1178" s="12" t="b">
        <v>0</v>
      </c>
      <c r="I1178" s="12" t="b">
        <v>0</v>
      </c>
    </row>
    <row r="1179" spans="1:9" x14ac:dyDescent="0.25">
      <c r="A1179" s="12">
        <v>1178</v>
      </c>
      <c r="B1179" s="12" t="s">
        <v>4076</v>
      </c>
      <c r="C1179" s="12" t="s">
        <v>4077</v>
      </c>
      <c r="D1179" s="12" t="s">
        <v>45</v>
      </c>
      <c r="E1179" s="12" t="s">
        <v>4078</v>
      </c>
      <c r="F1179" s="12" t="s">
        <v>4079</v>
      </c>
      <c r="G1179" s="12" t="b">
        <v>0</v>
      </c>
      <c r="H1179" s="12" t="b">
        <v>1</v>
      </c>
      <c r="I1179" s="12" t="b">
        <v>1</v>
      </c>
    </row>
    <row r="1180" spans="1:9" x14ac:dyDescent="0.25">
      <c r="A1180" s="12">
        <v>1179</v>
      </c>
      <c r="B1180" s="12" t="s">
        <v>4080</v>
      </c>
      <c r="C1180" s="12" t="s">
        <v>4081</v>
      </c>
      <c r="D1180" s="12" t="s">
        <v>10</v>
      </c>
      <c r="E1180" s="12" t="s">
        <v>4082</v>
      </c>
      <c r="F1180" s="12" t="s">
        <v>859</v>
      </c>
      <c r="G1180" s="12" t="b">
        <v>0</v>
      </c>
      <c r="H1180" s="12" t="b">
        <v>0</v>
      </c>
      <c r="I1180" s="12" t="b">
        <v>0</v>
      </c>
    </row>
    <row r="1181" spans="1:9" x14ac:dyDescent="0.25">
      <c r="A1181" s="12">
        <v>1180</v>
      </c>
      <c r="B1181" s="12" t="s">
        <v>4083</v>
      </c>
      <c r="C1181" s="12" t="s">
        <v>4084</v>
      </c>
      <c r="D1181" s="12" t="s">
        <v>10</v>
      </c>
      <c r="E1181" s="12" t="s">
        <v>4085</v>
      </c>
      <c r="F1181" s="12" t="s">
        <v>836</v>
      </c>
      <c r="G1181" s="12" t="b">
        <v>1</v>
      </c>
      <c r="H1181" s="12" t="b">
        <v>1</v>
      </c>
      <c r="I1181" s="12" t="b">
        <v>1</v>
      </c>
    </row>
    <row r="1182" spans="1:9" x14ac:dyDescent="0.25">
      <c r="A1182" s="12">
        <v>1181</v>
      </c>
      <c r="B1182" s="12" t="s">
        <v>4086</v>
      </c>
      <c r="C1182" s="12" t="s">
        <v>4087</v>
      </c>
      <c r="D1182" s="12" t="s">
        <v>14</v>
      </c>
      <c r="E1182" s="12" t="s">
        <v>4088</v>
      </c>
      <c r="F1182" s="12" t="s">
        <v>475</v>
      </c>
      <c r="G1182" s="12" t="b">
        <v>1</v>
      </c>
      <c r="H1182" s="12" t="b">
        <v>0</v>
      </c>
      <c r="I1182" s="12" t="b">
        <v>0</v>
      </c>
    </row>
    <row r="1183" spans="1:9" x14ac:dyDescent="0.25">
      <c r="A1183" s="12">
        <v>1182</v>
      </c>
      <c r="B1183" s="12" t="s">
        <v>4089</v>
      </c>
      <c r="C1183" s="12" t="s">
        <v>4090</v>
      </c>
      <c r="D1183" s="12" t="s">
        <v>14</v>
      </c>
      <c r="E1183" s="12" t="s">
        <v>4091</v>
      </c>
      <c r="F1183" s="12" t="s">
        <v>1243</v>
      </c>
      <c r="G1183" s="12" t="b">
        <v>1</v>
      </c>
      <c r="H1183" s="12" t="b">
        <v>1</v>
      </c>
      <c r="I1183" s="12" t="b">
        <v>1</v>
      </c>
    </row>
    <row r="1184" spans="1:9" x14ac:dyDescent="0.25">
      <c r="A1184" s="12">
        <v>1183</v>
      </c>
      <c r="B1184" s="12" t="s">
        <v>4092</v>
      </c>
      <c r="C1184" s="12" t="s">
        <v>4093</v>
      </c>
      <c r="D1184" s="12" t="s">
        <v>45</v>
      </c>
      <c r="E1184" s="12" t="s">
        <v>4094</v>
      </c>
      <c r="F1184" s="12" t="s">
        <v>4095</v>
      </c>
      <c r="G1184" s="12" t="b">
        <v>1</v>
      </c>
      <c r="H1184" s="12" t="b">
        <v>0</v>
      </c>
      <c r="I1184" s="12" t="b">
        <v>0</v>
      </c>
    </row>
    <row r="1185" spans="1:9" x14ac:dyDescent="0.25">
      <c r="A1185" s="12">
        <v>1184</v>
      </c>
      <c r="B1185" s="12" t="s">
        <v>4096</v>
      </c>
      <c r="C1185" s="12" t="s">
        <v>4097</v>
      </c>
      <c r="D1185" s="12" t="s">
        <v>10</v>
      </c>
      <c r="E1185" s="12" t="s">
        <v>4098</v>
      </c>
      <c r="F1185" s="12" t="s">
        <v>317</v>
      </c>
      <c r="G1185" s="12" t="b">
        <v>0</v>
      </c>
      <c r="H1185" s="12" t="b">
        <v>0</v>
      </c>
      <c r="I1185" s="12" t="b">
        <v>0</v>
      </c>
    </row>
    <row r="1186" spans="1:9" x14ac:dyDescent="0.25">
      <c r="A1186" s="12">
        <v>1185</v>
      </c>
      <c r="B1186" s="12" t="s">
        <v>4099</v>
      </c>
      <c r="C1186" s="12" t="s">
        <v>4100</v>
      </c>
      <c r="D1186" s="12" t="s">
        <v>10</v>
      </c>
      <c r="E1186" s="12" t="s">
        <v>4101</v>
      </c>
      <c r="F1186" s="12" t="s">
        <v>315</v>
      </c>
      <c r="G1186" s="12" t="b">
        <v>0</v>
      </c>
      <c r="H1186" s="12" t="b">
        <v>0</v>
      </c>
      <c r="I1186" s="12" t="b">
        <v>0</v>
      </c>
    </row>
    <row r="1187" spans="1:9" x14ac:dyDescent="0.25">
      <c r="A1187" s="12">
        <v>1186</v>
      </c>
      <c r="B1187" s="12" t="s">
        <v>4102</v>
      </c>
      <c r="C1187" s="12" t="s">
        <v>4103</v>
      </c>
      <c r="D1187" s="12" t="s">
        <v>14</v>
      </c>
      <c r="E1187" s="12" t="s">
        <v>4104</v>
      </c>
      <c r="F1187" s="12" t="s">
        <v>681</v>
      </c>
      <c r="G1187" s="12" t="b">
        <v>0</v>
      </c>
      <c r="H1187" s="12" t="b">
        <v>0</v>
      </c>
      <c r="I1187" s="12" t="b">
        <v>0</v>
      </c>
    </row>
    <row r="1188" spans="1:9" x14ac:dyDescent="0.25">
      <c r="A1188" s="12">
        <v>1187</v>
      </c>
      <c r="B1188" s="12" t="s">
        <v>4105</v>
      </c>
      <c r="C1188" s="12" t="s">
        <v>4106</v>
      </c>
      <c r="D1188" s="12" t="s">
        <v>45</v>
      </c>
      <c r="E1188" s="12" t="s">
        <v>4107</v>
      </c>
      <c r="F1188" s="12" t="s">
        <v>1243</v>
      </c>
      <c r="G1188" s="12" t="b">
        <v>0</v>
      </c>
      <c r="H1188" s="12" t="b">
        <v>0</v>
      </c>
      <c r="I1188" s="12" t="b">
        <v>0</v>
      </c>
    </row>
    <row r="1189" spans="1:9" x14ac:dyDescent="0.25">
      <c r="A1189" s="12">
        <v>1188</v>
      </c>
      <c r="B1189" s="12" t="s">
        <v>4108</v>
      </c>
      <c r="C1189" s="12" t="s">
        <v>4109</v>
      </c>
      <c r="D1189" s="12" t="s">
        <v>14</v>
      </c>
      <c r="E1189" s="12" t="s">
        <v>4110</v>
      </c>
      <c r="F1189" s="12" t="s">
        <v>3872</v>
      </c>
      <c r="G1189" s="12" t="b">
        <v>1</v>
      </c>
      <c r="H1189" s="12" t="b">
        <v>0</v>
      </c>
      <c r="I1189" s="12" t="b">
        <v>0</v>
      </c>
    </row>
    <row r="1190" spans="1:9" x14ac:dyDescent="0.25">
      <c r="A1190" s="12">
        <v>1189</v>
      </c>
      <c r="B1190" s="12" t="s">
        <v>4111</v>
      </c>
      <c r="C1190" s="12" t="s">
        <v>4112</v>
      </c>
      <c r="D1190" s="12" t="s">
        <v>10</v>
      </c>
      <c r="E1190" s="12" t="s">
        <v>4113</v>
      </c>
      <c r="F1190" s="12" t="s">
        <v>1240</v>
      </c>
      <c r="G1190" s="12" t="b">
        <v>0</v>
      </c>
      <c r="H1190" s="12" t="b">
        <v>1</v>
      </c>
      <c r="I1190" s="12" t="b">
        <v>1</v>
      </c>
    </row>
    <row r="1191" spans="1:9" x14ac:dyDescent="0.25">
      <c r="A1191" s="12">
        <v>1190</v>
      </c>
      <c r="B1191" s="12" t="s">
        <v>4114</v>
      </c>
      <c r="C1191" s="12" t="s">
        <v>4115</v>
      </c>
      <c r="D1191" s="12" t="s">
        <v>14</v>
      </c>
      <c r="E1191" s="12" t="s">
        <v>4116</v>
      </c>
      <c r="F1191" s="12" t="s">
        <v>387</v>
      </c>
      <c r="G1191" s="12" t="b">
        <v>0</v>
      </c>
      <c r="H1191" s="12" t="b">
        <v>0</v>
      </c>
      <c r="I1191" s="12" t="b">
        <v>0</v>
      </c>
    </row>
    <row r="1192" spans="1:9" x14ac:dyDescent="0.25">
      <c r="A1192" s="12">
        <v>1191</v>
      </c>
      <c r="B1192" s="12" t="s">
        <v>4117</v>
      </c>
      <c r="C1192" s="12" t="s">
        <v>4118</v>
      </c>
      <c r="D1192" s="12" t="s">
        <v>14</v>
      </c>
      <c r="E1192" s="12" t="s">
        <v>4119</v>
      </c>
      <c r="F1192" s="12" t="s">
        <v>681</v>
      </c>
      <c r="G1192" s="12" t="b">
        <v>0</v>
      </c>
      <c r="H1192" s="12" t="b">
        <v>0</v>
      </c>
      <c r="I1192" s="12" t="b">
        <v>0</v>
      </c>
    </row>
    <row r="1193" spans="1:9" x14ac:dyDescent="0.25">
      <c r="A1193" s="12">
        <v>1192</v>
      </c>
      <c r="B1193" s="12" t="s">
        <v>4120</v>
      </c>
      <c r="C1193" s="12" t="s">
        <v>4121</v>
      </c>
      <c r="D1193" s="12" t="s">
        <v>45</v>
      </c>
      <c r="E1193" s="12" t="s">
        <v>4122</v>
      </c>
      <c r="F1193" s="12" t="s">
        <v>4123</v>
      </c>
      <c r="G1193" s="12" t="b">
        <v>0</v>
      </c>
      <c r="H1193" s="12" t="b">
        <v>1</v>
      </c>
      <c r="I1193" s="12" t="b">
        <v>1</v>
      </c>
    </row>
    <row r="1194" spans="1:9" x14ac:dyDescent="0.25">
      <c r="A1194" s="12">
        <v>1193</v>
      </c>
      <c r="B1194" s="12" t="s">
        <v>4124</v>
      </c>
      <c r="C1194" s="12" t="s">
        <v>4125</v>
      </c>
      <c r="D1194" s="12" t="s">
        <v>14</v>
      </c>
      <c r="E1194" s="12" t="s">
        <v>4126</v>
      </c>
      <c r="F1194" s="12" t="s">
        <v>859</v>
      </c>
      <c r="G1194" s="12" t="b">
        <v>1</v>
      </c>
      <c r="H1194" s="12" t="b">
        <v>0</v>
      </c>
      <c r="I1194" s="12" t="b">
        <v>0</v>
      </c>
    </row>
    <row r="1195" spans="1:9" x14ac:dyDescent="0.25">
      <c r="A1195" s="12">
        <v>1194</v>
      </c>
      <c r="B1195" s="12" t="s">
        <v>4127</v>
      </c>
      <c r="C1195" s="12" t="s">
        <v>4128</v>
      </c>
      <c r="D1195" s="12" t="s">
        <v>45</v>
      </c>
      <c r="E1195" s="12" t="s">
        <v>4129</v>
      </c>
      <c r="F1195" s="12" t="s">
        <v>859</v>
      </c>
      <c r="G1195" s="12" t="b">
        <v>1</v>
      </c>
      <c r="H1195" s="12" t="b">
        <v>0</v>
      </c>
      <c r="I1195" s="12" t="b">
        <v>0</v>
      </c>
    </row>
    <row r="1196" spans="1:9" x14ac:dyDescent="0.25">
      <c r="A1196" s="12">
        <v>1195</v>
      </c>
      <c r="B1196" s="12" t="s">
        <v>4130</v>
      </c>
      <c r="C1196" s="12" t="s">
        <v>4131</v>
      </c>
      <c r="D1196" s="12" t="s">
        <v>14</v>
      </c>
      <c r="E1196" s="12" t="s">
        <v>4132</v>
      </c>
      <c r="F1196" s="12" t="s">
        <v>3872</v>
      </c>
      <c r="G1196" s="12" t="b">
        <v>0</v>
      </c>
      <c r="H1196" s="12" t="b">
        <v>0</v>
      </c>
      <c r="I1196" s="12" t="b">
        <v>0</v>
      </c>
    </row>
    <row r="1197" spans="1:9" x14ac:dyDescent="0.25">
      <c r="A1197" s="12">
        <v>1196</v>
      </c>
      <c r="B1197" s="12" t="s">
        <v>4133</v>
      </c>
      <c r="C1197" s="12" t="s">
        <v>4134</v>
      </c>
      <c r="D1197" s="12" t="s">
        <v>10</v>
      </c>
      <c r="E1197" s="12" t="s">
        <v>4135</v>
      </c>
      <c r="F1197" s="12" t="s">
        <v>1181</v>
      </c>
      <c r="G1197" s="12" t="b">
        <v>1</v>
      </c>
      <c r="H1197" s="12" t="b">
        <v>1</v>
      </c>
      <c r="I1197" s="12" t="b">
        <v>1</v>
      </c>
    </row>
    <row r="1198" spans="1:9" x14ac:dyDescent="0.25">
      <c r="A1198" s="12">
        <v>1197</v>
      </c>
      <c r="B1198" s="12" t="s">
        <v>4136</v>
      </c>
      <c r="C1198" s="12" t="s">
        <v>4137</v>
      </c>
      <c r="D1198" s="12" t="s">
        <v>14</v>
      </c>
      <c r="E1198" s="12" t="s">
        <v>4138</v>
      </c>
      <c r="F1198" s="12" t="s">
        <v>4139</v>
      </c>
      <c r="G1198" s="12" t="b">
        <v>1</v>
      </c>
      <c r="H1198" s="12" t="b">
        <v>1</v>
      </c>
      <c r="I1198" s="12" t="b">
        <v>1</v>
      </c>
    </row>
    <row r="1199" spans="1:9" x14ac:dyDescent="0.25">
      <c r="A1199" s="12">
        <v>1198</v>
      </c>
      <c r="B1199" s="12" t="s">
        <v>4140</v>
      </c>
      <c r="C1199" s="12" t="s">
        <v>4141</v>
      </c>
      <c r="D1199" s="12" t="s">
        <v>14</v>
      </c>
      <c r="E1199" s="12" t="s">
        <v>4142</v>
      </c>
      <c r="F1199" s="12" t="s">
        <v>4143</v>
      </c>
      <c r="G1199" s="12" t="b">
        <v>1</v>
      </c>
      <c r="H1199" s="12" t="b">
        <v>1</v>
      </c>
      <c r="I1199" s="12" t="b">
        <v>1</v>
      </c>
    </row>
    <row r="1200" spans="1:9" x14ac:dyDescent="0.25">
      <c r="A1200" s="12">
        <v>1199</v>
      </c>
      <c r="B1200" s="12" t="s">
        <v>4144</v>
      </c>
      <c r="C1200" s="12" t="s">
        <v>4145</v>
      </c>
      <c r="D1200" s="12" t="s">
        <v>45</v>
      </c>
      <c r="E1200" s="12" t="s">
        <v>4146</v>
      </c>
      <c r="F1200" s="12" t="s">
        <v>4147</v>
      </c>
      <c r="G1200" s="12" t="b">
        <v>1</v>
      </c>
      <c r="H1200" s="12" t="b">
        <v>0</v>
      </c>
      <c r="I1200" s="12" t="b">
        <v>0</v>
      </c>
    </row>
    <row r="1201" spans="1:9" x14ac:dyDescent="0.25">
      <c r="A1201" s="12">
        <v>1200</v>
      </c>
      <c r="B1201" s="12" t="s">
        <v>4148</v>
      </c>
      <c r="C1201" s="12" t="s">
        <v>4149</v>
      </c>
      <c r="D1201" s="12" t="s">
        <v>10</v>
      </c>
      <c r="E1201" s="12" t="s">
        <v>4150</v>
      </c>
      <c r="F1201" s="12" t="s">
        <v>495</v>
      </c>
      <c r="G1201" s="12" t="b">
        <v>0</v>
      </c>
      <c r="H1201" s="12" t="b">
        <v>1</v>
      </c>
      <c r="I1201" s="12" t="b">
        <v>1</v>
      </c>
    </row>
    <row r="1202" spans="1:9" x14ac:dyDescent="0.25">
      <c r="A1202" s="12">
        <v>1201</v>
      </c>
      <c r="B1202" s="12" t="s">
        <v>4151</v>
      </c>
      <c r="C1202" s="12" t="s">
        <v>4152</v>
      </c>
      <c r="D1202" s="12" t="s">
        <v>14</v>
      </c>
      <c r="E1202" s="12" t="s">
        <v>4153</v>
      </c>
      <c r="F1202" s="12" t="s">
        <v>4154</v>
      </c>
      <c r="G1202" s="12" t="b">
        <v>0</v>
      </c>
      <c r="H1202" s="12" t="b">
        <v>0</v>
      </c>
      <c r="I1202" s="12" t="b">
        <v>0</v>
      </c>
    </row>
    <row r="1203" spans="1:9" x14ac:dyDescent="0.25">
      <c r="A1203" s="12">
        <v>1202</v>
      </c>
      <c r="B1203" s="12" t="s">
        <v>4155</v>
      </c>
      <c r="C1203" s="12" t="s">
        <v>4156</v>
      </c>
      <c r="D1203" s="12" t="s">
        <v>14</v>
      </c>
      <c r="E1203" s="12" t="s">
        <v>4157</v>
      </c>
      <c r="F1203" s="12" t="s">
        <v>4158</v>
      </c>
      <c r="G1203" s="12" t="b">
        <v>0</v>
      </c>
      <c r="H1203" s="12" t="b">
        <v>1</v>
      </c>
      <c r="I1203" s="12" t="b">
        <v>1</v>
      </c>
    </row>
    <row r="1204" spans="1:9" x14ac:dyDescent="0.25">
      <c r="A1204" s="12">
        <v>1203</v>
      </c>
      <c r="B1204" s="12" t="s">
        <v>84</v>
      </c>
      <c r="C1204" s="12" t="s">
        <v>4159</v>
      </c>
      <c r="D1204" s="12" t="s">
        <v>45</v>
      </c>
      <c r="E1204" s="12" t="s">
        <v>4160</v>
      </c>
      <c r="F1204" s="12" t="s">
        <v>957</v>
      </c>
      <c r="G1204" s="12" t="b">
        <v>0</v>
      </c>
      <c r="H1204" s="12" t="b">
        <v>0</v>
      </c>
      <c r="I1204" s="12" t="b">
        <v>0</v>
      </c>
    </row>
    <row r="1205" spans="1:9" x14ac:dyDescent="0.25">
      <c r="A1205" s="12">
        <v>1204</v>
      </c>
      <c r="B1205" s="12" t="s">
        <v>4161</v>
      </c>
      <c r="C1205" s="12" t="s">
        <v>4162</v>
      </c>
      <c r="D1205" s="12" t="s">
        <v>14</v>
      </c>
      <c r="E1205" s="12" t="s">
        <v>4163</v>
      </c>
      <c r="F1205" s="12" t="s">
        <v>859</v>
      </c>
      <c r="G1205" s="12" t="b">
        <v>1</v>
      </c>
      <c r="H1205" s="12" t="b">
        <v>0</v>
      </c>
      <c r="I1205" s="12" t="b">
        <v>0</v>
      </c>
    </row>
    <row r="1206" spans="1:9" x14ac:dyDescent="0.25">
      <c r="A1206" s="12">
        <v>1205</v>
      </c>
      <c r="B1206" s="12" t="s">
        <v>4164</v>
      </c>
      <c r="C1206" s="12" t="s">
        <v>4165</v>
      </c>
      <c r="D1206" s="12" t="s">
        <v>14</v>
      </c>
      <c r="E1206" s="12" t="s">
        <v>4166</v>
      </c>
      <c r="F1206" s="12" t="s">
        <v>859</v>
      </c>
      <c r="G1206" s="12" t="b">
        <v>1</v>
      </c>
      <c r="H1206" s="12" t="b">
        <v>0</v>
      </c>
      <c r="I1206" s="12" t="b">
        <v>0</v>
      </c>
    </row>
    <row r="1207" spans="1:9" x14ac:dyDescent="0.25">
      <c r="A1207" s="12">
        <v>1206</v>
      </c>
      <c r="B1207" s="12" t="s">
        <v>4167</v>
      </c>
      <c r="C1207" s="12" t="s">
        <v>4168</v>
      </c>
      <c r="D1207" s="12" t="s">
        <v>45</v>
      </c>
      <c r="E1207" s="12" t="s">
        <v>4169</v>
      </c>
      <c r="F1207" s="12" t="s">
        <v>2543</v>
      </c>
      <c r="G1207" s="12" t="b">
        <v>0</v>
      </c>
      <c r="H1207" s="12" t="b">
        <v>0</v>
      </c>
      <c r="I1207" s="12" t="b">
        <v>0</v>
      </c>
    </row>
    <row r="1208" spans="1:9" x14ac:dyDescent="0.25">
      <c r="A1208" s="12">
        <v>1207</v>
      </c>
      <c r="B1208" s="12" t="s">
        <v>4170</v>
      </c>
      <c r="C1208" s="12" t="s">
        <v>4171</v>
      </c>
      <c r="D1208" s="12" t="s">
        <v>10</v>
      </c>
      <c r="E1208" s="12" t="s">
        <v>4172</v>
      </c>
      <c r="F1208" s="12" t="s">
        <v>328</v>
      </c>
      <c r="G1208" s="12" t="b">
        <v>0</v>
      </c>
      <c r="H1208" s="12" t="b">
        <v>0</v>
      </c>
      <c r="I1208" s="12" t="b">
        <v>0</v>
      </c>
    </row>
    <row r="1209" spans="1:9" x14ac:dyDescent="0.25">
      <c r="A1209" s="12">
        <v>1208</v>
      </c>
      <c r="B1209" s="12" t="s">
        <v>4173</v>
      </c>
      <c r="C1209" s="12" t="s">
        <v>4174</v>
      </c>
      <c r="D1209" s="12" t="s">
        <v>14</v>
      </c>
      <c r="E1209" s="12" t="s">
        <v>4175</v>
      </c>
      <c r="F1209" s="12" t="s">
        <v>4176</v>
      </c>
      <c r="G1209" s="12" t="b">
        <v>0</v>
      </c>
      <c r="H1209" s="12" t="b">
        <v>0</v>
      </c>
      <c r="I1209" s="12" t="b">
        <v>0</v>
      </c>
    </row>
    <row r="1210" spans="1:9" x14ac:dyDescent="0.25">
      <c r="A1210" s="12">
        <v>1209</v>
      </c>
      <c r="B1210" s="12" t="s">
        <v>4177</v>
      </c>
      <c r="C1210" s="12" t="s">
        <v>4178</v>
      </c>
      <c r="D1210" s="12" t="s">
        <v>14</v>
      </c>
      <c r="E1210" s="12" t="s">
        <v>4179</v>
      </c>
      <c r="F1210" s="12" t="s">
        <v>387</v>
      </c>
      <c r="G1210" s="12" t="b">
        <v>0</v>
      </c>
      <c r="H1210" s="12" t="b">
        <v>1</v>
      </c>
      <c r="I1210" s="12" t="b">
        <v>1</v>
      </c>
    </row>
    <row r="1211" spans="1:9" x14ac:dyDescent="0.25">
      <c r="A1211" s="12">
        <v>1210</v>
      </c>
      <c r="B1211" s="12" t="s">
        <v>4180</v>
      </c>
      <c r="C1211" s="12" t="s">
        <v>4181</v>
      </c>
      <c r="D1211" s="12" t="s">
        <v>45</v>
      </c>
      <c r="E1211" s="12" t="s">
        <v>4182</v>
      </c>
      <c r="F1211" s="12" t="s">
        <v>1199</v>
      </c>
      <c r="G1211" s="12" t="b">
        <v>0</v>
      </c>
      <c r="H1211" s="12" t="b">
        <v>0</v>
      </c>
      <c r="I1211" s="12" t="b">
        <v>0</v>
      </c>
    </row>
    <row r="1212" spans="1:9" x14ac:dyDescent="0.25">
      <c r="A1212" s="12">
        <v>1211</v>
      </c>
      <c r="B1212" s="12" t="s">
        <v>4183</v>
      </c>
      <c r="C1212" s="12" t="s">
        <v>4184</v>
      </c>
      <c r="D1212" s="12" t="s">
        <v>10</v>
      </c>
      <c r="E1212" s="12" t="s">
        <v>4185</v>
      </c>
      <c r="F1212" s="12" t="s">
        <v>859</v>
      </c>
      <c r="G1212" s="12" t="b">
        <v>1</v>
      </c>
      <c r="H1212" s="12" t="b">
        <v>0</v>
      </c>
      <c r="I1212" s="12" t="b">
        <v>0</v>
      </c>
    </row>
    <row r="1213" spans="1:9" x14ac:dyDescent="0.25">
      <c r="A1213" s="12">
        <v>1212</v>
      </c>
      <c r="B1213" s="12" t="s">
        <v>4186</v>
      </c>
      <c r="C1213" s="12" t="s">
        <v>4187</v>
      </c>
      <c r="D1213" s="12" t="s">
        <v>14</v>
      </c>
      <c r="E1213" s="12" t="s">
        <v>4188</v>
      </c>
      <c r="F1213" s="12" t="s">
        <v>859</v>
      </c>
      <c r="G1213" s="12" t="b">
        <v>1</v>
      </c>
      <c r="H1213" s="12" t="b">
        <v>0</v>
      </c>
      <c r="I1213" s="12" t="b">
        <v>0</v>
      </c>
    </row>
    <row r="1214" spans="1:9" x14ac:dyDescent="0.25">
      <c r="A1214" s="12">
        <v>1213</v>
      </c>
      <c r="B1214" s="12" t="s">
        <v>4189</v>
      </c>
      <c r="C1214" s="12" t="s">
        <v>4190</v>
      </c>
      <c r="D1214" s="12" t="s">
        <v>10</v>
      </c>
      <c r="E1214" s="12" t="s">
        <v>4191</v>
      </c>
      <c r="F1214" s="12" t="s">
        <v>4192</v>
      </c>
      <c r="G1214" s="12" t="b">
        <v>1</v>
      </c>
      <c r="H1214" s="12" t="b">
        <v>1</v>
      </c>
      <c r="I1214" s="12" t="b">
        <v>1</v>
      </c>
    </row>
    <row r="1215" spans="1:9" x14ac:dyDescent="0.25">
      <c r="A1215" s="12">
        <v>1214</v>
      </c>
      <c r="B1215" s="12" t="s">
        <v>4193</v>
      </c>
      <c r="C1215" s="12" t="s">
        <v>4194</v>
      </c>
      <c r="D1215" s="12" t="s">
        <v>14</v>
      </c>
      <c r="E1215" s="12" t="s">
        <v>4195</v>
      </c>
      <c r="F1215" s="12" t="s">
        <v>4196</v>
      </c>
      <c r="G1215" s="12" t="b">
        <v>1</v>
      </c>
      <c r="H1215" s="12" t="b">
        <v>1</v>
      </c>
      <c r="I1215" s="12" t="b">
        <v>1</v>
      </c>
    </row>
    <row r="1216" spans="1:9" x14ac:dyDescent="0.25">
      <c r="A1216" s="12">
        <v>1215</v>
      </c>
      <c r="B1216" s="12" t="s">
        <v>4197</v>
      </c>
      <c r="C1216" s="12" t="s">
        <v>4198</v>
      </c>
      <c r="D1216" s="12" t="s">
        <v>14</v>
      </c>
      <c r="E1216" s="12" t="s">
        <v>4199</v>
      </c>
      <c r="F1216" s="12" t="s">
        <v>3399</v>
      </c>
      <c r="G1216" s="12" t="b">
        <v>1</v>
      </c>
      <c r="H1216" s="12" t="b">
        <v>0</v>
      </c>
      <c r="I1216" s="12" t="b">
        <v>0</v>
      </c>
    </row>
    <row r="1217" spans="1:9" x14ac:dyDescent="0.25">
      <c r="A1217" s="12">
        <v>1216</v>
      </c>
      <c r="B1217" s="12" t="s">
        <v>4200</v>
      </c>
      <c r="C1217" s="12" t="s">
        <v>4201</v>
      </c>
      <c r="D1217" s="12" t="s">
        <v>45</v>
      </c>
      <c r="E1217" s="12" t="s">
        <v>4202</v>
      </c>
      <c r="F1217" s="12" t="s">
        <v>340</v>
      </c>
      <c r="G1217" s="12" t="b">
        <v>1</v>
      </c>
      <c r="H1217" s="12" t="b">
        <v>1</v>
      </c>
      <c r="I1217" s="12" t="b">
        <v>1</v>
      </c>
    </row>
    <row r="1218" spans="1:9" x14ac:dyDescent="0.25">
      <c r="A1218" s="12">
        <v>1217</v>
      </c>
      <c r="B1218" s="12" t="s">
        <v>4203</v>
      </c>
      <c r="C1218" s="12" t="s">
        <v>4204</v>
      </c>
      <c r="D1218" s="12" t="s">
        <v>10</v>
      </c>
      <c r="E1218" s="12" t="s">
        <v>4205</v>
      </c>
      <c r="F1218" s="12" t="s">
        <v>4206</v>
      </c>
      <c r="G1218" s="12" t="b">
        <v>0</v>
      </c>
      <c r="H1218" s="12" t="b">
        <v>1</v>
      </c>
      <c r="I1218" s="12" t="b">
        <v>1</v>
      </c>
    </row>
    <row r="1219" spans="1:9" x14ac:dyDescent="0.25">
      <c r="A1219" s="12">
        <v>1218</v>
      </c>
      <c r="B1219" s="12" t="s">
        <v>4207</v>
      </c>
      <c r="C1219" s="12" t="s">
        <v>4208</v>
      </c>
      <c r="D1219" s="12" t="s">
        <v>14</v>
      </c>
      <c r="E1219" s="12" t="s">
        <v>4209</v>
      </c>
      <c r="F1219" s="12" t="s">
        <v>2649</v>
      </c>
      <c r="G1219" s="12" t="b">
        <v>0</v>
      </c>
      <c r="H1219" s="12" t="b">
        <v>0</v>
      </c>
      <c r="I1219" s="12" t="b">
        <v>0</v>
      </c>
    </row>
    <row r="1220" spans="1:9" x14ac:dyDescent="0.25">
      <c r="A1220" s="12">
        <v>1219</v>
      </c>
      <c r="B1220" s="12" t="s">
        <v>4210</v>
      </c>
      <c r="C1220" s="12" t="s">
        <v>4211</v>
      </c>
      <c r="D1220" s="12" t="s">
        <v>14</v>
      </c>
      <c r="E1220" s="12" t="s">
        <v>4212</v>
      </c>
      <c r="F1220" s="12" t="s">
        <v>439</v>
      </c>
      <c r="G1220" s="12" t="b">
        <v>0</v>
      </c>
      <c r="H1220" s="12" t="b">
        <v>0</v>
      </c>
      <c r="I1220" s="12" t="b">
        <v>0</v>
      </c>
    </row>
    <row r="1221" spans="1:9" x14ac:dyDescent="0.25">
      <c r="A1221" s="12">
        <v>1220</v>
      </c>
      <c r="B1221" s="12" t="s">
        <v>4213</v>
      </c>
      <c r="C1221" s="12" t="s">
        <v>4214</v>
      </c>
      <c r="D1221" s="12" t="s">
        <v>45</v>
      </c>
      <c r="E1221" s="12" t="s">
        <v>4215</v>
      </c>
      <c r="F1221" s="12" t="s">
        <v>292</v>
      </c>
      <c r="G1221" s="12" t="b">
        <v>0</v>
      </c>
      <c r="H1221" s="12" t="b">
        <v>1</v>
      </c>
      <c r="I1221" s="12" t="b">
        <v>1</v>
      </c>
    </row>
    <row r="1222" spans="1:9" x14ac:dyDescent="0.25">
      <c r="A1222" s="12">
        <v>1221</v>
      </c>
      <c r="B1222" s="12" t="s">
        <v>4216</v>
      </c>
      <c r="C1222" s="12" t="s">
        <v>4217</v>
      </c>
      <c r="D1222" s="12" t="s">
        <v>10</v>
      </c>
      <c r="E1222" s="12" t="s">
        <v>4218</v>
      </c>
      <c r="F1222" s="12" t="s">
        <v>4219</v>
      </c>
      <c r="G1222" s="12" t="b">
        <v>0</v>
      </c>
      <c r="H1222" s="12" t="b">
        <v>0</v>
      </c>
      <c r="I1222" s="12" t="b">
        <v>0</v>
      </c>
    </row>
    <row r="1223" spans="1:9" x14ac:dyDescent="0.25">
      <c r="A1223" s="12">
        <v>1222</v>
      </c>
      <c r="B1223" s="12" t="s">
        <v>4220</v>
      </c>
      <c r="C1223" s="12" t="s">
        <v>4221</v>
      </c>
      <c r="D1223" s="12" t="s">
        <v>14</v>
      </c>
      <c r="E1223" s="12" t="s">
        <v>4222</v>
      </c>
      <c r="F1223" s="12" t="s">
        <v>490</v>
      </c>
      <c r="G1223" s="12" t="b">
        <v>0</v>
      </c>
      <c r="H1223" s="12" t="b">
        <v>0</v>
      </c>
      <c r="I1223" s="12" t="b">
        <v>0</v>
      </c>
    </row>
    <row r="1224" spans="1:9" x14ac:dyDescent="0.25">
      <c r="A1224" s="12">
        <v>1223</v>
      </c>
      <c r="B1224" s="12" t="s">
        <v>4223</v>
      </c>
      <c r="C1224" s="12" t="s">
        <v>4224</v>
      </c>
      <c r="D1224" s="12" t="s">
        <v>45</v>
      </c>
      <c r="E1224" s="12" t="s">
        <v>4225</v>
      </c>
      <c r="F1224" s="12" t="s">
        <v>681</v>
      </c>
      <c r="G1224" s="12" t="b">
        <v>0</v>
      </c>
      <c r="H1224" s="12" t="b">
        <v>0</v>
      </c>
      <c r="I1224" s="12" t="b">
        <v>0</v>
      </c>
    </row>
    <row r="1225" spans="1:9" x14ac:dyDescent="0.25">
      <c r="A1225" s="12">
        <v>1224</v>
      </c>
      <c r="B1225" s="12" t="s">
        <v>4226</v>
      </c>
      <c r="C1225" s="12" t="s">
        <v>4227</v>
      </c>
      <c r="D1225" s="12" t="s">
        <v>45</v>
      </c>
      <c r="E1225" s="12" t="s">
        <v>4228</v>
      </c>
      <c r="F1225" s="12" t="s">
        <v>328</v>
      </c>
      <c r="G1225" s="12" t="b">
        <v>0</v>
      </c>
      <c r="H1225" s="12" t="b">
        <v>0</v>
      </c>
      <c r="I1225" s="12" t="b">
        <v>0</v>
      </c>
    </row>
    <row r="1226" spans="1:9" x14ac:dyDescent="0.25">
      <c r="A1226" s="12">
        <v>1225</v>
      </c>
      <c r="B1226" s="12" t="s">
        <v>4229</v>
      </c>
      <c r="C1226" s="12" t="s">
        <v>4230</v>
      </c>
      <c r="D1226" s="12" t="s">
        <v>45</v>
      </c>
      <c r="E1226" s="12" t="s">
        <v>4231</v>
      </c>
      <c r="F1226" s="12" t="s">
        <v>859</v>
      </c>
      <c r="G1226" s="12" t="b">
        <v>1</v>
      </c>
      <c r="H1226" s="12" t="b">
        <v>0</v>
      </c>
      <c r="I1226" s="12" t="b">
        <v>0</v>
      </c>
    </row>
    <row r="1227" spans="1:9" x14ac:dyDescent="0.25">
      <c r="A1227" s="12">
        <v>1226</v>
      </c>
      <c r="B1227" s="12" t="s">
        <v>4232</v>
      </c>
      <c r="C1227" s="12" t="s">
        <v>4233</v>
      </c>
      <c r="D1227" s="12" t="s">
        <v>14</v>
      </c>
      <c r="E1227" s="12" t="s">
        <v>4234</v>
      </c>
      <c r="F1227" s="12" t="s">
        <v>3872</v>
      </c>
      <c r="G1227" s="12" t="b">
        <v>0</v>
      </c>
      <c r="H1227" s="12" t="b">
        <v>0</v>
      </c>
      <c r="I1227" s="12" t="b">
        <v>0</v>
      </c>
    </row>
    <row r="1228" spans="1:9" x14ac:dyDescent="0.25">
      <c r="A1228" s="12">
        <v>1227</v>
      </c>
      <c r="B1228" s="12" t="s">
        <v>4235</v>
      </c>
      <c r="C1228" s="12" t="s">
        <v>4236</v>
      </c>
      <c r="D1228" s="12" t="s">
        <v>14</v>
      </c>
      <c r="E1228" s="12" t="s">
        <v>4237</v>
      </c>
      <c r="F1228" s="12" t="s">
        <v>4238</v>
      </c>
      <c r="G1228" s="12" t="b">
        <v>0</v>
      </c>
      <c r="H1228" s="12" t="b">
        <v>0</v>
      </c>
      <c r="I1228" s="12" t="b">
        <v>0</v>
      </c>
    </row>
    <row r="1229" spans="1:9" x14ac:dyDescent="0.25">
      <c r="A1229" s="12">
        <v>1228</v>
      </c>
      <c r="B1229" s="12" t="s">
        <v>4239</v>
      </c>
      <c r="C1229" s="12" t="s">
        <v>4240</v>
      </c>
      <c r="D1229" s="12" t="s">
        <v>10</v>
      </c>
      <c r="E1229" s="12" t="s">
        <v>4241</v>
      </c>
      <c r="F1229" s="12" t="s">
        <v>525</v>
      </c>
      <c r="G1229" s="12" t="b">
        <v>1</v>
      </c>
      <c r="H1229" s="12" t="b">
        <v>1</v>
      </c>
      <c r="I1229" s="12" t="b">
        <v>1</v>
      </c>
    </row>
    <row r="1230" spans="1:9" x14ac:dyDescent="0.25">
      <c r="A1230" s="12">
        <v>1229</v>
      </c>
      <c r="B1230" s="12" t="s">
        <v>4242</v>
      </c>
      <c r="C1230" s="12" t="s">
        <v>4243</v>
      </c>
      <c r="D1230" s="12" t="s">
        <v>14</v>
      </c>
      <c r="E1230" s="12" t="s">
        <v>4244</v>
      </c>
      <c r="F1230" s="12" t="s">
        <v>372</v>
      </c>
      <c r="G1230" s="12" t="b">
        <v>1</v>
      </c>
      <c r="H1230" s="12" t="b">
        <v>1</v>
      </c>
      <c r="I1230" s="12" t="b">
        <v>1</v>
      </c>
    </row>
    <row r="1231" spans="1:9" x14ac:dyDescent="0.25">
      <c r="A1231" s="12">
        <v>1230</v>
      </c>
      <c r="B1231" s="12" t="s">
        <v>4245</v>
      </c>
      <c r="C1231" s="12" t="s">
        <v>4246</v>
      </c>
      <c r="D1231" s="12" t="s">
        <v>14</v>
      </c>
      <c r="E1231" s="12" t="s">
        <v>4247</v>
      </c>
      <c r="F1231" s="12" t="s">
        <v>2871</v>
      </c>
      <c r="G1231" s="12" t="b">
        <v>1</v>
      </c>
      <c r="H1231" s="12" t="b">
        <v>0</v>
      </c>
      <c r="I1231" s="12" t="b">
        <v>0</v>
      </c>
    </row>
    <row r="1232" spans="1:9" x14ac:dyDescent="0.25">
      <c r="A1232" s="12">
        <v>1231</v>
      </c>
      <c r="B1232" s="12" t="s">
        <v>4248</v>
      </c>
      <c r="C1232" s="12" t="s">
        <v>4249</v>
      </c>
      <c r="D1232" s="12" t="s">
        <v>45</v>
      </c>
      <c r="E1232" s="12" t="s">
        <v>4250</v>
      </c>
      <c r="F1232" s="12" t="s">
        <v>426</v>
      </c>
      <c r="G1232" s="12" t="b">
        <v>1</v>
      </c>
      <c r="H1232" s="12" t="b">
        <v>1</v>
      </c>
      <c r="I1232" s="12" t="b">
        <v>1</v>
      </c>
    </row>
    <row r="1233" spans="1:9" x14ac:dyDescent="0.25">
      <c r="A1233" s="12">
        <v>1232</v>
      </c>
      <c r="B1233" s="12" t="s">
        <v>4251</v>
      </c>
      <c r="C1233" s="12" t="s">
        <v>4252</v>
      </c>
      <c r="D1233" s="12" t="s">
        <v>10</v>
      </c>
      <c r="E1233" s="12" t="s">
        <v>4253</v>
      </c>
      <c r="F1233" s="12" t="s">
        <v>1354</v>
      </c>
      <c r="G1233" s="12" t="b">
        <v>0</v>
      </c>
      <c r="H1233" s="12" t="b">
        <v>0</v>
      </c>
      <c r="I1233" s="12" t="b">
        <v>0</v>
      </c>
    </row>
    <row r="1234" spans="1:9" x14ac:dyDescent="0.25">
      <c r="A1234" s="12">
        <v>1233</v>
      </c>
      <c r="B1234" s="12" t="s">
        <v>4254</v>
      </c>
      <c r="C1234" s="12" t="s">
        <v>4255</v>
      </c>
      <c r="D1234" s="12" t="s">
        <v>14</v>
      </c>
      <c r="E1234" s="12" t="s">
        <v>4256</v>
      </c>
      <c r="F1234" s="12" t="s">
        <v>4257</v>
      </c>
      <c r="G1234" s="12" t="b">
        <v>0</v>
      </c>
      <c r="H1234" s="12" t="b">
        <v>0</v>
      </c>
      <c r="I1234" s="12" t="b">
        <v>0</v>
      </c>
    </row>
    <row r="1235" spans="1:9" x14ac:dyDescent="0.25">
      <c r="A1235" s="12">
        <v>1234</v>
      </c>
      <c r="B1235" s="12" t="s">
        <v>4258</v>
      </c>
      <c r="C1235" s="12" t="s">
        <v>4259</v>
      </c>
      <c r="D1235" s="12" t="s">
        <v>14</v>
      </c>
      <c r="E1235" s="12" t="s">
        <v>4260</v>
      </c>
      <c r="F1235" s="12" t="s">
        <v>4007</v>
      </c>
      <c r="G1235" s="12" t="b">
        <v>0</v>
      </c>
      <c r="H1235" s="12" t="b">
        <v>0</v>
      </c>
      <c r="I1235" s="12" t="b">
        <v>0</v>
      </c>
    </row>
    <row r="1236" spans="1:9" x14ac:dyDescent="0.25">
      <c r="A1236" s="12">
        <v>1235</v>
      </c>
      <c r="B1236" s="12" t="s">
        <v>4261</v>
      </c>
      <c r="C1236" s="12" t="s">
        <v>4262</v>
      </c>
      <c r="D1236" s="12" t="s">
        <v>45</v>
      </c>
      <c r="E1236" s="12" t="s">
        <v>4263</v>
      </c>
      <c r="F1236" s="12" t="s">
        <v>1417</v>
      </c>
      <c r="G1236" s="12" t="b">
        <v>0</v>
      </c>
      <c r="H1236" s="12" t="b">
        <v>1</v>
      </c>
      <c r="I1236" s="12" t="b">
        <v>1</v>
      </c>
    </row>
    <row r="1237" spans="1:9" x14ac:dyDescent="0.25">
      <c r="A1237" s="12">
        <v>1236</v>
      </c>
      <c r="B1237" s="12" t="s">
        <v>4264</v>
      </c>
      <c r="C1237" s="12" t="s">
        <v>4265</v>
      </c>
      <c r="D1237" s="12" t="s">
        <v>14</v>
      </c>
      <c r="E1237" s="12" t="s">
        <v>4266</v>
      </c>
      <c r="F1237" s="12" t="s">
        <v>4267</v>
      </c>
      <c r="G1237" s="12" t="b">
        <v>1</v>
      </c>
      <c r="H1237" s="12" t="b">
        <v>0</v>
      </c>
      <c r="I1237" s="12" t="b">
        <v>0</v>
      </c>
    </row>
    <row r="1238" spans="1:9" x14ac:dyDescent="0.25">
      <c r="A1238" s="12">
        <v>1237</v>
      </c>
      <c r="B1238" s="12" t="s">
        <v>4268</v>
      </c>
      <c r="C1238" s="12" t="s">
        <v>4269</v>
      </c>
      <c r="D1238" s="12" t="s">
        <v>14</v>
      </c>
      <c r="E1238" s="12" t="s">
        <v>4270</v>
      </c>
      <c r="F1238" s="12" t="s">
        <v>4271</v>
      </c>
      <c r="G1238" s="12" t="b">
        <v>0</v>
      </c>
      <c r="H1238" s="12" t="b">
        <v>0</v>
      </c>
      <c r="I1238" s="12" t="b">
        <v>0</v>
      </c>
    </row>
    <row r="1239" spans="1:9" x14ac:dyDescent="0.25">
      <c r="A1239" s="12">
        <v>1238</v>
      </c>
      <c r="B1239" s="12" t="s">
        <v>4272</v>
      </c>
      <c r="C1239" s="12" t="s">
        <v>4273</v>
      </c>
      <c r="D1239" s="12" t="s">
        <v>14</v>
      </c>
      <c r="E1239" s="12" t="s">
        <v>4274</v>
      </c>
      <c r="F1239" s="12" t="s">
        <v>594</v>
      </c>
      <c r="G1239" s="12" t="b">
        <v>0</v>
      </c>
      <c r="H1239" s="12" t="b">
        <v>0</v>
      </c>
      <c r="I1239" s="12" t="b">
        <v>0</v>
      </c>
    </row>
    <row r="1240" spans="1:9" x14ac:dyDescent="0.25">
      <c r="A1240" s="12">
        <v>1239</v>
      </c>
      <c r="B1240" s="12" t="s">
        <v>4275</v>
      </c>
      <c r="C1240" s="12" t="s">
        <v>4276</v>
      </c>
      <c r="D1240" s="12" t="s">
        <v>14</v>
      </c>
      <c r="E1240" s="12" t="s">
        <v>4277</v>
      </c>
      <c r="F1240" s="12" t="s">
        <v>4278</v>
      </c>
      <c r="G1240" s="12" t="b">
        <v>0</v>
      </c>
      <c r="H1240" s="12" t="b">
        <v>1</v>
      </c>
      <c r="I1240" s="12" t="b">
        <v>1</v>
      </c>
    </row>
    <row r="1241" spans="1:9" x14ac:dyDescent="0.25">
      <c r="A1241" s="12">
        <v>1240</v>
      </c>
      <c r="B1241" s="12" t="s">
        <v>4279</v>
      </c>
      <c r="C1241" s="12" t="s">
        <v>4280</v>
      </c>
      <c r="D1241" s="12" t="s">
        <v>45</v>
      </c>
      <c r="E1241" s="12" t="s">
        <v>4281</v>
      </c>
      <c r="F1241" s="12" t="s">
        <v>1406</v>
      </c>
      <c r="G1241" s="12" t="b">
        <v>0</v>
      </c>
      <c r="H1241" s="12" t="b">
        <v>0</v>
      </c>
      <c r="I1241" s="12" t="b">
        <v>0</v>
      </c>
    </row>
    <row r="1242" spans="1:9" x14ac:dyDescent="0.25">
      <c r="A1242" s="12">
        <v>1241</v>
      </c>
      <c r="B1242" s="12" t="s">
        <v>4282</v>
      </c>
      <c r="C1242" s="12" t="s">
        <v>4283</v>
      </c>
      <c r="D1242" s="12" t="s">
        <v>10</v>
      </c>
      <c r="E1242" s="12" t="s">
        <v>4284</v>
      </c>
      <c r="F1242" s="12" t="s">
        <v>859</v>
      </c>
      <c r="G1242" s="12" t="b">
        <v>1</v>
      </c>
      <c r="H1242" s="12" t="b">
        <v>0</v>
      </c>
      <c r="I1242" s="12" t="b">
        <v>0</v>
      </c>
    </row>
    <row r="1243" spans="1:9" x14ac:dyDescent="0.25">
      <c r="A1243" s="12">
        <v>1242</v>
      </c>
      <c r="B1243" s="12" t="s">
        <v>4285</v>
      </c>
      <c r="C1243" s="12" t="s">
        <v>4286</v>
      </c>
      <c r="D1243" s="12" t="s">
        <v>14</v>
      </c>
      <c r="E1243" s="12" t="s">
        <v>4287</v>
      </c>
      <c r="F1243" s="12" t="s">
        <v>4288</v>
      </c>
      <c r="G1243" s="12" t="b">
        <v>1</v>
      </c>
      <c r="H1243" s="12" t="b">
        <v>0</v>
      </c>
      <c r="I1243" s="12" t="b">
        <v>0</v>
      </c>
    </row>
    <row r="1244" spans="1:9" x14ac:dyDescent="0.25">
      <c r="A1244" s="12">
        <v>1243</v>
      </c>
      <c r="B1244" s="12" t="s">
        <v>4289</v>
      </c>
      <c r="C1244" s="12" t="s">
        <v>4290</v>
      </c>
      <c r="D1244" s="12" t="s">
        <v>10</v>
      </c>
      <c r="E1244" s="12" t="s">
        <v>4291</v>
      </c>
      <c r="F1244" s="12" t="s">
        <v>1877</v>
      </c>
      <c r="G1244" s="12" t="b">
        <v>1</v>
      </c>
      <c r="H1244" s="12" t="b">
        <v>0</v>
      </c>
      <c r="I1244" s="12" t="b">
        <v>0</v>
      </c>
    </row>
    <row r="1245" spans="1:9" x14ac:dyDescent="0.25">
      <c r="A1245" s="12">
        <v>1244</v>
      </c>
      <c r="B1245" s="12" t="s">
        <v>4292</v>
      </c>
      <c r="C1245" s="12" t="s">
        <v>4293</v>
      </c>
      <c r="D1245" s="12" t="s">
        <v>14</v>
      </c>
      <c r="E1245" s="12" t="s">
        <v>4294</v>
      </c>
      <c r="F1245" s="12" t="s">
        <v>4295</v>
      </c>
      <c r="G1245" s="12" t="b">
        <v>1</v>
      </c>
      <c r="H1245" s="12" t="b">
        <v>1</v>
      </c>
      <c r="I1245" s="12" t="b">
        <v>1</v>
      </c>
    </row>
    <row r="1246" spans="1:9" x14ac:dyDescent="0.25">
      <c r="A1246" s="12">
        <v>1245</v>
      </c>
      <c r="B1246" s="12" t="s">
        <v>4296</v>
      </c>
      <c r="C1246" s="12" t="s">
        <v>4297</v>
      </c>
      <c r="D1246" s="12" t="s">
        <v>14</v>
      </c>
      <c r="E1246" s="12" t="s">
        <v>4298</v>
      </c>
      <c r="F1246" s="12" t="s">
        <v>4299</v>
      </c>
      <c r="G1246" s="12" t="b">
        <v>1</v>
      </c>
      <c r="H1246" s="12" t="b">
        <v>1</v>
      </c>
      <c r="I1246" s="12" t="b">
        <v>1</v>
      </c>
    </row>
    <row r="1247" spans="1:9" x14ac:dyDescent="0.25">
      <c r="A1247" s="12">
        <v>1246</v>
      </c>
      <c r="B1247" s="12" t="s">
        <v>4300</v>
      </c>
      <c r="C1247" s="12" t="s">
        <v>4301</v>
      </c>
      <c r="D1247" s="12" t="s">
        <v>45</v>
      </c>
      <c r="E1247" s="12" t="s">
        <v>4302</v>
      </c>
      <c r="F1247" s="12" t="s">
        <v>681</v>
      </c>
      <c r="G1247" s="12" t="b">
        <v>1</v>
      </c>
      <c r="H1247" s="12" t="b">
        <v>0</v>
      </c>
      <c r="I1247" s="12" t="b">
        <v>0</v>
      </c>
    </row>
    <row r="1248" spans="1:9" x14ac:dyDescent="0.25">
      <c r="A1248" s="12">
        <v>1247</v>
      </c>
      <c r="B1248" s="12" t="s">
        <v>4303</v>
      </c>
      <c r="C1248" s="12" t="s">
        <v>4304</v>
      </c>
      <c r="D1248" s="12" t="s">
        <v>14</v>
      </c>
      <c r="E1248" s="12" t="s">
        <v>4305</v>
      </c>
      <c r="F1248" s="12" t="s">
        <v>4306</v>
      </c>
      <c r="G1248" s="12" t="b">
        <v>0</v>
      </c>
      <c r="H1248" s="12" t="b">
        <v>0</v>
      </c>
      <c r="I1248" s="12" t="b">
        <v>0</v>
      </c>
    </row>
    <row r="1249" spans="1:9" x14ac:dyDescent="0.25">
      <c r="A1249" s="12">
        <v>1248</v>
      </c>
      <c r="B1249" s="12" t="s">
        <v>4307</v>
      </c>
      <c r="C1249" s="12" t="s">
        <v>4308</v>
      </c>
      <c r="D1249" s="12" t="s">
        <v>14</v>
      </c>
      <c r="E1249" s="12" t="s">
        <v>4309</v>
      </c>
      <c r="F1249" s="12" t="s">
        <v>4310</v>
      </c>
      <c r="G1249" s="12" t="b">
        <v>0</v>
      </c>
      <c r="H1249" s="12" t="b">
        <v>0</v>
      </c>
      <c r="I1249" s="12" t="b">
        <v>0</v>
      </c>
    </row>
    <row r="1250" spans="1:9" x14ac:dyDescent="0.25">
      <c r="A1250" s="12">
        <v>1249</v>
      </c>
      <c r="B1250" s="12" t="s">
        <v>4311</v>
      </c>
      <c r="C1250" s="12" t="s">
        <v>4312</v>
      </c>
      <c r="D1250" s="12" t="s">
        <v>14</v>
      </c>
      <c r="E1250" s="12" t="s">
        <v>4313</v>
      </c>
      <c r="F1250" s="12" t="s">
        <v>387</v>
      </c>
      <c r="G1250" s="12" t="b">
        <v>0</v>
      </c>
      <c r="H1250" s="12" t="b">
        <v>1</v>
      </c>
      <c r="I1250" s="12" t="b">
        <v>1</v>
      </c>
    </row>
    <row r="1251" spans="1:9" x14ac:dyDescent="0.25">
      <c r="A1251" s="12">
        <v>1250</v>
      </c>
      <c r="B1251" s="12" t="s">
        <v>4314</v>
      </c>
      <c r="C1251" s="12" t="s">
        <v>4315</v>
      </c>
      <c r="D1251" s="12" t="s">
        <v>45</v>
      </c>
      <c r="E1251" s="12" t="s">
        <v>4316</v>
      </c>
      <c r="F1251" s="12" t="s">
        <v>4317</v>
      </c>
      <c r="G1251" s="12" t="b">
        <v>0</v>
      </c>
      <c r="H1251" s="12" t="b">
        <v>0</v>
      </c>
      <c r="I1251" s="12" t="b">
        <v>0</v>
      </c>
    </row>
    <row r="1252" spans="1:9" x14ac:dyDescent="0.25">
      <c r="A1252" s="12">
        <v>1251</v>
      </c>
      <c r="B1252" s="12" t="s">
        <v>4318</v>
      </c>
      <c r="C1252" s="12" t="s">
        <v>4319</v>
      </c>
      <c r="D1252" s="12" t="s">
        <v>10</v>
      </c>
      <c r="E1252" s="12" t="s">
        <v>4320</v>
      </c>
      <c r="F1252" s="12" t="s">
        <v>859</v>
      </c>
      <c r="G1252" s="12" t="b">
        <v>1</v>
      </c>
      <c r="H1252" s="12" t="b">
        <v>0</v>
      </c>
      <c r="I1252" s="12" t="b">
        <v>0</v>
      </c>
    </row>
    <row r="1253" spans="1:9" x14ac:dyDescent="0.25">
      <c r="A1253" s="12">
        <v>1252</v>
      </c>
      <c r="B1253" s="12" t="s">
        <v>4321</v>
      </c>
      <c r="C1253" s="12" t="s">
        <v>4322</v>
      </c>
      <c r="D1253" s="12" t="s">
        <v>10</v>
      </c>
      <c r="E1253" s="12" t="s">
        <v>4323</v>
      </c>
      <c r="F1253" s="12" t="s">
        <v>4324</v>
      </c>
      <c r="G1253" s="12" t="b">
        <v>0</v>
      </c>
      <c r="H1253" s="12" t="b">
        <v>0</v>
      </c>
      <c r="I1253" s="12" t="b">
        <v>0</v>
      </c>
    </row>
    <row r="1254" spans="1:9" x14ac:dyDescent="0.25">
      <c r="A1254" s="12">
        <v>1253</v>
      </c>
      <c r="B1254" s="12" t="s">
        <v>4325</v>
      </c>
      <c r="C1254" s="12" t="s">
        <v>4326</v>
      </c>
      <c r="D1254" s="12" t="s">
        <v>14</v>
      </c>
      <c r="E1254" s="12" t="s">
        <v>4327</v>
      </c>
      <c r="F1254" s="12" t="s">
        <v>2867</v>
      </c>
      <c r="G1254" s="12" t="b">
        <v>0</v>
      </c>
      <c r="H1254" s="12" t="b">
        <v>0</v>
      </c>
      <c r="I1254" s="12" t="b">
        <v>0</v>
      </c>
    </row>
    <row r="1255" spans="1:9" x14ac:dyDescent="0.25">
      <c r="A1255" s="12">
        <v>1254</v>
      </c>
      <c r="B1255" s="12" t="s">
        <v>4328</v>
      </c>
      <c r="C1255" s="12" t="s">
        <v>4329</v>
      </c>
      <c r="D1255" s="12" t="s">
        <v>14</v>
      </c>
      <c r="E1255" s="12" t="s">
        <v>4330</v>
      </c>
      <c r="F1255" s="12" t="s">
        <v>720</v>
      </c>
      <c r="G1255" s="12" t="b">
        <v>0</v>
      </c>
      <c r="H1255" s="12" t="b">
        <v>0</v>
      </c>
      <c r="I1255" s="12" t="b">
        <v>0</v>
      </c>
    </row>
    <row r="1256" spans="1:9" x14ac:dyDescent="0.25">
      <c r="A1256" s="12">
        <v>1255</v>
      </c>
      <c r="B1256" s="12" t="s">
        <v>4331</v>
      </c>
      <c r="C1256" s="12" t="s">
        <v>4332</v>
      </c>
      <c r="D1256" s="12" t="s">
        <v>45</v>
      </c>
      <c r="E1256" s="12" t="s">
        <v>4333</v>
      </c>
      <c r="F1256" s="12" t="s">
        <v>2492</v>
      </c>
      <c r="G1256" s="12" t="b">
        <v>0</v>
      </c>
      <c r="H1256" s="12" t="b">
        <v>0</v>
      </c>
      <c r="I1256" s="12" t="b">
        <v>0</v>
      </c>
    </row>
    <row r="1257" spans="1:9" x14ac:dyDescent="0.25">
      <c r="A1257" s="12">
        <v>1256</v>
      </c>
      <c r="B1257" s="12" t="s">
        <v>4334</v>
      </c>
      <c r="C1257" s="12" t="s">
        <v>4335</v>
      </c>
      <c r="D1257" s="12" t="s">
        <v>14</v>
      </c>
      <c r="E1257" s="12" t="s">
        <v>4336</v>
      </c>
      <c r="F1257" s="12" t="s">
        <v>4337</v>
      </c>
      <c r="G1257" s="12" t="b">
        <v>1</v>
      </c>
      <c r="H1257" s="12" t="b">
        <v>0</v>
      </c>
      <c r="I1257" s="12" t="b">
        <v>0</v>
      </c>
    </row>
    <row r="1258" spans="1:9" x14ac:dyDescent="0.25">
      <c r="A1258" s="12">
        <v>1257</v>
      </c>
      <c r="B1258" s="12" t="s">
        <v>4338</v>
      </c>
      <c r="C1258" s="12" t="s">
        <v>4339</v>
      </c>
      <c r="D1258" s="12" t="s">
        <v>14</v>
      </c>
      <c r="E1258" s="12" t="s">
        <v>4340</v>
      </c>
      <c r="F1258" s="12" t="s">
        <v>4341</v>
      </c>
      <c r="G1258" s="12" t="b">
        <v>1</v>
      </c>
      <c r="H1258" s="12" t="b">
        <v>0</v>
      </c>
      <c r="I1258" s="12" t="b">
        <v>0</v>
      </c>
    </row>
    <row r="1259" spans="1:9" x14ac:dyDescent="0.25">
      <c r="A1259" s="12">
        <v>1258</v>
      </c>
      <c r="B1259" s="12" t="s">
        <v>4342</v>
      </c>
      <c r="C1259" s="12" t="s">
        <v>4343</v>
      </c>
      <c r="D1259" s="12" t="s">
        <v>14</v>
      </c>
      <c r="E1259" s="12" t="s">
        <v>4344</v>
      </c>
      <c r="F1259" s="12" t="s">
        <v>4345</v>
      </c>
      <c r="G1259" s="12" t="b">
        <v>1</v>
      </c>
      <c r="H1259" s="12" t="b">
        <v>0</v>
      </c>
      <c r="I1259" s="12" t="b">
        <v>0</v>
      </c>
    </row>
    <row r="1260" spans="1:9" x14ac:dyDescent="0.25">
      <c r="A1260" s="12">
        <v>1259</v>
      </c>
      <c r="B1260" s="12" t="s">
        <v>4346</v>
      </c>
      <c r="C1260" s="12" t="s">
        <v>4347</v>
      </c>
      <c r="D1260" s="12" t="s">
        <v>45</v>
      </c>
      <c r="E1260" s="12" t="s">
        <v>4348</v>
      </c>
      <c r="F1260" s="12" t="s">
        <v>1379</v>
      </c>
      <c r="G1260" s="12" t="b">
        <v>1</v>
      </c>
      <c r="H1260" s="12" t="b">
        <v>0</v>
      </c>
      <c r="I1260" s="12" t="b">
        <v>0</v>
      </c>
    </row>
    <row r="1261" spans="1:9" x14ac:dyDescent="0.25">
      <c r="A1261" s="12">
        <v>1260</v>
      </c>
      <c r="B1261" s="12" t="s">
        <v>4349</v>
      </c>
      <c r="C1261" s="12" t="s">
        <v>4350</v>
      </c>
      <c r="D1261" s="12" t="s">
        <v>10</v>
      </c>
      <c r="E1261" s="12" t="s">
        <v>4351</v>
      </c>
      <c r="F1261" s="12" t="s">
        <v>490</v>
      </c>
      <c r="G1261" s="12" t="b">
        <v>0</v>
      </c>
      <c r="H1261" s="12" t="b">
        <v>1</v>
      </c>
      <c r="I1261" s="12" t="b">
        <v>1</v>
      </c>
    </row>
    <row r="1262" spans="1:9" x14ac:dyDescent="0.25">
      <c r="A1262" s="12">
        <v>1261</v>
      </c>
      <c r="B1262" s="12" t="s">
        <v>4352</v>
      </c>
      <c r="C1262" s="12" t="s">
        <v>4353</v>
      </c>
      <c r="D1262" s="12" t="s">
        <v>14</v>
      </c>
      <c r="E1262" s="12" t="s">
        <v>4354</v>
      </c>
      <c r="F1262" s="12" t="s">
        <v>4355</v>
      </c>
      <c r="G1262" s="12" t="b">
        <v>0</v>
      </c>
      <c r="H1262" s="12" t="b">
        <v>0</v>
      </c>
      <c r="I1262" s="12" t="b">
        <v>0</v>
      </c>
    </row>
    <row r="1263" spans="1:9" x14ac:dyDescent="0.25">
      <c r="A1263" s="12">
        <v>1262</v>
      </c>
      <c r="B1263" s="12" t="s">
        <v>4356</v>
      </c>
      <c r="C1263" s="12" t="s">
        <v>4357</v>
      </c>
      <c r="D1263" s="12" t="s">
        <v>14</v>
      </c>
      <c r="E1263" s="12" t="s">
        <v>4358</v>
      </c>
      <c r="F1263" s="12" t="s">
        <v>464</v>
      </c>
      <c r="G1263" s="12" t="b">
        <v>0</v>
      </c>
      <c r="H1263" s="12" t="b">
        <v>0</v>
      </c>
      <c r="I1263" s="12" t="b">
        <v>0</v>
      </c>
    </row>
    <row r="1264" spans="1:9" x14ac:dyDescent="0.25">
      <c r="A1264" s="12">
        <v>1263</v>
      </c>
      <c r="B1264" s="12" t="s">
        <v>4359</v>
      </c>
      <c r="C1264" s="12" t="s">
        <v>4360</v>
      </c>
      <c r="D1264" s="12" t="s">
        <v>45</v>
      </c>
      <c r="E1264" s="12" t="s">
        <v>4361</v>
      </c>
      <c r="F1264" s="12" t="s">
        <v>1597</v>
      </c>
      <c r="G1264" s="12" t="b">
        <v>0</v>
      </c>
      <c r="H1264" s="12" t="b">
        <v>0</v>
      </c>
      <c r="I1264" s="12" t="b">
        <v>0</v>
      </c>
    </row>
    <row r="1265" spans="1:9" x14ac:dyDescent="0.25">
      <c r="A1265" s="12">
        <v>1264</v>
      </c>
      <c r="B1265" s="12" t="s">
        <v>4362</v>
      </c>
      <c r="C1265" s="12" t="s">
        <v>4363</v>
      </c>
      <c r="D1265" s="12" t="s">
        <v>14</v>
      </c>
      <c r="E1265" s="12" t="s">
        <v>4364</v>
      </c>
      <c r="F1265" s="12" t="s">
        <v>859</v>
      </c>
      <c r="G1265" s="12" t="b">
        <v>1</v>
      </c>
      <c r="H1265" s="12" t="b">
        <v>0</v>
      </c>
      <c r="I1265" s="12" t="b">
        <v>0</v>
      </c>
    </row>
    <row r="1266" spans="1:9" x14ac:dyDescent="0.25">
      <c r="A1266" s="12">
        <v>1265</v>
      </c>
      <c r="B1266" s="12" t="s">
        <v>4365</v>
      </c>
      <c r="C1266" s="12" t="s">
        <v>4366</v>
      </c>
      <c r="D1266" s="12" t="s">
        <v>14</v>
      </c>
      <c r="E1266" s="12" t="s">
        <v>4367</v>
      </c>
      <c r="F1266" s="12" t="s">
        <v>760</v>
      </c>
      <c r="G1266" s="12" t="b">
        <v>1</v>
      </c>
      <c r="H1266" s="12" t="b">
        <v>0</v>
      </c>
      <c r="I1266" s="12" t="b">
        <v>0</v>
      </c>
    </row>
    <row r="1267" spans="1:9" x14ac:dyDescent="0.25">
      <c r="A1267" s="12">
        <v>1266</v>
      </c>
      <c r="B1267" s="12" t="s">
        <v>4368</v>
      </c>
      <c r="C1267" s="12" t="s">
        <v>4369</v>
      </c>
      <c r="D1267" s="12" t="s">
        <v>10</v>
      </c>
      <c r="E1267" s="12" t="s">
        <v>4370</v>
      </c>
      <c r="F1267" s="12" t="s">
        <v>1354</v>
      </c>
      <c r="G1267" s="12" t="b">
        <v>0</v>
      </c>
      <c r="H1267" s="12" t="b">
        <v>0</v>
      </c>
      <c r="I1267" s="12" t="b">
        <v>0</v>
      </c>
    </row>
    <row r="1268" spans="1:9" x14ac:dyDescent="0.25">
      <c r="A1268" s="12">
        <v>1267</v>
      </c>
      <c r="B1268" s="12" t="s">
        <v>4371</v>
      </c>
      <c r="C1268" s="12" t="s">
        <v>4372</v>
      </c>
      <c r="D1268" s="12" t="s">
        <v>14</v>
      </c>
      <c r="E1268" s="12" t="s">
        <v>4373</v>
      </c>
      <c r="F1268" s="12" t="s">
        <v>4374</v>
      </c>
      <c r="G1268" s="12" t="b">
        <v>0</v>
      </c>
      <c r="H1268" s="12" t="b">
        <v>0</v>
      </c>
      <c r="I1268" s="12" t="b">
        <v>0</v>
      </c>
    </row>
    <row r="1269" spans="1:9" x14ac:dyDescent="0.25">
      <c r="A1269" s="12">
        <v>1268</v>
      </c>
      <c r="B1269" s="12" t="s">
        <v>4375</v>
      </c>
      <c r="C1269" s="12" t="s">
        <v>4376</v>
      </c>
      <c r="D1269" s="12" t="s">
        <v>14</v>
      </c>
      <c r="E1269" s="12" t="s">
        <v>4377</v>
      </c>
      <c r="F1269" s="12" t="s">
        <v>4257</v>
      </c>
      <c r="G1269" s="12" t="b">
        <v>0</v>
      </c>
      <c r="H1269" s="12" t="b">
        <v>1</v>
      </c>
      <c r="I1269" s="12" t="b">
        <v>1</v>
      </c>
    </row>
    <row r="1270" spans="1:9" x14ac:dyDescent="0.25">
      <c r="A1270" s="12">
        <v>1269</v>
      </c>
      <c r="B1270" s="12" t="s">
        <v>4378</v>
      </c>
      <c r="C1270" s="12" t="s">
        <v>4379</v>
      </c>
      <c r="D1270" s="12" t="s">
        <v>45</v>
      </c>
      <c r="E1270" s="12" t="s">
        <v>4380</v>
      </c>
      <c r="F1270" s="12" t="s">
        <v>292</v>
      </c>
      <c r="G1270" s="12" t="b">
        <v>0</v>
      </c>
      <c r="H1270" s="12" t="b">
        <v>0</v>
      </c>
      <c r="I1270" s="12" t="b">
        <v>0</v>
      </c>
    </row>
    <row r="1271" spans="1:9" x14ac:dyDescent="0.25">
      <c r="A1271" s="12">
        <v>1270</v>
      </c>
      <c r="B1271" s="12" t="s">
        <v>4381</v>
      </c>
      <c r="C1271" s="12" t="s">
        <v>4382</v>
      </c>
      <c r="D1271" s="12" t="s">
        <v>14</v>
      </c>
      <c r="E1271" s="12" t="s">
        <v>4383</v>
      </c>
      <c r="F1271" s="12" t="s">
        <v>859</v>
      </c>
      <c r="G1271" s="12" t="b">
        <v>1</v>
      </c>
      <c r="H1271" s="12" t="b">
        <v>0</v>
      </c>
      <c r="I1271" s="12" t="b">
        <v>0</v>
      </c>
    </row>
    <row r="1272" spans="1:9" x14ac:dyDescent="0.25">
      <c r="A1272" s="12">
        <v>1271</v>
      </c>
      <c r="B1272" s="12" t="s">
        <v>4384</v>
      </c>
      <c r="C1272" s="12" t="s">
        <v>4385</v>
      </c>
      <c r="D1272" s="12" t="s">
        <v>10</v>
      </c>
      <c r="E1272" s="12" t="s">
        <v>4386</v>
      </c>
      <c r="F1272" s="12" t="s">
        <v>836</v>
      </c>
      <c r="G1272" s="12" t="b">
        <v>1</v>
      </c>
      <c r="H1272" s="12" t="b">
        <v>0</v>
      </c>
      <c r="I1272" s="12" t="b">
        <v>0</v>
      </c>
    </row>
    <row r="1273" spans="1:9" x14ac:dyDescent="0.25">
      <c r="A1273" s="12">
        <v>1272</v>
      </c>
      <c r="B1273" s="12" t="s">
        <v>4387</v>
      </c>
      <c r="C1273" s="12" t="s">
        <v>4388</v>
      </c>
      <c r="D1273" s="12" t="s">
        <v>14</v>
      </c>
      <c r="E1273" s="12" t="s">
        <v>4389</v>
      </c>
      <c r="F1273" s="12" t="s">
        <v>317</v>
      </c>
      <c r="G1273" s="12" t="b">
        <v>1</v>
      </c>
      <c r="H1273" s="12" t="b">
        <v>1</v>
      </c>
      <c r="I1273" s="12" t="b">
        <v>1</v>
      </c>
    </row>
    <row r="1274" spans="1:9" x14ac:dyDescent="0.25">
      <c r="A1274" s="12">
        <v>1273</v>
      </c>
      <c r="B1274" s="12" t="s">
        <v>4390</v>
      </c>
      <c r="C1274" s="12" t="s">
        <v>4391</v>
      </c>
      <c r="D1274" s="12" t="s">
        <v>14</v>
      </c>
      <c r="E1274" s="12" t="s">
        <v>4392</v>
      </c>
      <c r="F1274" s="12" t="s">
        <v>2085</v>
      </c>
      <c r="G1274" s="12" t="b">
        <v>1</v>
      </c>
      <c r="H1274" s="12" t="b">
        <v>0</v>
      </c>
      <c r="I1274" s="12" t="b">
        <v>0</v>
      </c>
    </row>
    <row r="1275" spans="1:9" x14ac:dyDescent="0.25">
      <c r="A1275" s="12">
        <v>1274</v>
      </c>
      <c r="B1275" s="12" t="s">
        <v>4393</v>
      </c>
      <c r="C1275" s="12" t="s">
        <v>4394</v>
      </c>
      <c r="D1275" s="12" t="s">
        <v>45</v>
      </c>
      <c r="E1275" s="12" t="s">
        <v>4395</v>
      </c>
      <c r="F1275" s="12" t="s">
        <v>4396</v>
      </c>
      <c r="G1275" s="12" t="b">
        <v>1</v>
      </c>
      <c r="H1275" s="12" t="b">
        <v>1</v>
      </c>
      <c r="I1275" s="12" t="b">
        <v>1</v>
      </c>
    </row>
    <row r="1276" spans="1:9" x14ac:dyDescent="0.25">
      <c r="A1276" s="12">
        <v>1275</v>
      </c>
      <c r="B1276" s="12" t="s">
        <v>4397</v>
      </c>
      <c r="C1276" s="12" t="s">
        <v>4398</v>
      </c>
      <c r="D1276" s="12" t="s">
        <v>10</v>
      </c>
      <c r="E1276" s="12" t="s">
        <v>4399</v>
      </c>
      <c r="F1276" s="12" t="s">
        <v>4400</v>
      </c>
      <c r="G1276" s="12" t="b">
        <v>0</v>
      </c>
      <c r="H1276" s="12" t="b">
        <v>1</v>
      </c>
      <c r="I1276" s="12" t="b">
        <v>1</v>
      </c>
    </row>
    <row r="1277" spans="1:9" x14ac:dyDescent="0.25">
      <c r="A1277" s="12">
        <v>1276</v>
      </c>
      <c r="B1277" s="12" t="s">
        <v>4401</v>
      </c>
      <c r="C1277" s="12" t="s">
        <v>4402</v>
      </c>
      <c r="D1277" s="12" t="s">
        <v>14</v>
      </c>
      <c r="E1277" s="12" t="s">
        <v>4403</v>
      </c>
      <c r="F1277" s="12" t="s">
        <v>315</v>
      </c>
      <c r="G1277" s="12" t="b">
        <v>0</v>
      </c>
      <c r="H1277" s="12" t="b">
        <v>0</v>
      </c>
      <c r="I1277" s="12" t="b">
        <v>0</v>
      </c>
    </row>
    <row r="1278" spans="1:9" x14ac:dyDescent="0.25">
      <c r="A1278" s="12">
        <v>1277</v>
      </c>
      <c r="B1278" s="12" t="s">
        <v>4404</v>
      </c>
      <c r="C1278" s="12" t="s">
        <v>4405</v>
      </c>
      <c r="D1278" s="12" t="s">
        <v>14</v>
      </c>
      <c r="E1278" s="12" t="s">
        <v>4406</v>
      </c>
      <c r="F1278" s="12" t="s">
        <v>515</v>
      </c>
      <c r="G1278" s="12" t="b">
        <v>0</v>
      </c>
      <c r="H1278" s="12" t="b">
        <v>0</v>
      </c>
      <c r="I1278" s="12" t="b">
        <v>0</v>
      </c>
    </row>
    <row r="1279" spans="1:9" x14ac:dyDescent="0.25">
      <c r="A1279" s="12">
        <v>1278</v>
      </c>
      <c r="B1279" s="12" t="s">
        <v>4407</v>
      </c>
      <c r="C1279" s="12" t="s">
        <v>4408</v>
      </c>
      <c r="D1279" s="12" t="s">
        <v>45</v>
      </c>
      <c r="E1279" s="12" t="s">
        <v>4409</v>
      </c>
      <c r="F1279" s="12" t="s">
        <v>340</v>
      </c>
      <c r="G1279" s="12" t="b">
        <v>0</v>
      </c>
      <c r="H1279" s="12" t="b">
        <v>0</v>
      </c>
      <c r="I1279" s="12" t="b">
        <v>0</v>
      </c>
    </row>
    <row r="1280" spans="1:9" x14ac:dyDescent="0.25">
      <c r="A1280" s="12">
        <v>1279</v>
      </c>
      <c r="B1280" s="12" t="s">
        <v>4410</v>
      </c>
      <c r="C1280" s="12" t="s">
        <v>4411</v>
      </c>
      <c r="D1280" s="12" t="s">
        <v>10</v>
      </c>
      <c r="E1280" s="12" t="s">
        <v>4412</v>
      </c>
      <c r="F1280" s="12" t="s">
        <v>3872</v>
      </c>
      <c r="G1280" s="12" t="b">
        <v>1</v>
      </c>
      <c r="H1280" s="12" t="b">
        <v>0</v>
      </c>
      <c r="I1280" s="12" t="b">
        <v>0</v>
      </c>
    </row>
    <row r="1281" spans="1:9" x14ac:dyDescent="0.25">
      <c r="A1281" s="12">
        <v>1280</v>
      </c>
      <c r="B1281" s="12" t="s">
        <v>4413</v>
      </c>
      <c r="C1281" s="12" t="s">
        <v>4414</v>
      </c>
      <c r="D1281" s="12" t="s">
        <v>10</v>
      </c>
      <c r="E1281" s="12" t="s">
        <v>4415</v>
      </c>
      <c r="F1281" s="12" t="s">
        <v>859</v>
      </c>
      <c r="G1281" s="12" t="b">
        <v>1</v>
      </c>
      <c r="H1281" s="12" t="b">
        <v>0</v>
      </c>
      <c r="I1281" s="12" t="b">
        <v>0</v>
      </c>
    </row>
    <row r="1282" spans="1:9" x14ac:dyDescent="0.25">
      <c r="A1282" s="12">
        <v>1281</v>
      </c>
      <c r="B1282" s="12" t="s">
        <v>4416</v>
      </c>
      <c r="C1282" s="12" t="s">
        <v>4417</v>
      </c>
      <c r="D1282" s="12" t="s">
        <v>10</v>
      </c>
      <c r="E1282" s="12" t="s">
        <v>4418</v>
      </c>
      <c r="F1282" s="12" t="s">
        <v>315</v>
      </c>
      <c r="G1282" s="12" t="b">
        <v>0</v>
      </c>
      <c r="H1282" s="12" t="b">
        <v>0</v>
      </c>
      <c r="I1282" s="12" t="b">
        <v>0</v>
      </c>
    </row>
    <row r="1283" spans="1:9" x14ac:dyDescent="0.25">
      <c r="A1283" s="12">
        <v>1282</v>
      </c>
      <c r="B1283" s="12" t="s">
        <v>4419</v>
      </c>
      <c r="C1283" s="12" t="s">
        <v>4420</v>
      </c>
      <c r="D1283" s="12" t="s">
        <v>14</v>
      </c>
      <c r="E1283" s="12" t="s">
        <v>4421</v>
      </c>
      <c r="F1283" s="12" t="s">
        <v>328</v>
      </c>
      <c r="G1283" s="12" t="b">
        <v>0</v>
      </c>
      <c r="H1283" s="12" t="b">
        <v>0</v>
      </c>
      <c r="I1283" s="12" t="b">
        <v>0</v>
      </c>
    </row>
    <row r="1284" spans="1:9" x14ac:dyDescent="0.25">
      <c r="A1284" s="12">
        <v>1283</v>
      </c>
      <c r="B1284" s="12" t="s">
        <v>4422</v>
      </c>
      <c r="C1284" s="12" t="s">
        <v>4423</v>
      </c>
      <c r="D1284" s="12" t="s">
        <v>14</v>
      </c>
      <c r="E1284" s="12" t="s">
        <v>4424</v>
      </c>
      <c r="F1284" s="12" t="s">
        <v>426</v>
      </c>
      <c r="G1284" s="12" t="b">
        <v>0</v>
      </c>
      <c r="H1284" s="12" t="b">
        <v>0</v>
      </c>
      <c r="I1284" s="12" t="b">
        <v>0</v>
      </c>
    </row>
    <row r="1285" spans="1:9" x14ac:dyDescent="0.25">
      <c r="A1285" s="12">
        <v>1284</v>
      </c>
      <c r="B1285" s="12" t="s">
        <v>4425</v>
      </c>
      <c r="C1285" s="12" t="s">
        <v>4426</v>
      </c>
      <c r="D1285" s="12" t="s">
        <v>45</v>
      </c>
      <c r="E1285" s="12" t="s">
        <v>4427</v>
      </c>
      <c r="F1285" s="12" t="s">
        <v>4428</v>
      </c>
      <c r="G1285" s="12" t="b">
        <v>0</v>
      </c>
      <c r="H1285" s="12" t="b">
        <v>0</v>
      </c>
      <c r="I1285" s="12" t="b">
        <v>0</v>
      </c>
    </row>
    <row r="1286" spans="1:9" x14ac:dyDescent="0.25">
      <c r="A1286" s="12">
        <v>1285</v>
      </c>
      <c r="B1286" s="12" t="s">
        <v>4429</v>
      </c>
      <c r="C1286" s="12" t="s">
        <v>4430</v>
      </c>
      <c r="D1286" s="12" t="s">
        <v>14</v>
      </c>
      <c r="E1286" s="12" t="s">
        <v>4431</v>
      </c>
      <c r="F1286" s="12" t="s">
        <v>859</v>
      </c>
      <c r="G1286" s="12" t="b">
        <v>1</v>
      </c>
      <c r="H1286" s="12" t="b">
        <v>0</v>
      </c>
      <c r="I1286" s="12" t="b">
        <v>0</v>
      </c>
    </row>
    <row r="1287" spans="1:9" x14ac:dyDescent="0.25">
      <c r="A1287" s="12">
        <v>1286</v>
      </c>
      <c r="B1287" s="12" t="s">
        <v>4432</v>
      </c>
      <c r="C1287" s="12" t="s">
        <v>4433</v>
      </c>
      <c r="D1287" s="12" t="s">
        <v>14</v>
      </c>
      <c r="E1287" s="12" t="s">
        <v>4434</v>
      </c>
      <c r="F1287" s="12" t="s">
        <v>4435</v>
      </c>
      <c r="G1287" s="12" t="b">
        <v>0</v>
      </c>
      <c r="H1287" s="12" t="b">
        <v>1</v>
      </c>
      <c r="I1287" s="12" t="b">
        <v>1</v>
      </c>
    </row>
    <row r="1288" spans="1:9" x14ac:dyDescent="0.25">
      <c r="A1288" s="12">
        <v>1287</v>
      </c>
      <c r="B1288" s="12" t="s">
        <v>4436</v>
      </c>
      <c r="C1288" s="12" t="s">
        <v>4437</v>
      </c>
      <c r="D1288" s="12" t="s">
        <v>10</v>
      </c>
      <c r="E1288" s="12" t="s">
        <v>4438</v>
      </c>
      <c r="F1288" s="12" t="s">
        <v>317</v>
      </c>
      <c r="G1288" s="12" t="b">
        <v>0</v>
      </c>
      <c r="H1288" s="12" t="b">
        <v>0</v>
      </c>
      <c r="I1288" s="12" t="b">
        <v>0</v>
      </c>
    </row>
    <row r="1289" spans="1:9" x14ac:dyDescent="0.25">
      <c r="A1289" s="12">
        <v>1288</v>
      </c>
      <c r="B1289" s="12" t="s">
        <v>4439</v>
      </c>
      <c r="C1289" s="12" t="s">
        <v>4440</v>
      </c>
      <c r="D1289" s="12" t="s">
        <v>14</v>
      </c>
      <c r="E1289" s="12" t="s">
        <v>4441</v>
      </c>
      <c r="F1289" s="12" t="s">
        <v>495</v>
      </c>
      <c r="G1289" s="12" t="b">
        <v>0</v>
      </c>
      <c r="H1289" s="12" t="b">
        <v>1</v>
      </c>
      <c r="I1289" s="12" t="b">
        <v>1</v>
      </c>
    </row>
    <row r="1290" spans="1:9" x14ac:dyDescent="0.25">
      <c r="A1290" s="12">
        <v>1289</v>
      </c>
      <c r="B1290" s="12" t="s">
        <v>4442</v>
      </c>
      <c r="C1290" s="12" t="s">
        <v>4443</v>
      </c>
      <c r="D1290" s="12" t="s">
        <v>45</v>
      </c>
      <c r="E1290" s="12" t="s">
        <v>4444</v>
      </c>
      <c r="F1290" s="12" t="s">
        <v>515</v>
      </c>
      <c r="G1290" s="12" t="b">
        <v>0</v>
      </c>
      <c r="H1290" s="12" t="b">
        <v>0</v>
      </c>
      <c r="I1290" s="12" t="b">
        <v>0</v>
      </c>
    </row>
    <row r="1291" spans="1:9" x14ac:dyDescent="0.25">
      <c r="A1291" s="12">
        <v>1290</v>
      </c>
      <c r="B1291" s="12" t="s">
        <v>4445</v>
      </c>
      <c r="C1291" s="12" t="s">
        <v>4446</v>
      </c>
      <c r="D1291" s="12" t="s">
        <v>10</v>
      </c>
      <c r="E1291" s="12" t="s">
        <v>4447</v>
      </c>
      <c r="F1291" s="12" t="s">
        <v>1466</v>
      </c>
      <c r="G1291" s="12" t="b">
        <v>0</v>
      </c>
      <c r="H1291" s="12" t="b">
        <v>1</v>
      </c>
      <c r="I1291" s="12" t="b">
        <v>1</v>
      </c>
    </row>
    <row r="1292" spans="1:9" x14ac:dyDescent="0.25">
      <c r="A1292" s="12">
        <v>1291</v>
      </c>
      <c r="B1292" s="12" t="s">
        <v>4448</v>
      </c>
      <c r="C1292" s="12" t="s">
        <v>4449</v>
      </c>
      <c r="D1292" s="12" t="s">
        <v>14</v>
      </c>
      <c r="E1292" s="12" t="s">
        <v>4450</v>
      </c>
      <c r="F1292" s="12" t="s">
        <v>4451</v>
      </c>
      <c r="G1292" s="12" t="b">
        <v>0</v>
      </c>
      <c r="H1292" s="12" t="b">
        <v>1</v>
      </c>
      <c r="I1292" s="12" t="b">
        <v>1</v>
      </c>
    </row>
    <row r="1293" spans="1:9" x14ac:dyDescent="0.25">
      <c r="A1293" s="12">
        <v>1292</v>
      </c>
      <c r="B1293" s="12" t="s">
        <v>4452</v>
      </c>
      <c r="C1293" s="12" t="s">
        <v>4453</v>
      </c>
      <c r="D1293" s="12" t="s">
        <v>14</v>
      </c>
      <c r="E1293" s="12" t="s">
        <v>4454</v>
      </c>
      <c r="F1293" s="12" t="s">
        <v>4455</v>
      </c>
      <c r="G1293" s="12" t="b">
        <v>0</v>
      </c>
      <c r="H1293" s="12" t="b">
        <v>0</v>
      </c>
      <c r="I1293" s="12" t="b">
        <v>0</v>
      </c>
    </row>
    <row r="1294" spans="1:9" x14ac:dyDescent="0.25">
      <c r="A1294" s="12">
        <v>1293</v>
      </c>
      <c r="B1294" s="12" t="s">
        <v>4456</v>
      </c>
      <c r="C1294" s="12" t="s">
        <v>4457</v>
      </c>
      <c r="D1294" s="12" t="s">
        <v>45</v>
      </c>
      <c r="E1294" s="12" t="s">
        <v>4458</v>
      </c>
      <c r="F1294" s="12" t="s">
        <v>1199</v>
      </c>
      <c r="G1294" s="12" t="b">
        <v>0</v>
      </c>
      <c r="H1294" s="12" t="b">
        <v>1</v>
      </c>
      <c r="I1294" s="12" t="b">
        <v>1</v>
      </c>
    </row>
    <row r="1295" spans="1:9" x14ac:dyDescent="0.25">
      <c r="A1295" s="12">
        <v>1294</v>
      </c>
      <c r="B1295" s="12" t="s">
        <v>4459</v>
      </c>
      <c r="C1295" s="12" t="s">
        <v>4460</v>
      </c>
      <c r="D1295" s="12" t="s">
        <v>10</v>
      </c>
      <c r="E1295" s="12" t="s">
        <v>4461</v>
      </c>
      <c r="F1295" s="12" t="s">
        <v>859</v>
      </c>
      <c r="G1295" s="12" t="b">
        <v>1</v>
      </c>
      <c r="H1295" s="12" t="b">
        <v>0</v>
      </c>
      <c r="I1295" s="12" t="b">
        <v>0</v>
      </c>
    </row>
    <row r="1296" spans="1:9" x14ac:dyDescent="0.25">
      <c r="A1296" s="12">
        <v>1295</v>
      </c>
      <c r="B1296" s="12" t="s">
        <v>4462</v>
      </c>
      <c r="C1296" s="12" t="s">
        <v>4463</v>
      </c>
      <c r="D1296" s="12" t="s">
        <v>10</v>
      </c>
      <c r="E1296" s="12" t="s">
        <v>4464</v>
      </c>
      <c r="F1296" s="12" t="s">
        <v>317</v>
      </c>
      <c r="G1296" s="12" t="b">
        <v>0</v>
      </c>
      <c r="H1296" s="12" t="b">
        <v>0</v>
      </c>
      <c r="I1296" s="12" t="b">
        <v>0</v>
      </c>
    </row>
    <row r="1297" spans="1:9" x14ac:dyDescent="0.25">
      <c r="A1297" s="12">
        <v>1296</v>
      </c>
      <c r="B1297" s="12" t="s">
        <v>4465</v>
      </c>
      <c r="C1297" s="12" t="s">
        <v>4466</v>
      </c>
      <c r="D1297" s="12" t="s">
        <v>14</v>
      </c>
      <c r="E1297" s="12" t="s">
        <v>4467</v>
      </c>
      <c r="F1297" s="12" t="s">
        <v>2996</v>
      </c>
      <c r="G1297" s="12" t="b">
        <v>0</v>
      </c>
      <c r="H1297" s="12" t="b">
        <v>0</v>
      </c>
      <c r="I1297" s="12" t="b">
        <v>0</v>
      </c>
    </row>
    <row r="1298" spans="1:9" x14ac:dyDescent="0.25">
      <c r="A1298" s="12">
        <v>1297</v>
      </c>
      <c r="B1298" s="12" t="s">
        <v>4468</v>
      </c>
      <c r="C1298" s="12" t="s">
        <v>4469</v>
      </c>
      <c r="D1298" s="12" t="s">
        <v>14</v>
      </c>
      <c r="E1298" s="12" t="s">
        <v>4470</v>
      </c>
      <c r="F1298" s="12" t="s">
        <v>334</v>
      </c>
      <c r="G1298" s="12" t="b">
        <v>0</v>
      </c>
      <c r="H1298" s="12" t="b">
        <v>0</v>
      </c>
      <c r="I1298" s="12" t="b">
        <v>0</v>
      </c>
    </row>
    <row r="1299" spans="1:9" x14ac:dyDescent="0.25">
      <c r="A1299" s="12">
        <v>1298</v>
      </c>
      <c r="B1299" s="12" t="s">
        <v>4471</v>
      </c>
      <c r="C1299" s="12" t="s">
        <v>4472</v>
      </c>
      <c r="D1299" s="12" t="s">
        <v>45</v>
      </c>
      <c r="E1299" s="12" t="s">
        <v>4473</v>
      </c>
      <c r="F1299" s="12" t="s">
        <v>4474</v>
      </c>
      <c r="G1299" s="12" t="b">
        <v>0</v>
      </c>
      <c r="H1299" s="12" t="b">
        <v>0</v>
      </c>
      <c r="I1299" s="12" t="b">
        <v>0</v>
      </c>
    </row>
    <row r="1300" spans="1:9" x14ac:dyDescent="0.25">
      <c r="A1300" s="12">
        <v>1299</v>
      </c>
      <c r="B1300" s="12" t="s">
        <v>4475</v>
      </c>
      <c r="C1300" s="12" t="s">
        <v>4476</v>
      </c>
      <c r="D1300" s="12" t="s">
        <v>10</v>
      </c>
      <c r="E1300" s="12" t="s">
        <v>4477</v>
      </c>
      <c r="F1300" s="12" t="s">
        <v>317</v>
      </c>
      <c r="G1300" s="12" t="b">
        <v>0</v>
      </c>
      <c r="H1300" s="12" t="b">
        <v>0</v>
      </c>
      <c r="I1300" s="12" t="b">
        <v>0</v>
      </c>
    </row>
    <row r="1301" spans="1:9" x14ac:dyDescent="0.25">
      <c r="A1301" s="12">
        <v>1300</v>
      </c>
      <c r="B1301" s="12" t="s">
        <v>4478</v>
      </c>
      <c r="C1301" s="12" t="s">
        <v>4479</v>
      </c>
      <c r="D1301" s="12" t="s">
        <v>14</v>
      </c>
      <c r="E1301" s="12" t="s">
        <v>4480</v>
      </c>
      <c r="F1301" s="12" t="s">
        <v>1690</v>
      </c>
      <c r="G1301" s="12" t="b">
        <v>0</v>
      </c>
      <c r="H1301" s="12" t="b">
        <v>0</v>
      </c>
      <c r="I1301" s="12" t="b">
        <v>0</v>
      </c>
    </row>
    <row r="1302" spans="1:9" x14ac:dyDescent="0.25">
      <c r="A1302" s="12">
        <v>1301</v>
      </c>
      <c r="B1302" s="12" t="s">
        <v>4481</v>
      </c>
      <c r="C1302" s="12" t="s">
        <v>4482</v>
      </c>
      <c r="D1302" s="12" t="s">
        <v>45</v>
      </c>
      <c r="E1302" s="12" t="s">
        <v>4483</v>
      </c>
      <c r="F1302" s="12" t="s">
        <v>515</v>
      </c>
      <c r="G1302" s="12" t="b">
        <v>0</v>
      </c>
      <c r="H1302" s="12" t="b">
        <v>0</v>
      </c>
      <c r="I1302" s="12" t="b">
        <v>0</v>
      </c>
    </row>
    <row r="1303" spans="1:9" x14ac:dyDescent="0.25">
      <c r="A1303" s="12">
        <v>1302</v>
      </c>
      <c r="B1303" s="12" t="s">
        <v>4484</v>
      </c>
      <c r="C1303" s="12" t="s">
        <v>4485</v>
      </c>
      <c r="D1303" s="12" t="s">
        <v>14</v>
      </c>
      <c r="E1303" s="12" t="s">
        <v>4486</v>
      </c>
      <c r="F1303" s="12" t="s">
        <v>628</v>
      </c>
      <c r="G1303" s="12" t="b">
        <v>0</v>
      </c>
      <c r="H1303" s="12" t="b">
        <v>1</v>
      </c>
      <c r="I1303" s="12" t="b">
        <v>1</v>
      </c>
    </row>
    <row r="1304" spans="1:9" x14ac:dyDescent="0.25">
      <c r="A1304" s="12">
        <v>1303</v>
      </c>
      <c r="B1304" s="12" t="s">
        <v>4487</v>
      </c>
      <c r="C1304" s="12" t="s">
        <v>4488</v>
      </c>
      <c r="D1304" s="12" t="s">
        <v>10</v>
      </c>
      <c r="E1304" s="12" t="s">
        <v>4489</v>
      </c>
      <c r="F1304" s="12" t="s">
        <v>859</v>
      </c>
      <c r="G1304" s="12" t="b">
        <v>1</v>
      </c>
      <c r="H1304" s="12" t="b">
        <v>0</v>
      </c>
      <c r="I1304" s="12" t="b">
        <v>0</v>
      </c>
    </row>
    <row r="1305" spans="1:9" x14ac:dyDescent="0.25">
      <c r="A1305" s="12">
        <v>1304</v>
      </c>
      <c r="B1305" s="12" t="s">
        <v>4490</v>
      </c>
      <c r="C1305" s="12" t="s">
        <v>4491</v>
      </c>
      <c r="D1305" s="12" t="s">
        <v>10</v>
      </c>
      <c r="E1305" s="12" t="s">
        <v>4492</v>
      </c>
      <c r="F1305" s="12" t="s">
        <v>525</v>
      </c>
      <c r="G1305" s="12" t="b">
        <v>0</v>
      </c>
      <c r="H1305" s="12" t="b">
        <v>0</v>
      </c>
      <c r="I1305" s="12" t="b">
        <v>0</v>
      </c>
    </row>
    <row r="1306" spans="1:9" x14ac:dyDescent="0.25">
      <c r="A1306" s="12">
        <v>1305</v>
      </c>
      <c r="B1306" s="12" t="s">
        <v>4493</v>
      </c>
      <c r="C1306" s="12" t="s">
        <v>4494</v>
      </c>
      <c r="D1306" s="12" t="s">
        <v>14</v>
      </c>
      <c r="E1306" s="12" t="s">
        <v>4495</v>
      </c>
      <c r="F1306" s="12" t="s">
        <v>4496</v>
      </c>
      <c r="G1306" s="12" t="b">
        <v>0</v>
      </c>
      <c r="H1306" s="12" t="b">
        <v>1</v>
      </c>
      <c r="I1306" s="12" t="b">
        <v>1</v>
      </c>
    </row>
    <row r="1307" spans="1:9" x14ac:dyDescent="0.25">
      <c r="A1307" s="12">
        <v>1306</v>
      </c>
      <c r="B1307" s="12" t="s">
        <v>4497</v>
      </c>
      <c r="C1307" s="12" t="s">
        <v>4498</v>
      </c>
      <c r="D1307" s="12" t="s">
        <v>14</v>
      </c>
      <c r="E1307" s="12" t="s">
        <v>4499</v>
      </c>
      <c r="F1307" s="12" t="s">
        <v>4500</v>
      </c>
      <c r="G1307" s="12" t="b">
        <v>0</v>
      </c>
      <c r="H1307" s="12" t="b">
        <v>1</v>
      </c>
      <c r="I1307" s="12" t="b">
        <v>1</v>
      </c>
    </row>
    <row r="1308" spans="1:9" x14ac:dyDescent="0.25">
      <c r="A1308" s="12">
        <v>1307</v>
      </c>
      <c r="B1308" s="12" t="s">
        <v>4501</v>
      </c>
      <c r="C1308" s="12" t="s">
        <v>4502</v>
      </c>
      <c r="D1308" s="12" t="s">
        <v>45</v>
      </c>
      <c r="E1308" s="12" t="s">
        <v>4503</v>
      </c>
      <c r="F1308" s="12" t="s">
        <v>4504</v>
      </c>
      <c r="G1308" s="12" t="b">
        <v>0</v>
      </c>
      <c r="H1308" s="12" t="b">
        <v>0</v>
      </c>
      <c r="I1308" s="12" t="b">
        <v>0</v>
      </c>
    </row>
    <row r="1309" spans="1:9" x14ac:dyDescent="0.25">
      <c r="A1309" s="12">
        <v>1308</v>
      </c>
      <c r="B1309" s="12" t="s">
        <v>4505</v>
      </c>
      <c r="C1309" s="12" t="s">
        <v>4506</v>
      </c>
      <c r="D1309" s="12" t="s">
        <v>14</v>
      </c>
      <c r="E1309" s="12" t="s">
        <v>4507</v>
      </c>
      <c r="F1309" s="12" t="s">
        <v>859</v>
      </c>
      <c r="G1309" s="12" t="b">
        <v>1</v>
      </c>
      <c r="H1309" s="12" t="b">
        <v>0</v>
      </c>
      <c r="I1309" s="12" t="b">
        <v>0</v>
      </c>
    </row>
    <row r="1310" spans="1:9" x14ac:dyDescent="0.25">
      <c r="A1310" s="12">
        <v>1309</v>
      </c>
      <c r="B1310" s="12" t="s">
        <v>4508</v>
      </c>
      <c r="C1310" s="12" t="s">
        <v>4509</v>
      </c>
      <c r="D1310" s="12" t="s">
        <v>10</v>
      </c>
      <c r="E1310" s="12" t="s">
        <v>4510</v>
      </c>
      <c r="F1310" s="12" t="s">
        <v>316</v>
      </c>
      <c r="G1310" s="12" t="b">
        <v>0</v>
      </c>
      <c r="H1310" s="12" t="b">
        <v>0</v>
      </c>
      <c r="I1310" s="12" t="b">
        <v>0</v>
      </c>
    </row>
    <row r="1311" spans="1:9" x14ac:dyDescent="0.25">
      <c r="A1311" s="12">
        <v>1310</v>
      </c>
      <c r="B1311" s="12" t="s">
        <v>4511</v>
      </c>
      <c r="C1311" s="12" t="s">
        <v>4512</v>
      </c>
      <c r="D1311" s="12" t="s">
        <v>14</v>
      </c>
      <c r="E1311" s="12" t="s">
        <v>4513</v>
      </c>
      <c r="F1311" s="12" t="s">
        <v>4514</v>
      </c>
      <c r="G1311" s="12" t="b">
        <v>0</v>
      </c>
      <c r="H1311" s="12" t="b">
        <v>0</v>
      </c>
      <c r="I1311" s="12" t="b">
        <v>0</v>
      </c>
    </row>
    <row r="1312" spans="1:9" x14ac:dyDescent="0.25">
      <c r="A1312" s="12">
        <v>1311</v>
      </c>
      <c r="B1312" s="12" t="s">
        <v>4515</v>
      </c>
      <c r="C1312" s="12" t="s">
        <v>4516</v>
      </c>
      <c r="D1312" s="12" t="s">
        <v>14</v>
      </c>
      <c r="E1312" s="12" t="s">
        <v>4517</v>
      </c>
      <c r="F1312" s="12" t="s">
        <v>4518</v>
      </c>
      <c r="G1312" s="12" t="b">
        <v>0</v>
      </c>
      <c r="H1312" s="12" t="b">
        <v>0</v>
      </c>
      <c r="I1312" s="12" t="b">
        <v>0</v>
      </c>
    </row>
    <row r="1313" spans="1:9" x14ac:dyDescent="0.25">
      <c r="A1313" s="12">
        <v>1312</v>
      </c>
      <c r="B1313" s="12" t="s">
        <v>4519</v>
      </c>
      <c r="C1313" s="12" t="s">
        <v>4520</v>
      </c>
      <c r="D1313" s="12" t="s">
        <v>45</v>
      </c>
      <c r="E1313" s="12" t="s">
        <v>4521</v>
      </c>
      <c r="F1313" s="12" t="s">
        <v>340</v>
      </c>
      <c r="G1313" s="12" t="b">
        <v>0</v>
      </c>
      <c r="H1313" s="12" t="b">
        <v>0</v>
      </c>
      <c r="I1313" s="12" t="b">
        <v>0</v>
      </c>
    </row>
    <row r="1314" spans="1:9" x14ac:dyDescent="0.25">
      <c r="A1314" s="12">
        <v>1313</v>
      </c>
      <c r="B1314" s="12" t="s">
        <v>4522</v>
      </c>
      <c r="C1314" s="12" t="s">
        <v>4523</v>
      </c>
      <c r="D1314" s="12" t="s">
        <v>10</v>
      </c>
      <c r="E1314" s="12" t="s">
        <v>4524</v>
      </c>
      <c r="F1314" s="12" t="s">
        <v>317</v>
      </c>
      <c r="G1314" s="12" t="b">
        <v>0</v>
      </c>
      <c r="H1314" s="12" t="b">
        <v>0</v>
      </c>
      <c r="I1314" s="12" t="b">
        <v>0</v>
      </c>
    </row>
    <row r="1315" spans="1:9" x14ac:dyDescent="0.25">
      <c r="A1315" s="12">
        <v>1314</v>
      </c>
      <c r="B1315" s="12" t="s">
        <v>4525</v>
      </c>
      <c r="C1315" s="12" t="s">
        <v>4526</v>
      </c>
      <c r="D1315" s="12" t="s">
        <v>14</v>
      </c>
      <c r="E1315" s="12" t="s">
        <v>4527</v>
      </c>
      <c r="F1315" s="12" t="s">
        <v>4528</v>
      </c>
      <c r="G1315" s="12" t="b">
        <v>0</v>
      </c>
      <c r="H1315" s="12" t="b">
        <v>0</v>
      </c>
      <c r="I1315" s="12" t="b">
        <v>0</v>
      </c>
    </row>
    <row r="1316" spans="1:9" x14ac:dyDescent="0.25">
      <c r="A1316" s="12">
        <v>1315</v>
      </c>
      <c r="B1316" s="12" t="s">
        <v>4529</v>
      </c>
      <c r="C1316" s="12" t="s">
        <v>4530</v>
      </c>
      <c r="D1316" s="12" t="s">
        <v>14</v>
      </c>
      <c r="E1316" s="12" t="s">
        <v>4531</v>
      </c>
      <c r="F1316" s="12" t="s">
        <v>628</v>
      </c>
      <c r="G1316" s="12" t="b">
        <v>0</v>
      </c>
      <c r="H1316" s="12" t="b">
        <v>0</v>
      </c>
      <c r="I1316" s="12" t="b">
        <v>0</v>
      </c>
    </row>
    <row r="1317" spans="1:9" x14ac:dyDescent="0.25">
      <c r="A1317" s="12">
        <v>1316</v>
      </c>
      <c r="B1317" s="12" t="s">
        <v>4532</v>
      </c>
      <c r="C1317" s="12" t="s">
        <v>4533</v>
      </c>
      <c r="D1317" s="12" t="s">
        <v>45</v>
      </c>
      <c r="E1317" s="12" t="s">
        <v>4534</v>
      </c>
      <c r="F1317" s="12" t="s">
        <v>4535</v>
      </c>
      <c r="G1317" s="12" t="b">
        <v>0</v>
      </c>
      <c r="H1317" s="12" t="b">
        <v>0</v>
      </c>
      <c r="I1317" s="12" t="b">
        <v>0</v>
      </c>
    </row>
    <row r="1318" spans="1:9" x14ac:dyDescent="0.25">
      <c r="A1318" s="12">
        <v>1317</v>
      </c>
      <c r="B1318" s="12" t="s">
        <v>4536</v>
      </c>
      <c r="C1318" s="12" t="s">
        <v>4537</v>
      </c>
      <c r="D1318" s="12" t="s">
        <v>10</v>
      </c>
      <c r="E1318" s="12" t="s">
        <v>4538</v>
      </c>
      <c r="F1318" s="12" t="s">
        <v>315</v>
      </c>
      <c r="G1318" s="12" t="b">
        <v>0</v>
      </c>
      <c r="H1318" s="12" t="b">
        <v>0</v>
      </c>
      <c r="I1318" s="12" t="b">
        <v>0</v>
      </c>
    </row>
    <row r="1319" spans="1:9" x14ac:dyDescent="0.25">
      <c r="A1319" s="12">
        <v>1318</v>
      </c>
      <c r="B1319" s="12" t="s">
        <v>4539</v>
      </c>
      <c r="C1319" s="12" t="s">
        <v>4540</v>
      </c>
      <c r="D1319" s="12" t="s">
        <v>14</v>
      </c>
      <c r="E1319" s="12" t="s">
        <v>4541</v>
      </c>
      <c r="F1319" s="12" t="s">
        <v>61</v>
      </c>
      <c r="G1319" s="12" t="b">
        <v>0</v>
      </c>
      <c r="H1319" s="12" t="b">
        <v>0</v>
      </c>
      <c r="I1319" s="12" t="b">
        <v>0</v>
      </c>
    </row>
    <row r="1320" spans="1:9" x14ac:dyDescent="0.25">
      <c r="A1320" s="12">
        <v>1319</v>
      </c>
      <c r="B1320" s="12" t="s">
        <v>4542</v>
      </c>
      <c r="C1320" s="12" t="s">
        <v>4543</v>
      </c>
      <c r="D1320" s="12" t="s">
        <v>14</v>
      </c>
      <c r="E1320" s="12" t="s">
        <v>4544</v>
      </c>
      <c r="F1320" s="12" t="s">
        <v>1122</v>
      </c>
      <c r="G1320" s="12" t="b">
        <v>0</v>
      </c>
      <c r="H1320" s="12" t="b">
        <v>0</v>
      </c>
      <c r="I1320" s="12" t="b">
        <v>0</v>
      </c>
    </row>
    <row r="1321" spans="1:9" x14ac:dyDescent="0.25">
      <c r="A1321" s="12">
        <v>1320</v>
      </c>
      <c r="B1321" s="12" t="s">
        <v>4545</v>
      </c>
      <c r="C1321" s="12" t="s">
        <v>4546</v>
      </c>
      <c r="D1321" s="12" t="s">
        <v>45</v>
      </c>
      <c r="E1321" s="12" t="s">
        <v>4547</v>
      </c>
      <c r="F1321" s="12" t="s">
        <v>340</v>
      </c>
      <c r="G1321" s="12" t="b">
        <v>0</v>
      </c>
      <c r="H1321" s="12" t="b">
        <v>0</v>
      </c>
      <c r="I1321" s="12" t="b">
        <v>0</v>
      </c>
    </row>
    <row r="1322" spans="1:9" x14ac:dyDescent="0.25">
      <c r="A1322" s="12">
        <v>1321</v>
      </c>
      <c r="B1322" s="12" t="s">
        <v>4548</v>
      </c>
      <c r="C1322" s="12" t="s">
        <v>4549</v>
      </c>
      <c r="D1322" s="12" t="s">
        <v>14</v>
      </c>
      <c r="E1322" s="12" t="s">
        <v>4550</v>
      </c>
      <c r="F1322" s="12" t="s">
        <v>859</v>
      </c>
      <c r="G1322" s="12" t="b">
        <v>1</v>
      </c>
      <c r="H1322" s="12" t="b">
        <v>0</v>
      </c>
      <c r="I1322" s="12" t="b">
        <v>0</v>
      </c>
    </row>
    <row r="1323" spans="1:9" x14ac:dyDescent="0.25">
      <c r="A1323" s="12">
        <v>1322</v>
      </c>
      <c r="B1323" s="12" t="s">
        <v>4551</v>
      </c>
      <c r="C1323" s="12" t="s">
        <v>4552</v>
      </c>
      <c r="D1323" s="12" t="s">
        <v>10</v>
      </c>
      <c r="E1323" s="12" t="s">
        <v>4553</v>
      </c>
      <c r="F1323" s="12" t="s">
        <v>859</v>
      </c>
      <c r="G1323" s="12" t="b">
        <v>1</v>
      </c>
      <c r="H1323" s="12" t="b">
        <v>0</v>
      </c>
      <c r="I1323" s="12" t="b">
        <v>0</v>
      </c>
    </row>
    <row r="1324" spans="1:9" x14ac:dyDescent="0.25">
      <c r="A1324" s="12">
        <v>1323</v>
      </c>
      <c r="B1324" s="12" t="s">
        <v>4554</v>
      </c>
      <c r="C1324" s="12" t="s">
        <v>4555</v>
      </c>
      <c r="D1324" s="12" t="s">
        <v>10</v>
      </c>
      <c r="E1324" s="12" t="s">
        <v>4556</v>
      </c>
      <c r="F1324" s="12" t="s">
        <v>2284</v>
      </c>
      <c r="G1324" s="12" t="b">
        <v>0</v>
      </c>
      <c r="H1324" s="12" t="b">
        <v>0</v>
      </c>
      <c r="I1324" s="12" t="b">
        <v>0</v>
      </c>
    </row>
    <row r="1325" spans="1:9" x14ac:dyDescent="0.25">
      <c r="A1325" s="12">
        <v>1324</v>
      </c>
      <c r="B1325" s="12" t="s">
        <v>4557</v>
      </c>
      <c r="C1325" s="12" t="s">
        <v>4558</v>
      </c>
      <c r="D1325" s="12" t="s">
        <v>14</v>
      </c>
      <c r="E1325" s="12" t="s">
        <v>4559</v>
      </c>
      <c r="F1325" s="12" t="s">
        <v>533</v>
      </c>
      <c r="G1325" s="12" t="b">
        <v>0</v>
      </c>
      <c r="H1325" s="12" t="b">
        <v>0</v>
      </c>
      <c r="I1325" s="12" t="b">
        <v>0</v>
      </c>
    </row>
    <row r="1326" spans="1:9" x14ac:dyDescent="0.25">
      <c r="A1326" s="12">
        <v>1325</v>
      </c>
      <c r="B1326" s="12" t="s">
        <v>4560</v>
      </c>
      <c r="C1326" s="12" t="s">
        <v>4561</v>
      </c>
      <c r="D1326" s="12" t="s">
        <v>14</v>
      </c>
      <c r="E1326" s="12" t="s">
        <v>4562</v>
      </c>
      <c r="F1326" s="12" t="s">
        <v>658</v>
      </c>
      <c r="G1326" s="12" t="b">
        <v>0</v>
      </c>
      <c r="H1326" s="12" t="b">
        <v>0</v>
      </c>
      <c r="I1326" s="12" t="b">
        <v>0</v>
      </c>
    </row>
    <row r="1327" spans="1:9" x14ac:dyDescent="0.25">
      <c r="A1327" s="12">
        <v>1326</v>
      </c>
      <c r="B1327" s="12" t="s">
        <v>4563</v>
      </c>
      <c r="C1327" s="12" t="s">
        <v>4564</v>
      </c>
      <c r="D1327" s="12" t="s">
        <v>45</v>
      </c>
      <c r="E1327" s="12" t="s">
        <v>4565</v>
      </c>
      <c r="F1327" s="12" t="s">
        <v>464</v>
      </c>
      <c r="G1327" s="12" t="b">
        <v>0</v>
      </c>
      <c r="H1327" s="12" t="b">
        <v>0</v>
      </c>
      <c r="I1327" s="12" t="b">
        <v>0</v>
      </c>
    </row>
    <row r="1328" spans="1:9" x14ac:dyDescent="0.25">
      <c r="A1328" s="12">
        <v>1327</v>
      </c>
      <c r="B1328" s="12" t="s">
        <v>4566</v>
      </c>
      <c r="C1328" s="12" t="s">
        <v>4567</v>
      </c>
      <c r="D1328" s="12" t="s">
        <v>10</v>
      </c>
      <c r="E1328" s="12" t="s">
        <v>4568</v>
      </c>
      <c r="F1328" s="12" t="s">
        <v>859</v>
      </c>
      <c r="G1328" s="12" t="b">
        <v>1</v>
      </c>
      <c r="H1328" s="12" t="b">
        <v>0</v>
      </c>
      <c r="I1328" s="12" t="b">
        <v>0</v>
      </c>
    </row>
    <row r="1329" spans="1:9" x14ac:dyDescent="0.25">
      <c r="A1329" s="12">
        <v>1328</v>
      </c>
      <c r="B1329" s="12" t="s">
        <v>4569</v>
      </c>
      <c r="C1329" s="12" t="s">
        <v>4570</v>
      </c>
      <c r="D1329" s="12" t="s">
        <v>14</v>
      </c>
      <c r="E1329" s="12" t="s">
        <v>4571</v>
      </c>
      <c r="F1329" s="12" t="s">
        <v>3455</v>
      </c>
      <c r="G1329" s="12" t="b">
        <v>0</v>
      </c>
      <c r="H1329" s="12" t="b">
        <v>1</v>
      </c>
      <c r="I1329" s="12" t="b">
        <v>1</v>
      </c>
    </row>
    <row r="1330" spans="1:9" x14ac:dyDescent="0.25">
      <c r="A1330" s="12">
        <v>1329</v>
      </c>
      <c r="B1330" s="12" t="s">
        <v>4572</v>
      </c>
      <c r="C1330" s="12" t="s">
        <v>4573</v>
      </c>
      <c r="D1330" s="12" t="s">
        <v>14</v>
      </c>
      <c r="E1330" s="12" t="s">
        <v>4574</v>
      </c>
      <c r="F1330" s="12" t="s">
        <v>4575</v>
      </c>
      <c r="G1330" s="12" t="b">
        <v>0</v>
      </c>
      <c r="H1330" s="12" t="b">
        <v>1</v>
      </c>
      <c r="I1330" s="12" t="b">
        <v>1</v>
      </c>
    </row>
    <row r="1331" spans="1:9" x14ac:dyDescent="0.25">
      <c r="A1331" s="12">
        <v>1330</v>
      </c>
      <c r="B1331" s="12" t="s">
        <v>4576</v>
      </c>
      <c r="C1331" s="12" t="s">
        <v>4577</v>
      </c>
      <c r="D1331" s="12" t="s">
        <v>45</v>
      </c>
      <c r="E1331" s="12" t="s">
        <v>4578</v>
      </c>
      <c r="F1331" s="12" t="s">
        <v>4206</v>
      </c>
      <c r="G1331" s="12" t="b">
        <v>0</v>
      </c>
      <c r="H1331" s="12" t="b">
        <v>0</v>
      </c>
      <c r="I1331" s="12" t="b">
        <v>0</v>
      </c>
    </row>
    <row r="1332" spans="1:9" x14ac:dyDescent="0.25">
      <c r="A1332" s="12">
        <v>1331</v>
      </c>
      <c r="B1332" s="12" t="s">
        <v>4579</v>
      </c>
      <c r="C1332" s="12" t="s">
        <v>4580</v>
      </c>
      <c r="D1332" s="12" t="s">
        <v>10</v>
      </c>
      <c r="E1332" s="12" t="s">
        <v>4581</v>
      </c>
      <c r="F1332" s="12" t="s">
        <v>986</v>
      </c>
      <c r="G1332" s="12" t="b">
        <v>0</v>
      </c>
      <c r="H1332" s="12" t="b">
        <v>0</v>
      </c>
      <c r="I1332" s="12" t="b">
        <v>0</v>
      </c>
    </row>
    <row r="1333" spans="1:9" x14ac:dyDescent="0.25">
      <c r="A1333" s="12">
        <v>1332</v>
      </c>
      <c r="B1333" s="12" t="s">
        <v>4582</v>
      </c>
      <c r="C1333" s="12" t="s">
        <v>4583</v>
      </c>
      <c r="D1333" s="12" t="s">
        <v>10</v>
      </c>
      <c r="E1333" s="12" t="s">
        <v>4584</v>
      </c>
      <c r="F1333" s="12" t="s">
        <v>702</v>
      </c>
      <c r="G1333" s="12" t="b">
        <v>0</v>
      </c>
      <c r="H1333" s="12" t="b">
        <v>1</v>
      </c>
      <c r="I1333" s="12" t="b">
        <v>1</v>
      </c>
    </row>
    <row r="1334" spans="1:9" x14ac:dyDescent="0.25">
      <c r="A1334" s="12">
        <v>1333</v>
      </c>
      <c r="B1334" s="12" t="s">
        <v>4585</v>
      </c>
      <c r="C1334" s="12" t="s">
        <v>4586</v>
      </c>
      <c r="D1334" s="12" t="s">
        <v>14</v>
      </c>
      <c r="E1334" s="12" t="s">
        <v>4587</v>
      </c>
      <c r="F1334" s="12" t="s">
        <v>495</v>
      </c>
      <c r="G1334" s="12" t="b">
        <v>0</v>
      </c>
      <c r="H1334" s="12" t="b">
        <v>0</v>
      </c>
      <c r="I1334" s="12" t="b">
        <v>0</v>
      </c>
    </row>
    <row r="1335" spans="1:9" x14ac:dyDescent="0.25">
      <c r="A1335" s="12">
        <v>1334</v>
      </c>
      <c r="B1335" s="12" t="s">
        <v>4588</v>
      </c>
      <c r="C1335" s="12" t="s">
        <v>4589</v>
      </c>
      <c r="D1335" s="12" t="s">
        <v>14</v>
      </c>
      <c r="E1335" s="12" t="s">
        <v>2784</v>
      </c>
      <c r="F1335" s="12" t="s">
        <v>4590</v>
      </c>
      <c r="G1335" s="12" t="b">
        <v>0</v>
      </c>
      <c r="H1335" s="12" t="b">
        <v>0</v>
      </c>
      <c r="I1335" s="12" t="b">
        <v>0</v>
      </c>
    </row>
    <row r="1336" spans="1:9" x14ac:dyDescent="0.25">
      <c r="A1336" s="12">
        <v>1335</v>
      </c>
      <c r="B1336" s="12" t="s">
        <v>4591</v>
      </c>
      <c r="C1336" s="12" t="s">
        <v>4592</v>
      </c>
      <c r="D1336" s="12" t="s">
        <v>45</v>
      </c>
      <c r="E1336" s="12" t="s">
        <v>4593</v>
      </c>
      <c r="F1336" s="12" t="s">
        <v>681</v>
      </c>
      <c r="G1336" s="12" t="b">
        <v>0</v>
      </c>
      <c r="H1336" s="12" t="b">
        <v>0</v>
      </c>
      <c r="I1336" s="12" t="b">
        <v>0</v>
      </c>
    </row>
    <row r="1337" spans="1:9" x14ac:dyDescent="0.25">
      <c r="A1337" s="12">
        <v>1336</v>
      </c>
      <c r="B1337" s="12" t="s">
        <v>4594</v>
      </c>
      <c r="C1337" s="12" t="s">
        <v>4595</v>
      </c>
      <c r="D1337" s="12" t="s">
        <v>45</v>
      </c>
      <c r="E1337" s="12" t="s">
        <v>4596</v>
      </c>
      <c r="F1337" s="12" t="s">
        <v>859</v>
      </c>
      <c r="G1337" s="12" t="b">
        <v>1</v>
      </c>
      <c r="H1337" s="12" t="b">
        <v>0</v>
      </c>
      <c r="I1337" s="12" t="b">
        <v>0</v>
      </c>
    </row>
    <row r="1338" spans="1:9" x14ac:dyDescent="0.25">
      <c r="A1338" s="12">
        <v>1337</v>
      </c>
      <c r="B1338" s="12" t="s">
        <v>4597</v>
      </c>
      <c r="C1338" s="12" t="s">
        <v>4598</v>
      </c>
      <c r="D1338" s="12" t="s">
        <v>10</v>
      </c>
      <c r="E1338" s="12" t="s">
        <v>4599</v>
      </c>
      <c r="F1338" s="12" t="s">
        <v>1493</v>
      </c>
      <c r="G1338" s="12" t="b">
        <v>0</v>
      </c>
      <c r="H1338" s="12" t="b">
        <v>1</v>
      </c>
      <c r="I1338" s="12" t="b">
        <v>1</v>
      </c>
    </row>
    <row r="1339" spans="1:9" x14ac:dyDescent="0.25">
      <c r="A1339" s="12">
        <v>1338</v>
      </c>
      <c r="B1339" s="12" t="s">
        <v>4600</v>
      </c>
      <c r="C1339" s="12" t="s">
        <v>4601</v>
      </c>
      <c r="D1339" s="12" t="s">
        <v>14</v>
      </c>
      <c r="E1339" s="12" t="s">
        <v>4602</v>
      </c>
      <c r="F1339" s="12" t="s">
        <v>4603</v>
      </c>
      <c r="G1339" s="12" t="b">
        <v>0</v>
      </c>
      <c r="H1339" s="12" t="b">
        <v>1</v>
      </c>
      <c r="I1339" s="12" t="b">
        <v>1</v>
      </c>
    </row>
    <row r="1340" spans="1:9" x14ac:dyDescent="0.25">
      <c r="A1340" s="12">
        <v>1339</v>
      </c>
      <c r="B1340" s="12" t="s">
        <v>4604</v>
      </c>
      <c r="C1340" s="12" t="s">
        <v>4605</v>
      </c>
      <c r="D1340" s="12" t="s">
        <v>14</v>
      </c>
      <c r="E1340" s="12" t="s">
        <v>4606</v>
      </c>
      <c r="F1340" s="12" t="s">
        <v>658</v>
      </c>
      <c r="G1340" s="12" t="b">
        <v>0</v>
      </c>
      <c r="H1340" s="12" t="b">
        <v>1</v>
      </c>
      <c r="I1340" s="12" t="b">
        <v>1</v>
      </c>
    </row>
    <row r="1341" spans="1:9" x14ac:dyDescent="0.25">
      <c r="A1341" s="12">
        <v>1340</v>
      </c>
      <c r="B1341" s="12" t="s">
        <v>4607</v>
      </c>
      <c r="C1341" s="12" t="s">
        <v>4608</v>
      </c>
      <c r="D1341" s="12" t="s">
        <v>45</v>
      </c>
      <c r="E1341" s="12" t="s">
        <v>4609</v>
      </c>
      <c r="F1341" s="12" t="s">
        <v>4610</v>
      </c>
      <c r="G1341" s="12" t="b">
        <v>0</v>
      </c>
      <c r="H1341" s="12" t="b">
        <v>0</v>
      </c>
      <c r="I1341" s="12" t="b">
        <v>0</v>
      </c>
    </row>
    <row r="1342" spans="1:9" x14ac:dyDescent="0.25">
      <c r="A1342" s="12">
        <v>1341</v>
      </c>
      <c r="B1342" s="12" t="s">
        <v>4611</v>
      </c>
      <c r="C1342" s="12" t="s">
        <v>4612</v>
      </c>
      <c r="D1342" s="12" t="s">
        <v>14</v>
      </c>
      <c r="E1342" s="12" t="s">
        <v>4613</v>
      </c>
      <c r="F1342" s="12" t="s">
        <v>859</v>
      </c>
      <c r="G1342" s="12" t="b">
        <v>1</v>
      </c>
      <c r="H1342" s="12" t="b">
        <v>0</v>
      </c>
      <c r="I1342" s="12" t="b">
        <v>0</v>
      </c>
    </row>
    <row r="1343" spans="1:9" x14ac:dyDescent="0.25">
      <c r="A1343" s="12">
        <v>1342</v>
      </c>
      <c r="B1343" s="12" t="s">
        <v>4614</v>
      </c>
      <c r="C1343" s="12" t="s">
        <v>4615</v>
      </c>
      <c r="D1343" s="12" t="s">
        <v>10</v>
      </c>
      <c r="E1343" s="12" t="s">
        <v>4616</v>
      </c>
      <c r="F1343" s="12" t="s">
        <v>414</v>
      </c>
      <c r="G1343" s="12" t="b">
        <v>0</v>
      </c>
      <c r="H1343" s="12" t="b">
        <v>1</v>
      </c>
      <c r="I1343" s="12" t="b">
        <v>1</v>
      </c>
    </row>
    <row r="1344" spans="1:9" x14ac:dyDescent="0.25">
      <c r="A1344" s="12">
        <v>1343</v>
      </c>
      <c r="B1344" s="12" t="s">
        <v>4617</v>
      </c>
      <c r="C1344" s="12" t="s">
        <v>4618</v>
      </c>
      <c r="D1344" s="12" t="s">
        <v>14</v>
      </c>
      <c r="E1344" s="12" t="s">
        <v>4619</v>
      </c>
      <c r="F1344" s="12" t="s">
        <v>2340</v>
      </c>
      <c r="G1344" s="12" t="b">
        <v>0</v>
      </c>
      <c r="H1344" s="12" t="b">
        <v>0</v>
      </c>
      <c r="I1344" s="12" t="b">
        <v>0</v>
      </c>
    </row>
    <row r="1345" spans="1:9" x14ac:dyDescent="0.25">
      <c r="A1345" s="12">
        <v>1344</v>
      </c>
      <c r="B1345" s="12" t="s">
        <v>4620</v>
      </c>
      <c r="C1345" s="12" t="s">
        <v>4621</v>
      </c>
      <c r="D1345" s="12" t="s">
        <v>14</v>
      </c>
      <c r="E1345" s="12" t="s">
        <v>4622</v>
      </c>
      <c r="F1345" s="12" t="s">
        <v>315</v>
      </c>
      <c r="G1345" s="12" t="b">
        <v>0</v>
      </c>
      <c r="H1345" s="12" t="b">
        <v>1</v>
      </c>
      <c r="I1345" s="12" t="b">
        <v>1</v>
      </c>
    </row>
    <row r="1346" spans="1:9" x14ac:dyDescent="0.25">
      <c r="A1346" s="12">
        <v>1345</v>
      </c>
      <c r="B1346" s="12" t="s">
        <v>4623</v>
      </c>
      <c r="C1346" s="12" t="s">
        <v>4624</v>
      </c>
      <c r="D1346" s="12" t="s">
        <v>45</v>
      </c>
      <c r="E1346" s="12" t="s">
        <v>4625</v>
      </c>
      <c r="F1346" s="12" t="s">
        <v>2896</v>
      </c>
      <c r="G1346" s="12" t="b">
        <v>0</v>
      </c>
      <c r="H1346" s="12" t="b">
        <v>1</v>
      </c>
      <c r="I1346" s="12" t="b">
        <v>1</v>
      </c>
    </row>
    <row r="1347" spans="1:9" x14ac:dyDescent="0.25">
      <c r="A1347" s="12">
        <v>1346</v>
      </c>
      <c r="B1347" s="12" t="s">
        <v>4626</v>
      </c>
      <c r="C1347" s="12" t="s">
        <v>4627</v>
      </c>
      <c r="D1347" s="12" t="s">
        <v>10</v>
      </c>
      <c r="E1347" s="12" t="s">
        <v>4628</v>
      </c>
      <c r="F1347" s="12" t="s">
        <v>1399</v>
      </c>
      <c r="G1347" s="12" t="b">
        <v>0</v>
      </c>
      <c r="H1347" s="12" t="b">
        <v>0</v>
      </c>
      <c r="I1347" s="12" t="b">
        <v>0</v>
      </c>
    </row>
    <row r="1348" spans="1:9" x14ac:dyDescent="0.25">
      <c r="A1348" s="12">
        <v>1347</v>
      </c>
      <c r="B1348" s="12" t="s">
        <v>4629</v>
      </c>
      <c r="C1348" s="12" t="s">
        <v>4630</v>
      </c>
      <c r="D1348" s="12" t="s">
        <v>14</v>
      </c>
      <c r="E1348" s="12" t="s">
        <v>4631</v>
      </c>
      <c r="F1348" s="12" t="s">
        <v>1240</v>
      </c>
      <c r="G1348" s="12" t="b">
        <v>0</v>
      </c>
      <c r="H1348" s="12" t="b">
        <v>0</v>
      </c>
      <c r="I1348" s="12" t="b">
        <v>0</v>
      </c>
    </row>
    <row r="1349" spans="1:9" x14ac:dyDescent="0.25">
      <c r="A1349" s="12">
        <v>1348</v>
      </c>
      <c r="B1349" s="12" t="s">
        <v>4632</v>
      </c>
      <c r="C1349" s="12" t="s">
        <v>4633</v>
      </c>
      <c r="D1349" s="12" t="s">
        <v>14</v>
      </c>
      <c r="E1349" s="12" t="s">
        <v>4634</v>
      </c>
      <c r="F1349" s="12" t="s">
        <v>4635</v>
      </c>
      <c r="G1349" s="12" t="b">
        <v>0</v>
      </c>
      <c r="H1349" s="12" t="b">
        <v>0</v>
      </c>
      <c r="I1349" s="12" t="b">
        <v>0</v>
      </c>
    </row>
    <row r="1350" spans="1:9" x14ac:dyDescent="0.25">
      <c r="A1350" s="12">
        <v>1349</v>
      </c>
      <c r="B1350" s="12" t="s">
        <v>4636</v>
      </c>
      <c r="C1350" s="12" t="s">
        <v>4637</v>
      </c>
      <c r="D1350" s="12" t="s">
        <v>45</v>
      </c>
      <c r="E1350" s="12" t="s">
        <v>4638</v>
      </c>
      <c r="F1350" s="12" t="s">
        <v>4639</v>
      </c>
      <c r="G1350" s="12" t="b">
        <v>0</v>
      </c>
      <c r="H1350" s="12" t="b">
        <v>0</v>
      </c>
      <c r="I1350" s="12" t="b">
        <v>0</v>
      </c>
    </row>
    <row r="1351" spans="1:9" x14ac:dyDescent="0.25">
      <c r="A1351" s="12">
        <v>1350</v>
      </c>
      <c r="B1351" s="12" t="s">
        <v>4640</v>
      </c>
      <c r="C1351" s="12" t="s">
        <v>4641</v>
      </c>
      <c r="D1351" s="12" t="s">
        <v>10</v>
      </c>
      <c r="E1351" s="12" t="s">
        <v>4642</v>
      </c>
      <c r="F1351" s="12" t="s">
        <v>859</v>
      </c>
      <c r="G1351" s="12" t="b">
        <v>1</v>
      </c>
      <c r="H1351" s="12" t="b">
        <v>0</v>
      </c>
      <c r="I1351" s="12" t="b">
        <v>0</v>
      </c>
    </row>
    <row r="1352" spans="1:9" x14ac:dyDescent="0.25">
      <c r="A1352" s="12">
        <v>1351</v>
      </c>
      <c r="B1352" s="12" t="s">
        <v>4643</v>
      </c>
      <c r="C1352" s="12" t="s">
        <v>4644</v>
      </c>
      <c r="D1352" s="12" t="s">
        <v>10</v>
      </c>
      <c r="E1352" s="12" t="s">
        <v>4645</v>
      </c>
      <c r="F1352" s="12" t="s">
        <v>551</v>
      </c>
      <c r="G1352" s="12" t="b">
        <v>0</v>
      </c>
      <c r="H1352" s="12" t="b">
        <v>0</v>
      </c>
      <c r="I1352" s="12" t="b">
        <v>0</v>
      </c>
    </row>
    <row r="1353" spans="1:9" x14ac:dyDescent="0.25">
      <c r="A1353" s="12">
        <v>1352</v>
      </c>
      <c r="B1353" s="12" t="s">
        <v>4646</v>
      </c>
      <c r="C1353" s="12" t="s">
        <v>4647</v>
      </c>
      <c r="D1353" s="12" t="s">
        <v>14</v>
      </c>
      <c r="E1353" s="12" t="s">
        <v>4648</v>
      </c>
      <c r="F1353" s="12" t="s">
        <v>4649</v>
      </c>
      <c r="G1353" s="12" t="b">
        <v>0</v>
      </c>
      <c r="H1353" s="12" t="b">
        <v>0</v>
      </c>
      <c r="I1353" s="12" t="b">
        <v>0</v>
      </c>
    </row>
    <row r="1354" spans="1:9" x14ac:dyDescent="0.25">
      <c r="A1354" s="12">
        <v>1353</v>
      </c>
      <c r="B1354" s="12" t="s">
        <v>4650</v>
      </c>
      <c r="C1354" s="12" t="s">
        <v>4651</v>
      </c>
      <c r="D1354" s="12" t="s">
        <v>14</v>
      </c>
      <c r="E1354" s="12" t="s">
        <v>4652</v>
      </c>
      <c r="F1354" s="12" t="s">
        <v>2299</v>
      </c>
      <c r="G1354" s="12" t="b">
        <v>0</v>
      </c>
      <c r="H1354" s="12" t="b">
        <v>0</v>
      </c>
      <c r="I1354" s="12" t="b">
        <v>0</v>
      </c>
    </row>
    <row r="1355" spans="1:9" x14ac:dyDescent="0.25">
      <c r="A1355" s="12">
        <v>1354</v>
      </c>
      <c r="B1355" s="12" t="s">
        <v>4653</v>
      </c>
      <c r="C1355" s="12" t="s">
        <v>4654</v>
      </c>
      <c r="D1355" s="12" t="s">
        <v>45</v>
      </c>
      <c r="E1355" s="12" t="s">
        <v>4655</v>
      </c>
      <c r="F1355" s="12" t="s">
        <v>1478</v>
      </c>
      <c r="G1355" s="12" t="b">
        <v>0</v>
      </c>
      <c r="H1355" s="12" t="b">
        <v>1</v>
      </c>
      <c r="I1355" s="12" t="b">
        <v>1</v>
      </c>
    </row>
    <row r="1356" spans="1:9" x14ac:dyDescent="0.25">
      <c r="A1356" s="12">
        <v>1355</v>
      </c>
      <c r="B1356" s="12" t="s">
        <v>4656</v>
      </c>
      <c r="C1356" s="12" t="s">
        <v>4657</v>
      </c>
      <c r="D1356" s="12" t="s">
        <v>14</v>
      </c>
      <c r="E1356" s="12" t="s">
        <v>4658</v>
      </c>
      <c r="F1356" s="12" t="s">
        <v>859</v>
      </c>
      <c r="G1356" s="12" t="b">
        <v>1</v>
      </c>
      <c r="H1356" s="12" t="b">
        <v>0</v>
      </c>
      <c r="I1356" s="12" t="b">
        <v>0</v>
      </c>
    </row>
    <row r="1357" spans="1:9" x14ac:dyDescent="0.25">
      <c r="A1357" s="12">
        <v>1356</v>
      </c>
      <c r="B1357" s="12" t="s">
        <v>4659</v>
      </c>
      <c r="C1357" s="12" t="s">
        <v>4660</v>
      </c>
      <c r="D1357" s="12" t="s">
        <v>10</v>
      </c>
      <c r="E1357" s="12" t="s">
        <v>4661</v>
      </c>
      <c r="F1357" s="12" t="s">
        <v>4662</v>
      </c>
      <c r="G1357" s="12" t="b">
        <v>0</v>
      </c>
      <c r="H1357" s="12" t="b">
        <v>0</v>
      </c>
      <c r="I1357" s="12" t="b">
        <v>0</v>
      </c>
    </row>
    <row r="1358" spans="1:9" x14ac:dyDescent="0.25">
      <c r="A1358" s="12">
        <v>1357</v>
      </c>
      <c r="B1358" s="12" t="s">
        <v>4663</v>
      </c>
      <c r="C1358" s="12" t="s">
        <v>4664</v>
      </c>
      <c r="D1358" s="12" t="s">
        <v>14</v>
      </c>
      <c r="E1358" s="12" t="s">
        <v>4665</v>
      </c>
      <c r="F1358" s="12" t="s">
        <v>4666</v>
      </c>
      <c r="G1358" s="12" t="b">
        <v>0</v>
      </c>
      <c r="H1358" s="12" t="b">
        <v>0</v>
      </c>
      <c r="I1358" s="12" t="b">
        <v>0</v>
      </c>
    </row>
    <row r="1359" spans="1:9" x14ac:dyDescent="0.25">
      <c r="A1359" s="12">
        <v>1358</v>
      </c>
      <c r="B1359" s="12" t="s">
        <v>4667</v>
      </c>
      <c r="C1359" s="12" t="s">
        <v>4668</v>
      </c>
      <c r="D1359" s="12" t="s">
        <v>14</v>
      </c>
      <c r="E1359" s="12" t="s">
        <v>4669</v>
      </c>
      <c r="F1359" s="12" t="s">
        <v>334</v>
      </c>
      <c r="G1359" s="12" t="b">
        <v>0</v>
      </c>
      <c r="H1359" s="12" t="b">
        <v>0</v>
      </c>
      <c r="I1359" s="12" t="b">
        <v>0</v>
      </c>
    </row>
    <row r="1360" spans="1:9" x14ac:dyDescent="0.25">
      <c r="A1360" s="12">
        <v>1359</v>
      </c>
      <c r="B1360" s="12" t="s">
        <v>4670</v>
      </c>
      <c r="C1360" s="12" t="s">
        <v>4671</v>
      </c>
      <c r="D1360" s="12" t="s">
        <v>45</v>
      </c>
      <c r="E1360" s="12" t="s">
        <v>4672</v>
      </c>
      <c r="F1360" s="12" t="s">
        <v>511</v>
      </c>
      <c r="G1360" s="12" t="b">
        <v>0</v>
      </c>
      <c r="H1360" s="12" t="b">
        <v>1</v>
      </c>
      <c r="I1360" s="12" t="b">
        <v>1</v>
      </c>
    </row>
    <row r="1361" spans="1:9" x14ac:dyDescent="0.25">
      <c r="A1361" s="12">
        <v>1360</v>
      </c>
      <c r="B1361" s="12" t="s">
        <v>4673</v>
      </c>
      <c r="C1361" s="12" t="s">
        <v>4674</v>
      </c>
      <c r="D1361" s="12" t="s">
        <v>10</v>
      </c>
      <c r="E1361" s="12" t="s">
        <v>4675</v>
      </c>
      <c r="F1361" s="12" t="s">
        <v>836</v>
      </c>
      <c r="G1361" s="12" t="b">
        <v>0</v>
      </c>
      <c r="H1361" s="12" t="b">
        <v>0</v>
      </c>
      <c r="I1361" s="12" t="b">
        <v>0</v>
      </c>
    </row>
    <row r="1362" spans="1:9" x14ac:dyDescent="0.25">
      <c r="A1362" s="12">
        <v>1361</v>
      </c>
      <c r="B1362" s="12" t="s">
        <v>4676</v>
      </c>
      <c r="C1362" s="12" t="s">
        <v>4677</v>
      </c>
      <c r="D1362" s="12" t="s">
        <v>14</v>
      </c>
      <c r="E1362" s="12" t="s">
        <v>4678</v>
      </c>
      <c r="F1362" s="12" t="s">
        <v>4679</v>
      </c>
      <c r="G1362" s="12" t="b">
        <v>0</v>
      </c>
      <c r="H1362" s="12" t="b">
        <v>0</v>
      </c>
      <c r="I1362" s="12" t="b">
        <v>0</v>
      </c>
    </row>
    <row r="1363" spans="1:9" x14ac:dyDescent="0.25">
      <c r="A1363" s="12">
        <v>1362</v>
      </c>
      <c r="B1363" s="12" t="s">
        <v>4680</v>
      </c>
      <c r="C1363" s="12" t="s">
        <v>4681</v>
      </c>
      <c r="D1363" s="12" t="s">
        <v>14</v>
      </c>
      <c r="E1363" s="12" t="s">
        <v>4682</v>
      </c>
      <c r="F1363" s="12" t="s">
        <v>315</v>
      </c>
      <c r="G1363" s="12" t="b">
        <v>0</v>
      </c>
      <c r="H1363" s="12" t="b">
        <v>0</v>
      </c>
      <c r="I1363" s="12" t="b">
        <v>0</v>
      </c>
    </row>
    <row r="1364" spans="1:9" x14ac:dyDescent="0.25">
      <c r="A1364" s="12">
        <v>1363</v>
      </c>
      <c r="B1364" s="12" t="s">
        <v>4683</v>
      </c>
      <c r="C1364" s="12" t="s">
        <v>4684</v>
      </c>
      <c r="D1364" s="12" t="s">
        <v>45</v>
      </c>
      <c r="E1364" s="12" t="s">
        <v>4685</v>
      </c>
      <c r="F1364" s="12" t="s">
        <v>464</v>
      </c>
      <c r="G1364" s="12" t="b">
        <v>0</v>
      </c>
      <c r="H1364" s="12" t="b">
        <v>0</v>
      </c>
      <c r="I1364" s="12" t="b">
        <v>0</v>
      </c>
    </row>
    <row r="1365" spans="1:9" x14ac:dyDescent="0.25">
      <c r="A1365" s="12">
        <v>1364</v>
      </c>
      <c r="B1365" s="12" t="s">
        <v>4686</v>
      </c>
      <c r="C1365" s="12" t="s">
        <v>4687</v>
      </c>
      <c r="D1365" s="12" t="s">
        <v>14</v>
      </c>
      <c r="E1365" s="12" t="s">
        <v>4688</v>
      </c>
      <c r="F1365" s="12" t="s">
        <v>859</v>
      </c>
      <c r="G1365" s="12" t="b">
        <v>1</v>
      </c>
      <c r="H1365" s="12" t="b">
        <v>0</v>
      </c>
      <c r="I1365" s="12" t="b">
        <v>0</v>
      </c>
    </row>
    <row r="1366" spans="1:9" x14ac:dyDescent="0.25">
      <c r="A1366" s="12">
        <v>1365</v>
      </c>
      <c r="B1366" s="12" t="s">
        <v>4689</v>
      </c>
      <c r="C1366" s="12" t="s">
        <v>4690</v>
      </c>
      <c r="D1366" s="12" t="s">
        <v>10</v>
      </c>
      <c r="E1366" s="12" t="s">
        <v>4691</v>
      </c>
      <c r="F1366" s="12" t="s">
        <v>1030</v>
      </c>
      <c r="G1366" s="12" t="b">
        <v>0</v>
      </c>
      <c r="H1366" s="12" t="b">
        <v>0</v>
      </c>
      <c r="I1366" s="12" t="b">
        <v>0</v>
      </c>
    </row>
    <row r="1367" spans="1:9" x14ac:dyDescent="0.25">
      <c r="A1367" s="12">
        <v>1366</v>
      </c>
      <c r="B1367" s="12" t="s">
        <v>4692</v>
      </c>
      <c r="C1367" s="12" t="s">
        <v>4693</v>
      </c>
      <c r="D1367" s="12" t="s">
        <v>14</v>
      </c>
      <c r="E1367" s="12" t="s">
        <v>4694</v>
      </c>
      <c r="F1367" s="12" t="s">
        <v>4695</v>
      </c>
      <c r="G1367" s="12" t="b">
        <v>0</v>
      </c>
      <c r="H1367" s="12" t="b">
        <v>0</v>
      </c>
      <c r="I1367" s="12" t="b">
        <v>0</v>
      </c>
    </row>
    <row r="1368" spans="1:9" x14ac:dyDescent="0.25">
      <c r="A1368" s="12">
        <v>1367</v>
      </c>
      <c r="B1368" s="12" t="s">
        <v>4696</v>
      </c>
      <c r="C1368" s="12" t="s">
        <v>4697</v>
      </c>
      <c r="D1368" s="12" t="s">
        <v>14</v>
      </c>
      <c r="E1368" s="12" t="s">
        <v>4698</v>
      </c>
      <c r="F1368" s="12" t="s">
        <v>675</v>
      </c>
      <c r="G1368" s="12" t="b">
        <v>0</v>
      </c>
      <c r="H1368" s="12" t="b">
        <v>0</v>
      </c>
      <c r="I1368" s="12" t="b">
        <v>0</v>
      </c>
    </row>
    <row r="1369" spans="1:9" x14ac:dyDescent="0.25">
      <c r="A1369" s="12">
        <v>1368</v>
      </c>
      <c r="B1369" s="12" t="s">
        <v>4699</v>
      </c>
      <c r="C1369" s="12" t="s">
        <v>4700</v>
      </c>
      <c r="D1369" s="12" t="s">
        <v>45</v>
      </c>
      <c r="E1369" s="12" t="s">
        <v>802</v>
      </c>
      <c r="F1369" s="12" t="s">
        <v>4701</v>
      </c>
      <c r="G1369" s="12" t="b">
        <v>0</v>
      </c>
      <c r="H1369" s="12" t="b">
        <v>0</v>
      </c>
      <c r="I1369" s="12" t="b">
        <v>0</v>
      </c>
    </row>
    <row r="1370" spans="1:9" x14ac:dyDescent="0.25">
      <c r="A1370" s="12">
        <v>1369</v>
      </c>
      <c r="B1370" s="12" t="s">
        <v>4702</v>
      </c>
      <c r="C1370" s="12" t="s">
        <v>4703</v>
      </c>
      <c r="D1370" s="12" t="s">
        <v>45</v>
      </c>
      <c r="E1370" s="12" t="s">
        <v>4704</v>
      </c>
      <c r="F1370" s="12" t="s">
        <v>859</v>
      </c>
      <c r="G1370" s="12" t="b">
        <v>1</v>
      </c>
      <c r="H1370" s="12" t="b">
        <v>0</v>
      </c>
      <c r="I1370" s="12" t="b">
        <v>0</v>
      </c>
    </row>
    <row r="1371" spans="1:9" x14ac:dyDescent="0.25">
      <c r="A1371" s="12">
        <v>1370</v>
      </c>
      <c r="B1371" s="12" t="s">
        <v>4705</v>
      </c>
      <c r="C1371" s="12" t="s">
        <v>4706</v>
      </c>
      <c r="D1371" s="12" t="s">
        <v>10</v>
      </c>
      <c r="E1371" s="12" t="s">
        <v>4707</v>
      </c>
      <c r="F1371" s="12" t="s">
        <v>1240</v>
      </c>
      <c r="G1371" s="12" t="b">
        <v>0</v>
      </c>
      <c r="H1371" s="12" t="b">
        <v>0</v>
      </c>
      <c r="I1371" s="12" t="b">
        <v>0</v>
      </c>
    </row>
    <row r="1372" spans="1:9" x14ac:dyDescent="0.25">
      <c r="A1372" s="12">
        <v>1371</v>
      </c>
      <c r="B1372" s="12" t="s">
        <v>4708</v>
      </c>
      <c r="C1372" s="12" t="s">
        <v>4709</v>
      </c>
      <c r="D1372" s="12" t="s">
        <v>14</v>
      </c>
      <c r="E1372" s="12" t="s">
        <v>4710</v>
      </c>
      <c r="F1372" s="12" t="s">
        <v>4075</v>
      </c>
      <c r="G1372" s="12" t="b">
        <v>0</v>
      </c>
      <c r="H1372" s="12" t="b">
        <v>0</v>
      </c>
      <c r="I1372" s="12" t="b">
        <v>0</v>
      </c>
    </row>
    <row r="1373" spans="1:9" x14ac:dyDescent="0.25">
      <c r="A1373" s="12">
        <v>1372</v>
      </c>
      <c r="B1373" s="12" t="s">
        <v>4711</v>
      </c>
      <c r="C1373" s="12" t="s">
        <v>4712</v>
      </c>
      <c r="D1373" s="12" t="s">
        <v>14</v>
      </c>
      <c r="E1373" s="12" t="s">
        <v>4713</v>
      </c>
      <c r="F1373" s="12" t="s">
        <v>698</v>
      </c>
      <c r="G1373" s="12" t="b">
        <v>0</v>
      </c>
      <c r="H1373" s="12" t="b">
        <v>0</v>
      </c>
      <c r="I1373" s="12" t="b">
        <v>0</v>
      </c>
    </row>
    <row r="1374" spans="1:9" x14ac:dyDescent="0.25">
      <c r="A1374" s="12">
        <v>1373</v>
      </c>
      <c r="B1374" s="12" t="s">
        <v>4714</v>
      </c>
      <c r="C1374" s="12" t="s">
        <v>4715</v>
      </c>
      <c r="D1374" s="12" t="s">
        <v>45</v>
      </c>
      <c r="E1374" s="12" t="s">
        <v>4716</v>
      </c>
      <c r="F1374" s="12" t="s">
        <v>1347</v>
      </c>
      <c r="G1374" s="12" t="b">
        <v>0</v>
      </c>
      <c r="H1374" s="12" t="b">
        <v>0</v>
      </c>
      <c r="I1374" s="12" t="b">
        <v>0</v>
      </c>
    </row>
    <row r="1375" spans="1:9" x14ac:dyDescent="0.25">
      <c r="A1375" s="12">
        <v>1374</v>
      </c>
      <c r="B1375" s="12" t="s">
        <v>4717</v>
      </c>
      <c r="C1375" s="12" t="s">
        <v>4718</v>
      </c>
      <c r="D1375" s="12" t="s">
        <v>10</v>
      </c>
      <c r="E1375" s="12" t="s">
        <v>4719</v>
      </c>
      <c r="F1375" s="12" t="s">
        <v>316</v>
      </c>
      <c r="G1375" s="12" t="b">
        <v>0</v>
      </c>
      <c r="H1375" s="12" t="b">
        <v>0</v>
      </c>
      <c r="I1375" s="12" t="b">
        <v>0</v>
      </c>
    </row>
    <row r="1376" spans="1:9" x14ac:dyDescent="0.25">
      <c r="A1376" s="12">
        <v>1375</v>
      </c>
      <c r="B1376" s="12" t="s">
        <v>4720</v>
      </c>
      <c r="C1376" s="12" t="s">
        <v>4721</v>
      </c>
      <c r="D1376" s="12" t="s">
        <v>14</v>
      </c>
      <c r="E1376" s="12" t="s">
        <v>4722</v>
      </c>
      <c r="F1376" s="12" t="s">
        <v>317</v>
      </c>
      <c r="G1376" s="12" t="b">
        <v>0</v>
      </c>
      <c r="H1376" s="12" t="b">
        <v>0</v>
      </c>
      <c r="I1376" s="12" t="b">
        <v>0</v>
      </c>
    </row>
    <row r="1377" spans="1:9" x14ac:dyDescent="0.25">
      <c r="A1377" s="12">
        <v>1376</v>
      </c>
      <c r="B1377" s="12" t="s">
        <v>4723</v>
      </c>
      <c r="C1377" s="12" t="s">
        <v>4724</v>
      </c>
      <c r="D1377" s="12" t="s">
        <v>14</v>
      </c>
      <c r="E1377" s="12" t="s">
        <v>4725</v>
      </c>
      <c r="F1377" s="12" t="s">
        <v>2085</v>
      </c>
      <c r="G1377" s="12" t="b">
        <v>0</v>
      </c>
      <c r="H1377" s="12" t="b">
        <v>0</v>
      </c>
      <c r="I1377" s="12" t="b">
        <v>0</v>
      </c>
    </row>
    <row r="1378" spans="1:9" x14ac:dyDescent="0.25">
      <c r="A1378" s="12">
        <v>1377</v>
      </c>
      <c r="B1378" s="12" t="s">
        <v>4726</v>
      </c>
      <c r="C1378" s="12" t="s">
        <v>4727</v>
      </c>
      <c r="D1378" s="12" t="s">
        <v>45</v>
      </c>
      <c r="E1378" s="12" t="s">
        <v>4728</v>
      </c>
      <c r="F1378" s="12" t="s">
        <v>4729</v>
      </c>
      <c r="G1378" s="12" t="b">
        <v>0</v>
      </c>
      <c r="H1378" s="12" t="b">
        <v>0</v>
      </c>
      <c r="I1378" s="12" t="b">
        <v>0</v>
      </c>
    </row>
    <row r="1379" spans="1:9" x14ac:dyDescent="0.25">
      <c r="A1379" s="12">
        <v>1378</v>
      </c>
      <c r="B1379" s="12" t="s">
        <v>4730</v>
      </c>
      <c r="C1379" s="12" t="s">
        <v>4731</v>
      </c>
      <c r="D1379" s="12" t="s">
        <v>10</v>
      </c>
      <c r="E1379" s="12" t="s">
        <v>4732</v>
      </c>
      <c r="F1379" s="12" t="s">
        <v>859</v>
      </c>
      <c r="G1379" s="12" t="b">
        <v>1</v>
      </c>
      <c r="H1379" s="12" t="b">
        <v>0</v>
      </c>
      <c r="I1379" s="12" t="b">
        <v>0</v>
      </c>
    </row>
    <row r="1380" spans="1:9" x14ac:dyDescent="0.25">
      <c r="A1380" s="12">
        <v>1379</v>
      </c>
      <c r="B1380" s="12" t="s">
        <v>4733</v>
      </c>
      <c r="C1380" s="12" t="s">
        <v>4734</v>
      </c>
      <c r="D1380" s="12" t="s">
        <v>10</v>
      </c>
      <c r="E1380" s="12" t="s">
        <v>4735</v>
      </c>
      <c r="F1380" s="12" t="s">
        <v>628</v>
      </c>
      <c r="G1380" s="12" t="b">
        <v>0</v>
      </c>
      <c r="H1380" s="12" t="b">
        <v>1</v>
      </c>
      <c r="I1380" s="12" t="b">
        <v>1</v>
      </c>
    </row>
    <row r="1381" spans="1:9" x14ac:dyDescent="0.25">
      <c r="A1381" s="12">
        <v>1380</v>
      </c>
      <c r="B1381" s="12" t="s">
        <v>4736</v>
      </c>
      <c r="C1381" s="12" t="s">
        <v>4737</v>
      </c>
      <c r="D1381" s="12" t="s">
        <v>10</v>
      </c>
      <c r="E1381" s="12" t="s">
        <v>4738</v>
      </c>
      <c r="F1381" s="12" t="s">
        <v>1646</v>
      </c>
      <c r="G1381" s="12" t="b">
        <v>0</v>
      </c>
      <c r="H1381" s="12" t="b">
        <v>0</v>
      </c>
      <c r="I1381" s="12" t="b">
        <v>0</v>
      </c>
    </row>
    <row r="1382" spans="1:9" x14ac:dyDescent="0.25">
      <c r="A1382" s="12">
        <v>1381</v>
      </c>
      <c r="B1382" s="12" t="s">
        <v>4739</v>
      </c>
      <c r="C1382" s="12" t="s">
        <v>4740</v>
      </c>
      <c r="D1382" s="12" t="s">
        <v>14</v>
      </c>
      <c r="E1382" s="12" t="s">
        <v>4741</v>
      </c>
      <c r="F1382" s="12" t="s">
        <v>4742</v>
      </c>
      <c r="G1382" s="12" t="b">
        <v>0</v>
      </c>
      <c r="H1382" s="12" t="b">
        <v>0</v>
      </c>
      <c r="I1382" s="12" t="b">
        <v>0</v>
      </c>
    </row>
    <row r="1383" spans="1:9" x14ac:dyDescent="0.25">
      <c r="A1383" s="12">
        <v>1382</v>
      </c>
      <c r="B1383" s="12" t="s">
        <v>4743</v>
      </c>
      <c r="C1383" s="12" t="s">
        <v>4744</v>
      </c>
      <c r="D1383" s="12" t="s">
        <v>14</v>
      </c>
      <c r="E1383" s="12" t="s">
        <v>4745</v>
      </c>
      <c r="F1383" s="12" t="s">
        <v>4746</v>
      </c>
      <c r="G1383" s="12" t="b">
        <v>0</v>
      </c>
      <c r="H1383" s="12" t="b">
        <v>0</v>
      </c>
      <c r="I1383" s="12" t="b">
        <v>0</v>
      </c>
    </row>
    <row r="1384" spans="1:9" x14ac:dyDescent="0.25">
      <c r="A1384" s="12">
        <v>1383</v>
      </c>
      <c r="B1384" s="12" t="s">
        <v>4747</v>
      </c>
      <c r="C1384" s="12" t="s">
        <v>4748</v>
      </c>
      <c r="D1384" s="12" t="s">
        <v>45</v>
      </c>
      <c r="E1384" s="12" t="s">
        <v>4749</v>
      </c>
      <c r="F1384" s="12" t="s">
        <v>1901</v>
      </c>
      <c r="G1384" s="12" t="b">
        <v>0</v>
      </c>
      <c r="H1384" s="12" t="b">
        <v>1</v>
      </c>
      <c r="I1384" s="12" t="b">
        <v>1</v>
      </c>
    </row>
    <row r="1385" spans="1:9" x14ac:dyDescent="0.25">
      <c r="A1385" s="12">
        <v>1384</v>
      </c>
      <c r="B1385" s="12" t="s">
        <v>4750</v>
      </c>
      <c r="C1385" s="12" t="s">
        <v>4751</v>
      </c>
      <c r="D1385" s="12" t="s">
        <v>45</v>
      </c>
      <c r="E1385" s="12" t="s">
        <v>4752</v>
      </c>
      <c r="F1385" s="12" t="s">
        <v>859</v>
      </c>
      <c r="G1385" s="12" t="b">
        <v>1</v>
      </c>
      <c r="H1385" s="12" t="b">
        <v>0</v>
      </c>
      <c r="I1385" s="12" t="b">
        <v>0</v>
      </c>
    </row>
    <row r="1386" spans="1:9" x14ac:dyDescent="0.25">
      <c r="A1386" s="12">
        <v>1385</v>
      </c>
      <c r="B1386" s="12" t="s">
        <v>4753</v>
      </c>
      <c r="C1386" s="12" t="s">
        <v>4754</v>
      </c>
      <c r="D1386" s="12" t="s">
        <v>10</v>
      </c>
      <c r="E1386" s="12" t="s">
        <v>4755</v>
      </c>
      <c r="F1386" s="12" t="s">
        <v>1116</v>
      </c>
      <c r="G1386" s="12" t="b">
        <v>0</v>
      </c>
      <c r="H1386" s="12" t="b">
        <v>0</v>
      </c>
      <c r="I1386" s="12" t="b">
        <v>0</v>
      </c>
    </row>
    <row r="1387" spans="1:9" x14ac:dyDescent="0.25">
      <c r="A1387" s="12">
        <v>1386</v>
      </c>
      <c r="B1387" s="12" t="s">
        <v>4756</v>
      </c>
      <c r="C1387" s="12" t="s">
        <v>4757</v>
      </c>
      <c r="D1387" s="12" t="s">
        <v>14</v>
      </c>
      <c r="E1387" s="12" t="s">
        <v>4758</v>
      </c>
      <c r="F1387" s="12" t="s">
        <v>4759</v>
      </c>
      <c r="G1387" s="12" t="b">
        <v>0</v>
      </c>
      <c r="H1387" s="12" t="b">
        <v>0</v>
      </c>
      <c r="I1387" s="12" t="b">
        <v>0</v>
      </c>
    </row>
    <row r="1388" spans="1:9" x14ac:dyDescent="0.25">
      <c r="A1388" s="12">
        <v>1387</v>
      </c>
      <c r="B1388" s="12" t="s">
        <v>4760</v>
      </c>
      <c r="C1388" s="12" t="s">
        <v>4761</v>
      </c>
      <c r="D1388" s="12" t="s">
        <v>14</v>
      </c>
      <c r="E1388" s="12" t="s">
        <v>4762</v>
      </c>
      <c r="F1388" s="12" t="s">
        <v>4763</v>
      </c>
      <c r="G1388" s="12" t="b">
        <v>0</v>
      </c>
      <c r="H1388" s="12" t="b">
        <v>0</v>
      </c>
      <c r="I1388" s="12" t="b">
        <v>0</v>
      </c>
    </row>
    <row r="1389" spans="1:9" x14ac:dyDescent="0.25">
      <c r="A1389" s="12">
        <v>1388</v>
      </c>
      <c r="B1389" s="12" t="s">
        <v>4764</v>
      </c>
      <c r="C1389" s="12" t="s">
        <v>4765</v>
      </c>
      <c r="D1389" s="12" t="s">
        <v>45</v>
      </c>
      <c r="E1389" s="12" t="s">
        <v>4766</v>
      </c>
      <c r="F1389" s="12" t="s">
        <v>3080</v>
      </c>
      <c r="G1389" s="12" t="b">
        <v>0</v>
      </c>
      <c r="H1389" s="12" t="b">
        <v>0</v>
      </c>
      <c r="I1389" s="12" t="b">
        <v>0</v>
      </c>
    </row>
    <row r="1390" spans="1:9" x14ac:dyDescent="0.25">
      <c r="A1390" s="12">
        <v>1389</v>
      </c>
      <c r="B1390" s="12" t="s">
        <v>4767</v>
      </c>
      <c r="C1390" s="12" t="s">
        <v>4768</v>
      </c>
      <c r="D1390" s="12" t="s">
        <v>10</v>
      </c>
      <c r="E1390" s="12" t="s">
        <v>4769</v>
      </c>
      <c r="F1390" s="12" t="s">
        <v>1877</v>
      </c>
      <c r="G1390" s="12" t="b">
        <v>0</v>
      </c>
      <c r="H1390" s="12" t="b">
        <v>0</v>
      </c>
      <c r="I1390" s="12" t="b">
        <v>0</v>
      </c>
    </row>
    <row r="1391" spans="1:9" x14ac:dyDescent="0.25">
      <c r="A1391" s="12">
        <v>1390</v>
      </c>
      <c r="B1391" s="12" t="s">
        <v>4770</v>
      </c>
      <c r="C1391" s="12" t="s">
        <v>4771</v>
      </c>
      <c r="D1391" s="12" t="s">
        <v>14</v>
      </c>
      <c r="E1391" s="12" t="s">
        <v>4772</v>
      </c>
      <c r="F1391" s="12" t="s">
        <v>525</v>
      </c>
      <c r="G1391" s="12" t="b">
        <v>0</v>
      </c>
      <c r="H1391" s="12" t="b">
        <v>0</v>
      </c>
      <c r="I1391" s="12" t="b">
        <v>0</v>
      </c>
    </row>
    <row r="1392" spans="1:9" x14ac:dyDescent="0.25">
      <c r="A1392" s="12">
        <v>1391</v>
      </c>
      <c r="B1392" s="12" t="s">
        <v>4773</v>
      </c>
      <c r="C1392" s="12" t="s">
        <v>4774</v>
      </c>
      <c r="D1392" s="12" t="s">
        <v>14</v>
      </c>
      <c r="E1392" s="12" t="s">
        <v>4775</v>
      </c>
      <c r="F1392" s="12" t="s">
        <v>720</v>
      </c>
      <c r="G1392" s="12" t="b">
        <v>0</v>
      </c>
      <c r="H1392" s="12" t="b">
        <v>0</v>
      </c>
      <c r="I1392" s="12" t="b">
        <v>0</v>
      </c>
    </row>
    <row r="1393" spans="1:9" x14ac:dyDescent="0.25">
      <c r="A1393" s="12">
        <v>1392</v>
      </c>
      <c r="B1393" s="12" t="s">
        <v>4776</v>
      </c>
      <c r="C1393" s="12" t="s">
        <v>4777</v>
      </c>
      <c r="D1393" s="12" t="s">
        <v>45</v>
      </c>
      <c r="E1393" s="12" t="s">
        <v>4778</v>
      </c>
      <c r="F1393" s="12" t="s">
        <v>978</v>
      </c>
      <c r="G1393" s="12" t="b">
        <v>0</v>
      </c>
      <c r="H1393" s="12" t="b">
        <v>0</v>
      </c>
      <c r="I1393" s="12" t="b">
        <v>0</v>
      </c>
    </row>
    <row r="1394" spans="1:9" x14ac:dyDescent="0.25">
      <c r="A1394" s="12">
        <v>1393</v>
      </c>
      <c r="B1394" s="12" t="s">
        <v>4779</v>
      </c>
      <c r="C1394" s="12" t="s">
        <v>4780</v>
      </c>
      <c r="D1394" s="12" t="s">
        <v>14</v>
      </c>
      <c r="E1394" s="12" t="s">
        <v>4781</v>
      </c>
      <c r="F1394" s="12" t="s">
        <v>859</v>
      </c>
      <c r="G1394" s="12" t="b">
        <v>0</v>
      </c>
      <c r="H1394" s="12" t="b">
        <v>0</v>
      </c>
      <c r="I1394" s="12" t="b">
        <v>0</v>
      </c>
    </row>
    <row r="1395" spans="1:9" x14ac:dyDescent="0.25">
      <c r="A1395" s="12">
        <v>1394</v>
      </c>
      <c r="B1395" s="12" t="s">
        <v>4782</v>
      </c>
      <c r="C1395" s="12" t="s">
        <v>4783</v>
      </c>
      <c r="D1395" s="12" t="s">
        <v>10</v>
      </c>
      <c r="E1395" s="12" t="s">
        <v>4784</v>
      </c>
      <c r="F1395" s="12" t="s">
        <v>3539</v>
      </c>
      <c r="G1395" s="12" t="b">
        <v>0</v>
      </c>
      <c r="H1395" s="12" t="b">
        <v>1</v>
      </c>
      <c r="I1395" s="12" t="b">
        <v>1</v>
      </c>
    </row>
    <row r="1396" spans="1:9" x14ac:dyDescent="0.25">
      <c r="A1396" s="12">
        <v>1395</v>
      </c>
      <c r="B1396" s="12" t="s">
        <v>4785</v>
      </c>
      <c r="C1396" s="12" t="s">
        <v>4786</v>
      </c>
      <c r="D1396" s="12" t="s">
        <v>14</v>
      </c>
      <c r="E1396" s="12" t="s">
        <v>4787</v>
      </c>
      <c r="F1396" s="12" t="s">
        <v>4788</v>
      </c>
      <c r="G1396" s="12" t="b">
        <v>0</v>
      </c>
      <c r="H1396" s="12" t="b">
        <v>0</v>
      </c>
      <c r="I1396" s="12" t="b">
        <v>0</v>
      </c>
    </row>
    <row r="1397" spans="1:9" x14ac:dyDescent="0.25">
      <c r="A1397" s="12">
        <v>1396</v>
      </c>
      <c r="B1397" s="12" t="s">
        <v>4789</v>
      </c>
      <c r="C1397" s="12" t="s">
        <v>4790</v>
      </c>
      <c r="D1397" s="12" t="s">
        <v>14</v>
      </c>
      <c r="E1397" s="12" t="s">
        <v>4791</v>
      </c>
      <c r="F1397" s="12" t="s">
        <v>4792</v>
      </c>
      <c r="G1397" s="12" t="b">
        <v>0</v>
      </c>
      <c r="H1397" s="12" t="b">
        <v>1</v>
      </c>
      <c r="I1397" s="12" t="b">
        <v>1</v>
      </c>
    </row>
    <row r="1398" spans="1:9" x14ac:dyDescent="0.25">
      <c r="A1398" s="12">
        <v>1397</v>
      </c>
      <c r="B1398" s="12" t="s">
        <v>4793</v>
      </c>
      <c r="C1398" s="12" t="s">
        <v>4794</v>
      </c>
      <c r="D1398" s="12" t="s">
        <v>45</v>
      </c>
      <c r="E1398" s="12" t="s">
        <v>4795</v>
      </c>
      <c r="F1398" s="12" t="s">
        <v>4796</v>
      </c>
      <c r="G1398" s="12" t="b">
        <v>0</v>
      </c>
      <c r="H1398" s="12" t="b">
        <v>0</v>
      </c>
      <c r="I1398" s="12" t="b">
        <v>0</v>
      </c>
    </row>
    <row r="1399" spans="1:9" x14ac:dyDescent="0.25">
      <c r="A1399" s="12">
        <v>1398</v>
      </c>
      <c r="B1399" s="12" t="s">
        <v>4797</v>
      </c>
      <c r="C1399" s="12" t="s">
        <v>4798</v>
      </c>
      <c r="D1399" s="12" t="s">
        <v>14</v>
      </c>
      <c r="E1399" s="12" t="s">
        <v>4799</v>
      </c>
      <c r="F1399" s="12" t="s">
        <v>859</v>
      </c>
      <c r="G1399" s="12" t="b">
        <v>1</v>
      </c>
      <c r="H1399" s="12" t="b">
        <v>0</v>
      </c>
      <c r="I1399" s="12" t="b">
        <v>0</v>
      </c>
    </row>
    <row r="1400" spans="1:9" x14ac:dyDescent="0.25">
      <c r="A1400" s="12">
        <v>1399</v>
      </c>
      <c r="B1400" s="12" t="s">
        <v>4800</v>
      </c>
      <c r="C1400" s="12" t="s">
        <v>4801</v>
      </c>
      <c r="D1400" s="12" t="s">
        <v>10</v>
      </c>
      <c r="E1400" s="12" t="s">
        <v>4802</v>
      </c>
      <c r="F1400" s="12" t="s">
        <v>3409</v>
      </c>
      <c r="G1400" s="12" t="b">
        <v>0</v>
      </c>
      <c r="H1400" s="12" t="b">
        <v>0</v>
      </c>
      <c r="I1400" s="12" t="b">
        <v>0</v>
      </c>
    </row>
    <row r="1401" spans="1:9" x14ac:dyDescent="0.25">
      <c r="A1401" s="12">
        <v>1400</v>
      </c>
      <c r="B1401" s="12" t="s">
        <v>4803</v>
      </c>
      <c r="C1401" s="12" t="s">
        <v>4804</v>
      </c>
      <c r="D1401" s="12" t="s">
        <v>14</v>
      </c>
      <c r="E1401" s="12" t="s">
        <v>4805</v>
      </c>
      <c r="F1401" s="12" t="s">
        <v>4806</v>
      </c>
      <c r="G1401" s="12" t="b">
        <v>0</v>
      </c>
      <c r="H1401" s="12" t="b">
        <v>0</v>
      </c>
      <c r="I1401" s="12" t="b">
        <v>0</v>
      </c>
    </row>
    <row r="1402" spans="1:9" x14ac:dyDescent="0.25">
      <c r="A1402" s="12">
        <v>1401</v>
      </c>
      <c r="B1402" s="12" t="s">
        <v>4807</v>
      </c>
      <c r="C1402" s="12" t="s">
        <v>4808</v>
      </c>
      <c r="D1402" s="12" t="s">
        <v>14</v>
      </c>
      <c r="E1402" s="12" t="s">
        <v>4809</v>
      </c>
      <c r="F1402" s="12" t="s">
        <v>1009</v>
      </c>
      <c r="G1402" s="12" t="b">
        <v>0</v>
      </c>
      <c r="H1402" s="12" t="b">
        <v>0</v>
      </c>
      <c r="I1402" s="12" t="b">
        <v>0</v>
      </c>
    </row>
    <row r="1403" spans="1:9" x14ac:dyDescent="0.25">
      <c r="A1403" s="12">
        <v>1402</v>
      </c>
      <c r="B1403" s="12" t="s">
        <v>4810</v>
      </c>
      <c r="C1403" s="12" t="s">
        <v>4811</v>
      </c>
      <c r="D1403" s="12" t="s">
        <v>45</v>
      </c>
      <c r="E1403" s="12" t="s">
        <v>4812</v>
      </c>
      <c r="F1403" s="12" t="s">
        <v>1686</v>
      </c>
      <c r="G1403" s="12" t="b">
        <v>0</v>
      </c>
      <c r="H1403" s="12" t="b">
        <v>0</v>
      </c>
      <c r="I1403" s="12" t="b">
        <v>0</v>
      </c>
    </row>
    <row r="1404" spans="1:9" x14ac:dyDescent="0.25">
      <c r="A1404" s="12">
        <v>1403</v>
      </c>
      <c r="B1404" s="12" t="s">
        <v>4813</v>
      </c>
      <c r="C1404" s="12" t="s">
        <v>4814</v>
      </c>
      <c r="D1404" s="12" t="s">
        <v>10</v>
      </c>
      <c r="E1404" s="12" t="s">
        <v>4815</v>
      </c>
      <c r="F1404" s="12" t="s">
        <v>1181</v>
      </c>
      <c r="G1404" s="12" t="b">
        <v>0</v>
      </c>
      <c r="H1404" s="12" t="b">
        <v>0</v>
      </c>
      <c r="I1404" s="12" t="b">
        <v>0</v>
      </c>
    </row>
    <row r="1405" spans="1:9" x14ac:dyDescent="0.25">
      <c r="A1405" s="12">
        <v>1404</v>
      </c>
      <c r="B1405" s="12" t="s">
        <v>4816</v>
      </c>
      <c r="C1405" s="12" t="s">
        <v>4817</v>
      </c>
      <c r="D1405" s="12" t="s">
        <v>14</v>
      </c>
      <c r="E1405" s="12" t="s">
        <v>3751</v>
      </c>
      <c r="F1405" s="12" t="s">
        <v>2684</v>
      </c>
      <c r="G1405" s="12" t="b">
        <v>0</v>
      </c>
      <c r="H1405" s="12" t="b">
        <v>0</v>
      </c>
      <c r="I1405" s="12" t="b">
        <v>0</v>
      </c>
    </row>
    <row r="1406" spans="1:9" x14ac:dyDescent="0.25">
      <c r="A1406" s="12">
        <v>1405</v>
      </c>
      <c r="B1406" s="12" t="s">
        <v>4818</v>
      </c>
      <c r="C1406" s="12" t="s">
        <v>4819</v>
      </c>
      <c r="D1406" s="12" t="s">
        <v>14</v>
      </c>
      <c r="E1406" s="12" t="s">
        <v>4820</v>
      </c>
      <c r="F1406" s="12" t="s">
        <v>1640</v>
      </c>
      <c r="G1406" s="12" t="b">
        <v>0</v>
      </c>
      <c r="H1406" s="12" t="b">
        <v>0</v>
      </c>
      <c r="I1406" s="12" t="b">
        <v>0</v>
      </c>
    </row>
    <row r="1407" spans="1:9" x14ac:dyDescent="0.25">
      <c r="A1407" s="12">
        <v>1406</v>
      </c>
      <c r="B1407" s="12" t="s">
        <v>4821</v>
      </c>
      <c r="C1407" s="12" t="s">
        <v>4822</v>
      </c>
      <c r="D1407" s="12" t="s">
        <v>45</v>
      </c>
      <c r="E1407" s="12" t="s">
        <v>4823</v>
      </c>
      <c r="F1407" s="12" t="s">
        <v>3098</v>
      </c>
      <c r="G1407" s="12" t="b">
        <v>0</v>
      </c>
      <c r="H1407" s="12" t="b">
        <v>0</v>
      </c>
      <c r="I1407" s="12" t="b">
        <v>0</v>
      </c>
    </row>
    <row r="1408" spans="1:9" x14ac:dyDescent="0.25">
      <c r="A1408" s="12">
        <v>1407</v>
      </c>
      <c r="B1408" s="12" t="s">
        <v>4824</v>
      </c>
      <c r="C1408" s="12" t="s">
        <v>4825</v>
      </c>
      <c r="D1408" s="12" t="s">
        <v>10</v>
      </c>
      <c r="E1408" s="12" t="s">
        <v>4826</v>
      </c>
      <c r="F1408" s="12" t="s">
        <v>859</v>
      </c>
      <c r="G1408" s="12" t="b">
        <v>0</v>
      </c>
      <c r="H1408" s="12" t="b">
        <v>0</v>
      </c>
      <c r="I1408" s="12" t="b">
        <v>0</v>
      </c>
    </row>
    <row r="1409" spans="1:9" x14ac:dyDescent="0.25">
      <c r="A1409" s="12">
        <v>1408</v>
      </c>
      <c r="B1409" s="12" t="s">
        <v>4827</v>
      </c>
      <c r="C1409" s="12" t="s">
        <v>4828</v>
      </c>
      <c r="D1409" s="12" t="s">
        <v>10</v>
      </c>
      <c r="E1409" s="12" t="s">
        <v>4829</v>
      </c>
      <c r="F1409" s="12" t="s">
        <v>1760</v>
      </c>
      <c r="G1409" s="12" t="b">
        <v>0</v>
      </c>
      <c r="H1409" s="12" t="b">
        <v>0</v>
      </c>
      <c r="I1409" s="12" t="b">
        <v>0</v>
      </c>
    </row>
    <row r="1410" spans="1:9" x14ac:dyDescent="0.25">
      <c r="A1410" s="12">
        <v>1409</v>
      </c>
      <c r="B1410" s="12" t="s">
        <v>4830</v>
      </c>
      <c r="C1410" s="12" t="s">
        <v>4831</v>
      </c>
      <c r="D1410" s="12" t="s">
        <v>14</v>
      </c>
      <c r="E1410" s="12" t="s">
        <v>4832</v>
      </c>
      <c r="F1410" s="12" t="s">
        <v>4833</v>
      </c>
      <c r="G1410" s="12" t="b">
        <v>0</v>
      </c>
      <c r="H1410" s="12" t="b">
        <v>0</v>
      </c>
      <c r="I1410" s="12" t="b">
        <v>0</v>
      </c>
    </row>
    <row r="1411" spans="1:9" x14ac:dyDescent="0.25">
      <c r="A1411" s="12">
        <v>1410</v>
      </c>
      <c r="B1411" s="12" t="s">
        <v>4834</v>
      </c>
      <c r="C1411" s="12" t="s">
        <v>4835</v>
      </c>
      <c r="D1411" s="12" t="s">
        <v>14</v>
      </c>
      <c r="E1411" s="12" t="s">
        <v>4836</v>
      </c>
      <c r="F1411" s="12" t="s">
        <v>952</v>
      </c>
      <c r="G1411" s="12" t="b">
        <v>0</v>
      </c>
      <c r="H1411" s="12" t="b">
        <v>0</v>
      </c>
      <c r="I1411" s="12" t="b">
        <v>0</v>
      </c>
    </row>
    <row r="1412" spans="1:9" x14ac:dyDescent="0.25">
      <c r="A1412" s="12">
        <v>1411</v>
      </c>
      <c r="B1412" s="12" t="s">
        <v>4837</v>
      </c>
      <c r="C1412" s="12" t="s">
        <v>4838</v>
      </c>
      <c r="D1412" s="12" t="s">
        <v>45</v>
      </c>
      <c r="E1412" s="12" t="s">
        <v>4839</v>
      </c>
      <c r="F1412" s="12" t="s">
        <v>292</v>
      </c>
      <c r="G1412" s="12" t="b">
        <v>0</v>
      </c>
      <c r="H1412" s="12" t="b">
        <v>0</v>
      </c>
      <c r="I1412" s="12" t="b">
        <v>0</v>
      </c>
    </row>
    <row r="1413" spans="1:9" x14ac:dyDescent="0.25">
      <c r="A1413" s="12">
        <v>1412</v>
      </c>
      <c r="B1413" s="12" t="s">
        <v>4840</v>
      </c>
      <c r="C1413" s="12" t="s">
        <v>4841</v>
      </c>
      <c r="D1413" s="12" t="s">
        <v>45</v>
      </c>
      <c r="E1413" s="12" t="s">
        <v>4842</v>
      </c>
      <c r="F1413" s="12" t="s">
        <v>859</v>
      </c>
      <c r="G1413" s="12" t="b">
        <v>1</v>
      </c>
      <c r="H1413" s="12" t="b">
        <v>0</v>
      </c>
      <c r="I1413" s="12" t="b">
        <v>0</v>
      </c>
    </row>
    <row r="1414" spans="1:9" x14ac:dyDescent="0.25">
      <c r="A1414" s="12">
        <v>1413</v>
      </c>
      <c r="B1414" s="12" t="s">
        <v>4843</v>
      </c>
      <c r="C1414" s="12" t="s">
        <v>4844</v>
      </c>
      <c r="D1414" s="12" t="s">
        <v>10</v>
      </c>
      <c r="E1414" s="12" t="s">
        <v>4845</v>
      </c>
      <c r="F1414" s="12" t="s">
        <v>1055</v>
      </c>
      <c r="G1414" s="12" t="b">
        <v>0</v>
      </c>
      <c r="H1414" s="12" t="b">
        <v>1</v>
      </c>
      <c r="I1414" s="12" t="b">
        <v>1</v>
      </c>
    </row>
    <row r="1415" spans="1:9" x14ac:dyDescent="0.25">
      <c r="A1415" s="12">
        <v>1414</v>
      </c>
      <c r="B1415" s="12" t="s">
        <v>4846</v>
      </c>
      <c r="C1415" s="12" t="s">
        <v>4847</v>
      </c>
      <c r="D1415" s="12" t="s">
        <v>14</v>
      </c>
      <c r="E1415" s="12" t="s">
        <v>4848</v>
      </c>
      <c r="F1415" s="12" t="s">
        <v>125</v>
      </c>
      <c r="G1415" s="12" t="b">
        <v>0</v>
      </c>
      <c r="H1415" s="12" t="b">
        <v>0</v>
      </c>
      <c r="I1415" s="12" t="b">
        <v>0</v>
      </c>
    </row>
    <row r="1416" spans="1:9" x14ac:dyDescent="0.25">
      <c r="A1416" s="12">
        <v>1415</v>
      </c>
      <c r="B1416" s="12" t="s">
        <v>4849</v>
      </c>
      <c r="C1416" s="12" t="s">
        <v>4850</v>
      </c>
      <c r="D1416" s="12" t="s">
        <v>14</v>
      </c>
      <c r="E1416" s="12" t="s">
        <v>4851</v>
      </c>
      <c r="F1416" s="12" t="s">
        <v>604</v>
      </c>
      <c r="G1416" s="12" t="b">
        <v>0</v>
      </c>
      <c r="H1416" s="12" t="b">
        <v>0</v>
      </c>
      <c r="I1416" s="12" t="b">
        <v>0</v>
      </c>
    </row>
    <row r="1417" spans="1:9" x14ac:dyDescent="0.25">
      <c r="A1417" s="12">
        <v>1416</v>
      </c>
      <c r="B1417" s="12" t="s">
        <v>4852</v>
      </c>
      <c r="C1417" s="12" t="s">
        <v>4853</v>
      </c>
      <c r="D1417" s="12" t="s">
        <v>45</v>
      </c>
      <c r="E1417" s="12" t="s">
        <v>4854</v>
      </c>
      <c r="F1417" s="12" t="s">
        <v>340</v>
      </c>
      <c r="G1417" s="12" t="b">
        <v>0</v>
      </c>
      <c r="H1417" s="12" t="b">
        <v>0</v>
      </c>
      <c r="I1417" s="12" t="b">
        <v>0</v>
      </c>
    </row>
    <row r="1418" spans="1:9" x14ac:dyDescent="0.25">
      <c r="A1418" s="12">
        <v>1417</v>
      </c>
      <c r="B1418" s="12" t="s">
        <v>4855</v>
      </c>
      <c r="C1418" s="12" t="s">
        <v>4856</v>
      </c>
      <c r="D1418" s="12" t="s">
        <v>10</v>
      </c>
      <c r="E1418" s="12" t="s">
        <v>4857</v>
      </c>
      <c r="F1418" s="12" t="s">
        <v>316</v>
      </c>
      <c r="G1418" s="12" t="b">
        <v>0</v>
      </c>
      <c r="H1418" s="12" t="b">
        <v>0</v>
      </c>
      <c r="I1418" s="12" t="b">
        <v>0</v>
      </c>
    </row>
    <row r="1419" spans="1:9" x14ac:dyDescent="0.25">
      <c r="A1419" s="12">
        <v>1418</v>
      </c>
      <c r="B1419" s="12" t="s">
        <v>4858</v>
      </c>
      <c r="C1419" s="12" t="s">
        <v>4859</v>
      </c>
      <c r="D1419" s="12" t="s">
        <v>14</v>
      </c>
      <c r="E1419" s="12" t="s">
        <v>4860</v>
      </c>
      <c r="F1419" s="12" t="s">
        <v>4861</v>
      </c>
      <c r="G1419" s="12" t="b">
        <v>0</v>
      </c>
      <c r="H1419" s="12" t="b">
        <v>0</v>
      </c>
      <c r="I1419" s="12" t="b">
        <v>0</v>
      </c>
    </row>
    <row r="1420" spans="1:9" x14ac:dyDescent="0.25">
      <c r="A1420" s="12">
        <v>1419</v>
      </c>
      <c r="B1420" s="12" t="s">
        <v>4862</v>
      </c>
      <c r="C1420" s="12" t="s">
        <v>4863</v>
      </c>
      <c r="D1420" s="12" t="s">
        <v>14</v>
      </c>
      <c r="E1420" s="12" t="s">
        <v>4864</v>
      </c>
      <c r="F1420" s="12" t="s">
        <v>4865</v>
      </c>
      <c r="G1420" s="12" t="b">
        <v>0</v>
      </c>
      <c r="H1420" s="12" t="b">
        <v>0</v>
      </c>
      <c r="I1420" s="12" t="b">
        <v>0</v>
      </c>
    </row>
    <row r="1421" spans="1:9" x14ac:dyDescent="0.25">
      <c r="A1421" s="12">
        <v>1420</v>
      </c>
      <c r="B1421" s="12" t="s">
        <v>4866</v>
      </c>
      <c r="C1421" s="12" t="s">
        <v>4867</v>
      </c>
      <c r="D1421" s="12" t="s">
        <v>45</v>
      </c>
      <c r="E1421" s="12" t="s">
        <v>4868</v>
      </c>
      <c r="F1421" s="12" t="s">
        <v>292</v>
      </c>
      <c r="G1421" s="12" t="b">
        <v>0</v>
      </c>
      <c r="H1421" s="12" t="b">
        <v>0</v>
      </c>
      <c r="I1421" s="12" t="b">
        <v>0</v>
      </c>
    </row>
    <row r="1422" spans="1:9" x14ac:dyDescent="0.25">
      <c r="A1422" s="12">
        <v>1421</v>
      </c>
      <c r="B1422" s="12" t="s">
        <v>4869</v>
      </c>
      <c r="C1422" s="12" t="s">
        <v>4870</v>
      </c>
      <c r="D1422" s="12" t="s">
        <v>10</v>
      </c>
      <c r="E1422" s="12" t="s">
        <v>4871</v>
      </c>
      <c r="F1422" s="12" t="s">
        <v>859</v>
      </c>
      <c r="G1422" s="12" t="b">
        <v>1</v>
      </c>
      <c r="H1422" s="12" t="b">
        <v>0</v>
      </c>
      <c r="I1422" s="12" t="b">
        <v>0</v>
      </c>
    </row>
    <row r="1423" spans="1:9" x14ac:dyDescent="0.25">
      <c r="A1423" s="12">
        <v>1422</v>
      </c>
      <c r="B1423" s="12" t="s">
        <v>4872</v>
      </c>
      <c r="C1423" s="12" t="s">
        <v>4873</v>
      </c>
      <c r="D1423" s="12" t="s">
        <v>10</v>
      </c>
      <c r="E1423" s="12" t="s">
        <v>4874</v>
      </c>
      <c r="F1423" s="12" t="s">
        <v>316</v>
      </c>
      <c r="G1423" s="12" t="b">
        <v>0</v>
      </c>
      <c r="H1423" s="12" t="b">
        <v>0</v>
      </c>
      <c r="I1423" s="12" t="b">
        <v>0</v>
      </c>
    </row>
    <row r="1424" spans="1:9" x14ac:dyDescent="0.25">
      <c r="A1424" s="12">
        <v>1423</v>
      </c>
      <c r="B1424" s="12" t="s">
        <v>4875</v>
      </c>
      <c r="C1424" s="12" t="s">
        <v>4876</v>
      </c>
      <c r="D1424" s="12" t="s">
        <v>14</v>
      </c>
      <c r="E1424" s="12" t="s">
        <v>4877</v>
      </c>
      <c r="F1424" s="12" t="s">
        <v>4878</v>
      </c>
      <c r="G1424" s="12" t="b">
        <v>0</v>
      </c>
      <c r="H1424" s="12" t="b">
        <v>1</v>
      </c>
      <c r="I1424" s="12" t="b">
        <v>1</v>
      </c>
    </row>
    <row r="1425" spans="1:9" x14ac:dyDescent="0.25">
      <c r="A1425" s="12">
        <v>1424</v>
      </c>
      <c r="B1425" s="12" t="s">
        <v>4879</v>
      </c>
      <c r="C1425" s="12" t="s">
        <v>4880</v>
      </c>
      <c r="D1425" s="12" t="s">
        <v>14</v>
      </c>
      <c r="E1425" s="12" t="s">
        <v>4881</v>
      </c>
      <c r="F1425" s="12" t="s">
        <v>1913</v>
      </c>
      <c r="G1425" s="12" t="b">
        <v>0</v>
      </c>
      <c r="H1425" s="12" t="b">
        <v>0</v>
      </c>
      <c r="I1425" s="12" t="b">
        <v>0</v>
      </c>
    </row>
    <row r="1426" spans="1:9" x14ac:dyDescent="0.25">
      <c r="A1426" s="12">
        <v>1425</v>
      </c>
      <c r="B1426" s="12" t="s">
        <v>4882</v>
      </c>
      <c r="C1426" s="12" t="s">
        <v>4883</v>
      </c>
      <c r="D1426" s="12" t="s">
        <v>45</v>
      </c>
      <c r="E1426" s="12" t="s">
        <v>4884</v>
      </c>
      <c r="F1426" s="12" t="s">
        <v>4885</v>
      </c>
      <c r="G1426" s="12" t="b">
        <v>0</v>
      </c>
      <c r="H1426" s="12" t="b">
        <v>0</v>
      </c>
      <c r="I1426" s="12" t="b">
        <v>0</v>
      </c>
    </row>
    <row r="1427" spans="1:9" x14ac:dyDescent="0.25">
      <c r="A1427" s="12">
        <v>1426</v>
      </c>
      <c r="B1427" s="12" t="s">
        <v>4886</v>
      </c>
      <c r="C1427" s="12" t="s">
        <v>4887</v>
      </c>
      <c r="D1427" s="12" t="s">
        <v>10</v>
      </c>
      <c r="E1427" s="12" t="s">
        <v>4888</v>
      </c>
      <c r="F1427" s="12" t="s">
        <v>328</v>
      </c>
      <c r="G1427" s="12" t="b">
        <v>1</v>
      </c>
      <c r="H1427" s="12" t="b">
        <v>1</v>
      </c>
      <c r="I1427" s="12" t="b">
        <v>1</v>
      </c>
    </row>
    <row r="1428" spans="1:9" x14ac:dyDescent="0.25">
      <c r="A1428" s="12">
        <v>1427</v>
      </c>
      <c r="B1428" s="12" t="s">
        <v>4889</v>
      </c>
      <c r="C1428" s="12" t="s">
        <v>4890</v>
      </c>
      <c r="D1428" s="12" t="s">
        <v>10</v>
      </c>
      <c r="E1428" s="12" t="s">
        <v>4891</v>
      </c>
      <c r="F1428" s="12" t="s">
        <v>4892</v>
      </c>
      <c r="G1428" s="12" t="b">
        <v>1</v>
      </c>
      <c r="H1428" s="12" t="b">
        <v>1</v>
      </c>
      <c r="I1428" s="12" t="b">
        <v>1</v>
      </c>
    </row>
    <row r="1429" spans="1:9" x14ac:dyDescent="0.25">
      <c r="A1429" s="12">
        <v>1428</v>
      </c>
      <c r="B1429" s="12" t="s">
        <v>4893</v>
      </c>
      <c r="C1429" s="12" t="s">
        <v>4894</v>
      </c>
      <c r="D1429" s="12" t="s">
        <v>14</v>
      </c>
      <c r="E1429" s="12" t="s">
        <v>4895</v>
      </c>
      <c r="F1429" s="12" t="s">
        <v>4896</v>
      </c>
      <c r="G1429" s="12" t="b">
        <v>1</v>
      </c>
      <c r="H1429" s="12" t="b">
        <v>1</v>
      </c>
      <c r="I1429" s="12" t="b">
        <v>1</v>
      </c>
    </row>
    <row r="1430" spans="1:9" x14ac:dyDescent="0.25">
      <c r="A1430" s="12">
        <v>1429</v>
      </c>
      <c r="B1430" s="12" t="s">
        <v>4897</v>
      </c>
      <c r="C1430" s="12" t="s">
        <v>4898</v>
      </c>
      <c r="D1430" s="12" t="s">
        <v>14</v>
      </c>
      <c r="E1430" s="12" t="s">
        <v>4899</v>
      </c>
      <c r="F1430" s="12" t="s">
        <v>4900</v>
      </c>
      <c r="G1430" s="12" t="b">
        <v>1</v>
      </c>
      <c r="H1430" s="12" t="b">
        <v>1</v>
      </c>
      <c r="I1430" s="12" t="b">
        <v>1</v>
      </c>
    </row>
    <row r="1431" spans="1:9" x14ac:dyDescent="0.25">
      <c r="A1431" s="12">
        <v>1430</v>
      </c>
      <c r="B1431" s="12" t="s">
        <v>4901</v>
      </c>
      <c r="C1431" s="12" t="s">
        <v>4902</v>
      </c>
      <c r="D1431" s="12" t="s">
        <v>14</v>
      </c>
      <c r="E1431" s="12" t="s">
        <v>4903</v>
      </c>
      <c r="F1431" s="12" t="s">
        <v>628</v>
      </c>
      <c r="G1431" s="12" t="b">
        <v>1</v>
      </c>
      <c r="H1431" s="12" t="b">
        <v>0</v>
      </c>
      <c r="I1431" s="12" t="b">
        <v>0</v>
      </c>
    </row>
    <row r="1432" spans="1:9" x14ac:dyDescent="0.25">
      <c r="A1432" s="12">
        <v>1431</v>
      </c>
      <c r="B1432" s="12" t="s">
        <v>4904</v>
      </c>
      <c r="C1432" s="12" t="s">
        <v>4905</v>
      </c>
      <c r="D1432" s="12" t="s">
        <v>10</v>
      </c>
      <c r="E1432" s="12" t="s">
        <v>4906</v>
      </c>
      <c r="F1432" s="12" t="s">
        <v>317</v>
      </c>
      <c r="G1432" s="12" t="b">
        <v>0</v>
      </c>
      <c r="H1432" s="12" t="b">
        <v>0</v>
      </c>
      <c r="I1432" s="12" t="b">
        <v>0</v>
      </c>
    </row>
    <row r="1433" spans="1:9" x14ac:dyDescent="0.25">
      <c r="A1433" s="12">
        <v>1432</v>
      </c>
      <c r="B1433" s="12" t="s">
        <v>4907</v>
      </c>
      <c r="C1433" s="12" t="s">
        <v>4908</v>
      </c>
      <c r="D1433" s="12" t="s">
        <v>14</v>
      </c>
      <c r="E1433" s="12" t="s">
        <v>4909</v>
      </c>
      <c r="F1433" s="12" t="s">
        <v>2284</v>
      </c>
      <c r="G1433" s="12" t="b">
        <v>0</v>
      </c>
      <c r="H1433" s="12" t="b">
        <v>0</v>
      </c>
      <c r="I1433" s="12" t="b">
        <v>0</v>
      </c>
    </row>
    <row r="1434" spans="1:9" x14ac:dyDescent="0.25">
      <c r="A1434" s="12">
        <v>1433</v>
      </c>
      <c r="B1434" s="12" t="s">
        <v>4910</v>
      </c>
      <c r="C1434" s="12" t="s">
        <v>4911</v>
      </c>
      <c r="D1434" s="12" t="s">
        <v>14</v>
      </c>
      <c r="E1434" s="12" t="s">
        <v>4912</v>
      </c>
      <c r="F1434" s="12" t="s">
        <v>872</v>
      </c>
      <c r="G1434" s="12" t="b">
        <v>0</v>
      </c>
      <c r="H1434" s="12" t="b">
        <v>0</v>
      </c>
      <c r="I1434" s="12" t="b">
        <v>0</v>
      </c>
    </row>
    <row r="1435" spans="1:9" x14ac:dyDescent="0.25">
      <c r="A1435" s="12">
        <v>1434</v>
      </c>
      <c r="B1435" s="12" t="s">
        <v>4913</v>
      </c>
      <c r="C1435" s="12" t="s">
        <v>4914</v>
      </c>
      <c r="D1435" s="12" t="s">
        <v>45</v>
      </c>
      <c r="E1435" s="12" t="s">
        <v>4915</v>
      </c>
      <c r="F1435" s="12" t="s">
        <v>3908</v>
      </c>
      <c r="G1435" s="12" t="b">
        <v>0</v>
      </c>
      <c r="H1435" s="12" t="b">
        <v>0</v>
      </c>
      <c r="I1435" s="12" t="b">
        <v>0</v>
      </c>
    </row>
    <row r="1436" spans="1:9" x14ac:dyDescent="0.25">
      <c r="A1436" s="12">
        <v>1435</v>
      </c>
      <c r="B1436" s="12" t="s">
        <v>4916</v>
      </c>
      <c r="C1436" s="12" t="s">
        <v>4917</v>
      </c>
      <c r="D1436" s="12" t="s">
        <v>10</v>
      </c>
      <c r="E1436" s="12" t="s">
        <v>4918</v>
      </c>
      <c r="F1436" s="12" t="s">
        <v>859</v>
      </c>
      <c r="G1436" s="12" t="b">
        <v>1</v>
      </c>
      <c r="H1436" s="12" t="b">
        <v>0</v>
      </c>
      <c r="I1436" s="12" t="b">
        <v>0</v>
      </c>
    </row>
    <row r="1437" spans="1:9" x14ac:dyDescent="0.25">
      <c r="A1437" s="12">
        <v>1436</v>
      </c>
      <c r="B1437" s="12" t="s">
        <v>4919</v>
      </c>
      <c r="C1437" s="12" t="s">
        <v>4920</v>
      </c>
      <c r="D1437" s="12" t="s">
        <v>10</v>
      </c>
      <c r="E1437" s="12" t="s">
        <v>4921</v>
      </c>
      <c r="F1437" s="12" t="s">
        <v>952</v>
      </c>
      <c r="G1437" s="12" t="b">
        <v>0</v>
      </c>
      <c r="H1437" s="12" t="b">
        <v>0</v>
      </c>
      <c r="I1437" s="12" t="b">
        <v>0</v>
      </c>
    </row>
    <row r="1438" spans="1:9" x14ac:dyDescent="0.25">
      <c r="A1438" s="12">
        <v>1437</v>
      </c>
      <c r="B1438" s="12" t="s">
        <v>4922</v>
      </c>
      <c r="C1438" s="12" t="s">
        <v>4923</v>
      </c>
      <c r="D1438" s="12" t="s">
        <v>10</v>
      </c>
      <c r="E1438" s="12" t="s">
        <v>4924</v>
      </c>
      <c r="F1438" s="12" t="s">
        <v>317</v>
      </c>
      <c r="G1438" s="12" t="b">
        <v>0</v>
      </c>
      <c r="H1438" s="12" t="b">
        <v>1</v>
      </c>
      <c r="I1438" s="12" t="b">
        <v>1</v>
      </c>
    </row>
    <row r="1439" spans="1:9" x14ac:dyDescent="0.25">
      <c r="A1439" s="12">
        <v>1438</v>
      </c>
      <c r="B1439" s="12" t="s">
        <v>4925</v>
      </c>
      <c r="C1439" s="12" t="s">
        <v>4926</v>
      </c>
      <c r="D1439" s="12" t="s">
        <v>14</v>
      </c>
      <c r="E1439" s="12" t="s">
        <v>4927</v>
      </c>
      <c r="F1439" s="12" t="s">
        <v>4928</v>
      </c>
      <c r="G1439" s="12" t="b">
        <v>0</v>
      </c>
      <c r="H1439" s="12" t="b">
        <v>0</v>
      </c>
      <c r="I1439" s="12" t="b">
        <v>0</v>
      </c>
    </row>
    <row r="1440" spans="1:9" x14ac:dyDescent="0.25">
      <c r="A1440" s="12">
        <v>1439</v>
      </c>
      <c r="B1440" s="12" t="s">
        <v>4929</v>
      </c>
      <c r="C1440" s="12" t="s">
        <v>4930</v>
      </c>
      <c r="D1440" s="12" t="s">
        <v>45</v>
      </c>
      <c r="E1440" s="12" t="s">
        <v>4931</v>
      </c>
      <c r="F1440" s="12" t="s">
        <v>4932</v>
      </c>
      <c r="G1440" s="12" t="b">
        <v>0</v>
      </c>
      <c r="H1440" s="12" t="b">
        <v>0</v>
      </c>
      <c r="I1440" s="12" t="b">
        <v>0</v>
      </c>
    </row>
    <row r="1441" spans="1:9" x14ac:dyDescent="0.25">
      <c r="A1441" s="12">
        <v>1440</v>
      </c>
      <c r="B1441" s="12" t="s">
        <v>4933</v>
      </c>
      <c r="C1441" s="12" t="s">
        <v>4934</v>
      </c>
      <c r="D1441" s="12" t="s">
        <v>14</v>
      </c>
      <c r="E1441" s="12" t="s">
        <v>4935</v>
      </c>
      <c r="F1441" s="12" t="s">
        <v>859</v>
      </c>
      <c r="G1441" s="12" t="b">
        <v>1</v>
      </c>
      <c r="H1441" s="12" t="b">
        <v>0</v>
      </c>
      <c r="I1441" s="12" t="b">
        <v>0</v>
      </c>
    </row>
    <row r="1442" spans="1:9" x14ac:dyDescent="0.25">
      <c r="A1442" s="12">
        <v>1441</v>
      </c>
      <c r="B1442" s="12" t="s">
        <v>4936</v>
      </c>
      <c r="C1442" s="12" t="s">
        <v>4937</v>
      </c>
      <c r="D1442" s="12" t="s">
        <v>10</v>
      </c>
      <c r="E1442" s="12" t="s">
        <v>4938</v>
      </c>
      <c r="F1442" s="12" t="s">
        <v>2462</v>
      </c>
      <c r="G1442" s="12" t="b">
        <v>0</v>
      </c>
      <c r="H1442" s="12" t="b">
        <v>0</v>
      </c>
      <c r="I1442" s="12" t="b">
        <v>0</v>
      </c>
    </row>
    <row r="1443" spans="1:9" x14ac:dyDescent="0.25">
      <c r="A1443" s="12">
        <v>1442</v>
      </c>
      <c r="B1443" s="12" t="s">
        <v>4939</v>
      </c>
      <c r="C1443" s="12" t="s">
        <v>4940</v>
      </c>
      <c r="D1443" s="12" t="s">
        <v>14</v>
      </c>
      <c r="E1443" s="12" t="s">
        <v>4941</v>
      </c>
      <c r="F1443" s="12" t="s">
        <v>4942</v>
      </c>
      <c r="G1443" s="12" t="b">
        <v>0</v>
      </c>
      <c r="H1443" s="12" t="b">
        <v>0</v>
      </c>
      <c r="I1443" s="12" t="b">
        <v>0</v>
      </c>
    </row>
    <row r="1444" spans="1:9" x14ac:dyDescent="0.25">
      <c r="A1444" s="12">
        <v>1443</v>
      </c>
      <c r="B1444" s="12" t="s">
        <v>4943</v>
      </c>
      <c r="C1444" s="12" t="s">
        <v>4944</v>
      </c>
      <c r="D1444" s="12" t="s">
        <v>14</v>
      </c>
      <c r="E1444" s="12" t="s">
        <v>4945</v>
      </c>
      <c r="F1444" s="12" t="s">
        <v>4946</v>
      </c>
      <c r="G1444" s="12" t="b">
        <v>0</v>
      </c>
      <c r="H1444" s="12" t="b">
        <v>0</v>
      </c>
      <c r="I1444" s="12" t="b">
        <v>0</v>
      </c>
    </row>
    <row r="1445" spans="1:9" x14ac:dyDescent="0.25">
      <c r="A1445" s="12">
        <v>1444</v>
      </c>
      <c r="B1445" s="12" t="s">
        <v>4947</v>
      </c>
      <c r="C1445" s="12" t="s">
        <v>4948</v>
      </c>
      <c r="D1445" s="12" t="s">
        <v>45</v>
      </c>
      <c r="E1445" s="12" t="s">
        <v>4949</v>
      </c>
      <c r="F1445" s="12" t="s">
        <v>4950</v>
      </c>
      <c r="G1445" s="12" t="b">
        <v>0</v>
      </c>
      <c r="H1445" s="12" t="b">
        <v>0</v>
      </c>
      <c r="I1445" s="12" t="b">
        <v>0</v>
      </c>
    </row>
    <row r="1446" spans="1:9" x14ac:dyDescent="0.25">
      <c r="A1446" s="12">
        <v>1445</v>
      </c>
      <c r="B1446" s="12" t="s">
        <v>4951</v>
      </c>
      <c r="C1446" s="12" t="s">
        <v>4952</v>
      </c>
      <c r="D1446" s="12" t="s">
        <v>14</v>
      </c>
      <c r="E1446" s="12" t="s">
        <v>4953</v>
      </c>
      <c r="F1446" s="12" t="s">
        <v>859</v>
      </c>
      <c r="G1446" s="12" t="b">
        <v>1</v>
      </c>
      <c r="H1446" s="12" t="b">
        <v>0</v>
      </c>
      <c r="I1446" s="12" t="b">
        <v>0</v>
      </c>
    </row>
    <row r="1447" spans="1:9" x14ac:dyDescent="0.25">
      <c r="A1447" s="12">
        <v>1446</v>
      </c>
      <c r="B1447" s="12" t="s">
        <v>4954</v>
      </c>
      <c r="C1447" s="12" t="s">
        <v>4955</v>
      </c>
      <c r="D1447" s="12" t="s">
        <v>10</v>
      </c>
      <c r="E1447" s="12" t="s">
        <v>4956</v>
      </c>
      <c r="F1447" s="12" t="s">
        <v>316</v>
      </c>
      <c r="G1447" s="12" t="b">
        <v>0</v>
      </c>
      <c r="H1447" s="12" t="b">
        <v>1</v>
      </c>
      <c r="I1447" s="12" t="b">
        <v>1</v>
      </c>
    </row>
    <row r="1448" spans="1:9" x14ac:dyDescent="0.25">
      <c r="A1448" s="12">
        <v>1447</v>
      </c>
      <c r="B1448" s="12" t="s">
        <v>4957</v>
      </c>
      <c r="C1448" s="12" t="s">
        <v>4958</v>
      </c>
      <c r="D1448" s="12" t="s">
        <v>14</v>
      </c>
      <c r="E1448" s="12" t="s">
        <v>4959</v>
      </c>
      <c r="F1448" s="12" t="s">
        <v>4960</v>
      </c>
      <c r="G1448" s="12" t="b">
        <v>0</v>
      </c>
      <c r="H1448" s="12" t="b">
        <v>0</v>
      </c>
      <c r="I1448" s="12" t="b">
        <v>0</v>
      </c>
    </row>
    <row r="1449" spans="1:9" x14ac:dyDescent="0.25">
      <c r="A1449" s="12">
        <v>1448</v>
      </c>
      <c r="B1449" s="12" t="s">
        <v>4961</v>
      </c>
      <c r="C1449" s="12" t="s">
        <v>4962</v>
      </c>
      <c r="D1449" s="12" t="s">
        <v>14</v>
      </c>
      <c r="E1449" s="12" t="s">
        <v>4963</v>
      </c>
      <c r="F1449" s="12" t="s">
        <v>628</v>
      </c>
      <c r="G1449" s="12" t="b">
        <v>0</v>
      </c>
      <c r="H1449" s="12" t="b">
        <v>1</v>
      </c>
      <c r="I1449" s="12" t="b">
        <v>1</v>
      </c>
    </row>
    <row r="1450" spans="1:9" x14ac:dyDescent="0.25">
      <c r="A1450" s="12">
        <v>1449</v>
      </c>
      <c r="B1450" s="12" t="s">
        <v>4964</v>
      </c>
      <c r="C1450" s="12" t="s">
        <v>4965</v>
      </c>
      <c r="D1450" s="12" t="s">
        <v>45</v>
      </c>
      <c r="E1450" s="12" t="s">
        <v>4966</v>
      </c>
      <c r="F1450" s="12" t="s">
        <v>681</v>
      </c>
      <c r="G1450" s="12" t="b">
        <v>0</v>
      </c>
      <c r="H1450" s="12" t="b">
        <v>0</v>
      </c>
      <c r="I1450" s="12" t="b">
        <v>0</v>
      </c>
    </row>
    <row r="1451" spans="1:9" x14ac:dyDescent="0.25">
      <c r="A1451" s="12">
        <v>1450</v>
      </c>
      <c r="B1451" s="12" t="s">
        <v>4967</v>
      </c>
      <c r="C1451" s="12" t="s">
        <v>4968</v>
      </c>
      <c r="D1451" s="12" t="s">
        <v>10</v>
      </c>
      <c r="E1451" s="12" t="s">
        <v>4969</v>
      </c>
      <c r="F1451" s="12" t="s">
        <v>317</v>
      </c>
      <c r="G1451" s="12" t="b">
        <v>0</v>
      </c>
      <c r="H1451" s="12" t="b">
        <v>0</v>
      </c>
      <c r="I1451" s="12" t="b">
        <v>0</v>
      </c>
    </row>
    <row r="1452" spans="1:9" x14ac:dyDescent="0.25">
      <c r="A1452" s="12">
        <v>1451</v>
      </c>
      <c r="B1452" s="12" t="s">
        <v>4970</v>
      </c>
      <c r="C1452" s="12" t="s">
        <v>4971</v>
      </c>
      <c r="D1452" s="12" t="s">
        <v>14</v>
      </c>
      <c r="E1452" s="12" t="s">
        <v>4972</v>
      </c>
      <c r="F1452" s="12" t="s">
        <v>4973</v>
      </c>
      <c r="G1452" s="12" t="b">
        <v>0</v>
      </c>
      <c r="H1452" s="12" t="b">
        <v>0</v>
      </c>
      <c r="I1452" s="12" t="b">
        <v>0</v>
      </c>
    </row>
    <row r="1453" spans="1:9" x14ac:dyDescent="0.25">
      <c r="A1453" s="12">
        <v>1452</v>
      </c>
      <c r="B1453" s="12" t="s">
        <v>4974</v>
      </c>
      <c r="C1453" s="12" t="s">
        <v>4975</v>
      </c>
      <c r="D1453" s="12" t="s">
        <v>14</v>
      </c>
      <c r="E1453" s="12" t="s">
        <v>1306</v>
      </c>
      <c r="F1453" s="12" t="s">
        <v>1090</v>
      </c>
      <c r="G1453" s="12" t="b">
        <v>0</v>
      </c>
      <c r="H1453" s="12" t="b">
        <v>0</v>
      </c>
      <c r="I1453" s="12" t="b">
        <v>0</v>
      </c>
    </row>
    <row r="1454" spans="1:9" x14ac:dyDescent="0.25">
      <c r="A1454" s="12">
        <v>1453</v>
      </c>
      <c r="B1454" s="12" t="s">
        <v>4976</v>
      </c>
      <c r="C1454" s="12" t="s">
        <v>4977</v>
      </c>
      <c r="D1454" s="12" t="s">
        <v>45</v>
      </c>
      <c r="E1454" s="12" t="s">
        <v>4978</v>
      </c>
      <c r="F1454" s="12" t="s">
        <v>1354</v>
      </c>
      <c r="G1454" s="12" t="b">
        <v>0</v>
      </c>
      <c r="H1454" s="12" t="b">
        <v>0</v>
      </c>
      <c r="I1454" s="12" t="b">
        <v>0</v>
      </c>
    </row>
    <row r="1455" spans="1:9" x14ac:dyDescent="0.25">
      <c r="A1455" s="12">
        <v>1454</v>
      </c>
      <c r="B1455" s="12" t="s">
        <v>4979</v>
      </c>
      <c r="C1455" s="12" t="s">
        <v>4980</v>
      </c>
      <c r="D1455" s="12" t="s">
        <v>14</v>
      </c>
      <c r="E1455" s="12" t="s">
        <v>4981</v>
      </c>
      <c r="F1455" s="12" t="s">
        <v>859</v>
      </c>
      <c r="G1455" s="12" t="b">
        <v>1</v>
      </c>
      <c r="H1455" s="12" t="b">
        <v>0</v>
      </c>
      <c r="I1455" s="12" t="b">
        <v>0</v>
      </c>
    </row>
    <row r="1456" spans="1:9" x14ac:dyDescent="0.25">
      <c r="A1456" s="12">
        <v>1455</v>
      </c>
      <c r="B1456" s="12" t="s">
        <v>4982</v>
      </c>
      <c r="C1456" s="12" t="s">
        <v>4983</v>
      </c>
      <c r="D1456" s="12" t="s">
        <v>10</v>
      </c>
      <c r="E1456" s="12" t="s">
        <v>4984</v>
      </c>
      <c r="F1456" s="12" t="s">
        <v>1760</v>
      </c>
      <c r="G1456" s="12" t="b">
        <v>0</v>
      </c>
      <c r="H1456" s="12" t="b">
        <v>0</v>
      </c>
      <c r="I1456" s="12" t="b">
        <v>0</v>
      </c>
    </row>
    <row r="1457" spans="1:9" x14ac:dyDescent="0.25">
      <c r="A1457" s="12">
        <v>1456</v>
      </c>
      <c r="B1457" s="12" t="s">
        <v>310</v>
      </c>
      <c r="C1457" s="12" t="s">
        <v>4985</v>
      </c>
      <c r="D1457" s="12" t="s">
        <v>14</v>
      </c>
      <c r="E1457" s="12" t="s">
        <v>4986</v>
      </c>
      <c r="F1457" s="12" t="s">
        <v>4007</v>
      </c>
      <c r="G1457" s="12" t="b">
        <v>0</v>
      </c>
      <c r="H1457" s="12" t="b">
        <v>0</v>
      </c>
      <c r="I1457" s="12" t="b">
        <v>0</v>
      </c>
    </row>
    <row r="1458" spans="1:9" x14ac:dyDescent="0.25">
      <c r="A1458" s="12">
        <v>1457</v>
      </c>
      <c r="B1458" s="12" t="s">
        <v>4987</v>
      </c>
      <c r="C1458" s="12" t="s">
        <v>4988</v>
      </c>
      <c r="D1458" s="12" t="s">
        <v>14</v>
      </c>
      <c r="E1458" s="12" t="s">
        <v>4989</v>
      </c>
      <c r="F1458" s="12" t="s">
        <v>4990</v>
      </c>
      <c r="G1458" s="12" t="b">
        <v>0</v>
      </c>
      <c r="H1458" s="12" t="b">
        <v>1</v>
      </c>
      <c r="I1458" s="12" t="b">
        <v>1</v>
      </c>
    </row>
    <row r="1459" spans="1:9" x14ac:dyDescent="0.25">
      <c r="A1459" s="12">
        <v>1458</v>
      </c>
      <c r="B1459" s="12" t="s">
        <v>4991</v>
      </c>
      <c r="C1459" s="12" t="s">
        <v>4992</v>
      </c>
      <c r="D1459" s="12" t="s">
        <v>45</v>
      </c>
      <c r="E1459" s="12" t="s">
        <v>4993</v>
      </c>
      <c r="F1459" s="12" t="s">
        <v>681</v>
      </c>
      <c r="G1459" s="12" t="b">
        <v>0</v>
      </c>
      <c r="H1459" s="12" t="b">
        <v>0</v>
      </c>
      <c r="I1459" s="12" t="b">
        <v>0</v>
      </c>
    </row>
    <row r="1460" spans="1:9" x14ac:dyDescent="0.25">
      <c r="A1460" s="12">
        <v>1459</v>
      </c>
      <c r="B1460" s="12" t="s">
        <v>4994</v>
      </c>
      <c r="C1460" s="12" t="s">
        <v>4995</v>
      </c>
      <c r="D1460" s="12" t="s">
        <v>14</v>
      </c>
      <c r="E1460" s="12" t="s">
        <v>4996</v>
      </c>
      <c r="F1460" s="12" t="s">
        <v>859</v>
      </c>
      <c r="G1460" s="12" t="b">
        <v>1</v>
      </c>
      <c r="H1460" s="12" t="b">
        <v>0</v>
      </c>
      <c r="I1460" s="12" t="b">
        <v>0</v>
      </c>
    </row>
    <row r="1461" spans="1:9" x14ac:dyDescent="0.25">
      <c r="A1461" s="12">
        <v>1460</v>
      </c>
      <c r="B1461" s="12" t="s">
        <v>4997</v>
      </c>
      <c r="C1461" s="12" t="s">
        <v>4998</v>
      </c>
      <c r="D1461" s="12" t="s">
        <v>10</v>
      </c>
      <c r="E1461" s="12" t="s">
        <v>4999</v>
      </c>
      <c r="F1461" s="12" t="s">
        <v>986</v>
      </c>
      <c r="G1461" s="12" t="b">
        <v>0</v>
      </c>
      <c r="H1461" s="12" t="b">
        <v>0</v>
      </c>
      <c r="I1461" s="12" t="b">
        <v>0</v>
      </c>
    </row>
    <row r="1462" spans="1:9" x14ac:dyDescent="0.25">
      <c r="A1462" s="12">
        <v>1461</v>
      </c>
      <c r="B1462" s="12" t="s">
        <v>5000</v>
      </c>
      <c r="C1462" s="12" t="s">
        <v>5001</v>
      </c>
      <c r="D1462" s="12" t="s">
        <v>14</v>
      </c>
      <c r="E1462" s="12" t="s">
        <v>5002</v>
      </c>
      <c r="F1462" s="12" t="s">
        <v>5003</v>
      </c>
      <c r="G1462" s="12" t="b">
        <v>0</v>
      </c>
      <c r="H1462" s="12" t="b">
        <v>1</v>
      </c>
      <c r="I1462" s="12" t="b">
        <v>1</v>
      </c>
    </row>
    <row r="1463" spans="1:9" x14ac:dyDescent="0.25">
      <c r="A1463" s="12">
        <v>1462</v>
      </c>
      <c r="B1463" s="12" t="s">
        <v>5004</v>
      </c>
      <c r="C1463" s="12" t="s">
        <v>5005</v>
      </c>
      <c r="D1463" s="12" t="s">
        <v>14</v>
      </c>
      <c r="E1463" s="12" t="s">
        <v>5006</v>
      </c>
      <c r="F1463" s="12" t="s">
        <v>957</v>
      </c>
      <c r="G1463" s="12" t="b">
        <v>0</v>
      </c>
      <c r="H1463" s="12" t="b">
        <v>0</v>
      </c>
      <c r="I1463" s="12" t="b">
        <v>0</v>
      </c>
    </row>
    <row r="1464" spans="1:9" x14ac:dyDescent="0.25">
      <c r="A1464" s="12">
        <v>1463</v>
      </c>
      <c r="B1464" s="12" t="s">
        <v>5007</v>
      </c>
      <c r="C1464" s="12" t="s">
        <v>5008</v>
      </c>
      <c r="D1464" s="12" t="s">
        <v>45</v>
      </c>
      <c r="E1464" s="12" t="s">
        <v>5009</v>
      </c>
      <c r="F1464" s="12" t="s">
        <v>515</v>
      </c>
      <c r="G1464" s="12" t="b">
        <v>0</v>
      </c>
      <c r="H1464" s="12" t="b">
        <v>1</v>
      </c>
      <c r="I1464" s="12" t="b">
        <v>1</v>
      </c>
    </row>
    <row r="1465" spans="1:9" x14ac:dyDescent="0.25">
      <c r="A1465" s="12">
        <v>1464</v>
      </c>
      <c r="B1465" s="12" t="s">
        <v>5010</v>
      </c>
      <c r="C1465" s="12" t="s">
        <v>5011</v>
      </c>
      <c r="D1465" s="12" t="s">
        <v>10</v>
      </c>
      <c r="E1465" s="12" t="s">
        <v>5012</v>
      </c>
      <c r="F1465" s="12" t="s">
        <v>1913</v>
      </c>
      <c r="G1465" s="12" t="b">
        <v>0</v>
      </c>
      <c r="H1465" s="12" t="b">
        <v>0</v>
      </c>
      <c r="I1465" s="12" t="b">
        <v>0</v>
      </c>
    </row>
    <row r="1466" spans="1:9" x14ac:dyDescent="0.25">
      <c r="A1466" s="12">
        <v>1465</v>
      </c>
      <c r="B1466" s="12" t="s">
        <v>5013</v>
      </c>
      <c r="C1466" s="12" t="s">
        <v>5014</v>
      </c>
      <c r="D1466" s="12" t="s">
        <v>14</v>
      </c>
      <c r="E1466" s="12" t="s">
        <v>5015</v>
      </c>
      <c r="F1466" s="12" t="s">
        <v>1181</v>
      </c>
      <c r="G1466" s="12" t="b">
        <v>0</v>
      </c>
      <c r="H1466" s="12" t="b">
        <v>1</v>
      </c>
      <c r="I1466" s="12" t="b">
        <v>1</v>
      </c>
    </row>
    <row r="1467" spans="1:9" x14ac:dyDescent="0.25">
      <c r="A1467" s="12">
        <v>1466</v>
      </c>
      <c r="B1467" s="12" t="s">
        <v>5016</v>
      </c>
      <c r="C1467" s="12" t="s">
        <v>5017</v>
      </c>
      <c r="D1467" s="12" t="s">
        <v>14</v>
      </c>
      <c r="E1467" s="12" t="s">
        <v>5018</v>
      </c>
      <c r="F1467" s="12" t="s">
        <v>1860</v>
      </c>
      <c r="G1467" s="12" t="b">
        <v>0</v>
      </c>
      <c r="H1467" s="12" t="b">
        <v>0</v>
      </c>
      <c r="I1467" s="12" t="b">
        <v>0</v>
      </c>
    </row>
    <row r="1468" spans="1:9" x14ac:dyDescent="0.25">
      <c r="A1468" s="12">
        <v>1467</v>
      </c>
      <c r="B1468" s="12" t="s">
        <v>5019</v>
      </c>
      <c r="C1468" s="12" t="s">
        <v>5020</v>
      </c>
      <c r="D1468" s="12" t="s">
        <v>45</v>
      </c>
      <c r="E1468" s="12" t="s">
        <v>5021</v>
      </c>
      <c r="F1468" s="12" t="s">
        <v>5022</v>
      </c>
      <c r="G1468" s="12" t="b">
        <v>0</v>
      </c>
      <c r="H1468" s="12" t="b">
        <v>0</v>
      </c>
      <c r="I1468" s="12" t="b">
        <v>0</v>
      </c>
    </row>
    <row r="1469" spans="1:9" x14ac:dyDescent="0.25">
      <c r="A1469" s="12">
        <v>1468</v>
      </c>
      <c r="B1469" s="12" t="s">
        <v>5023</v>
      </c>
      <c r="C1469" s="12" t="s">
        <v>5024</v>
      </c>
      <c r="D1469" s="12" t="s">
        <v>14</v>
      </c>
      <c r="E1469" s="12" t="s">
        <v>5025</v>
      </c>
      <c r="F1469" s="12" t="s">
        <v>859</v>
      </c>
      <c r="G1469" s="12" t="b">
        <v>1</v>
      </c>
      <c r="H1469" s="12" t="b">
        <v>0</v>
      </c>
      <c r="I1469" s="12" t="b">
        <v>0</v>
      </c>
    </row>
    <row r="1470" spans="1:9" x14ac:dyDescent="0.25">
      <c r="A1470" s="12">
        <v>1469</v>
      </c>
      <c r="B1470" s="12" t="s">
        <v>5026</v>
      </c>
      <c r="C1470" s="12" t="s">
        <v>5027</v>
      </c>
      <c r="D1470" s="12" t="s">
        <v>10</v>
      </c>
      <c r="E1470" s="12" t="s">
        <v>5028</v>
      </c>
      <c r="F1470" s="12" t="s">
        <v>628</v>
      </c>
      <c r="G1470" s="12" t="b">
        <v>1</v>
      </c>
      <c r="H1470" s="12" t="b">
        <v>0</v>
      </c>
      <c r="I1470" s="12" t="b">
        <v>0</v>
      </c>
    </row>
    <row r="1471" spans="1:9" x14ac:dyDescent="0.25">
      <c r="A1471" s="12">
        <v>1470</v>
      </c>
      <c r="B1471" s="12" t="s">
        <v>5029</v>
      </c>
      <c r="C1471" s="12" t="s">
        <v>5030</v>
      </c>
      <c r="D1471" s="12" t="s">
        <v>10</v>
      </c>
      <c r="E1471" s="12" t="s">
        <v>5031</v>
      </c>
      <c r="F1471" s="12" t="s">
        <v>317</v>
      </c>
      <c r="G1471" s="12" t="b">
        <v>0</v>
      </c>
      <c r="H1471" s="12" t="b">
        <v>0</v>
      </c>
      <c r="I1471" s="12" t="b">
        <v>0</v>
      </c>
    </row>
    <row r="1472" spans="1:9" x14ac:dyDescent="0.25">
      <c r="A1472" s="12">
        <v>1471</v>
      </c>
      <c r="B1472" s="12" t="s">
        <v>5032</v>
      </c>
      <c r="C1472" s="12" t="s">
        <v>5033</v>
      </c>
      <c r="D1472" s="12" t="s">
        <v>14</v>
      </c>
      <c r="E1472" s="12" t="s">
        <v>5034</v>
      </c>
      <c r="F1472" s="12" t="s">
        <v>372</v>
      </c>
      <c r="G1472" s="12" t="b">
        <v>0</v>
      </c>
      <c r="H1472" s="12" t="b">
        <v>0</v>
      </c>
      <c r="I1472" s="12" t="b">
        <v>0</v>
      </c>
    </row>
    <row r="1473" spans="1:9" x14ac:dyDescent="0.25">
      <c r="A1473" s="12">
        <v>1472</v>
      </c>
      <c r="B1473" s="12" t="s">
        <v>5035</v>
      </c>
      <c r="C1473" s="12" t="s">
        <v>5036</v>
      </c>
      <c r="D1473" s="12" t="s">
        <v>14</v>
      </c>
      <c r="E1473" s="12" t="s">
        <v>5037</v>
      </c>
      <c r="F1473" s="12" t="s">
        <v>5038</v>
      </c>
      <c r="G1473" s="12" t="b">
        <v>0</v>
      </c>
      <c r="H1473" s="12" t="b">
        <v>0</v>
      </c>
      <c r="I1473" s="12" t="b">
        <v>0</v>
      </c>
    </row>
    <row r="1474" spans="1:9" x14ac:dyDescent="0.25">
      <c r="A1474" s="12">
        <v>1473</v>
      </c>
      <c r="B1474" s="12" t="s">
        <v>5039</v>
      </c>
      <c r="C1474" s="12" t="s">
        <v>5040</v>
      </c>
      <c r="D1474" s="12" t="s">
        <v>45</v>
      </c>
      <c r="E1474" s="12" t="s">
        <v>5041</v>
      </c>
      <c r="F1474" s="12" t="s">
        <v>681</v>
      </c>
      <c r="G1474" s="12" t="b">
        <v>0</v>
      </c>
      <c r="H1474" s="12" t="b">
        <v>1</v>
      </c>
      <c r="I1474" s="12" t="b">
        <v>1</v>
      </c>
    </row>
    <row r="1475" spans="1:9" x14ac:dyDescent="0.25">
      <c r="A1475" s="12">
        <v>1474</v>
      </c>
      <c r="B1475" s="12" t="s">
        <v>5042</v>
      </c>
      <c r="C1475" s="12" t="s">
        <v>5043</v>
      </c>
      <c r="D1475" s="12" t="s">
        <v>10</v>
      </c>
      <c r="E1475" s="12" t="s">
        <v>5044</v>
      </c>
      <c r="F1475" s="12" t="s">
        <v>573</v>
      </c>
      <c r="G1475" s="12" t="b">
        <v>1</v>
      </c>
      <c r="H1475" s="12" t="b">
        <v>1</v>
      </c>
      <c r="I1475" s="12" t="b">
        <v>1</v>
      </c>
    </row>
    <row r="1476" spans="1:9" x14ac:dyDescent="0.25">
      <c r="A1476" s="12">
        <v>1475</v>
      </c>
      <c r="B1476" s="12" t="s">
        <v>5045</v>
      </c>
      <c r="C1476" s="12" t="s">
        <v>5046</v>
      </c>
      <c r="D1476" s="12" t="s">
        <v>10</v>
      </c>
      <c r="E1476" s="12" t="s">
        <v>5047</v>
      </c>
      <c r="F1476" s="12" t="s">
        <v>577</v>
      </c>
      <c r="G1476" s="12" t="b">
        <v>0</v>
      </c>
      <c r="H1476" s="12" t="b">
        <v>0</v>
      </c>
      <c r="I1476" s="12" t="b">
        <v>0</v>
      </c>
    </row>
    <row r="1477" spans="1:9" x14ac:dyDescent="0.25">
      <c r="A1477" s="12">
        <v>1476</v>
      </c>
      <c r="B1477" s="12" t="s">
        <v>5048</v>
      </c>
      <c r="C1477" s="12" t="s">
        <v>5049</v>
      </c>
      <c r="D1477" s="12" t="s">
        <v>14</v>
      </c>
      <c r="E1477" s="12" t="s">
        <v>5050</v>
      </c>
      <c r="F1477" s="12" t="s">
        <v>5051</v>
      </c>
      <c r="G1477" s="12" t="b">
        <v>0</v>
      </c>
      <c r="H1477" s="12" t="b">
        <v>0</v>
      </c>
      <c r="I1477" s="12" t="b">
        <v>0</v>
      </c>
    </row>
    <row r="1478" spans="1:9" x14ac:dyDescent="0.25">
      <c r="A1478" s="12">
        <v>1477</v>
      </c>
      <c r="B1478" s="12" t="s">
        <v>5052</v>
      </c>
      <c r="C1478" s="12" t="s">
        <v>5053</v>
      </c>
      <c r="D1478" s="12" t="s">
        <v>14</v>
      </c>
      <c r="E1478" s="12" t="s">
        <v>5054</v>
      </c>
      <c r="F1478" s="12" t="s">
        <v>5055</v>
      </c>
      <c r="G1478" s="12" t="b">
        <v>0</v>
      </c>
      <c r="H1478" s="12" t="b">
        <v>0</v>
      </c>
      <c r="I1478" s="12" t="b">
        <v>0</v>
      </c>
    </row>
    <row r="1479" spans="1:9" x14ac:dyDescent="0.25">
      <c r="A1479" s="12">
        <v>1478</v>
      </c>
      <c r="B1479" s="12" t="s">
        <v>5056</v>
      </c>
      <c r="C1479" s="12" t="s">
        <v>5057</v>
      </c>
      <c r="D1479" s="12" t="s">
        <v>45</v>
      </c>
      <c r="E1479" s="12" t="s">
        <v>5058</v>
      </c>
      <c r="F1479" s="12" t="s">
        <v>1463</v>
      </c>
      <c r="G1479" s="12" t="b">
        <v>0</v>
      </c>
      <c r="H1479" s="12" t="b">
        <v>0</v>
      </c>
      <c r="I1479" s="12" t="b">
        <v>0</v>
      </c>
    </row>
    <row r="1480" spans="1:9" x14ac:dyDescent="0.25">
      <c r="A1480" s="12">
        <v>1479</v>
      </c>
      <c r="B1480" s="12" t="s">
        <v>5059</v>
      </c>
      <c r="C1480" s="12" t="s">
        <v>5060</v>
      </c>
      <c r="D1480" s="12" t="s">
        <v>45</v>
      </c>
      <c r="E1480" s="12" t="s">
        <v>5061</v>
      </c>
      <c r="F1480" s="12" t="s">
        <v>859</v>
      </c>
      <c r="G1480" s="12" t="b">
        <v>1</v>
      </c>
      <c r="H1480" s="12" t="b">
        <v>0</v>
      </c>
      <c r="I1480" s="12" t="b">
        <v>0</v>
      </c>
    </row>
    <row r="1481" spans="1:9" x14ac:dyDescent="0.25">
      <c r="A1481" s="12">
        <v>1480</v>
      </c>
      <c r="B1481" s="12" t="s">
        <v>5062</v>
      </c>
      <c r="C1481" s="12" t="s">
        <v>5063</v>
      </c>
      <c r="D1481" s="12" t="s">
        <v>10</v>
      </c>
      <c r="E1481" s="12" t="s">
        <v>5064</v>
      </c>
      <c r="F1481" s="12" t="s">
        <v>1055</v>
      </c>
      <c r="G1481" s="12" t="b">
        <v>0</v>
      </c>
      <c r="H1481" s="12" t="b">
        <v>1</v>
      </c>
      <c r="I1481" s="12" t="b">
        <v>1</v>
      </c>
    </row>
    <row r="1482" spans="1:9" x14ac:dyDescent="0.25">
      <c r="A1482" s="12">
        <v>1481</v>
      </c>
      <c r="B1482" s="12" t="s">
        <v>5065</v>
      </c>
      <c r="C1482" s="12" t="s">
        <v>5066</v>
      </c>
      <c r="D1482" s="12" t="s">
        <v>14</v>
      </c>
      <c r="E1482" s="12" t="s">
        <v>5067</v>
      </c>
      <c r="F1482" s="12" t="s">
        <v>3794</v>
      </c>
      <c r="G1482" s="12" t="b">
        <v>0</v>
      </c>
      <c r="H1482" s="12" t="b">
        <v>0</v>
      </c>
      <c r="I1482" s="12" t="b">
        <v>0</v>
      </c>
    </row>
    <row r="1483" spans="1:9" x14ac:dyDescent="0.25">
      <c r="A1483" s="12">
        <v>1482</v>
      </c>
      <c r="B1483" s="12" t="s">
        <v>5068</v>
      </c>
      <c r="C1483" s="12" t="s">
        <v>5069</v>
      </c>
      <c r="D1483" s="12" t="s">
        <v>14</v>
      </c>
      <c r="E1483" s="12" t="s">
        <v>5070</v>
      </c>
      <c r="F1483" s="12" t="s">
        <v>426</v>
      </c>
      <c r="G1483" s="12" t="b">
        <v>0</v>
      </c>
      <c r="H1483" s="12" t="b">
        <v>0</v>
      </c>
      <c r="I1483" s="12" t="b">
        <v>0</v>
      </c>
    </row>
    <row r="1484" spans="1:9" x14ac:dyDescent="0.25">
      <c r="A1484" s="12">
        <v>1483</v>
      </c>
      <c r="B1484" s="12" t="s">
        <v>5071</v>
      </c>
      <c r="C1484" s="12" t="s">
        <v>5072</v>
      </c>
      <c r="D1484" s="12" t="s">
        <v>45</v>
      </c>
      <c r="E1484" s="12" t="s">
        <v>5073</v>
      </c>
      <c r="F1484" s="12" t="s">
        <v>5074</v>
      </c>
      <c r="G1484" s="12" t="b">
        <v>0</v>
      </c>
      <c r="H1484" s="12" t="b">
        <v>0</v>
      </c>
      <c r="I1484" s="12" t="b">
        <v>0</v>
      </c>
    </row>
    <row r="1485" spans="1:9" x14ac:dyDescent="0.25">
      <c r="A1485" s="12">
        <v>1484</v>
      </c>
      <c r="B1485" s="12" t="s">
        <v>5075</v>
      </c>
      <c r="C1485" s="12" t="s">
        <v>5076</v>
      </c>
      <c r="D1485" s="12" t="s">
        <v>10</v>
      </c>
      <c r="E1485" s="12" t="s">
        <v>5077</v>
      </c>
      <c r="F1485" s="12" t="s">
        <v>859</v>
      </c>
      <c r="G1485" s="12" t="b">
        <v>0</v>
      </c>
      <c r="H1485" s="12" t="b">
        <v>0</v>
      </c>
      <c r="I1485" s="12" t="b">
        <v>0</v>
      </c>
    </row>
    <row r="1486" spans="1:9" x14ac:dyDescent="0.25">
      <c r="A1486" s="12">
        <v>1485</v>
      </c>
      <c r="B1486" s="12" t="s">
        <v>5078</v>
      </c>
      <c r="C1486" s="12" t="s">
        <v>5079</v>
      </c>
      <c r="D1486" s="12" t="s">
        <v>14</v>
      </c>
      <c r="E1486" s="12" t="s">
        <v>5080</v>
      </c>
      <c r="F1486" s="12" t="s">
        <v>1286</v>
      </c>
      <c r="G1486" s="12" t="b">
        <v>1</v>
      </c>
      <c r="H1486" s="12" t="b">
        <v>1</v>
      </c>
      <c r="I1486" s="12" t="b">
        <v>1</v>
      </c>
    </row>
    <row r="1487" spans="1:9" x14ac:dyDescent="0.25">
      <c r="A1487" s="12">
        <v>1486</v>
      </c>
      <c r="B1487" s="12" t="s">
        <v>5081</v>
      </c>
      <c r="C1487" s="12" t="s">
        <v>5082</v>
      </c>
      <c r="D1487" s="12" t="s">
        <v>10</v>
      </c>
      <c r="E1487" s="12" t="s">
        <v>5083</v>
      </c>
      <c r="F1487" s="12" t="s">
        <v>414</v>
      </c>
      <c r="G1487" s="12" t="b">
        <v>0</v>
      </c>
      <c r="H1487" s="12" t="b">
        <v>0</v>
      </c>
      <c r="I1487" s="12" t="b">
        <v>0</v>
      </c>
    </row>
    <row r="1488" spans="1:9" x14ac:dyDescent="0.25">
      <c r="A1488" s="12">
        <v>1487</v>
      </c>
      <c r="B1488" s="12" t="s">
        <v>5084</v>
      </c>
      <c r="C1488" s="12" t="s">
        <v>5085</v>
      </c>
      <c r="D1488" s="12" t="s">
        <v>14</v>
      </c>
      <c r="E1488" s="12" t="s">
        <v>5086</v>
      </c>
      <c r="F1488" s="12" t="s">
        <v>1090</v>
      </c>
      <c r="G1488" s="12" t="b">
        <v>0</v>
      </c>
      <c r="H1488" s="12" t="b">
        <v>0</v>
      </c>
      <c r="I1488" s="12" t="b">
        <v>0</v>
      </c>
    </row>
    <row r="1489" spans="1:9" x14ac:dyDescent="0.25">
      <c r="A1489" s="12">
        <v>1488</v>
      </c>
      <c r="B1489" s="12" t="s">
        <v>5087</v>
      </c>
      <c r="C1489" s="12" t="s">
        <v>5088</v>
      </c>
      <c r="D1489" s="12" t="s">
        <v>14</v>
      </c>
      <c r="E1489" s="12" t="s">
        <v>5089</v>
      </c>
      <c r="F1489" s="12" t="s">
        <v>5090</v>
      </c>
      <c r="G1489" s="12" t="b">
        <v>0</v>
      </c>
      <c r="H1489" s="12" t="b">
        <v>0</v>
      </c>
      <c r="I1489" s="12" t="b">
        <v>0</v>
      </c>
    </row>
    <row r="1490" spans="1:9" x14ac:dyDescent="0.25">
      <c r="A1490" s="12">
        <v>1489</v>
      </c>
      <c r="B1490" s="12" t="s">
        <v>5091</v>
      </c>
      <c r="C1490" s="12" t="s">
        <v>5092</v>
      </c>
      <c r="D1490" s="12" t="s">
        <v>45</v>
      </c>
      <c r="E1490" s="12" t="s">
        <v>5093</v>
      </c>
      <c r="F1490" s="12" t="s">
        <v>5094</v>
      </c>
      <c r="G1490" s="12" t="b">
        <v>0</v>
      </c>
      <c r="H1490" s="12" t="b">
        <v>0</v>
      </c>
      <c r="I1490" s="12" t="b">
        <v>0</v>
      </c>
    </row>
    <row r="1491" spans="1:9" x14ac:dyDescent="0.25">
      <c r="A1491" s="12">
        <v>1490</v>
      </c>
      <c r="B1491" s="12" t="s">
        <v>5095</v>
      </c>
      <c r="C1491" s="12" t="s">
        <v>5096</v>
      </c>
      <c r="D1491" s="12" t="s">
        <v>14</v>
      </c>
      <c r="E1491" s="12" t="s">
        <v>5097</v>
      </c>
      <c r="F1491" s="12" t="s">
        <v>4946</v>
      </c>
      <c r="G1491" s="12" t="b">
        <v>1</v>
      </c>
      <c r="H1491" s="12" t="b">
        <v>1</v>
      </c>
      <c r="I1491" s="12" t="b">
        <v>1</v>
      </c>
    </row>
    <row r="1492" spans="1:9" x14ac:dyDescent="0.25">
      <c r="A1492" s="12">
        <v>1491</v>
      </c>
      <c r="B1492" s="12" t="s">
        <v>5098</v>
      </c>
      <c r="C1492" s="12" t="s">
        <v>5099</v>
      </c>
      <c r="D1492" s="12" t="s">
        <v>10</v>
      </c>
      <c r="E1492" s="12" t="s">
        <v>5100</v>
      </c>
      <c r="F1492" s="12" t="s">
        <v>495</v>
      </c>
      <c r="G1492" s="12" t="b">
        <v>0</v>
      </c>
      <c r="H1492" s="12" t="b">
        <v>0</v>
      </c>
      <c r="I1492" s="12" t="b">
        <v>0</v>
      </c>
    </row>
    <row r="1493" spans="1:9" x14ac:dyDescent="0.25">
      <c r="A1493" s="12">
        <v>1492</v>
      </c>
      <c r="B1493" s="12" t="s">
        <v>5101</v>
      </c>
      <c r="C1493" s="12" t="s">
        <v>5102</v>
      </c>
      <c r="D1493" s="12" t="s">
        <v>14</v>
      </c>
      <c r="E1493" s="12" t="s">
        <v>5103</v>
      </c>
      <c r="F1493" s="12" t="s">
        <v>315</v>
      </c>
      <c r="G1493" s="12" t="b">
        <v>0</v>
      </c>
      <c r="H1493" s="12" t="b">
        <v>1</v>
      </c>
      <c r="I1493" s="12" t="b">
        <v>1</v>
      </c>
    </row>
    <row r="1494" spans="1:9" x14ac:dyDescent="0.25">
      <c r="A1494" s="12">
        <v>1493</v>
      </c>
      <c r="B1494" s="12" t="s">
        <v>312</v>
      </c>
      <c r="C1494" s="12" t="s">
        <v>5104</v>
      </c>
      <c r="D1494" s="12" t="s">
        <v>14</v>
      </c>
      <c r="E1494" s="12" t="s">
        <v>5105</v>
      </c>
      <c r="F1494" s="12" t="s">
        <v>5106</v>
      </c>
      <c r="G1494" s="12" t="b">
        <v>0</v>
      </c>
      <c r="H1494" s="12" t="b">
        <v>0</v>
      </c>
      <c r="I1494" s="12" t="b">
        <v>0</v>
      </c>
    </row>
    <row r="1495" spans="1:9" x14ac:dyDescent="0.25">
      <c r="A1495" s="12">
        <v>1494</v>
      </c>
      <c r="B1495" s="12" t="s">
        <v>5107</v>
      </c>
      <c r="C1495" s="12" t="s">
        <v>5108</v>
      </c>
      <c r="D1495" s="12" t="s">
        <v>45</v>
      </c>
      <c r="E1495" s="12" t="s">
        <v>5109</v>
      </c>
      <c r="F1495" s="12" t="s">
        <v>5110</v>
      </c>
      <c r="G1495" s="12" t="b">
        <v>0</v>
      </c>
      <c r="H1495" s="12" t="b">
        <v>0</v>
      </c>
      <c r="I1495" s="12" t="b">
        <v>0</v>
      </c>
    </row>
    <row r="1496" spans="1:9" x14ac:dyDescent="0.25">
      <c r="A1496" s="12">
        <v>1495</v>
      </c>
      <c r="B1496" s="12" t="s">
        <v>5111</v>
      </c>
      <c r="C1496" s="12" t="s">
        <v>5112</v>
      </c>
      <c r="D1496" s="12" t="s">
        <v>10</v>
      </c>
      <c r="E1496" s="12" t="s">
        <v>5113</v>
      </c>
      <c r="F1496" s="12" t="s">
        <v>859</v>
      </c>
      <c r="G1496" s="12" t="b">
        <v>1</v>
      </c>
      <c r="H1496" s="12" t="b">
        <v>0</v>
      </c>
      <c r="I1496" s="12" t="b">
        <v>0</v>
      </c>
    </row>
    <row r="1497" spans="1:9" x14ac:dyDescent="0.25">
      <c r="A1497" s="12">
        <v>1496</v>
      </c>
      <c r="B1497" s="12" t="s">
        <v>5114</v>
      </c>
      <c r="C1497" s="12" t="s">
        <v>5115</v>
      </c>
      <c r="D1497" s="12" t="s">
        <v>10</v>
      </c>
      <c r="E1497" s="12" t="s">
        <v>5116</v>
      </c>
      <c r="F1497" s="12" t="s">
        <v>952</v>
      </c>
      <c r="G1497" s="12" t="b">
        <v>0</v>
      </c>
      <c r="H1497" s="12" t="b">
        <v>0</v>
      </c>
      <c r="I1497" s="12" t="b">
        <v>0</v>
      </c>
    </row>
    <row r="1498" spans="1:9" x14ac:dyDescent="0.25">
      <c r="A1498" s="12">
        <v>1497</v>
      </c>
      <c r="B1498" s="12" t="s">
        <v>5117</v>
      </c>
      <c r="C1498" s="12" t="s">
        <v>5118</v>
      </c>
      <c r="D1498" s="12" t="s">
        <v>14</v>
      </c>
      <c r="E1498" s="12" t="s">
        <v>5119</v>
      </c>
      <c r="F1498" s="12" t="s">
        <v>3539</v>
      </c>
      <c r="G1498" s="12" t="b">
        <v>0</v>
      </c>
      <c r="H1498" s="12" t="b">
        <v>0</v>
      </c>
      <c r="I1498" s="12" t="b">
        <v>0</v>
      </c>
    </row>
    <row r="1499" spans="1:9" x14ac:dyDescent="0.25">
      <c r="A1499" s="12">
        <v>1498</v>
      </c>
      <c r="B1499" s="12" t="s">
        <v>5120</v>
      </c>
      <c r="C1499" s="12" t="s">
        <v>5121</v>
      </c>
      <c r="D1499" s="12" t="s">
        <v>14</v>
      </c>
      <c r="E1499" s="12" t="s">
        <v>5122</v>
      </c>
      <c r="F1499" s="12" t="s">
        <v>1116</v>
      </c>
      <c r="G1499" s="12" t="b">
        <v>0</v>
      </c>
      <c r="H1499" s="12" t="b">
        <v>0</v>
      </c>
      <c r="I1499" s="12" t="b">
        <v>0</v>
      </c>
    </row>
    <row r="1500" spans="1:9" x14ac:dyDescent="0.25">
      <c r="A1500" s="12">
        <v>1499</v>
      </c>
      <c r="B1500" s="12" t="s">
        <v>5123</v>
      </c>
      <c r="C1500" s="12" t="s">
        <v>5124</v>
      </c>
      <c r="D1500" s="12" t="s">
        <v>45</v>
      </c>
      <c r="E1500" s="12" t="s">
        <v>5125</v>
      </c>
      <c r="F1500" s="12" t="s">
        <v>1058</v>
      </c>
      <c r="G1500" s="12" t="b">
        <v>0</v>
      </c>
      <c r="H1500" s="12" t="b">
        <v>0</v>
      </c>
      <c r="I1500" s="12" t="b">
        <v>0</v>
      </c>
    </row>
    <row r="1501" spans="1:9" x14ac:dyDescent="0.25">
      <c r="A1501" s="12">
        <v>1500</v>
      </c>
      <c r="B1501" s="12" t="s">
        <v>5126</v>
      </c>
      <c r="C1501" s="12" t="s">
        <v>5127</v>
      </c>
      <c r="D1501" s="12" t="s">
        <v>14</v>
      </c>
      <c r="E1501" s="12" t="s">
        <v>5128</v>
      </c>
      <c r="F1501" s="12" t="s">
        <v>5129</v>
      </c>
      <c r="G1501" s="12" t="b">
        <v>1</v>
      </c>
      <c r="H1501" s="12" t="b">
        <v>0</v>
      </c>
      <c r="I1501" s="12" t="b">
        <v>0</v>
      </c>
    </row>
    <row r="1502" spans="1:9" x14ac:dyDescent="0.25">
      <c r="A1502" s="12">
        <v>1501</v>
      </c>
      <c r="B1502" s="12" t="s">
        <v>5130</v>
      </c>
      <c r="C1502" s="12" t="s">
        <v>5131</v>
      </c>
      <c r="D1502" s="12" t="s">
        <v>14</v>
      </c>
      <c r="E1502" s="12" t="s">
        <v>5132</v>
      </c>
      <c r="F1502" s="12" t="s">
        <v>859</v>
      </c>
      <c r="G1502" s="12" t="b">
        <v>1</v>
      </c>
      <c r="H1502" s="12" t="b">
        <v>0</v>
      </c>
      <c r="I1502" s="12" t="b">
        <v>0</v>
      </c>
    </row>
    <row r="1503" spans="1:9" x14ac:dyDescent="0.25">
      <c r="A1503" s="12">
        <v>1502</v>
      </c>
      <c r="B1503" s="12" t="s">
        <v>5133</v>
      </c>
      <c r="C1503" s="12" t="s">
        <v>5134</v>
      </c>
      <c r="D1503" s="12" t="s">
        <v>10</v>
      </c>
      <c r="E1503" s="12" t="s">
        <v>5135</v>
      </c>
      <c r="F1503" s="12" t="s">
        <v>495</v>
      </c>
      <c r="G1503" s="12" t="b">
        <v>0</v>
      </c>
      <c r="H1503" s="12" t="b">
        <v>0</v>
      </c>
      <c r="I1503" s="12" t="b">
        <v>0</v>
      </c>
    </row>
    <row r="1504" spans="1:9" x14ac:dyDescent="0.25">
      <c r="A1504" s="12">
        <v>1503</v>
      </c>
      <c r="B1504" s="12" t="s">
        <v>5136</v>
      </c>
      <c r="C1504" s="12" t="s">
        <v>5137</v>
      </c>
      <c r="D1504" s="12" t="s">
        <v>14</v>
      </c>
      <c r="E1504" s="12" t="s">
        <v>5138</v>
      </c>
      <c r="F1504" s="12" t="s">
        <v>5139</v>
      </c>
      <c r="G1504" s="12" t="b">
        <v>0</v>
      </c>
      <c r="H1504" s="12" t="b">
        <v>0</v>
      </c>
      <c r="I1504" s="12" t="b">
        <v>0</v>
      </c>
    </row>
    <row r="1505" spans="1:9" x14ac:dyDescent="0.25">
      <c r="A1505" s="12">
        <v>1504</v>
      </c>
      <c r="B1505" s="12" t="s">
        <v>5140</v>
      </c>
      <c r="C1505" s="12" t="s">
        <v>5141</v>
      </c>
      <c r="D1505" s="12" t="s">
        <v>14</v>
      </c>
      <c r="E1505" s="12" t="s">
        <v>5142</v>
      </c>
      <c r="F1505" s="12" t="s">
        <v>581</v>
      </c>
      <c r="G1505" s="12" t="b">
        <v>0</v>
      </c>
      <c r="H1505" s="12" t="b">
        <v>0</v>
      </c>
      <c r="I1505" s="12" t="b">
        <v>0</v>
      </c>
    </row>
    <row r="1506" spans="1:9" x14ac:dyDescent="0.25">
      <c r="A1506" s="12">
        <v>1505</v>
      </c>
      <c r="B1506" s="12" t="s">
        <v>5143</v>
      </c>
      <c r="C1506" s="12" t="s">
        <v>5144</v>
      </c>
      <c r="D1506" s="12" t="s">
        <v>45</v>
      </c>
      <c r="E1506" s="12" t="s">
        <v>5145</v>
      </c>
      <c r="F1506" s="12" t="s">
        <v>5146</v>
      </c>
      <c r="G1506" s="12" t="b">
        <v>0</v>
      </c>
      <c r="H1506" s="12" t="b">
        <v>0</v>
      </c>
      <c r="I1506" s="12" t="b">
        <v>0</v>
      </c>
    </row>
    <row r="1507" spans="1:9" x14ac:dyDescent="0.25">
      <c r="A1507" s="12">
        <v>1506</v>
      </c>
      <c r="B1507" s="12" t="s">
        <v>5147</v>
      </c>
      <c r="C1507" s="12" t="s">
        <v>5148</v>
      </c>
      <c r="D1507" s="12" t="s">
        <v>14</v>
      </c>
      <c r="E1507" s="12" t="s">
        <v>5149</v>
      </c>
      <c r="F1507" s="12" t="s">
        <v>5150</v>
      </c>
      <c r="G1507" s="12" t="b">
        <v>1</v>
      </c>
      <c r="H1507" s="12" t="b">
        <v>1</v>
      </c>
      <c r="I1507" s="12" t="b">
        <v>1</v>
      </c>
    </row>
    <row r="1508" spans="1:9" x14ac:dyDescent="0.25">
      <c r="A1508" s="12">
        <v>1507</v>
      </c>
      <c r="B1508" s="12" t="s">
        <v>5151</v>
      </c>
      <c r="C1508" s="12" t="s">
        <v>5152</v>
      </c>
      <c r="D1508" s="12" t="s">
        <v>10</v>
      </c>
      <c r="E1508" s="12" t="s">
        <v>5153</v>
      </c>
      <c r="F1508" s="12" t="s">
        <v>316</v>
      </c>
      <c r="G1508" s="12" t="b">
        <v>0</v>
      </c>
      <c r="H1508" s="12" t="b">
        <v>0</v>
      </c>
      <c r="I1508" s="12" t="b">
        <v>0</v>
      </c>
    </row>
    <row r="1509" spans="1:9" x14ac:dyDescent="0.25">
      <c r="A1509" s="12">
        <v>1508</v>
      </c>
      <c r="B1509" s="12" t="s">
        <v>5154</v>
      </c>
      <c r="C1509" s="12" t="s">
        <v>5155</v>
      </c>
      <c r="D1509" s="12" t="s">
        <v>14</v>
      </c>
      <c r="E1509" s="12" t="s">
        <v>5156</v>
      </c>
      <c r="F1509" s="12" t="s">
        <v>1116</v>
      </c>
      <c r="G1509" s="12" t="b">
        <v>0</v>
      </c>
      <c r="H1509" s="12" t="b">
        <v>0</v>
      </c>
      <c r="I1509" s="12" t="b">
        <v>0</v>
      </c>
    </row>
    <row r="1510" spans="1:9" x14ac:dyDescent="0.25">
      <c r="A1510" s="12">
        <v>1509</v>
      </c>
      <c r="B1510" s="12" t="s">
        <v>5157</v>
      </c>
      <c r="C1510" s="12" t="s">
        <v>5158</v>
      </c>
      <c r="D1510" s="12" t="s">
        <v>14</v>
      </c>
      <c r="E1510" s="12" t="s">
        <v>5159</v>
      </c>
      <c r="F1510" s="12" t="s">
        <v>1181</v>
      </c>
      <c r="G1510" s="12" t="b">
        <v>0</v>
      </c>
      <c r="H1510" s="12" t="b">
        <v>0</v>
      </c>
      <c r="I1510" s="12" t="b">
        <v>0</v>
      </c>
    </row>
    <row r="1511" spans="1:9" x14ac:dyDescent="0.25">
      <c r="A1511" s="12">
        <v>1510</v>
      </c>
      <c r="B1511" s="12" t="s">
        <v>5160</v>
      </c>
      <c r="C1511" s="12" t="s">
        <v>5161</v>
      </c>
      <c r="D1511" s="12" t="s">
        <v>45</v>
      </c>
      <c r="E1511" s="12" t="s">
        <v>5162</v>
      </c>
      <c r="F1511" s="12" t="s">
        <v>1485</v>
      </c>
      <c r="G1511" s="12" t="b">
        <v>0</v>
      </c>
      <c r="H1511" s="12" t="b">
        <v>1</v>
      </c>
      <c r="I1511" s="12" t="b">
        <v>1</v>
      </c>
    </row>
    <row r="1512" spans="1:9" x14ac:dyDescent="0.25">
      <c r="A1512" s="12">
        <v>1511</v>
      </c>
      <c r="B1512" s="12" t="s">
        <v>5163</v>
      </c>
      <c r="C1512" s="12" t="s">
        <v>5164</v>
      </c>
      <c r="D1512" s="12" t="s">
        <v>10</v>
      </c>
      <c r="E1512" s="12" t="s">
        <v>5165</v>
      </c>
      <c r="F1512" s="12" t="s">
        <v>859</v>
      </c>
      <c r="G1512" s="12" t="b">
        <v>1</v>
      </c>
      <c r="H1512" s="12" t="b">
        <v>0</v>
      </c>
      <c r="I1512" s="12" t="b">
        <v>0</v>
      </c>
    </row>
    <row r="1513" spans="1:9" x14ac:dyDescent="0.25">
      <c r="A1513" s="12">
        <v>1512</v>
      </c>
      <c r="B1513" s="12" t="s">
        <v>5166</v>
      </c>
      <c r="C1513" s="12" t="s">
        <v>5167</v>
      </c>
      <c r="D1513" s="12" t="s">
        <v>10</v>
      </c>
      <c r="E1513" s="12" t="s">
        <v>5168</v>
      </c>
      <c r="F1513" s="12" t="s">
        <v>5169</v>
      </c>
      <c r="G1513" s="12" t="b">
        <v>0</v>
      </c>
      <c r="H1513" s="12" t="b">
        <v>0</v>
      </c>
      <c r="I1513" s="12" t="b">
        <v>0</v>
      </c>
    </row>
    <row r="1514" spans="1:9" x14ac:dyDescent="0.25">
      <c r="A1514" s="12">
        <v>1513</v>
      </c>
      <c r="B1514" s="12" t="s">
        <v>5170</v>
      </c>
      <c r="C1514" s="12" t="s">
        <v>5171</v>
      </c>
      <c r="D1514" s="12" t="s">
        <v>14</v>
      </c>
      <c r="E1514" s="12" t="s">
        <v>5172</v>
      </c>
      <c r="F1514" s="12" t="s">
        <v>836</v>
      </c>
      <c r="G1514" s="12" t="b">
        <v>0</v>
      </c>
      <c r="H1514" s="12" t="b">
        <v>0</v>
      </c>
      <c r="I1514" s="12" t="b">
        <v>0</v>
      </c>
    </row>
    <row r="1515" spans="1:9" x14ac:dyDescent="0.25">
      <c r="A1515" s="12">
        <v>1514</v>
      </c>
      <c r="B1515" s="12" t="s">
        <v>5173</v>
      </c>
      <c r="C1515" s="12" t="s">
        <v>5174</v>
      </c>
      <c r="D1515" s="12" t="s">
        <v>14</v>
      </c>
      <c r="E1515" s="12" t="s">
        <v>5175</v>
      </c>
      <c r="F1515" s="12" t="s">
        <v>3115</v>
      </c>
      <c r="G1515" s="12" t="b">
        <v>0</v>
      </c>
      <c r="H1515" s="12" t="b">
        <v>0</v>
      </c>
      <c r="I1515" s="12" t="b">
        <v>0</v>
      </c>
    </row>
    <row r="1516" spans="1:9" x14ac:dyDescent="0.25">
      <c r="A1516" s="12">
        <v>1515</v>
      </c>
      <c r="B1516" s="12" t="s">
        <v>5176</v>
      </c>
      <c r="C1516" s="12" t="s">
        <v>5177</v>
      </c>
      <c r="D1516" s="12" t="s">
        <v>45</v>
      </c>
      <c r="E1516" s="12" t="s">
        <v>5178</v>
      </c>
      <c r="F1516" s="12" t="s">
        <v>5179</v>
      </c>
      <c r="G1516" s="12" t="b">
        <v>0</v>
      </c>
      <c r="H1516" s="12" t="b">
        <v>0</v>
      </c>
      <c r="I1516" s="12" t="b">
        <v>0</v>
      </c>
    </row>
    <row r="1517" spans="1:9" x14ac:dyDescent="0.25">
      <c r="A1517" s="12">
        <v>1516</v>
      </c>
      <c r="B1517" s="12" t="s">
        <v>5180</v>
      </c>
      <c r="C1517" s="12" t="s">
        <v>5181</v>
      </c>
      <c r="D1517" s="12" t="s">
        <v>45</v>
      </c>
      <c r="E1517" s="12" t="s">
        <v>5182</v>
      </c>
      <c r="F1517" s="12" t="s">
        <v>5183</v>
      </c>
      <c r="G1517" s="12" t="b">
        <v>1</v>
      </c>
      <c r="H1517" s="12" t="b">
        <v>0</v>
      </c>
      <c r="I1517" s="12" t="b">
        <v>0</v>
      </c>
    </row>
    <row r="1518" spans="1:9" x14ac:dyDescent="0.25">
      <c r="A1518" s="12">
        <v>1517</v>
      </c>
      <c r="B1518" s="12" t="s">
        <v>5184</v>
      </c>
      <c r="C1518" s="12" t="s">
        <v>5185</v>
      </c>
      <c r="D1518" s="12" t="s">
        <v>10</v>
      </c>
      <c r="E1518" s="12" t="s">
        <v>5186</v>
      </c>
      <c r="F1518" s="12" t="s">
        <v>859</v>
      </c>
      <c r="G1518" s="12" t="b">
        <v>1</v>
      </c>
      <c r="H1518" s="12" t="b">
        <v>0</v>
      </c>
      <c r="I1518" s="12" t="b">
        <v>0</v>
      </c>
    </row>
    <row r="1519" spans="1:9" x14ac:dyDescent="0.25">
      <c r="A1519" s="12">
        <v>1518</v>
      </c>
      <c r="B1519" s="12" t="s">
        <v>5187</v>
      </c>
      <c r="C1519" s="12" t="s">
        <v>5188</v>
      </c>
      <c r="D1519" s="12" t="s">
        <v>10</v>
      </c>
      <c r="E1519" s="12" t="s">
        <v>5189</v>
      </c>
      <c r="F1519" s="12" t="s">
        <v>3837</v>
      </c>
      <c r="G1519" s="12" t="b">
        <v>0</v>
      </c>
      <c r="H1519" s="12" t="b">
        <v>0</v>
      </c>
      <c r="I1519" s="12" t="b">
        <v>0</v>
      </c>
    </row>
    <row r="1520" spans="1:9" x14ac:dyDescent="0.25">
      <c r="A1520" s="12">
        <v>1519</v>
      </c>
      <c r="B1520" s="12" t="s">
        <v>5190</v>
      </c>
      <c r="C1520" s="12" t="s">
        <v>5191</v>
      </c>
      <c r="D1520" s="12" t="s">
        <v>14</v>
      </c>
      <c r="E1520" s="12" t="s">
        <v>5192</v>
      </c>
      <c r="F1520" s="12" t="s">
        <v>5193</v>
      </c>
      <c r="G1520" s="12" t="b">
        <v>0</v>
      </c>
      <c r="H1520" s="12" t="b">
        <v>0</v>
      </c>
      <c r="I1520" s="12" t="b">
        <v>0</v>
      </c>
    </row>
    <row r="1521" spans="1:9" x14ac:dyDescent="0.25">
      <c r="A1521" s="12">
        <v>1520</v>
      </c>
      <c r="B1521" s="12" t="s">
        <v>5194</v>
      </c>
      <c r="C1521" s="12" t="s">
        <v>5195</v>
      </c>
      <c r="D1521" s="12" t="s">
        <v>45</v>
      </c>
      <c r="E1521" s="12" t="s">
        <v>5196</v>
      </c>
      <c r="F1521" s="12" t="s">
        <v>3455</v>
      </c>
      <c r="G1521" s="12" t="b">
        <v>0</v>
      </c>
      <c r="H1521" s="12" t="b">
        <v>0</v>
      </c>
      <c r="I1521" s="12" t="b">
        <v>0</v>
      </c>
    </row>
    <row r="1522" spans="1:9" x14ac:dyDescent="0.25">
      <c r="A1522" s="12">
        <v>1521</v>
      </c>
      <c r="B1522" s="12" t="s">
        <v>5197</v>
      </c>
      <c r="C1522" s="12" t="s">
        <v>5198</v>
      </c>
      <c r="D1522" s="12" t="s">
        <v>45</v>
      </c>
      <c r="E1522" s="12" t="s">
        <v>5199</v>
      </c>
      <c r="F1522" s="12" t="s">
        <v>5200</v>
      </c>
      <c r="G1522" s="12" t="b">
        <v>0</v>
      </c>
      <c r="H1522" s="12" t="b">
        <v>0</v>
      </c>
      <c r="I1522" s="12" t="b">
        <v>0</v>
      </c>
    </row>
    <row r="1523" spans="1:9" x14ac:dyDescent="0.25">
      <c r="A1523" s="12">
        <v>1522</v>
      </c>
      <c r="B1523" s="12" t="s">
        <v>5201</v>
      </c>
      <c r="C1523" s="12" t="s">
        <v>5202</v>
      </c>
      <c r="D1523" s="12" t="s">
        <v>14</v>
      </c>
      <c r="E1523" s="12" t="s">
        <v>5203</v>
      </c>
      <c r="F1523" s="12" t="s">
        <v>5183</v>
      </c>
      <c r="G1523" s="12" t="b">
        <v>1</v>
      </c>
      <c r="H1523" s="12" t="b">
        <v>1</v>
      </c>
      <c r="I1523" s="12" t="b">
        <v>1</v>
      </c>
    </row>
    <row r="1524" spans="1:9" x14ac:dyDescent="0.25">
      <c r="A1524" s="12">
        <v>1523</v>
      </c>
      <c r="B1524" s="12" t="s">
        <v>5204</v>
      </c>
      <c r="C1524" s="12" t="s">
        <v>5205</v>
      </c>
      <c r="D1524" s="12" t="s">
        <v>10</v>
      </c>
      <c r="E1524" s="12" t="s">
        <v>5206</v>
      </c>
      <c r="F1524" s="12" t="s">
        <v>315</v>
      </c>
      <c r="G1524" s="12" t="b">
        <v>0</v>
      </c>
      <c r="H1524" s="12" t="b">
        <v>0</v>
      </c>
      <c r="I1524" s="12" t="b">
        <v>0</v>
      </c>
    </row>
    <row r="1525" spans="1:9" x14ac:dyDescent="0.25">
      <c r="A1525" s="12">
        <v>1524</v>
      </c>
      <c r="B1525" s="12" t="s">
        <v>5207</v>
      </c>
      <c r="C1525" s="12" t="s">
        <v>5208</v>
      </c>
      <c r="D1525" s="12" t="s">
        <v>14</v>
      </c>
      <c r="E1525" s="12" t="s">
        <v>5209</v>
      </c>
      <c r="F1525" s="12" t="s">
        <v>5210</v>
      </c>
      <c r="G1525" s="12" t="b">
        <v>0</v>
      </c>
      <c r="H1525" s="12" t="b">
        <v>0</v>
      </c>
      <c r="I1525" s="12" t="b">
        <v>0</v>
      </c>
    </row>
    <row r="1526" spans="1:9" x14ac:dyDescent="0.25">
      <c r="A1526" s="12">
        <v>1525</v>
      </c>
      <c r="B1526" s="12" t="s">
        <v>5211</v>
      </c>
      <c r="C1526" s="12" t="s">
        <v>5212</v>
      </c>
      <c r="D1526" s="12" t="s">
        <v>14</v>
      </c>
      <c r="E1526" s="12" t="s">
        <v>5213</v>
      </c>
      <c r="F1526" s="12" t="s">
        <v>5214</v>
      </c>
      <c r="G1526" s="12" t="b">
        <v>0</v>
      </c>
      <c r="H1526" s="12" t="b">
        <v>0</v>
      </c>
      <c r="I1526" s="12" t="b">
        <v>0</v>
      </c>
    </row>
    <row r="1527" spans="1:9" x14ac:dyDescent="0.25">
      <c r="A1527" s="12">
        <v>1526</v>
      </c>
      <c r="B1527" s="12" t="s">
        <v>5215</v>
      </c>
      <c r="C1527" s="12" t="s">
        <v>5216</v>
      </c>
      <c r="D1527" s="12" t="s">
        <v>45</v>
      </c>
      <c r="E1527" s="12" t="s">
        <v>5217</v>
      </c>
      <c r="F1527" s="12" t="s">
        <v>5218</v>
      </c>
      <c r="G1527" s="12" t="b">
        <v>0</v>
      </c>
      <c r="H1527" s="12" t="b">
        <v>0</v>
      </c>
      <c r="I1527" s="12" t="b">
        <v>0</v>
      </c>
    </row>
    <row r="1528" spans="1:9" x14ac:dyDescent="0.25">
      <c r="A1528" s="12">
        <v>1527</v>
      </c>
      <c r="B1528" s="12" t="s">
        <v>5219</v>
      </c>
      <c r="C1528" s="12" t="s">
        <v>5220</v>
      </c>
      <c r="D1528" s="12" t="s">
        <v>10</v>
      </c>
      <c r="E1528" s="12" t="s">
        <v>5221</v>
      </c>
      <c r="F1528" s="12" t="s">
        <v>859</v>
      </c>
      <c r="G1528" s="12" t="b">
        <v>0</v>
      </c>
      <c r="H1528" s="12" t="b">
        <v>0</v>
      </c>
      <c r="I1528" s="12" t="b">
        <v>0</v>
      </c>
    </row>
    <row r="1529" spans="1:9" x14ac:dyDescent="0.25">
      <c r="A1529" s="12">
        <v>1528</v>
      </c>
      <c r="B1529" s="12" t="s">
        <v>5222</v>
      </c>
      <c r="C1529" s="12" t="s">
        <v>5223</v>
      </c>
      <c r="D1529" s="12" t="s">
        <v>10</v>
      </c>
      <c r="E1529" s="12" t="s">
        <v>5224</v>
      </c>
      <c r="F1529" s="12" t="s">
        <v>1072</v>
      </c>
      <c r="G1529" s="12" t="b">
        <v>0</v>
      </c>
      <c r="H1529" s="12" t="b">
        <v>0</v>
      </c>
      <c r="I1529" s="12" t="b">
        <v>0</v>
      </c>
    </row>
    <row r="1530" spans="1:9" x14ac:dyDescent="0.25">
      <c r="A1530" s="12">
        <v>1529</v>
      </c>
      <c r="B1530" s="12" t="s">
        <v>5225</v>
      </c>
      <c r="C1530" s="12" t="s">
        <v>5226</v>
      </c>
      <c r="D1530" s="12" t="s">
        <v>14</v>
      </c>
      <c r="E1530" s="12" t="s">
        <v>5227</v>
      </c>
      <c r="F1530" s="12" t="s">
        <v>3455</v>
      </c>
      <c r="G1530" s="12" t="b">
        <v>0</v>
      </c>
      <c r="H1530" s="12" t="b">
        <v>0</v>
      </c>
      <c r="I1530" s="12" t="b">
        <v>0</v>
      </c>
    </row>
    <row r="1531" spans="1:9" x14ac:dyDescent="0.25">
      <c r="A1531" s="12">
        <v>1530</v>
      </c>
      <c r="B1531" s="12" t="s">
        <v>5228</v>
      </c>
      <c r="C1531" s="12" t="s">
        <v>5229</v>
      </c>
      <c r="D1531" s="12" t="s">
        <v>14</v>
      </c>
      <c r="E1531" s="12" t="s">
        <v>5230</v>
      </c>
      <c r="F1531" s="12" t="s">
        <v>658</v>
      </c>
      <c r="G1531" s="12" t="b">
        <v>0</v>
      </c>
      <c r="H1531" s="12" t="b">
        <v>0</v>
      </c>
      <c r="I1531" s="12" t="b">
        <v>0</v>
      </c>
    </row>
    <row r="1532" spans="1:9" x14ac:dyDescent="0.25">
      <c r="A1532" s="12">
        <v>1531</v>
      </c>
      <c r="B1532" s="12" t="s">
        <v>5231</v>
      </c>
      <c r="C1532" s="12" t="s">
        <v>5232</v>
      </c>
      <c r="D1532" s="12" t="s">
        <v>45</v>
      </c>
      <c r="E1532" s="12" t="s">
        <v>5233</v>
      </c>
      <c r="F1532" s="12" t="s">
        <v>340</v>
      </c>
      <c r="G1532" s="12" t="b">
        <v>0</v>
      </c>
      <c r="H1532" s="12" t="b">
        <v>0</v>
      </c>
      <c r="I1532" s="12" t="b">
        <v>0</v>
      </c>
    </row>
    <row r="1533" spans="1:9" x14ac:dyDescent="0.25">
      <c r="A1533" s="12">
        <v>1532</v>
      </c>
      <c r="B1533" s="12" t="s">
        <v>5234</v>
      </c>
      <c r="C1533" s="12" t="s">
        <v>5235</v>
      </c>
      <c r="D1533" s="12" t="s">
        <v>14</v>
      </c>
      <c r="E1533" s="12" t="s">
        <v>5236</v>
      </c>
      <c r="F1533" s="12" t="s">
        <v>859</v>
      </c>
      <c r="G1533" s="12" t="b">
        <v>1</v>
      </c>
      <c r="H1533" s="12" t="b">
        <v>0</v>
      </c>
      <c r="I1533" s="12" t="b">
        <v>0</v>
      </c>
    </row>
    <row r="1534" spans="1:9" x14ac:dyDescent="0.25">
      <c r="A1534" s="12">
        <v>1533</v>
      </c>
      <c r="B1534" s="12" t="s">
        <v>5237</v>
      </c>
      <c r="C1534" s="12" t="s">
        <v>5238</v>
      </c>
      <c r="D1534" s="12" t="s">
        <v>14</v>
      </c>
      <c r="E1534" s="12" t="s">
        <v>5239</v>
      </c>
      <c r="F1534" s="12" t="s">
        <v>2526</v>
      </c>
      <c r="G1534" s="12" t="b">
        <v>1</v>
      </c>
      <c r="H1534" s="12" t="b">
        <v>0</v>
      </c>
      <c r="I1534" s="12" t="b">
        <v>0</v>
      </c>
    </row>
    <row r="1535" spans="1:9" x14ac:dyDescent="0.25">
      <c r="A1535" s="12">
        <v>1534</v>
      </c>
      <c r="B1535" s="12" t="s">
        <v>5240</v>
      </c>
      <c r="C1535" s="12" t="s">
        <v>5241</v>
      </c>
      <c r="D1535" s="12" t="s">
        <v>10</v>
      </c>
      <c r="E1535" s="12" t="s">
        <v>5242</v>
      </c>
      <c r="F1535" s="12" t="s">
        <v>5243</v>
      </c>
      <c r="G1535" s="12" t="b">
        <v>0</v>
      </c>
      <c r="H1535" s="12" t="b">
        <v>0</v>
      </c>
      <c r="I1535" s="12" t="b">
        <v>0</v>
      </c>
    </row>
    <row r="1536" spans="1:9" x14ac:dyDescent="0.25">
      <c r="A1536" s="12">
        <v>1535</v>
      </c>
      <c r="B1536" s="12" t="s">
        <v>5244</v>
      </c>
      <c r="C1536" s="12" t="s">
        <v>5245</v>
      </c>
      <c r="D1536" s="12" t="s">
        <v>14</v>
      </c>
      <c r="E1536" s="12" t="s">
        <v>5246</v>
      </c>
      <c r="F1536" s="12" t="s">
        <v>1877</v>
      </c>
      <c r="G1536" s="12" t="b">
        <v>0</v>
      </c>
      <c r="H1536" s="12" t="b">
        <v>0</v>
      </c>
      <c r="I1536" s="12" t="b">
        <v>0</v>
      </c>
    </row>
    <row r="1537" spans="1:9" x14ac:dyDescent="0.25">
      <c r="A1537" s="12">
        <v>1536</v>
      </c>
      <c r="B1537" s="12" t="s">
        <v>5247</v>
      </c>
      <c r="C1537" s="12" t="s">
        <v>5248</v>
      </c>
      <c r="D1537" s="12" t="s">
        <v>14</v>
      </c>
      <c r="E1537" s="12" t="s">
        <v>5249</v>
      </c>
      <c r="F1537" s="12" t="s">
        <v>2867</v>
      </c>
      <c r="G1537" s="12" t="b">
        <v>0</v>
      </c>
      <c r="H1537" s="12" t="b">
        <v>0</v>
      </c>
      <c r="I1537" s="12" t="b">
        <v>0</v>
      </c>
    </row>
    <row r="1538" spans="1:9" x14ac:dyDescent="0.25">
      <c r="A1538" s="12">
        <v>1537</v>
      </c>
      <c r="B1538" s="12" t="s">
        <v>5250</v>
      </c>
      <c r="C1538" s="12" t="s">
        <v>5251</v>
      </c>
      <c r="D1538" s="12" t="s">
        <v>45</v>
      </c>
      <c r="E1538" s="12" t="s">
        <v>5252</v>
      </c>
      <c r="F1538" s="12" t="s">
        <v>5253</v>
      </c>
      <c r="G1538" s="12" t="b">
        <v>0</v>
      </c>
      <c r="H1538" s="12" t="b">
        <v>0</v>
      </c>
      <c r="I1538" s="12" t="b">
        <v>0</v>
      </c>
    </row>
    <row r="1539" spans="1:9" x14ac:dyDescent="0.25">
      <c r="A1539" s="12">
        <v>1538</v>
      </c>
      <c r="B1539" s="12" t="s">
        <v>5254</v>
      </c>
      <c r="C1539" s="12" t="s">
        <v>5255</v>
      </c>
      <c r="D1539" s="12" t="s">
        <v>14</v>
      </c>
      <c r="E1539" s="12" t="s">
        <v>5256</v>
      </c>
      <c r="F1539" s="12" t="s">
        <v>5257</v>
      </c>
      <c r="G1539" s="12" t="b">
        <v>1</v>
      </c>
      <c r="H1539" s="12" t="b">
        <v>0</v>
      </c>
      <c r="I1539" s="12" t="b">
        <v>0</v>
      </c>
    </row>
    <row r="1540" spans="1:9" x14ac:dyDescent="0.25">
      <c r="A1540" s="12">
        <v>1539</v>
      </c>
      <c r="B1540" s="12" t="s">
        <v>5258</v>
      </c>
      <c r="C1540" s="12" t="s">
        <v>5259</v>
      </c>
      <c r="D1540" s="12" t="s">
        <v>10</v>
      </c>
      <c r="E1540" s="12" t="s">
        <v>5260</v>
      </c>
      <c r="F1540" s="12" t="s">
        <v>426</v>
      </c>
      <c r="G1540" s="12" t="b">
        <v>0</v>
      </c>
      <c r="H1540" s="12" t="b">
        <v>1</v>
      </c>
      <c r="I1540" s="12" t="b">
        <v>1</v>
      </c>
    </row>
    <row r="1541" spans="1:9" x14ac:dyDescent="0.25">
      <c r="A1541" s="12">
        <v>1540</v>
      </c>
      <c r="B1541" s="12" t="s">
        <v>5261</v>
      </c>
      <c r="C1541" s="12" t="s">
        <v>5262</v>
      </c>
      <c r="D1541" s="12" t="s">
        <v>14</v>
      </c>
      <c r="E1541" s="12" t="s">
        <v>5263</v>
      </c>
      <c r="F1541" s="12" t="s">
        <v>952</v>
      </c>
      <c r="G1541" s="12" t="b">
        <v>0</v>
      </c>
      <c r="H1541" s="12" t="b">
        <v>0</v>
      </c>
      <c r="I1541" s="12" t="b">
        <v>0</v>
      </c>
    </row>
    <row r="1542" spans="1:9" x14ac:dyDescent="0.25">
      <c r="A1542" s="12">
        <v>1541</v>
      </c>
      <c r="B1542" s="12" t="s">
        <v>5264</v>
      </c>
      <c r="C1542" s="12" t="s">
        <v>5265</v>
      </c>
      <c r="D1542" s="12" t="s">
        <v>14</v>
      </c>
      <c r="E1542" s="12" t="s">
        <v>5266</v>
      </c>
      <c r="F1542" s="12" t="s">
        <v>3249</v>
      </c>
      <c r="G1542" s="12" t="b">
        <v>0</v>
      </c>
      <c r="H1542" s="12" t="b">
        <v>0</v>
      </c>
      <c r="I1542" s="12" t="b">
        <v>0</v>
      </c>
    </row>
    <row r="1543" spans="1:9" x14ac:dyDescent="0.25">
      <c r="A1543" s="12">
        <v>1542</v>
      </c>
      <c r="B1543" s="12" t="s">
        <v>5267</v>
      </c>
      <c r="C1543" s="12" t="s">
        <v>5268</v>
      </c>
      <c r="D1543" s="12" t="s">
        <v>45</v>
      </c>
      <c r="E1543" s="12" t="s">
        <v>5269</v>
      </c>
      <c r="F1543" s="12" t="s">
        <v>1137</v>
      </c>
      <c r="G1543" s="12" t="b">
        <v>0</v>
      </c>
      <c r="H1543" s="12" t="b">
        <v>0</v>
      </c>
      <c r="I1543" s="12" t="b">
        <v>0</v>
      </c>
    </row>
    <row r="1544" spans="1:9" x14ac:dyDescent="0.25">
      <c r="A1544" s="12">
        <v>1543</v>
      </c>
      <c r="B1544" s="12" t="s">
        <v>5270</v>
      </c>
      <c r="C1544" s="12" t="s">
        <v>5271</v>
      </c>
      <c r="D1544" s="12" t="s">
        <v>10</v>
      </c>
      <c r="E1544" s="12" t="s">
        <v>5272</v>
      </c>
      <c r="F1544" s="12" t="s">
        <v>859</v>
      </c>
      <c r="G1544" s="12" t="b">
        <v>1</v>
      </c>
      <c r="H1544" s="12" t="b">
        <v>0</v>
      </c>
      <c r="I1544" s="12" t="b">
        <v>0</v>
      </c>
    </row>
    <row r="1545" spans="1:9" x14ac:dyDescent="0.25">
      <c r="A1545" s="12">
        <v>1544</v>
      </c>
      <c r="B1545" s="12" t="s">
        <v>5273</v>
      </c>
      <c r="C1545" s="12" t="s">
        <v>5274</v>
      </c>
      <c r="D1545" s="12" t="s">
        <v>10</v>
      </c>
      <c r="E1545" s="12" t="s">
        <v>5275</v>
      </c>
      <c r="F1545" s="12" t="s">
        <v>387</v>
      </c>
      <c r="G1545" s="12" t="b">
        <v>0</v>
      </c>
      <c r="H1545" s="12" t="b">
        <v>0</v>
      </c>
      <c r="I1545" s="12" t="b">
        <v>0</v>
      </c>
    </row>
    <row r="1546" spans="1:9" x14ac:dyDescent="0.25">
      <c r="A1546" s="12">
        <v>1545</v>
      </c>
      <c r="B1546" s="12" t="s">
        <v>5276</v>
      </c>
      <c r="C1546" s="12" t="s">
        <v>5277</v>
      </c>
      <c r="D1546" s="12" t="s">
        <v>14</v>
      </c>
      <c r="E1546" s="12" t="s">
        <v>5278</v>
      </c>
      <c r="F1546" s="12" t="s">
        <v>2716</v>
      </c>
      <c r="G1546" s="12" t="b">
        <v>0</v>
      </c>
      <c r="H1546" s="12" t="b">
        <v>0</v>
      </c>
      <c r="I1546" s="12" t="b">
        <v>0</v>
      </c>
    </row>
    <row r="1547" spans="1:9" x14ac:dyDescent="0.25">
      <c r="A1547" s="12">
        <v>1546</v>
      </c>
      <c r="B1547" s="12" t="s">
        <v>5279</v>
      </c>
      <c r="C1547" s="12" t="s">
        <v>5280</v>
      </c>
      <c r="D1547" s="12" t="s">
        <v>14</v>
      </c>
      <c r="E1547" s="12" t="s">
        <v>5281</v>
      </c>
      <c r="F1547" s="12" t="s">
        <v>5282</v>
      </c>
      <c r="G1547" s="12" t="b">
        <v>0</v>
      </c>
      <c r="H1547" s="12" t="b">
        <v>0</v>
      </c>
      <c r="I1547" s="12" t="b">
        <v>0</v>
      </c>
    </row>
    <row r="1548" spans="1:9" x14ac:dyDescent="0.25">
      <c r="A1548" s="12">
        <v>1547</v>
      </c>
      <c r="B1548" s="12" t="s">
        <v>5283</v>
      </c>
      <c r="C1548" s="12" t="s">
        <v>5284</v>
      </c>
      <c r="D1548" s="12" t="s">
        <v>45</v>
      </c>
      <c r="E1548" s="12" t="s">
        <v>5285</v>
      </c>
      <c r="F1548" s="12" t="s">
        <v>681</v>
      </c>
      <c r="G1548" s="12" t="b">
        <v>0</v>
      </c>
      <c r="H1548" s="12" t="b">
        <v>0</v>
      </c>
      <c r="I1548" s="12" t="b">
        <v>0</v>
      </c>
    </row>
    <row r="1549" spans="1:9" x14ac:dyDescent="0.25">
      <c r="A1549" s="12">
        <v>1548</v>
      </c>
      <c r="B1549" s="12" t="s">
        <v>5286</v>
      </c>
      <c r="C1549" s="12" t="s">
        <v>5287</v>
      </c>
      <c r="D1549" s="12" t="s">
        <v>45</v>
      </c>
      <c r="E1549" s="12" t="s">
        <v>5288</v>
      </c>
      <c r="F1549" s="12" t="s">
        <v>5289</v>
      </c>
      <c r="G1549" s="12" t="b">
        <v>1</v>
      </c>
      <c r="H1549" s="12" t="b">
        <v>0</v>
      </c>
      <c r="I1549" s="12" t="b">
        <v>0</v>
      </c>
    </row>
    <row r="1550" spans="1:9" x14ac:dyDescent="0.25">
      <c r="A1550" s="12">
        <v>1549</v>
      </c>
      <c r="B1550" s="12" t="s">
        <v>5290</v>
      </c>
      <c r="C1550" s="12" t="s">
        <v>5291</v>
      </c>
      <c r="D1550" s="12" t="s">
        <v>14</v>
      </c>
      <c r="E1550" s="12" t="s">
        <v>5292</v>
      </c>
      <c r="F1550" s="12" t="s">
        <v>859</v>
      </c>
      <c r="G1550" s="12" t="b">
        <v>1</v>
      </c>
      <c r="H1550" s="12" t="b">
        <v>0</v>
      </c>
      <c r="I1550" s="12" t="b">
        <v>0</v>
      </c>
    </row>
    <row r="1551" spans="1:9" x14ac:dyDescent="0.25">
      <c r="A1551" s="12">
        <v>1550</v>
      </c>
      <c r="B1551" s="12" t="s">
        <v>5293</v>
      </c>
      <c r="C1551" s="12" t="s">
        <v>5294</v>
      </c>
      <c r="D1551" s="12" t="s">
        <v>10</v>
      </c>
      <c r="E1551" s="12" t="s">
        <v>5295</v>
      </c>
      <c r="F1551" s="12" t="s">
        <v>317</v>
      </c>
      <c r="G1551" s="12" t="b">
        <v>0</v>
      </c>
      <c r="H1551" s="12" t="b">
        <v>0</v>
      </c>
      <c r="I1551" s="12" t="b">
        <v>0</v>
      </c>
    </row>
    <row r="1552" spans="1:9" x14ac:dyDescent="0.25">
      <c r="A1552" s="12">
        <v>1551</v>
      </c>
      <c r="B1552" s="12" t="s">
        <v>5296</v>
      </c>
      <c r="C1552" s="12" t="s">
        <v>5297</v>
      </c>
      <c r="D1552" s="12" t="s">
        <v>14</v>
      </c>
      <c r="E1552" s="12" t="s">
        <v>5298</v>
      </c>
      <c r="F1552" s="12" t="s">
        <v>315</v>
      </c>
      <c r="G1552" s="12" t="b">
        <v>0</v>
      </c>
      <c r="H1552" s="12" t="b">
        <v>1</v>
      </c>
      <c r="I1552" s="12" t="b">
        <v>1</v>
      </c>
    </row>
    <row r="1553" spans="1:9" x14ac:dyDescent="0.25">
      <c r="A1553" s="12">
        <v>1552</v>
      </c>
      <c r="B1553" s="12" t="s">
        <v>5299</v>
      </c>
      <c r="C1553" s="12" t="s">
        <v>5300</v>
      </c>
      <c r="D1553" s="12" t="s">
        <v>14</v>
      </c>
      <c r="E1553" s="12" t="s">
        <v>5301</v>
      </c>
      <c r="F1553" s="12" t="s">
        <v>1690</v>
      </c>
      <c r="G1553" s="12" t="b">
        <v>0</v>
      </c>
      <c r="H1553" s="12" t="b">
        <v>0</v>
      </c>
      <c r="I1553" s="12" t="b">
        <v>0</v>
      </c>
    </row>
    <row r="1554" spans="1:9" x14ac:dyDescent="0.25">
      <c r="A1554" s="12">
        <v>1553</v>
      </c>
      <c r="B1554" s="12" t="s">
        <v>5302</v>
      </c>
      <c r="C1554" s="12" t="s">
        <v>5303</v>
      </c>
      <c r="D1554" s="12" t="s">
        <v>45</v>
      </c>
      <c r="E1554" s="12" t="s">
        <v>5304</v>
      </c>
      <c r="F1554" s="12" t="s">
        <v>5305</v>
      </c>
      <c r="G1554" s="12" t="b">
        <v>0</v>
      </c>
      <c r="H1554" s="12" t="b">
        <v>0</v>
      </c>
      <c r="I1554" s="12" t="b">
        <v>0</v>
      </c>
    </row>
    <row r="1555" spans="1:9" x14ac:dyDescent="0.25">
      <c r="A1555" s="12">
        <v>1554</v>
      </c>
      <c r="B1555" s="12" t="s">
        <v>5306</v>
      </c>
      <c r="C1555" s="12" t="s">
        <v>5307</v>
      </c>
      <c r="D1555" s="12" t="s">
        <v>14</v>
      </c>
      <c r="E1555" s="12" t="s">
        <v>5308</v>
      </c>
      <c r="F1555" s="12" t="s">
        <v>5309</v>
      </c>
      <c r="G1555" s="12" t="b">
        <v>1</v>
      </c>
      <c r="H1555" s="12" t="b">
        <v>0</v>
      </c>
      <c r="I1555" s="12" t="b">
        <v>0</v>
      </c>
    </row>
    <row r="1556" spans="1:9" x14ac:dyDescent="0.25">
      <c r="A1556" s="12">
        <v>1555</v>
      </c>
      <c r="B1556" s="12" t="s">
        <v>5310</v>
      </c>
      <c r="C1556" s="12" t="s">
        <v>5311</v>
      </c>
      <c r="D1556" s="12" t="s">
        <v>14</v>
      </c>
      <c r="E1556" s="12" t="s">
        <v>5312</v>
      </c>
      <c r="F1556" s="12" t="s">
        <v>859</v>
      </c>
      <c r="G1556" s="12" t="b">
        <v>1</v>
      </c>
      <c r="H1556" s="12" t="b">
        <v>0</v>
      </c>
      <c r="I1556" s="12" t="b">
        <v>0</v>
      </c>
    </row>
    <row r="1557" spans="1:9" x14ac:dyDescent="0.25">
      <c r="A1557" s="12">
        <v>1556</v>
      </c>
      <c r="B1557" s="12" t="s">
        <v>5313</v>
      </c>
      <c r="C1557" s="12" t="s">
        <v>5314</v>
      </c>
      <c r="D1557" s="12" t="s">
        <v>10</v>
      </c>
      <c r="E1557" s="12" t="s">
        <v>5315</v>
      </c>
      <c r="F1557" s="12" t="s">
        <v>316</v>
      </c>
      <c r="G1557" s="12" t="b">
        <v>0</v>
      </c>
      <c r="H1557" s="12" t="b">
        <v>0</v>
      </c>
      <c r="I1557" s="12" t="b">
        <v>0</v>
      </c>
    </row>
    <row r="1558" spans="1:9" x14ac:dyDescent="0.25">
      <c r="A1558" s="12">
        <v>1557</v>
      </c>
      <c r="B1558" s="12" t="s">
        <v>5316</v>
      </c>
      <c r="C1558" s="12" t="s">
        <v>5317</v>
      </c>
      <c r="D1558" s="12" t="s">
        <v>14</v>
      </c>
      <c r="E1558" s="12" t="s">
        <v>5318</v>
      </c>
      <c r="F1558" s="12" t="s">
        <v>121</v>
      </c>
      <c r="G1558" s="12" t="b">
        <v>0</v>
      </c>
      <c r="H1558" s="12" t="b">
        <v>0</v>
      </c>
      <c r="I1558" s="12" t="b">
        <v>0</v>
      </c>
    </row>
    <row r="1559" spans="1:9" x14ac:dyDescent="0.25">
      <c r="A1559" s="12">
        <v>1558</v>
      </c>
      <c r="B1559" s="12" t="s">
        <v>5319</v>
      </c>
      <c r="C1559" s="12" t="s">
        <v>5320</v>
      </c>
      <c r="D1559" s="12" t="s">
        <v>14</v>
      </c>
      <c r="E1559" s="12" t="s">
        <v>5321</v>
      </c>
      <c r="F1559" s="12" t="s">
        <v>732</v>
      </c>
      <c r="G1559" s="12" t="b">
        <v>0</v>
      </c>
      <c r="H1559" s="12" t="b">
        <v>0</v>
      </c>
      <c r="I1559" s="12" t="b">
        <v>0</v>
      </c>
    </row>
    <row r="1560" spans="1:9" x14ac:dyDescent="0.25">
      <c r="A1560" s="12">
        <v>1559</v>
      </c>
      <c r="B1560" s="12" t="s">
        <v>5322</v>
      </c>
      <c r="C1560" s="12" t="s">
        <v>5323</v>
      </c>
      <c r="D1560" s="12" t="s">
        <v>14</v>
      </c>
      <c r="E1560" s="12" t="s">
        <v>5324</v>
      </c>
      <c r="F1560" s="12" t="s">
        <v>720</v>
      </c>
      <c r="G1560" s="12" t="b">
        <v>0</v>
      </c>
      <c r="H1560" s="12" t="b">
        <v>0</v>
      </c>
      <c r="I1560" s="12" t="b">
        <v>0</v>
      </c>
    </row>
    <row r="1561" spans="1:9" x14ac:dyDescent="0.25">
      <c r="A1561" s="12">
        <v>1560</v>
      </c>
      <c r="B1561" s="12" t="s">
        <v>5325</v>
      </c>
      <c r="C1561" s="12" t="s">
        <v>5326</v>
      </c>
      <c r="D1561" s="12" t="s">
        <v>10</v>
      </c>
      <c r="E1561" s="12" t="s">
        <v>5327</v>
      </c>
      <c r="F1561" s="12" t="s">
        <v>1877</v>
      </c>
      <c r="G1561" s="12" t="b">
        <v>0</v>
      </c>
      <c r="H1561" s="12" t="b">
        <v>0</v>
      </c>
      <c r="I1561" s="12" t="b">
        <v>0</v>
      </c>
    </row>
    <row r="1562" spans="1:9" x14ac:dyDescent="0.25">
      <c r="A1562" s="12">
        <v>1561</v>
      </c>
      <c r="B1562" s="12" t="s">
        <v>5328</v>
      </c>
      <c r="C1562" s="12" t="s">
        <v>5329</v>
      </c>
      <c r="D1562" s="12" t="s">
        <v>14</v>
      </c>
      <c r="E1562" s="12" t="s">
        <v>5330</v>
      </c>
      <c r="F1562" s="12" t="s">
        <v>5331</v>
      </c>
      <c r="G1562" s="12" t="b">
        <v>0</v>
      </c>
      <c r="H1562" s="12" t="b">
        <v>0</v>
      </c>
      <c r="I1562" s="12" t="b">
        <v>0</v>
      </c>
    </row>
    <row r="1563" spans="1:9" x14ac:dyDescent="0.25">
      <c r="A1563" s="12">
        <v>1562</v>
      </c>
      <c r="B1563" s="12" t="s">
        <v>5332</v>
      </c>
      <c r="C1563" s="12" t="s">
        <v>5333</v>
      </c>
      <c r="D1563" s="12" t="s">
        <v>14</v>
      </c>
      <c r="E1563" s="12" t="s">
        <v>5334</v>
      </c>
      <c r="F1563" s="12" t="s">
        <v>5335</v>
      </c>
      <c r="G1563" s="12" t="b">
        <v>0</v>
      </c>
      <c r="H1563" s="12" t="b">
        <v>0</v>
      </c>
      <c r="I1563" s="12" t="b">
        <v>0</v>
      </c>
    </row>
    <row r="1564" spans="1:9" x14ac:dyDescent="0.25">
      <c r="A1564" s="12">
        <v>1563</v>
      </c>
      <c r="B1564" s="12" t="s">
        <v>5336</v>
      </c>
      <c r="C1564" s="12" t="s">
        <v>5337</v>
      </c>
      <c r="D1564" s="12" t="s">
        <v>45</v>
      </c>
      <c r="E1564" s="12" t="s">
        <v>5338</v>
      </c>
      <c r="F1564" s="12" t="s">
        <v>3098</v>
      </c>
      <c r="G1564" s="12" t="b">
        <v>0</v>
      </c>
      <c r="H1564" s="12" t="b">
        <v>0</v>
      </c>
      <c r="I1564" s="12" t="b">
        <v>0</v>
      </c>
    </row>
    <row r="1565" spans="1:9" x14ac:dyDescent="0.25">
      <c r="A1565" s="12">
        <v>1564</v>
      </c>
      <c r="B1565" s="12" t="s">
        <v>5339</v>
      </c>
      <c r="C1565" s="12" t="s">
        <v>5340</v>
      </c>
      <c r="D1565" s="12" t="s">
        <v>14</v>
      </c>
      <c r="E1565" s="12" t="s">
        <v>5341</v>
      </c>
      <c r="F1565" s="12" t="s">
        <v>1181</v>
      </c>
      <c r="G1565" s="12" t="b">
        <v>1</v>
      </c>
      <c r="H1565" s="12" t="b">
        <v>1</v>
      </c>
      <c r="I1565" s="12" t="b">
        <v>1</v>
      </c>
    </row>
    <row r="1566" spans="1:9" x14ac:dyDescent="0.25">
      <c r="A1566" s="12">
        <v>1565</v>
      </c>
      <c r="B1566" s="12" t="s">
        <v>5342</v>
      </c>
      <c r="C1566" s="12" t="s">
        <v>5343</v>
      </c>
      <c r="D1566" s="12" t="s">
        <v>10</v>
      </c>
      <c r="E1566" s="12" t="s">
        <v>5344</v>
      </c>
      <c r="F1566" s="12" t="s">
        <v>859</v>
      </c>
      <c r="G1566" s="12" t="b">
        <v>1</v>
      </c>
      <c r="H1566" s="12" t="b">
        <v>0</v>
      </c>
      <c r="I1566" s="12" t="b">
        <v>0</v>
      </c>
    </row>
    <row r="1567" spans="1:9" x14ac:dyDescent="0.25">
      <c r="A1567" s="12">
        <v>1566</v>
      </c>
      <c r="B1567" s="12" t="s">
        <v>5345</v>
      </c>
      <c r="C1567" s="12" t="s">
        <v>5346</v>
      </c>
      <c r="D1567" s="12" t="s">
        <v>10</v>
      </c>
      <c r="E1567" s="12" t="s">
        <v>5347</v>
      </c>
      <c r="F1567" s="12" t="s">
        <v>5243</v>
      </c>
      <c r="G1567" s="12" t="b">
        <v>0</v>
      </c>
      <c r="H1567" s="12" t="b">
        <v>0</v>
      </c>
      <c r="I1567" s="12" t="b">
        <v>0</v>
      </c>
    </row>
    <row r="1568" spans="1:9" x14ac:dyDescent="0.25">
      <c r="A1568" s="12">
        <v>1567</v>
      </c>
      <c r="B1568" s="12" t="s">
        <v>5348</v>
      </c>
      <c r="C1568" s="12" t="s">
        <v>5349</v>
      </c>
      <c r="D1568" s="12" t="s">
        <v>14</v>
      </c>
      <c r="E1568" s="12" t="s">
        <v>5350</v>
      </c>
      <c r="F1568" s="12" t="s">
        <v>464</v>
      </c>
      <c r="G1568" s="12" t="b">
        <v>0</v>
      </c>
      <c r="H1568" s="12" t="b">
        <v>0</v>
      </c>
      <c r="I1568" s="12" t="b">
        <v>0</v>
      </c>
    </row>
    <row r="1569" spans="1:9" x14ac:dyDescent="0.25">
      <c r="A1569" s="12">
        <v>1568</v>
      </c>
      <c r="B1569" s="12" t="s">
        <v>5351</v>
      </c>
      <c r="C1569" s="12" t="s">
        <v>5352</v>
      </c>
      <c r="D1569" s="12" t="s">
        <v>45</v>
      </c>
      <c r="E1569" s="12" t="s">
        <v>5353</v>
      </c>
      <c r="F1569" s="12" t="s">
        <v>5354</v>
      </c>
      <c r="G1569" s="12" t="b">
        <v>0</v>
      </c>
      <c r="H1569" s="12" t="b">
        <v>0</v>
      </c>
      <c r="I1569" s="12" t="b">
        <v>0</v>
      </c>
    </row>
    <row r="1570" spans="1:9" x14ac:dyDescent="0.25">
      <c r="A1570" s="12">
        <v>1569</v>
      </c>
      <c r="B1570" s="12" t="s">
        <v>5355</v>
      </c>
      <c r="C1570" s="12" t="s">
        <v>5356</v>
      </c>
      <c r="D1570" s="12" t="s">
        <v>45</v>
      </c>
      <c r="E1570" s="12" t="s">
        <v>5357</v>
      </c>
      <c r="F1570" s="12" t="s">
        <v>5358</v>
      </c>
      <c r="G1570" s="12" t="b">
        <v>0</v>
      </c>
      <c r="H1570" s="12" t="b">
        <v>0</v>
      </c>
      <c r="I1570" s="12" t="b">
        <v>0</v>
      </c>
    </row>
    <row r="1571" spans="1:9" x14ac:dyDescent="0.25">
      <c r="A1571" s="12">
        <v>1570</v>
      </c>
      <c r="B1571" s="12" t="s">
        <v>5359</v>
      </c>
      <c r="C1571" s="12" t="s">
        <v>5360</v>
      </c>
      <c r="D1571" s="12" t="s">
        <v>14</v>
      </c>
      <c r="E1571" s="12" t="s">
        <v>5361</v>
      </c>
      <c r="F1571" s="12" t="s">
        <v>5362</v>
      </c>
      <c r="G1571" s="12" t="b">
        <v>1</v>
      </c>
      <c r="H1571" s="12" t="b">
        <v>1</v>
      </c>
      <c r="I1571" s="12" t="b">
        <v>1</v>
      </c>
    </row>
    <row r="1572" spans="1:9" x14ac:dyDescent="0.25">
      <c r="A1572" s="12">
        <v>1571</v>
      </c>
      <c r="B1572" s="12" t="s">
        <v>5363</v>
      </c>
      <c r="C1572" s="12" t="s">
        <v>5364</v>
      </c>
      <c r="D1572" s="12" t="s">
        <v>10</v>
      </c>
      <c r="E1572" s="12" t="s">
        <v>5365</v>
      </c>
      <c r="F1572" s="12" t="s">
        <v>859</v>
      </c>
      <c r="G1572" s="12" t="b">
        <v>1</v>
      </c>
      <c r="H1572" s="12" t="b">
        <v>0</v>
      </c>
      <c r="I1572" s="12" t="b">
        <v>0</v>
      </c>
    </row>
    <row r="1573" spans="1:9" x14ac:dyDescent="0.25">
      <c r="A1573" s="12">
        <v>1572</v>
      </c>
      <c r="B1573" s="12" t="s">
        <v>5366</v>
      </c>
      <c r="C1573" s="12" t="s">
        <v>5367</v>
      </c>
      <c r="D1573" s="12" t="s">
        <v>10</v>
      </c>
      <c r="E1573" s="12" t="s">
        <v>5368</v>
      </c>
      <c r="F1573" s="12" t="s">
        <v>1646</v>
      </c>
      <c r="G1573" s="12" t="b">
        <v>0</v>
      </c>
      <c r="H1573" s="12" t="b">
        <v>0</v>
      </c>
      <c r="I1573" s="12" t="b">
        <v>0</v>
      </c>
    </row>
    <row r="1574" spans="1:9" x14ac:dyDescent="0.25">
      <c r="A1574" s="12">
        <v>1573</v>
      </c>
      <c r="B1574" s="12" t="s">
        <v>5369</v>
      </c>
      <c r="C1574" s="12" t="s">
        <v>5370</v>
      </c>
      <c r="D1574" s="12" t="s">
        <v>14</v>
      </c>
      <c r="E1574" s="12" t="s">
        <v>5371</v>
      </c>
      <c r="F1574" s="12" t="s">
        <v>836</v>
      </c>
      <c r="G1574" s="12" t="b">
        <v>0</v>
      </c>
      <c r="H1574" s="12" t="b">
        <v>0</v>
      </c>
      <c r="I1574" s="12" t="b">
        <v>0</v>
      </c>
    </row>
    <row r="1575" spans="1:9" x14ac:dyDescent="0.25">
      <c r="A1575" s="12">
        <v>1574</v>
      </c>
      <c r="B1575" s="12" t="s">
        <v>5372</v>
      </c>
      <c r="C1575" s="12" t="s">
        <v>5373</v>
      </c>
      <c r="D1575" s="12" t="s">
        <v>14</v>
      </c>
      <c r="E1575" s="12" t="s">
        <v>5374</v>
      </c>
      <c r="F1575" s="12" t="s">
        <v>5375</v>
      </c>
      <c r="G1575" s="12" t="b">
        <v>0</v>
      </c>
      <c r="H1575" s="12" t="b">
        <v>0</v>
      </c>
      <c r="I1575" s="12" t="b">
        <v>0</v>
      </c>
    </row>
    <row r="1576" spans="1:9" x14ac:dyDescent="0.25">
      <c r="A1576" s="12">
        <v>1575</v>
      </c>
      <c r="B1576" s="12" t="s">
        <v>5376</v>
      </c>
      <c r="C1576" s="12" t="s">
        <v>5377</v>
      </c>
      <c r="D1576" s="12" t="s">
        <v>45</v>
      </c>
      <c r="E1576" s="12" t="s">
        <v>5378</v>
      </c>
      <c r="F1576" s="12" t="s">
        <v>2043</v>
      </c>
      <c r="G1576" s="12" t="b">
        <v>0</v>
      </c>
      <c r="H1576" s="12" t="b">
        <v>0</v>
      </c>
      <c r="I1576" s="12" t="b">
        <v>0</v>
      </c>
    </row>
    <row r="1577" spans="1:9" x14ac:dyDescent="0.25">
      <c r="A1577" s="12">
        <v>1576</v>
      </c>
      <c r="B1577" s="12" t="s">
        <v>5379</v>
      </c>
      <c r="C1577" s="12" t="s">
        <v>5380</v>
      </c>
      <c r="D1577" s="12" t="s">
        <v>10</v>
      </c>
      <c r="E1577" s="12" t="s">
        <v>5381</v>
      </c>
      <c r="F1577" s="12" t="s">
        <v>316</v>
      </c>
      <c r="G1577" s="12" t="b">
        <v>0</v>
      </c>
      <c r="H1577" s="12" t="b">
        <v>0</v>
      </c>
      <c r="I1577" s="12" t="b">
        <v>0</v>
      </c>
    </row>
    <row r="1578" spans="1:9" x14ac:dyDescent="0.25">
      <c r="A1578" s="12">
        <v>1577</v>
      </c>
      <c r="B1578" s="12" t="s">
        <v>5382</v>
      </c>
      <c r="C1578" s="12" t="s">
        <v>5383</v>
      </c>
      <c r="D1578" s="12" t="s">
        <v>14</v>
      </c>
      <c r="E1578" s="12" t="s">
        <v>5384</v>
      </c>
      <c r="F1578" s="12" t="s">
        <v>5385</v>
      </c>
      <c r="G1578" s="12" t="b">
        <v>0</v>
      </c>
      <c r="H1578" s="12" t="b">
        <v>0</v>
      </c>
      <c r="I1578" s="12" t="b">
        <v>0</v>
      </c>
    </row>
    <row r="1579" spans="1:9" x14ac:dyDescent="0.25">
      <c r="A1579" s="12">
        <v>1578</v>
      </c>
      <c r="B1579" s="12" t="s">
        <v>5386</v>
      </c>
      <c r="C1579" s="12" t="s">
        <v>5387</v>
      </c>
      <c r="D1579" s="12" t="s">
        <v>14</v>
      </c>
      <c r="E1579" s="12" t="s">
        <v>5388</v>
      </c>
      <c r="F1579" s="12" t="s">
        <v>5389</v>
      </c>
      <c r="G1579" s="12" t="b">
        <v>0</v>
      </c>
      <c r="H1579" s="12" t="b">
        <v>0</v>
      </c>
      <c r="I1579" s="12" t="b">
        <v>0</v>
      </c>
    </row>
    <row r="1580" spans="1:9" x14ac:dyDescent="0.25">
      <c r="A1580" s="12">
        <v>1579</v>
      </c>
      <c r="B1580" s="12" t="s">
        <v>5390</v>
      </c>
      <c r="C1580" s="12" t="s">
        <v>5391</v>
      </c>
      <c r="D1580" s="12" t="s">
        <v>45</v>
      </c>
      <c r="E1580" s="12" t="s">
        <v>5392</v>
      </c>
      <c r="F1580" s="12" t="s">
        <v>5393</v>
      </c>
      <c r="G1580" s="12" t="b">
        <v>0</v>
      </c>
      <c r="H1580" s="12" t="b">
        <v>0</v>
      </c>
      <c r="I1580" s="12" t="b">
        <v>0</v>
      </c>
    </row>
    <row r="1581" spans="1:9" x14ac:dyDescent="0.25">
      <c r="A1581" s="12">
        <v>1580</v>
      </c>
      <c r="B1581" s="12" t="s">
        <v>5394</v>
      </c>
      <c r="C1581" s="12" t="s">
        <v>5395</v>
      </c>
      <c r="D1581" s="12" t="s">
        <v>14</v>
      </c>
      <c r="E1581" s="12" t="s">
        <v>5396</v>
      </c>
      <c r="F1581" s="12" t="s">
        <v>1181</v>
      </c>
      <c r="G1581" s="12" t="b">
        <v>1</v>
      </c>
      <c r="H1581" s="12" t="b">
        <v>0</v>
      </c>
      <c r="I1581" s="12" t="b">
        <v>0</v>
      </c>
    </row>
    <row r="1582" spans="1:9" x14ac:dyDescent="0.25">
      <c r="A1582" s="12">
        <v>1581</v>
      </c>
      <c r="B1582" s="12" t="s">
        <v>5397</v>
      </c>
      <c r="C1582" s="12" t="s">
        <v>5398</v>
      </c>
      <c r="D1582" s="12" t="s">
        <v>10</v>
      </c>
      <c r="E1582" s="12" t="s">
        <v>5399</v>
      </c>
      <c r="F1582" s="12" t="s">
        <v>859</v>
      </c>
      <c r="G1582" s="12" t="b">
        <v>0</v>
      </c>
      <c r="H1582" s="12" t="b">
        <v>0</v>
      </c>
      <c r="I1582" s="12" t="b">
        <v>0</v>
      </c>
    </row>
    <row r="1583" spans="1:9" x14ac:dyDescent="0.25">
      <c r="A1583" s="12">
        <v>1582</v>
      </c>
      <c r="B1583" s="12" t="s">
        <v>5400</v>
      </c>
      <c r="C1583" s="12" t="s">
        <v>5401</v>
      </c>
      <c r="D1583" s="12" t="s">
        <v>10</v>
      </c>
      <c r="E1583" s="12" t="s">
        <v>5402</v>
      </c>
      <c r="F1583" s="12" t="s">
        <v>1646</v>
      </c>
      <c r="G1583" s="12" t="b">
        <v>0</v>
      </c>
      <c r="H1583" s="12" t="b">
        <v>0</v>
      </c>
      <c r="I1583" s="12" t="b">
        <v>0</v>
      </c>
    </row>
    <row r="1584" spans="1:9" x14ac:dyDescent="0.25">
      <c r="A1584" s="12">
        <v>1583</v>
      </c>
      <c r="B1584" s="12" t="s">
        <v>5403</v>
      </c>
      <c r="C1584" s="12" t="s">
        <v>5404</v>
      </c>
      <c r="D1584" s="12" t="s">
        <v>14</v>
      </c>
      <c r="E1584" s="12" t="s">
        <v>5405</v>
      </c>
      <c r="F1584" s="12" t="s">
        <v>1877</v>
      </c>
      <c r="G1584" s="12" t="b">
        <v>0</v>
      </c>
      <c r="H1584" s="12" t="b">
        <v>0</v>
      </c>
      <c r="I1584" s="12" t="b">
        <v>0</v>
      </c>
    </row>
    <row r="1585" spans="1:9" x14ac:dyDescent="0.25">
      <c r="A1585" s="12">
        <v>1584</v>
      </c>
      <c r="B1585" s="12" t="s">
        <v>5406</v>
      </c>
      <c r="C1585" s="12" t="s">
        <v>5407</v>
      </c>
      <c r="D1585" s="12" t="s">
        <v>14</v>
      </c>
      <c r="E1585" s="12" t="s">
        <v>5408</v>
      </c>
      <c r="F1585" s="12" t="s">
        <v>5409</v>
      </c>
      <c r="G1585" s="12" t="b">
        <v>0</v>
      </c>
      <c r="H1585" s="12" t="b">
        <v>1</v>
      </c>
      <c r="I1585" s="12" t="b">
        <v>1</v>
      </c>
    </row>
    <row r="1586" spans="1:9" x14ac:dyDescent="0.25">
      <c r="A1586" s="12">
        <v>1585</v>
      </c>
      <c r="B1586" s="12" t="s">
        <v>5410</v>
      </c>
      <c r="C1586" s="12" t="s">
        <v>5411</v>
      </c>
      <c r="D1586" s="12" t="s">
        <v>45</v>
      </c>
      <c r="E1586" s="12" t="s">
        <v>5412</v>
      </c>
      <c r="F1586" s="12" t="s">
        <v>872</v>
      </c>
      <c r="G1586" s="12" t="b">
        <v>0</v>
      </c>
      <c r="H1586" s="12" t="b">
        <v>0</v>
      </c>
      <c r="I1586" s="12" t="b">
        <v>0</v>
      </c>
    </row>
    <row r="1587" spans="1:9" x14ac:dyDescent="0.25">
      <c r="A1587" s="12">
        <v>1586</v>
      </c>
      <c r="B1587" s="12" t="s">
        <v>5413</v>
      </c>
      <c r="C1587" s="12" t="s">
        <v>5414</v>
      </c>
      <c r="D1587" s="12" t="s">
        <v>14</v>
      </c>
      <c r="E1587" s="12" t="s">
        <v>5415</v>
      </c>
      <c r="F1587" s="12" t="s">
        <v>852</v>
      </c>
      <c r="G1587" s="12" t="b">
        <v>1</v>
      </c>
      <c r="H1587" s="12" t="b">
        <v>1</v>
      </c>
      <c r="I1587" s="12" t="b">
        <v>1</v>
      </c>
    </row>
    <row r="1588" spans="1:9" x14ac:dyDescent="0.25">
      <c r="A1588" s="12">
        <v>1587</v>
      </c>
      <c r="B1588" s="12" t="s">
        <v>5416</v>
      </c>
      <c r="C1588" s="12" t="s">
        <v>5417</v>
      </c>
      <c r="D1588" s="12" t="s">
        <v>10</v>
      </c>
      <c r="E1588" s="12" t="s">
        <v>5418</v>
      </c>
      <c r="F1588" s="12" t="s">
        <v>859</v>
      </c>
      <c r="G1588" s="12" t="b">
        <v>0</v>
      </c>
      <c r="H1588" s="12" t="b">
        <v>0</v>
      </c>
      <c r="I1588" s="12" t="b">
        <v>0</v>
      </c>
    </row>
    <row r="1589" spans="1:9" x14ac:dyDescent="0.25">
      <c r="A1589" s="12">
        <v>1588</v>
      </c>
      <c r="B1589" s="12" t="s">
        <v>5419</v>
      </c>
      <c r="C1589" s="12" t="s">
        <v>5420</v>
      </c>
      <c r="D1589" s="12" t="s">
        <v>10</v>
      </c>
      <c r="E1589" s="12" t="s">
        <v>5421</v>
      </c>
      <c r="F1589" s="12" t="s">
        <v>5422</v>
      </c>
      <c r="G1589" s="12" t="b">
        <v>0</v>
      </c>
      <c r="H1589" s="12" t="b">
        <v>0</v>
      </c>
      <c r="I1589" s="12" t="b">
        <v>0</v>
      </c>
    </row>
    <row r="1590" spans="1:9" x14ac:dyDescent="0.25">
      <c r="A1590" s="12">
        <v>1589</v>
      </c>
      <c r="B1590" s="12" t="s">
        <v>5423</v>
      </c>
      <c r="C1590" s="12" t="s">
        <v>5424</v>
      </c>
      <c r="D1590" s="12" t="s">
        <v>14</v>
      </c>
      <c r="E1590" s="12" t="s">
        <v>5425</v>
      </c>
      <c r="F1590" s="12" t="s">
        <v>5426</v>
      </c>
      <c r="G1590" s="12" t="b">
        <v>0</v>
      </c>
      <c r="H1590" s="12" t="b">
        <v>0</v>
      </c>
      <c r="I1590" s="12" t="b">
        <v>0</v>
      </c>
    </row>
    <row r="1591" spans="1:9" x14ac:dyDescent="0.25">
      <c r="A1591" s="12">
        <v>1590</v>
      </c>
      <c r="B1591" s="12" t="s">
        <v>5427</v>
      </c>
      <c r="C1591" s="12" t="s">
        <v>5428</v>
      </c>
      <c r="D1591" s="12" t="s">
        <v>14</v>
      </c>
      <c r="E1591" s="12" t="s">
        <v>5429</v>
      </c>
      <c r="F1591" s="12" t="s">
        <v>1976</v>
      </c>
      <c r="G1591" s="12" t="b">
        <v>0</v>
      </c>
      <c r="H1591" s="12" t="b">
        <v>0</v>
      </c>
      <c r="I1591" s="12" t="b">
        <v>0</v>
      </c>
    </row>
    <row r="1592" spans="1:9" x14ac:dyDescent="0.25">
      <c r="A1592" s="12">
        <v>1591</v>
      </c>
      <c r="B1592" s="12" t="s">
        <v>5430</v>
      </c>
      <c r="C1592" s="12" t="s">
        <v>5431</v>
      </c>
      <c r="D1592" s="12" t="s">
        <v>45</v>
      </c>
      <c r="E1592" s="12" t="s">
        <v>5432</v>
      </c>
      <c r="F1592" s="12" t="s">
        <v>5433</v>
      </c>
      <c r="G1592" s="12" t="b">
        <v>0</v>
      </c>
      <c r="H1592" s="12" t="b">
        <v>0</v>
      </c>
      <c r="I1592" s="12" t="b">
        <v>0</v>
      </c>
    </row>
    <row r="1593" spans="1:9" x14ac:dyDescent="0.25">
      <c r="A1593" s="12">
        <v>1592</v>
      </c>
      <c r="B1593" s="12" t="s">
        <v>5434</v>
      </c>
      <c r="C1593" s="12" t="s">
        <v>5435</v>
      </c>
      <c r="D1593" s="12" t="s">
        <v>10</v>
      </c>
      <c r="E1593" s="12" t="s">
        <v>5436</v>
      </c>
      <c r="F1593" s="12" t="s">
        <v>316</v>
      </c>
      <c r="G1593" s="12" t="b">
        <v>0</v>
      </c>
      <c r="H1593" s="12" t="b">
        <v>0</v>
      </c>
      <c r="I1593" s="12" t="b">
        <v>0</v>
      </c>
    </row>
    <row r="1594" spans="1:9" x14ac:dyDescent="0.25">
      <c r="A1594" s="12">
        <v>1593</v>
      </c>
      <c r="B1594" s="12" t="s">
        <v>309</v>
      </c>
      <c r="C1594" s="12" t="s">
        <v>5437</v>
      </c>
      <c r="D1594" s="12" t="s">
        <v>14</v>
      </c>
      <c r="E1594" s="12" t="s">
        <v>5438</v>
      </c>
      <c r="F1594" s="12" t="s">
        <v>377</v>
      </c>
      <c r="G1594" s="12" t="b">
        <v>0</v>
      </c>
      <c r="H1594" s="12" t="b">
        <v>0</v>
      </c>
      <c r="I1594" s="12" t="b">
        <v>0</v>
      </c>
    </row>
    <row r="1595" spans="1:9" x14ac:dyDescent="0.25">
      <c r="A1595" s="12">
        <v>1594</v>
      </c>
      <c r="B1595" s="12" t="s">
        <v>5439</v>
      </c>
      <c r="C1595" s="12" t="s">
        <v>5440</v>
      </c>
      <c r="D1595" s="12" t="s">
        <v>14</v>
      </c>
      <c r="E1595" s="12" t="s">
        <v>5441</v>
      </c>
      <c r="F1595" s="12" t="s">
        <v>515</v>
      </c>
      <c r="G1595" s="12" t="b">
        <v>0</v>
      </c>
      <c r="H1595" s="12" t="b">
        <v>0</v>
      </c>
      <c r="I1595" s="12" t="b">
        <v>0</v>
      </c>
    </row>
    <row r="1596" spans="1:9" x14ac:dyDescent="0.25">
      <c r="A1596" s="12">
        <v>1595</v>
      </c>
      <c r="B1596" s="12" t="s">
        <v>5442</v>
      </c>
      <c r="C1596" s="12" t="s">
        <v>5443</v>
      </c>
      <c r="D1596" s="12" t="s">
        <v>45</v>
      </c>
      <c r="E1596" s="12" t="s">
        <v>5444</v>
      </c>
      <c r="F1596" s="12" t="s">
        <v>4639</v>
      </c>
      <c r="G1596" s="12" t="b">
        <v>0</v>
      </c>
      <c r="H1596" s="12" t="b">
        <v>0</v>
      </c>
      <c r="I1596" s="12" t="b">
        <v>0</v>
      </c>
    </row>
    <row r="1597" spans="1:9" x14ac:dyDescent="0.25">
      <c r="A1597" s="12">
        <v>1596</v>
      </c>
      <c r="B1597" s="12" t="s">
        <v>5445</v>
      </c>
      <c r="C1597" s="12" t="s">
        <v>5446</v>
      </c>
      <c r="D1597" s="12" t="s">
        <v>14</v>
      </c>
      <c r="E1597" s="12" t="s">
        <v>5447</v>
      </c>
      <c r="F1597" s="12" t="s">
        <v>859</v>
      </c>
      <c r="G1597" s="12" t="b">
        <v>1</v>
      </c>
      <c r="H1597" s="12" t="b">
        <v>0</v>
      </c>
      <c r="I1597" s="12" t="b">
        <v>0</v>
      </c>
    </row>
    <row r="1598" spans="1:9" x14ac:dyDescent="0.25">
      <c r="A1598" s="12">
        <v>1597</v>
      </c>
      <c r="B1598" s="12" t="s">
        <v>5448</v>
      </c>
      <c r="C1598" s="12" t="s">
        <v>5449</v>
      </c>
      <c r="D1598" s="12" t="s">
        <v>45</v>
      </c>
      <c r="E1598" s="12" t="s">
        <v>5450</v>
      </c>
      <c r="F1598" s="12" t="s">
        <v>1340</v>
      </c>
      <c r="G1598" s="12" t="b">
        <v>1</v>
      </c>
      <c r="H1598" s="12" t="b">
        <v>0</v>
      </c>
      <c r="I1598" s="12" t="b">
        <v>0</v>
      </c>
    </row>
    <row r="1599" spans="1:9" x14ac:dyDescent="0.25">
      <c r="A1599" s="12">
        <v>1598</v>
      </c>
      <c r="B1599" s="12" t="s">
        <v>5451</v>
      </c>
      <c r="C1599" s="12" t="s">
        <v>5452</v>
      </c>
      <c r="D1599" s="12" t="s">
        <v>10</v>
      </c>
      <c r="E1599" s="12" t="s">
        <v>5453</v>
      </c>
      <c r="F1599" s="12" t="s">
        <v>5454</v>
      </c>
      <c r="G1599" s="12" t="b">
        <v>0</v>
      </c>
      <c r="H1599" s="12" t="b">
        <v>0</v>
      </c>
      <c r="I1599" s="12" t="b">
        <v>0</v>
      </c>
    </row>
    <row r="1600" spans="1:9" x14ac:dyDescent="0.25">
      <c r="A1600" s="12">
        <v>1599</v>
      </c>
      <c r="B1600" s="12" t="s">
        <v>5455</v>
      </c>
      <c r="C1600" s="12" t="s">
        <v>5456</v>
      </c>
      <c r="D1600" s="12" t="s">
        <v>14</v>
      </c>
      <c r="E1600" s="12" t="s">
        <v>5457</v>
      </c>
      <c r="F1600" s="12" t="s">
        <v>1877</v>
      </c>
      <c r="G1600" s="12" t="b">
        <v>0</v>
      </c>
      <c r="H1600" s="12" t="b">
        <v>0</v>
      </c>
      <c r="I1600" s="12" t="b">
        <v>0</v>
      </c>
    </row>
    <row r="1601" spans="1:9" x14ac:dyDescent="0.25">
      <c r="A1601" s="12">
        <v>1600</v>
      </c>
      <c r="B1601" s="12" t="s">
        <v>5458</v>
      </c>
      <c r="C1601" s="12" t="s">
        <v>5459</v>
      </c>
      <c r="D1601" s="12" t="s">
        <v>14</v>
      </c>
      <c r="E1601" s="12" t="s">
        <v>5460</v>
      </c>
      <c r="F1601" s="12" t="s">
        <v>5461</v>
      </c>
      <c r="G1601" s="12" t="b">
        <v>0</v>
      </c>
      <c r="H1601" s="12" t="b">
        <v>0</v>
      </c>
      <c r="I1601" s="12" t="b">
        <v>0</v>
      </c>
    </row>
    <row r="1602" spans="1:9" x14ac:dyDescent="0.25">
      <c r="A1602" s="12">
        <v>1601</v>
      </c>
      <c r="B1602" s="12" t="s">
        <v>5462</v>
      </c>
      <c r="C1602" s="12" t="s">
        <v>5463</v>
      </c>
      <c r="D1602" s="12" t="s">
        <v>45</v>
      </c>
      <c r="E1602" s="12" t="s">
        <v>5464</v>
      </c>
      <c r="F1602" s="12" t="s">
        <v>5465</v>
      </c>
      <c r="G1602" s="12" t="b">
        <v>0</v>
      </c>
      <c r="H1602" s="12" t="b">
        <v>0</v>
      </c>
      <c r="I1602" s="12" t="b">
        <v>0</v>
      </c>
    </row>
    <row r="1603" spans="1:9" x14ac:dyDescent="0.25">
      <c r="A1603" s="12">
        <v>1602</v>
      </c>
      <c r="B1603" s="12" t="s">
        <v>5466</v>
      </c>
      <c r="C1603" s="12" t="s">
        <v>5467</v>
      </c>
      <c r="D1603" s="12" t="s">
        <v>14</v>
      </c>
      <c r="E1603" s="12" t="s">
        <v>5468</v>
      </c>
      <c r="F1603" s="12" t="s">
        <v>634</v>
      </c>
      <c r="G1603" s="12" t="b">
        <v>1</v>
      </c>
      <c r="H1603" s="12" t="b">
        <v>1</v>
      </c>
      <c r="I1603" s="12" t="b">
        <v>1</v>
      </c>
    </row>
    <row r="1604" spans="1:9" x14ac:dyDescent="0.25">
      <c r="A1604" s="12">
        <v>1603</v>
      </c>
      <c r="B1604" s="12" t="s">
        <v>5469</v>
      </c>
      <c r="C1604" s="12" t="s">
        <v>5470</v>
      </c>
      <c r="D1604" s="12" t="s">
        <v>10</v>
      </c>
      <c r="E1604" s="12" t="s">
        <v>5471</v>
      </c>
      <c r="F1604" s="12" t="s">
        <v>5472</v>
      </c>
      <c r="G1604" s="12" t="b">
        <v>0</v>
      </c>
      <c r="H1604" s="12" t="b">
        <v>0</v>
      </c>
      <c r="I1604" s="12" t="b">
        <v>0</v>
      </c>
    </row>
    <row r="1605" spans="1:9" x14ac:dyDescent="0.25">
      <c r="A1605" s="12">
        <v>1604</v>
      </c>
      <c r="B1605" s="12" t="s">
        <v>5473</v>
      </c>
      <c r="C1605" s="12" t="s">
        <v>5474</v>
      </c>
      <c r="D1605" s="12" t="s">
        <v>14</v>
      </c>
      <c r="E1605" s="12" t="s">
        <v>5475</v>
      </c>
      <c r="F1605" s="12" t="s">
        <v>475</v>
      </c>
      <c r="G1605" s="12" t="b">
        <v>0</v>
      </c>
      <c r="H1605" s="12" t="b">
        <v>0</v>
      </c>
      <c r="I1605" s="12" t="b">
        <v>0</v>
      </c>
    </row>
    <row r="1606" spans="1:9" x14ac:dyDescent="0.25">
      <c r="A1606" s="12">
        <v>1605</v>
      </c>
      <c r="B1606" s="12" t="s">
        <v>5476</v>
      </c>
      <c r="C1606" s="12" t="s">
        <v>5477</v>
      </c>
      <c r="D1606" s="12" t="s">
        <v>14</v>
      </c>
      <c r="E1606" s="12" t="s">
        <v>5478</v>
      </c>
      <c r="F1606" s="12" t="s">
        <v>2867</v>
      </c>
      <c r="G1606" s="12" t="b">
        <v>0</v>
      </c>
      <c r="H1606" s="12" t="b">
        <v>0</v>
      </c>
      <c r="I1606" s="12" t="b">
        <v>0</v>
      </c>
    </row>
    <row r="1607" spans="1:9" x14ac:dyDescent="0.25">
      <c r="A1607" s="12">
        <v>1606</v>
      </c>
      <c r="B1607" s="12" t="s">
        <v>5479</v>
      </c>
      <c r="C1607" s="12" t="s">
        <v>5480</v>
      </c>
      <c r="D1607" s="12" t="s">
        <v>45</v>
      </c>
      <c r="E1607" s="12" t="s">
        <v>5481</v>
      </c>
      <c r="F1607" s="12" t="s">
        <v>5482</v>
      </c>
      <c r="G1607" s="12" t="b">
        <v>0</v>
      </c>
      <c r="H1607" s="12" t="b">
        <v>0</v>
      </c>
      <c r="I1607" s="12" t="b">
        <v>0</v>
      </c>
    </row>
    <row r="1608" spans="1:9" x14ac:dyDescent="0.25">
      <c r="A1608" s="12">
        <v>1607</v>
      </c>
      <c r="B1608" s="12" t="s">
        <v>5483</v>
      </c>
      <c r="C1608" s="12" t="s">
        <v>5484</v>
      </c>
      <c r="D1608" s="12" t="s">
        <v>10</v>
      </c>
      <c r="E1608" s="12" t="s">
        <v>5485</v>
      </c>
      <c r="F1608" s="12" t="s">
        <v>859</v>
      </c>
      <c r="G1608" s="12" t="b">
        <v>1</v>
      </c>
      <c r="H1608" s="12" t="b">
        <v>0</v>
      </c>
      <c r="I1608" s="12" t="b">
        <v>0</v>
      </c>
    </row>
    <row r="1609" spans="1:9" x14ac:dyDescent="0.25">
      <c r="A1609" s="12">
        <v>1608</v>
      </c>
      <c r="B1609" s="12" t="s">
        <v>5486</v>
      </c>
      <c r="C1609" s="12" t="s">
        <v>5487</v>
      </c>
      <c r="D1609" s="12" t="s">
        <v>10</v>
      </c>
      <c r="E1609" s="12" t="s">
        <v>5488</v>
      </c>
      <c r="F1609" s="12" t="s">
        <v>1690</v>
      </c>
      <c r="G1609" s="12" t="b">
        <v>0</v>
      </c>
      <c r="H1609" s="12" t="b">
        <v>0</v>
      </c>
      <c r="I1609" s="12" t="b">
        <v>0</v>
      </c>
    </row>
    <row r="1610" spans="1:9" x14ac:dyDescent="0.25">
      <c r="A1610" s="12">
        <v>1609</v>
      </c>
      <c r="B1610" s="12" t="s">
        <v>5489</v>
      </c>
      <c r="C1610" s="12" t="s">
        <v>5490</v>
      </c>
      <c r="D1610" s="12" t="s">
        <v>14</v>
      </c>
      <c r="E1610" s="12" t="s">
        <v>5491</v>
      </c>
      <c r="F1610" s="12" t="s">
        <v>634</v>
      </c>
      <c r="G1610" s="12" t="b">
        <v>0</v>
      </c>
      <c r="H1610" s="12" t="b">
        <v>0</v>
      </c>
      <c r="I1610" s="12" t="b">
        <v>0</v>
      </c>
    </row>
    <row r="1611" spans="1:9" x14ac:dyDescent="0.25">
      <c r="A1611" s="12">
        <v>1610</v>
      </c>
      <c r="B1611" s="12" t="s">
        <v>5492</v>
      </c>
      <c r="C1611" s="12" t="s">
        <v>5493</v>
      </c>
      <c r="D1611" s="12" t="s">
        <v>45</v>
      </c>
      <c r="E1611" s="12" t="s">
        <v>5494</v>
      </c>
      <c r="F1611" s="12" t="s">
        <v>5495</v>
      </c>
      <c r="G1611" s="12" t="b">
        <v>0</v>
      </c>
      <c r="H1611" s="12" t="b">
        <v>0</v>
      </c>
      <c r="I1611" s="12" t="b">
        <v>0</v>
      </c>
    </row>
    <row r="1612" spans="1:9" x14ac:dyDescent="0.25">
      <c r="A1612" s="12">
        <v>1611</v>
      </c>
      <c r="B1612" s="12" t="s">
        <v>5496</v>
      </c>
      <c r="C1612" s="12" t="s">
        <v>5497</v>
      </c>
      <c r="D1612" s="12" t="s">
        <v>45</v>
      </c>
      <c r="E1612" s="12" t="s">
        <v>5498</v>
      </c>
      <c r="F1612" s="12" t="s">
        <v>5499</v>
      </c>
      <c r="G1612" s="12" t="b">
        <v>0</v>
      </c>
      <c r="H1612" s="12" t="b">
        <v>0</v>
      </c>
      <c r="I1612" s="12" t="b">
        <v>0</v>
      </c>
    </row>
    <row r="1613" spans="1:9" x14ac:dyDescent="0.25">
      <c r="A1613" s="12">
        <v>1612</v>
      </c>
      <c r="B1613" s="12" t="s">
        <v>5500</v>
      </c>
      <c r="C1613" s="12" t="s">
        <v>5501</v>
      </c>
      <c r="D1613" s="12" t="s">
        <v>14</v>
      </c>
      <c r="E1613" s="12" t="s">
        <v>5502</v>
      </c>
      <c r="F1613" s="12" t="s">
        <v>658</v>
      </c>
      <c r="G1613" s="12" t="b">
        <v>1</v>
      </c>
      <c r="H1613" s="12" t="b">
        <v>0</v>
      </c>
      <c r="I1613" s="12" t="b">
        <v>0</v>
      </c>
    </row>
    <row r="1614" spans="1:9" x14ac:dyDescent="0.25">
      <c r="A1614" s="12">
        <v>1613</v>
      </c>
      <c r="B1614" s="12" t="s">
        <v>5503</v>
      </c>
      <c r="C1614" s="12" t="s">
        <v>5504</v>
      </c>
      <c r="D1614" s="12" t="s">
        <v>14</v>
      </c>
      <c r="E1614" s="12" t="s">
        <v>5505</v>
      </c>
      <c r="F1614" s="12" t="s">
        <v>859</v>
      </c>
      <c r="G1614" s="12" t="b">
        <v>1</v>
      </c>
      <c r="H1614" s="12" t="b">
        <v>0</v>
      </c>
      <c r="I1614" s="12" t="b">
        <v>0</v>
      </c>
    </row>
    <row r="1615" spans="1:9" x14ac:dyDescent="0.25">
      <c r="A1615" s="12">
        <v>1614</v>
      </c>
      <c r="B1615" s="12" t="s">
        <v>5506</v>
      </c>
      <c r="C1615" s="12" t="s">
        <v>5507</v>
      </c>
      <c r="D1615" s="12" t="s">
        <v>10</v>
      </c>
      <c r="E1615" s="12" t="s">
        <v>5508</v>
      </c>
      <c r="F1615" s="12" t="s">
        <v>387</v>
      </c>
      <c r="G1615" s="12" t="b">
        <v>0</v>
      </c>
      <c r="H1615" s="12" t="b">
        <v>0</v>
      </c>
      <c r="I1615" s="12" t="b">
        <v>0</v>
      </c>
    </row>
    <row r="1616" spans="1:9" x14ac:dyDescent="0.25">
      <c r="A1616" s="12">
        <v>1615</v>
      </c>
      <c r="B1616" s="12" t="s">
        <v>5509</v>
      </c>
      <c r="C1616" s="12" t="s">
        <v>5510</v>
      </c>
      <c r="D1616" s="12" t="s">
        <v>14</v>
      </c>
      <c r="E1616" s="12" t="s">
        <v>5511</v>
      </c>
      <c r="F1616" s="12" t="s">
        <v>121</v>
      </c>
      <c r="G1616" s="12" t="b">
        <v>0</v>
      </c>
      <c r="H1616" s="12" t="b">
        <v>0</v>
      </c>
      <c r="I1616" s="12" t="b">
        <v>0</v>
      </c>
    </row>
    <row r="1617" spans="1:9" x14ac:dyDescent="0.25">
      <c r="A1617" s="12">
        <v>1616</v>
      </c>
      <c r="B1617" s="12" t="s">
        <v>5512</v>
      </c>
      <c r="C1617" s="12" t="s">
        <v>5513</v>
      </c>
      <c r="D1617" s="12" t="s">
        <v>14</v>
      </c>
      <c r="E1617" s="12" t="s">
        <v>5514</v>
      </c>
      <c r="F1617" s="12" t="s">
        <v>2454</v>
      </c>
      <c r="G1617" s="12" t="b">
        <v>0</v>
      </c>
      <c r="H1617" s="12" t="b">
        <v>0</v>
      </c>
      <c r="I1617" s="12" t="b">
        <v>0</v>
      </c>
    </row>
    <row r="1618" spans="1:9" x14ac:dyDescent="0.25">
      <c r="A1618" s="12">
        <v>1617</v>
      </c>
      <c r="B1618" s="12" t="s">
        <v>5515</v>
      </c>
      <c r="C1618" s="12" t="s">
        <v>5516</v>
      </c>
      <c r="D1618" s="12" t="s">
        <v>45</v>
      </c>
      <c r="E1618" s="12" t="s">
        <v>5517</v>
      </c>
      <c r="F1618" s="12" t="s">
        <v>5518</v>
      </c>
      <c r="G1618" s="12" t="b">
        <v>0</v>
      </c>
      <c r="H1618" s="12" t="b">
        <v>0</v>
      </c>
      <c r="I1618" s="12" t="b">
        <v>0</v>
      </c>
    </row>
    <row r="1619" spans="1:9" x14ac:dyDescent="0.25">
      <c r="A1619" s="12">
        <v>1618</v>
      </c>
      <c r="B1619" s="12" t="s">
        <v>5519</v>
      </c>
      <c r="C1619" s="12" t="s">
        <v>5520</v>
      </c>
      <c r="D1619" s="12" t="s">
        <v>14</v>
      </c>
      <c r="E1619" s="12" t="s">
        <v>5521</v>
      </c>
      <c r="F1619" s="12" t="s">
        <v>5522</v>
      </c>
      <c r="G1619" s="12" t="b">
        <v>1</v>
      </c>
      <c r="H1619" s="12" t="b">
        <v>0</v>
      </c>
      <c r="I1619" s="12" t="b">
        <v>0</v>
      </c>
    </row>
    <row r="1620" spans="1:9" x14ac:dyDescent="0.25">
      <c r="A1620" s="12">
        <v>1619</v>
      </c>
      <c r="B1620" s="12" t="s">
        <v>5523</v>
      </c>
      <c r="C1620" s="12" t="s">
        <v>5524</v>
      </c>
      <c r="D1620" s="12" t="s">
        <v>10</v>
      </c>
      <c r="E1620" s="12" t="s">
        <v>5525</v>
      </c>
      <c r="F1620" s="12" t="s">
        <v>495</v>
      </c>
      <c r="G1620" s="12" t="b">
        <v>0</v>
      </c>
      <c r="H1620" s="12" t="b">
        <v>0</v>
      </c>
      <c r="I1620" s="12" t="b">
        <v>0</v>
      </c>
    </row>
    <row r="1621" spans="1:9" x14ac:dyDescent="0.25">
      <c r="A1621" s="12">
        <v>1620</v>
      </c>
      <c r="B1621" s="12" t="s">
        <v>5526</v>
      </c>
      <c r="C1621" s="12" t="s">
        <v>5527</v>
      </c>
      <c r="D1621" s="12" t="s">
        <v>14</v>
      </c>
      <c r="E1621" s="12" t="s">
        <v>5528</v>
      </c>
      <c r="F1621" s="12" t="s">
        <v>5243</v>
      </c>
      <c r="G1621" s="12" t="b">
        <v>0</v>
      </c>
      <c r="H1621" s="12" t="b">
        <v>0</v>
      </c>
      <c r="I1621" s="12" t="b">
        <v>0</v>
      </c>
    </row>
    <row r="1622" spans="1:9" x14ac:dyDescent="0.25">
      <c r="A1622" s="12">
        <v>1621</v>
      </c>
      <c r="B1622" s="12" t="s">
        <v>5529</v>
      </c>
      <c r="C1622" s="12" t="s">
        <v>5530</v>
      </c>
      <c r="D1622" s="12" t="s">
        <v>14</v>
      </c>
      <c r="E1622" s="12" t="s">
        <v>5531</v>
      </c>
      <c r="F1622" s="12" t="s">
        <v>1379</v>
      </c>
      <c r="G1622" s="12" t="b">
        <v>0</v>
      </c>
      <c r="H1622" s="12" t="b">
        <v>0</v>
      </c>
      <c r="I1622" s="12" t="b">
        <v>0</v>
      </c>
    </row>
    <row r="1623" spans="1:9" x14ac:dyDescent="0.25">
      <c r="A1623" s="12">
        <v>1622</v>
      </c>
      <c r="B1623" s="12" t="s">
        <v>5532</v>
      </c>
      <c r="C1623" s="12" t="s">
        <v>5533</v>
      </c>
      <c r="D1623" s="12" t="s">
        <v>45</v>
      </c>
      <c r="E1623" s="12" t="s">
        <v>5534</v>
      </c>
      <c r="F1623" s="12" t="s">
        <v>5535</v>
      </c>
      <c r="G1623" s="12" t="b">
        <v>0</v>
      </c>
      <c r="H1623" s="12" t="b">
        <v>0</v>
      </c>
      <c r="I1623" s="12" t="b">
        <v>0</v>
      </c>
    </row>
    <row r="1624" spans="1:9" x14ac:dyDescent="0.25">
      <c r="A1624" s="12">
        <v>1623</v>
      </c>
      <c r="B1624" s="12" t="s">
        <v>5536</v>
      </c>
      <c r="C1624" s="12" t="s">
        <v>5537</v>
      </c>
      <c r="D1624" s="12" t="s">
        <v>10</v>
      </c>
      <c r="E1624" s="12" t="s">
        <v>5538</v>
      </c>
      <c r="F1624" s="12" t="s">
        <v>859</v>
      </c>
      <c r="G1624" s="12" t="b">
        <v>1</v>
      </c>
      <c r="H1624" s="12" t="b">
        <v>0</v>
      </c>
      <c r="I1624" s="12" t="b">
        <v>0</v>
      </c>
    </row>
    <row r="1625" spans="1:9" x14ac:dyDescent="0.25">
      <c r="A1625" s="12">
        <v>1624</v>
      </c>
      <c r="B1625" s="12" t="s">
        <v>5539</v>
      </c>
      <c r="C1625" s="12" t="s">
        <v>5540</v>
      </c>
      <c r="D1625" s="12" t="s">
        <v>10</v>
      </c>
      <c r="E1625" s="12" t="s">
        <v>5541</v>
      </c>
      <c r="F1625" s="12" t="s">
        <v>952</v>
      </c>
      <c r="G1625" s="12" t="b">
        <v>0</v>
      </c>
      <c r="H1625" s="12" t="b">
        <v>0</v>
      </c>
      <c r="I1625" s="12" t="b">
        <v>0</v>
      </c>
    </row>
    <row r="1626" spans="1:9" x14ac:dyDescent="0.25">
      <c r="A1626" s="12">
        <v>1625</v>
      </c>
      <c r="B1626" s="12" t="s">
        <v>5542</v>
      </c>
      <c r="C1626" s="12" t="s">
        <v>5543</v>
      </c>
      <c r="D1626" s="12" t="s">
        <v>14</v>
      </c>
      <c r="E1626" s="12" t="s">
        <v>5544</v>
      </c>
      <c r="F1626" s="12" t="s">
        <v>3024</v>
      </c>
      <c r="G1626" s="12" t="b">
        <v>0</v>
      </c>
      <c r="H1626" s="12" t="b">
        <v>0</v>
      </c>
      <c r="I1626" s="12" t="b">
        <v>0</v>
      </c>
    </row>
    <row r="1627" spans="1:9" x14ac:dyDescent="0.25">
      <c r="A1627" s="12">
        <v>1626</v>
      </c>
      <c r="B1627" s="12" t="s">
        <v>5545</v>
      </c>
      <c r="C1627" s="12" t="s">
        <v>5546</v>
      </c>
      <c r="D1627" s="12" t="s">
        <v>14</v>
      </c>
      <c r="E1627" s="12" t="s">
        <v>5547</v>
      </c>
      <c r="F1627" s="12" t="s">
        <v>4610</v>
      </c>
      <c r="G1627" s="12" t="b">
        <v>0</v>
      </c>
      <c r="H1627" s="12" t="b">
        <v>0</v>
      </c>
      <c r="I1627" s="12" t="b">
        <v>0</v>
      </c>
    </row>
    <row r="1628" spans="1:9" x14ac:dyDescent="0.25">
      <c r="A1628" s="12">
        <v>1627</v>
      </c>
      <c r="B1628" s="12" t="s">
        <v>5548</v>
      </c>
      <c r="C1628" s="12" t="s">
        <v>5549</v>
      </c>
      <c r="D1628" s="12" t="s">
        <v>45</v>
      </c>
      <c r="E1628" s="12" t="s">
        <v>5550</v>
      </c>
      <c r="F1628" s="12" t="s">
        <v>3353</v>
      </c>
      <c r="G1628" s="12" t="b">
        <v>0</v>
      </c>
      <c r="H1628" s="12" t="b">
        <v>0</v>
      </c>
      <c r="I1628" s="12" t="b">
        <v>0</v>
      </c>
    </row>
    <row r="1629" spans="1:9" x14ac:dyDescent="0.25">
      <c r="A1629" s="12">
        <v>1628</v>
      </c>
      <c r="B1629" s="12" t="s">
        <v>5551</v>
      </c>
      <c r="C1629" s="12" t="s">
        <v>5552</v>
      </c>
      <c r="D1629" s="12" t="s">
        <v>14</v>
      </c>
      <c r="E1629" s="12" t="s">
        <v>5553</v>
      </c>
      <c r="F1629" s="12" t="s">
        <v>5554</v>
      </c>
      <c r="G1629" s="12" t="b">
        <v>1</v>
      </c>
      <c r="H1629" s="12" t="b">
        <v>0</v>
      </c>
      <c r="I1629" s="12" t="b">
        <v>0</v>
      </c>
    </row>
    <row r="1630" spans="1:9" x14ac:dyDescent="0.25">
      <c r="A1630" s="12">
        <v>1629</v>
      </c>
      <c r="B1630" s="12" t="s">
        <v>5555</v>
      </c>
      <c r="C1630" s="12" t="s">
        <v>5556</v>
      </c>
      <c r="D1630" s="12" t="s">
        <v>10</v>
      </c>
      <c r="E1630" s="12" t="s">
        <v>5557</v>
      </c>
      <c r="F1630" s="12" t="s">
        <v>1072</v>
      </c>
      <c r="G1630" s="12" t="b">
        <v>0</v>
      </c>
      <c r="H1630" s="12" t="b">
        <v>1</v>
      </c>
      <c r="I1630" s="12" t="b">
        <v>1</v>
      </c>
    </row>
    <row r="1631" spans="1:9" x14ac:dyDescent="0.25">
      <c r="A1631" s="12">
        <v>1630</v>
      </c>
      <c r="B1631" s="12" t="s">
        <v>5558</v>
      </c>
      <c r="C1631" s="12" t="s">
        <v>5559</v>
      </c>
      <c r="D1631" s="12" t="s">
        <v>14</v>
      </c>
      <c r="E1631" s="12" t="s">
        <v>5560</v>
      </c>
      <c r="F1631" s="12" t="s">
        <v>495</v>
      </c>
      <c r="G1631" s="12" t="b">
        <v>0</v>
      </c>
      <c r="H1631" s="12" t="b">
        <v>0</v>
      </c>
      <c r="I1631" s="12" t="b">
        <v>0</v>
      </c>
    </row>
    <row r="1632" spans="1:9" x14ac:dyDescent="0.25">
      <c r="A1632" s="12">
        <v>1631</v>
      </c>
      <c r="B1632" s="12" t="s">
        <v>5561</v>
      </c>
      <c r="C1632" s="12" t="s">
        <v>5562</v>
      </c>
      <c r="D1632" s="12" t="s">
        <v>14</v>
      </c>
      <c r="E1632" s="12" t="s">
        <v>5563</v>
      </c>
      <c r="F1632" s="12" t="s">
        <v>2771</v>
      </c>
      <c r="G1632" s="12" t="b">
        <v>0</v>
      </c>
      <c r="H1632" s="12" t="b">
        <v>1</v>
      </c>
      <c r="I1632" s="12" t="b">
        <v>1</v>
      </c>
    </row>
    <row r="1633" spans="1:9" x14ac:dyDescent="0.25">
      <c r="A1633" s="12">
        <v>1632</v>
      </c>
      <c r="B1633" s="12" t="s">
        <v>5564</v>
      </c>
      <c r="C1633" s="12" t="s">
        <v>5565</v>
      </c>
      <c r="D1633" s="12" t="s">
        <v>45</v>
      </c>
      <c r="E1633" s="12" t="s">
        <v>5566</v>
      </c>
      <c r="F1633" s="12" t="s">
        <v>5567</v>
      </c>
      <c r="G1633" s="12" t="b">
        <v>0</v>
      </c>
      <c r="H1633" s="12" t="b">
        <v>1</v>
      </c>
      <c r="I1633" s="12" t="b">
        <v>1</v>
      </c>
    </row>
    <row r="1634" spans="1:9" x14ac:dyDescent="0.25">
      <c r="A1634" s="12">
        <v>1633</v>
      </c>
      <c r="B1634" s="12" t="s">
        <v>5568</v>
      </c>
      <c r="C1634" s="12" t="s">
        <v>5569</v>
      </c>
      <c r="D1634" s="12" t="s">
        <v>10</v>
      </c>
      <c r="E1634" s="12" t="s">
        <v>5570</v>
      </c>
      <c r="F1634" s="12" t="s">
        <v>859</v>
      </c>
      <c r="G1634" s="12" t="b">
        <v>1</v>
      </c>
      <c r="H1634" s="12" t="b">
        <v>0</v>
      </c>
      <c r="I1634" s="12" t="b">
        <v>0</v>
      </c>
    </row>
    <row r="1635" spans="1:9" x14ac:dyDescent="0.25">
      <c r="A1635" s="12">
        <v>1634</v>
      </c>
      <c r="B1635" s="12" t="s">
        <v>5571</v>
      </c>
      <c r="C1635" s="12" t="s">
        <v>5572</v>
      </c>
      <c r="D1635" s="12" t="s">
        <v>14</v>
      </c>
      <c r="E1635" s="12" t="s">
        <v>5573</v>
      </c>
      <c r="F1635" s="12" t="s">
        <v>5574</v>
      </c>
      <c r="G1635" s="12" t="b">
        <v>1</v>
      </c>
      <c r="H1635" s="12" t="b">
        <v>0</v>
      </c>
      <c r="I1635" s="12" t="b">
        <v>0</v>
      </c>
    </row>
    <row r="1636" spans="1:9" x14ac:dyDescent="0.25">
      <c r="A1636" s="12">
        <v>1635</v>
      </c>
      <c r="B1636" s="12" t="s">
        <v>5575</v>
      </c>
      <c r="C1636" s="12" t="s">
        <v>5576</v>
      </c>
      <c r="D1636" s="12" t="s">
        <v>45</v>
      </c>
      <c r="E1636" s="12" t="s">
        <v>5577</v>
      </c>
      <c r="F1636" s="12" t="s">
        <v>859</v>
      </c>
      <c r="G1636" s="12" t="b">
        <v>1</v>
      </c>
      <c r="H1636" s="12" t="b">
        <v>0</v>
      </c>
      <c r="I1636" s="12" t="b">
        <v>0</v>
      </c>
    </row>
    <row r="1637" spans="1:9" x14ac:dyDescent="0.25">
      <c r="A1637" s="12">
        <v>1636</v>
      </c>
      <c r="B1637" s="12" t="s">
        <v>5578</v>
      </c>
      <c r="C1637" s="12" t="s">
        <v>5579</v>
      </c>
      <c r="D1637" s="12" t="s">
        <v>10</v>
      </c>
      <c r="E1637" s="12" t="s">
        <v>5580</v>
      </c>
      <c r="F1637" s="12" t="s">
        <v>986</v>
      </c>
      <c r="G1637" s="12" t="b">
        <v>0</v>
      </c>
      <c r="H1637" s="12" t="b">
        <v>0</v>
      </c>
      <c r="I1637" s="12" t="b">
        <v>0</v>
      </c>
    </row>
    <row r="1638" spans="1:9" x14ac:dyDescent="0.25">
      <c r="A1638" s="12">
        <v>1637</v>
      </c>
      <c r="B1638" s="12" t="s">
        <v>5581</v>
      </c>
      <c r="C1638" s="12" t="s">
        <v>5582</v>
      </c>
      <c r="D1638" s="12" t="s">
        <v>14</v>
      </c>
      <c r="E1638" s="12" t="s">
        <v>5583</v>
      </c>
      <c r="F1638" s="12" t="s">
        <v>495</v>
      </c>
      <c r="G1638" s="12" t="b">
        <v>0</v>
      </c>
      <c r="H1638" s="12" t="b">
        <v>0</v>
      </c>
      <c r="I1638" s="12" t="b">
        <v>0</v>
      </c>
    </row>
    <row r="1639" spans="1:9" x14ac:dyDescent="0.25">
      <c r="A1639" s="12">
        <v>1638</v>
      </c>
      <c r="B1639" s="12" t="s">
        <v>5584</v>
      </c>
      <c r="C1639" s="12" t="s">
        <v>5585</v>
      </c>
      <c r="D1639" s="12" t="s">
        <v>14</v>
      </c>
      <c r="E1639" s="12" t="s">
        <v>5586</v>
      </c>
      <c r="F1639" s="12" t="s">
        <v>2935</v>
      </c>
      <c r="G1639" s="12" t="b">
        <v>0</v>
      </c>
      <c r="H1639" s="12" t="b">
        <v>0</v>
      </c>
      <c r="I1639" s="12" t="b">
        <v>0</v>
      </c>
    </row>
    <row r="1640" spans="1:9" x14ac:dyDescent="0.25">
      <c r="A1640" s="12">
        <v>1639</v>
      </c>
      <c r="B1640" s="12" t="s">
        <v>5587</v>
      </c>
      <c r="C1640" s="12" t="s">
        <v>5588</v>
      </c>
      <c r="D1640" s="12" t="s">
        <v>45</v>
      </c>
      <c r="E1640" s="12" t="s">
        <v>5589</v>
      </c>
      <c r="F1640" s="12" t="s">
        <v>1808</v>
      </c>
      <c r="G1640" s="12" t="b">
        <v>0</v>
      </c>
      <c r="H1640" s="12" t="b">
        <v>0</v>
      </c>
      <c r="I1640" s="12" t="b">
        <v>0</v>
      </c>
    </row>
    <row r="1641" spans="1:9" x14ac:dyDescent="0.25">
      <c r="A1641" s="12">
        <v>1640</v>
      </c>
      <c r="B1641" s="12" t="s">
        <v>5590</v>
      </c>
      <c r="C1641" s="12" t="s">
        <v>5591</v>
      </c>
      <c r="D1641" s="12" t="s">
        <v>10</v>
      </c>
      <c r="E1641" s="12" t="s">
        <v>5592</v>
      </c>
      <c r="F1641" s="12" t="s">
        <v>328</v>
      </c>
      <c r="G1641" s="12" t="b">
        <v>0</v>
      </c>
      <c r="H1641" s="12" t="b">
        <v>1</v>
      </c>
      <c r="I1641" s="12" t="b">
        <v>1</v>
      </c>
    </row>
    <row r="1642" spans="1:9" x14ac:dyDescent="0.25">
      <c r="A1642" s="12">
        <v>1641</v>
      </c>
      <c r="B1642" s="12" t="s">
        <v>5593</v>
      </c>
      <c r="C1642" s="12" t="s">
        <v>5594</v>
      </c>
      <c r="D1642" s="12" t="s">
        <v>14</v>
      </c>
      <c r="E1642" s="12" t="s">
        <v>5595</v>
      </c>
      <c r="F1642" s="12" t="s">
        <v>292</v>
      </c>
      <c r="G1642" s="12" t="b">
        <v>0</v>
      </c>
      <c r="H1642" s="12" t="b">
        <v>1</v>
      </c>
      <c r="I1642" s="12" t="b">
        <v>1</v>
      </c>
    </row>
    <row r="1643" spans="1:9" x14ac:dyDescent="0.25">
      <c r="A1643" s="12">
        <v>1642</v>
      </c>
      <c r="B1643" s="12" t="s">
        <v>5596</v>
      </c>
      <c r="C1643" s="12" t="s">
        <v>5597</v>
      </c>
      <c r="D1643" s="12" t="s">
        <v>14</v>
      </c>
      <c r="E1643" s="12" t="s">
        <v>5598</v>
      </c>
      <c r="F1643" s="12" t="s">
        <v>2299</v>
      </c>
      <c r="G1643" s="12" t="b">
        <v>0</v>
      </c>
      <c r="H1643" s="12" t="b">
        <v>1</v>
      </c>
      <c r="I1643" s="12" t="b">
        <v>1</v>
      </c>
    </row>
    <row r="1644" spans="1:9" x14ac:dyDescent="0.25">
      <c r="A1644" s="12">
        <v>1643</v>
      </c>
      <c r="B1644" s="12" t="s">
        <v>5599</v>
      </c>
      <c r="C1644" s="12" t="s">
        <v>5600</v>
      </c>
      <c r="D1644" s="12" t="s">
        <v>45</v>
      </c>
      <c r="E1644" s="12" t="s">
        <v>5601</v>
      </c>
      <c r="F1644" s="12" t="s">
        <v>5602</v>
      </c>
      <c r="G1644" s="12" t="b">
        <v>0</v>
      </c>
      <c r="H1644" s="12" t="b">
        <v>0</v>
      </c>
      <c r="I1644" s="12" t="b">
        <v>0</v>
      </c>
    </row>
    <row r="1645" spans="1:9" x14ac:dyDescent="0.25">
      <c r="A1645" s="12">
        <v>1644</v>
      </c>
      <c r="B1645" s="12" t="s">
        <v>5603</v>
      </c>
      <c r="C1645" s="12" t="s">
        <v>5604</v>
      </c>
      <c r="D1645" s="12" t="s">
        <v>14</v>
      </c>
      <c r="E1645" s="12" t="s">
        <v>5605</v>
      </c>
      <c r="F1645" s="12" t="s">
        <v>658</v>
      </c>
      <c r="G1645" s="12" t="b">
        <v>1</v>
      </c>
      <c r="H1645" s="12" t="b">
        <v>0</v>
      </c>
      <c r="I1645" s="12" t="b">
        <v>0</v>
      </c>
    </row>
    <row r="1646" spans="1:9" x14ac:dyDescent="0.25">
      <c r="A1646" s="12">
        <v>1645</v>
      </c>
      <c r="B1646" s="12" t="s">
        <v>5606</v>
      </c>
      <c r="C1646" s="12" t="s">
        <v>5607</v>
      </c>
      <c r="D1646" s="12" t="s">
        <v>45</v>
      </c>
      <c r="E1646" s="12" t="s">
        <v>5608</v>
      </c>
      <c r="F1646" s="12" t="s">
        <v>859</v>
      </c>
      <c r="G1646" s="12" t="b">
        <v>1</v>
      </c>
      <c r="H1646" s="12" t="b">
        <v>0</v>
      </c>
      <c r="I1646" s="12" t="b">
        <v>0</v>
      </c>
    </row>
    <row r="1647" spans="1:9" x14ac:dyDescent="0.25">
      <c r="A1647" s="12">
        <v>1646</v>
      </c>
      <c r="B1647" s="12" t="s">
        <v>5609</v>
      </c>
      <c r="C1647" s="12" t="s">
        <v>5610</v>
      </c>
      <c r="D1647" s="12" t="s">
        <v>10</v>
      </c>
      <c r="E1647" s="12" t="s">
        <v>5611</v>
      </c>
      <c r="F1647" s="12" t="s">
        <v>5612</v>
      </c>
      <c r="G1647" s="12" t="b">
        <v>0</v>
      </c>
      <c r="H1647" s="12" t="b">
        <v>1</v>
      </c>
      <c r="I1647" s="12" t="b">
        <v>1</v>
      </c>
    </row>
    <row r="1648" spans="1:9" x14ac:dyDescent="0.25">
      <c r="A1648" s="12">
        <v>1647</v>
      </c>
      <c r="B1648" s="12" t="s">
        <v>5613</v>
      </c>
      <c r="C1648" s="12" t="s">
        <v>5614</v>
      </c>
      <c r="D1648" s="12" t="s">
        <v>14</v>
      </c>
      <c r="E1648" s="12" t="s">
        <v>5615</v>
      </c>
      <c r="F1648" s="12" t="s">
        <v>872</v>
      </c>
      <c r="G1648" s="12" t="b">
        <v>0</v>
      </c>
      <c r="H1648" s="12" t="b">
        <v>1</v>
      </c>
      <c r="I1648" s="12" t="b">
        <v>1</v>
      </c>
    </row>
    <row r="1649" spans="1:9" x14ac:dyDescent="0.25">
      <c r="A1649" s="12">
        <v>1648</v>
      </c>
      <c r="B1649" s="12" t="s">
        <v>5616</v>
      </c>
      <c r="C1649" s="12" t="s">
        <v>5617</v>
      </c>
      <c r="D1649" s="12" t="s">
        <v>14</v>
      </c>
      <c r="E1649" s="12" t="s">
        <v>5618</v>
      </c>
      <c r="F1649" s="12" t="s">
        <v>5619</v>
      </c>
      <c r="G1649" s="12" t="b">
        <v>0</v>
      </c>
      <c r="H1649" s="12" t="b">
        <v>0</v>
      </c>
      <c r="I1649" s="12" t="b">
        <v>0</v>
      </c>
    </row>
    <row r="1650" spans="1:9" x14ac:dyDescent="0.25">
      <c r="A1650" s="12">
        <v>1649</v>
      </c>
      <c r="B1650" s="12" t="s">
        <v>5620</v>
      </c>
      <c r="C1650" s="12" t="s">
        <v>5621</v>
      </c>
      <c r="D1650" s="12" t="s">
        <v>45</v>
      </c>
      <c r="E1650" s="12" t="s">
        <v>5622</v>
      </c>
      <c r="F1650" s="12" t="s">
        <v>1290</v>
      </c>
      <c r="G1650" s="12" t="b">
        <v>0</v>
      </c>
      <c r="H1650" s="12" t="b">
        <v>1</v>
      </c>
      <c r="I1650" s="12" t="b">
        <v>1</v>
      </c>
    </row>
    <row r="1651" spans="1:9" x14ac:dyDescent="0.25">
      <c r="A1651" s="12">
        <v>1650</v>
      </c>
      <c r="B1651" s="12" t="s">
        <v>5623</v>
      </c>
      <c r="C1651" s="12" t="s">
        <v>5624</v>
      </c>
      <c r="D1651" s="12" t="s">
        <v>14</v>
      </c>
      <c r="E1651" s="12" t="s">
        <v>5625</v>
      </c>
      <c r="F1651" s="12" t="s">
        <v>5626</v>
      </c>
      <c r="G1651" s="12" t="b">
        <v>1</v>
      </c>
      <c r="H1651" s="12" t="b">
        <v>0</v>
      </c>
      <c r="I1651" s="12" t="b">
        <v>0</v>
      </c>
    </row>
    <row r="1652" spans="1:9" x14ac:dyDescent="0.25">
      <c r="A1652" s="12">
        <v>1651</v>
      </c>
      <c r="B1652" s="12" t="s">
        <v>5627</v>
      </c>
      <c r="C1652" s="12" t="s">
        <v>5628</v>
      </c>
      <c r="D1652" s="12" t="s">
        <v>45</v>
      </c>
      <c r="E1652" s="12" t="s">
        <v>5629</v>
      </c>
      <c r="F1652" s="12" t="s">
        <v>859</v>
      </c>
      <c r="G1652" s="12" t="b">
        <v>1</v>
      </c>
      <c r="H1652" s="12" t="b">
        <v>0</v>
      </c>
      <c r="I1652" s="12" t="b">
        <v>0</v>
      </c>
    </row>
    <row r="1653" spans="1:9" x14ac:dyDescent="0.25">
      <c r="A1653" s="12">
        <v>1652</v>
      </c>
      <c r="B1653" s="12" t="s">
        <v>5630</v>
      </c>
      <c r="C1653" s="12" t="s">
        <v>5631</v>
      </c>
      <c r="D1653" s="12" t="s">
        <v>10</v>
      </c>
      <c r="E1653" s="12" t="s">
        <v>5632</v>
      </c>
      <c r="F1653" s="12" t="s">
        <v>317</v>
      </c>
      <c r="G1653" s="12" t="b">
        <v>0</v>
      </c>
      <c r="H1653" s="12" t="b">
        <v>0</v>
      </c>
      <c r="I1653" s="12" t="b">
        <v>0</v>
      </c>
    </row>
    <row r="1654" spans="1:9" x14ac:dyDescent="0.25">
      <c r="A1654" s="12">
        <v>1653</v>
      </c>
      <c r="B1654" s="12" t="s">
        <v>5633</v>
      </c>
      <c r="C1654" s="12" t="s">
        <v>5634</v>
      </c>
      <c r="D1654" s="12" t="s">
        <v>14</v>
      </c>
      <c r="E1654" s="12" t="s">
        <v>5635</v>
      </c>
      <c r="F1654" s="12" t="s">
        <v>423</v>
      </c>
      <c r="G1654" s="12" t="b">
        <v>0</v>
      </c>
      <c r="H1654" s="12" t="b">
        <v>0</v>
      </c>
      <c r="I1654" s="12" t="b">
        <v>0</v>
      </c>
    </row>
    <row r="1655" spans="1:9" x14ac:dyDescent="0.25">
      <c r="A1655" s="12">
        <v>1654</v>
      </c>
      <c r="B1655" s="12" t="s">
        <v>5636</v>
      </c>
      <c r="C1655" s="12" t="s">
        <v>5637</v>
      </c>
      <c r="D1655" s="12" t="s">
        <v>14</v>
      </c>
      <c r="E1655" s="12" t="s">
        <v>5638</v>
      </c>
      <c r="F1655" s="12" t="s">
        <v>1314</v>
      </c>
      <c r="G1655" s="12" t="b">
        <v>0</v>
      </c>
      <c r="H1655" s="12" t="b">
        <v>0</v>
      </c>
      <c r="I1655" s="12" t="b">
        <v>0</v>
      </c>
    </row>
    <row r="1656" spans="1:9" x14ac:dyDescent="0.25">
      <c r="A1656" s="12">
        <v>1655</v>
      </c>
      <c r="B1656" s="12" t="s">
        <v>5639</v>
      </c>
      <c r="C1656" s="12" t="s">
        <v>5640</v>
      </c>
      <c r="D1656" s="12" t="s">
        <v>45</v>
      </c>
      <c r="E1656" s="12" t="s">
        <v>5641</v>
      </c>
      <c r="F1656" s="12" t="s">
        <v>1780</v>
      </c>
      <c r="G1656" s="12" t="b">
        <v>0</v>
      </c>
      <c r="H1656" s="12" t="b">
        <v>0</v>
      </c>
      <c r="I1656" s="12" t="b">
        <v>0</v>
      </c>
    </row>
    <row r="1657" spans="1:9" x14ac:dyDescent="0.25">
      <c r="A1657" s="12">
        <v>1656</v>
      </c>
      <c r="B1657" s="12" t="s">
        <v>5642</v>
      </c>
      <c r="C1657" s="12" t="s">
        <v>5643</v>
      </c>
      <c r="D1657" s="12" t="s">
        <v>10</v>
      </c>
      <c r="E1657" s="12" t="s">
        <v>5644</v>
      </c>
      <c r="F1657" s="12" t="s">
        <v>5645</v>
      </c>
      <c r="G1657" s="12" t="b">
        <v>0</v>
      </c>
      <c r="H1657" s="12" t="b">
        <v>0</v>
      </c>
      <c r="I1657" s="12" t="b">
        <v>0</v>
      </c>
    </row>
    <row r="1658" spans="1:9" x14ac:dyDescent="0.25">
      <c r="A1658" s="12">
        <v>1657</v>
      </c>
      <c r="B1658" s="12" t="s">
        <v>5646</v>
      </c>
      <c r="C1658" s="12" t="s">
        <v>5647</v>
      </c>
      <c r="D1658" s="12" t="s">
        <v>14</v>
      </c>
      <c r="E1658" s="12" t="s">
        <v>5648</v>
      </c>
      <c r="F1658" s="12" t="s">
        <v>1069</v>
      </c>
      <c r="G1658" s="12" t="b">
        <v>0</v>
      </c>
      <c r="H1658" s="12" t="b">
        <v>1</v>
      </c>
      <c r="I1658" s="12" t="b">
        <v>1</v>
      </c>
    </row>
    <row r="1659" spans="1:9" x14ac:dyDescent="0.25">
      <c r="A1659" s="12">
        <v>1658</v>
      </c>
      <c r="B1659" s="12" t="s">
        <v>5649</v>
      </c>
      <c r="C1659" s="12" t="s">
        <v>5650</v>
      </c>
      <c r="D1659" s="12" t="s">
        <v>14</v>
      </c>
      <c r="E1659" s="12" t="s">
        <v>5651</v>
      </c>
      <c r="F1659" s="12" t="s">
        <v>5652</v>
      </c>
      <c r="G1659" s="12" t="b">
        <v>0</v>
      </c>
      <c r="H1659" s="12" t="b">
        <v>1</v>
      </c>
      <c r="I1659" s="12" t="b">
        <v>1</v>
      </c>
    </row>
    <row r="1660" spans="1:9" x14ac:dyDescent="0.25">
      <c r="A1660" s="12">
        <v>1659</v>
      </c>
      <c r="B1660" s="12" t="s">
        <v>5653</v>
      </c>
      <c r="C1660" s="12" t="s">
        <v>5654</v>
      </c>
      <c r="D1660" s="12" t="s">
        <v>45</v>
      </c>
      <c r="E1660" s="12" t="s">
        <v>5655</v>
      </c>
      <c r="F1660" s="12" t="s">
        <v>5656</v>
      </c>
      <c r="G1660" s="12" t="b">
        <v>0</v>
      </c>
      <c r="H1660" s="12" t="b">
        <v>0</v>
      </c>
      <c r="I1660" s="12" t="b">
        <v>0</v>
      </c>
    </row>
    <row r="1661" spans="1:9" x14ac:dyDescent="0.25">
      <c r="A1661" s="12">
        <v>1660</v>
      </c>
      <c r="B1661" s="12" t="s">
        <v>5657</v>
      </c>
      <c r="C1661" s="12" t="s">
        <v>5658</v>
      </c>
      <c r="D1661" s="12" t="s">
        <v>14</v>
      </c>
      <c r="E1661" s="12" t="s">
        <v>5659</v>
      </c>
      <c r="F1661" s="12" t="s">
        <v>1286</v>
      </c>
      <c r="G1661" s="12" t="b">
        <v>1</v>
      </c>
      <c r="H1661" s="12" t="b">
        <v>0</v>
      </c>
      <c r="I1661" s="12" t="b">
        <v>0</v>
      </c>
    </row>
    <row r="1662" spans="1:9" x14ac:dyDescent="0.25">
      <c r="A1662" s="12">
        <v>1661</v>
      </c>
      <c r="B1662" s="12" t="s">
        <v>5660</v>
      </c>
      <c r="C1662" s="12" t="s">
        <v>5661</v>
      </c>
      <c r="D1662" s="12" t="s">
        <v>10</v>
      </c>
      <c r="E1662" s="12" t="s">
        <v>5662</v>
      </c>
      <c r="F1662" s="12" t="s">
        <v>859</v>
      </c>
      <c r="G1662" s="12" t="b">
        <v>1</v>
      </c>
      <c r="H1662" s="12" t="b">
        <v>0</v>
      </c>
      <c r="I1662" s="12" t="b">
        <v>0</v>
      </c>
    </row>
    <row r="1663" spans="1:9" x14ac:dyDescent="0.25">
      <c r="A1663" s="12">
        <v>1662</v>
      </c>
      <c r="B1663" s="12" t="s">
        <v>5663</v>
      </c>
      <c r="C1663" s="12" t="s">
        <v>5664</v>
      </c>
      <c r="D1663" s="12" t="s">
        <v>10</v>
      </c>
      <c r="E1663" s="12" t="s">
        <v>5665</v>
      </c>
      <c r="F1663" s="12" t="s">
        <v>1072</v>
      </c>
      <c r="G1663" s="12" t="b">
        <v>0</v>
      </c>
      <c r="H1663" s="12" t="b">
        <v>0</v>
      </c>
      <c r="I1663" s="12" t="b">
        <v>0</v>
      </c>
    </row>
    <row r="1664" spans="1:9" x14ac:dyDescent="0.25">
      <c r="A1664" s="12">
        <v>1663</v>
      </c>
      <c r="B1664" s="12" t="s">
        <v>5666</v>
      </c>
      <c r="C1664" s="12" t="s">
        <v>5667</v>
      </c>
      <c r="D1664" s="12" t="s">
        <v>14</v>
      </c>
      <c r="E1664" s="12" t="s">
        <v>5668</v>
      </c>
      <c r="F1664" s="12" t="s">
        <v>3455</v>
      </c>
      <c r="G1664" s="12" t="b">
        <v>0</v>
      </c>
      <c r="H1664" s="12" t="b">
        <v>1</v>
      </c>
      <c r="I1664" s="12" t="b">
        <v>1</v>
      </c>
    </row>
    <row r="1665" spans="1:9" x14ac:dyDescent="0.25">
      <c r="A1665" s="12">
        <v>1664</v>
      </c>
      <c r="B1665" s="12" t="s">
        <v>5669</v>
      </c>
      <c r="C1665" s="12" t="s">
        <v>5670</v>
      </c>
      <c r="D1665" s="12" t="s">
        <v>14</v>
      </c>
      <c r="E1665" s="12" t="s">
        <v>5671</v>
      </c>
      <c r="F1665" s="12" t="s">
        <v>681</v>
      </c>
      <c r="G1665" s="12" t="b">
        <v>0</v>
      </c>
      <c r="H1665" s="12" t="b">
        <v>0</v>
      </c>
      <c r="I1665" s="12" t="b">
        <v>0</v>
      </c>
    </row>
    <row r="1666" spans="1:9" x14ac:dyDescent="0.25">
      <c r="A1666" s="12">
        <v>1665</v>
      </c>
      <c r="B1666" s="12" t="s">
        <v>5672</v>
      </c>
      <c r="C1666" s="12" t="s">
        <v>5673</v>
      </c>
      <c r="D1666" s="12" t="s">
        <v>45</v>
      </c>
      <c r="E1666" s="12" t="s">
        <v>5674</v>
      </c>
      <c r="F1666" s="12" t="s">
        <v>1181</v>
      </c>
      <c r="G1666" s="12" t="b">
        <v>0</v>
      </c>
      <c r="H1666" s="12" t="b">
        <v>0</v>
      </c>
      <c r="I1666" s="12" t="b">
        <v>0</v>
      </c>
    </row>
    <row r="1667" spans="1:9" x14ac:dyDescent="0.25">
      <c r="A1667" s="12">
        <v>1666</v>
      </c>
      <c r="B1667" s="12" t="s">
        <v>5675</v>
      </c>
      <c r="C1667" s="12" t="s">
        <v>5676</v>
      </c>
      <c r="D1667" s="12" t="s">
        <v>14</v>
      </c>
      <c r="E1667" s="12" t="s">
        <v>5677</v>
      </c>
      <c r="F1667" s="12" t="s">
        <v>658</v>
      </c>
      <c r="G1667" s="12" t="b">
        <v>1</v>
      </c>
      <c r="H1667" s="12" t="b">
        <v>0</v>
      </c>
      <c r="I1667" s="12" t="b">
        <v>0</v>
      </c>
    </row>
    <row r="1668" spans="1:9" x14ac:dyDescent="0.25">
      <c r="A1668" s="12">
        <v>1667</v>
      </c>
      <c r="B1668" s="12" t="s">
        <v>5678</v>
      </c>
      <c r="C1668" s="12" t="s">
        <v>5679</v>
      </c>
      <c r="D1668" s="12" t="s">
        <v>10</v>
      </c>
      <c r="E1668" s="12" t="s">
        <v>5680</v>
      </c>
      <c r="F1668" s="12" t="s">
        <v>859</v>
      </c>
      <c r="G1668" s="12" t="b">
        <v>0</v>
      </c>
      <c r="H1668" s="12" t="b">
        <v>0</v>
      </c>
      <c r="I1668" s="12" t="b">
        <v>0</v>
      </c>
    </row>
    <row r="1669" spans="1:9" x14ac:dyDescent="0.25">
      <c r="A1669" s="12">
        <v>1668</v>
      </c>
      <c r="B1669" s="12" t="s">
        <v>5681</v>
      </c>
      <c r="C1669" s="12" t="s">
        <v>5682</v>
      </c>
      <c r="D1669" s="12" t="s">
        <v>10</v>
      </c>
      <c r="E1669" s="12" t="s">
        <v>5683</v>
      </c>
      <c r="F1669" s="12" t="s">
        <v>1760</v>
      </c>
      <c r="G1669" s="12" t="b">
        <v>0</v>
      </c>
      <c r="H1669" s="12" t="b">
        <v>0</v>
      </c>
      <c r="I1669" s="12" t="b">
        <v>0</v>
      </c>
    </row>
    <row r="1670" spans="1:9" x14ac:dyDescent="0.25">
      <c r="A1670" s="12">
        <v>1669</v>
      </c>
      <c r="B1670" s="12" t="s">
        <v>5684</v>
      </c>
      <c r="C1670" s="12" t="s">
        <v>5685</v>
      </c>
      <c r="D1670" s="12" t="s">
        <v>14</v>
      </c>
      <c r="E1670" s="12" t="s">
        <v>5686</v>
      </c>
      <c r="F1670" s="12" t="s">
        <v>573</v>
      </c>
      <c r="G1670" s="12" t="b">
        <v>0</v>
      </c>
      <c r="H1670" s="12" t="b">
        <v>0</v>
      </c>
      <c r="I1670" s="12" t="b">
        <v>0</v>
      </c>
    </row>
    <row r="1671" spans="1:9" x14ac:dyDescent="0.25">
      <c r="A1671" s="12">
        <v>1670</v>
      </c>
      <c r="B1671" s="12" t="s">
        <v>5687</v>
      </c>
      <c r="C1671" s="12" t="s">
        <v>5688</v>
      </c>
      <c r="D1671" s="12" t="s">
        <v>14</v>
      </c>
      <c r="E1671" s="12" t="s">
        <v>5689</v>
      </c>
      <c r="F1671" s="12" t="s">
        <v>5690</v>
      </c>
      <c r="G1671" s="12" t="b">
        <v>0</v>
      </c>
      <c r="H1671" s="12" t="b">
        <v>0</v>
      </c>
      <c r="I1671" s="12" t="b">
        <v>0</v>
      </c>
    </row>
    <row r="1672" spans="1:9" x14ac:dyDescent="0.25">
      <c r="A1672" s="12">
        <v>1671</v>
      </c>
      <c r="B1672" s="12" t="s">
        <v>5691</v>
      </c>
      <c r="C1672" s="12" t="s">
        <v>5692</v>
      </c>
      <c r="D1672" s="12" t="s">
        <v>45</v>
      </c>
      <c r="E1672" s="12" t="s">
        <v>5693</v>
      </c>
      <c r="F1672" s="12" t="s">
        <v>1608</v>
      </c>
      <c r="G1672" s="12" t="b">
        <v>0</v>
      </c>
      <c r="H1672" s="12" t="b">
        <v>0</v>
      </c>
      <c r="I1672" s="12" t="b">
        <v>0</v>
      </c>
    </row>
    <row r="1673" spans="1:9" x14ac:dyDescent="0.25">
      <c r="A1673" s="12">
        <v>1672</v>
      </c>
      <c r="B1673" s="12" t="s">
        <v>5694</v>
      </c>
      <c r="C1673" s="12" t="s">
        <v>5695</v>
      </c>
      <c r="D1673" s="12" t="s">
        <v>10</v>
      </c>
      <c r="E1673" s="12" t="s">
        <v>5696</v>
      </c>
      <c r="F1673" s="12" t="s">
        <v>1646</v>
      </c>
      <c r="G1673" s="12" t="b">
        <v>0</v>
      </c>
      <c r="H1673" s="12" t="b">
        <v>1</v>
      </c>
      <c r="I1673" s="12" t="b">
        <v>1</v>
      </c>
    </row>
    <row r="1674" spans="1:9" x14ac:dyDescent="0.25">
      <c r="A1674" s="12">
        <v>1673</v>
      </c>
      <c r="B1674" s="12" t="s">
        <v>5697</v>
      </c>
      <c r="C1674" s="12" t="s">
        <v>5698</v>
      </c>
      <c r="D1674" s="12" t="s">
        <v>14</v>
      </c>
      <c r="E1674" s="12" t="s">
        <v>5699</v>
      </c>
      <c r="F1674" s="12" t="s">
        <v>5700</v>
      </c>
      <c r="G1674" s="12" t="b">
        <v>0</v>
      </c>
      <c r="H1674" s="12" t="b">
        <v>1</v>
      </c>
      <c r="I1674" s="12" t="b">
        <v>1</v>
      </c>
    </row>
    <row r="1675" spans="1:9" x14ac:dyDescent="0.25">
      <c r="A1675" s="12">
        <v>1674</v>
      </c>
      <c r="B1675" s="12" t="s">
        <v>5701</v>
      </c>
      <c r="C1675" s="12" t="s">
        <v>5702</v>
      </c>
      <c r="D1675" s="12" t="s">
        <v>14</v>
      </c>
      <c r="E1675" s="12" t="s">
        <v>5703</v>
      </c>
      <c r="F1675" s="12" t="s">
        <v>1976</v>
      </c>
      <c r="G1675" s="12" t="b">
        <v>0</v>
      </c>
      <c r="H1675" s="12" t="b">
        <v>0</v>
      </c>
      <c r="I1675" s="12" t="b">
        <v>0</v>
      </c>
    </row>
    <row r="1676" spans="1:9" x14ac:dyDescent="0.25">
      <c r="A1676" s="12">
        <v>1675</v>
      </c>
      <c r="B1676" s="12" t="s">
        <v>5704</v>
      </c>
      <c r="C1676" s="12" t="s">
        <v>5705</v>
      </c>
      <c r="D1676" s="12" t="s">
        <v>45</v>
      </c>
      <c r="E1676" s="12" t="s">
        <v>5706</v>
      </c>
      <c r="F1676" s="12" t="s">
        <v>5482</v>
      </c>
      <c r="G1676" s="12" t="b">
        <v>0</v>
      </c>
      <c r="H1676" s="12" t="b">
        <v>1</v>
      </c>
      <c r="I1676" s="12" t="b">
        <v>1</v>
      </c>
    </row>
    <row r="1677" spans="1:9" x14ac:dyDescent="0.25">
      <c r="A1677" s="12">
        <v>1676</v>
      </c>
      <c r="B1677" s="12" t="s">
        <v>5707</v>
      </c>
      <c r="C1677" s="12" t="s">
        <v>5708</v>
      </c>
      <c r="D1677" s="12" t="s">
        <v>14</v>
      </c>
      <c r="E1677" s="12" t="s">
        <v>5709</v>
      </c>
      <c r="F1677" s="12" t="s">
        <v>658</v>
      </c>
      <c r="G1677" s="12" t="b">
        <v>1</v>
      </c>
      <c r="H1677" s="12" t="b">
        <v>0</v>
      </c>
      <c r="I1677" s="12" t="b">
        <v>0</v>
      </c>
    </row>
    <row r="1678" spans="1:9" x14ac:dyDescent="0.25">
      <c r="A1678" s="12">
        <v>1677</v>
      </c>
      <c r="B1678" s="12" t="s">
        <v>5710</v>
      </c>
      <c r="C1678" s="12" t="s">
        <v>5711</v>
      </c>
      <c r="D1678" s="12" t="s">
        <v>10</v>
      </c>
      <c r="E1678" s="12" t="s">
        <v>5712</v>
      </c>
      <c r="F1678" s="12" t="s">
        <v>859</v>
      </c>
      <c r="G1678" s="12" t="b">
        <v>1</v>
      </c>
      <c r="H1678" s="12" t="b">
        <v>0</v>
      </c>
      <c r="I1678" s="12" t="b">
        <v>0</v>
      </c>
    </row>
    <row r="1679" spans="1:9" x14ac:dyDescent="0.25">
      <c r="A1679" s="12">
        <v>1678</v>
      </c>
      <c r="B1679" s="12" t="s">
        <v>5713</v>
      </c>
      <c r="C1679" s="12" t="s">
        <v>5714</v>
      </c>
      <c r="D1679" s="12" t="s">
        <v>10</v>
      </c>
      <c r="E1679" s="12" t="s">
        <v>4524</v>
      </c>
      <c r="F1679" s="12" t="s">
        <v>316</v>
      </c>
      <c r="G1679" s="12" t="b">
        <v>0</v>
      </c>
      <c r="H1679" s="12" t="b">
        <v>0</v>
      </c>
      <c r="I1679" s="12" t="b">
        <v>0</v>
      </c>
    </row>
    <row r="1680" spans="1:9" x14ac:dyDescent="0.25">
      <c r="A1680" s="12">
        <v>1679</v>
      </c>
      <c r="B1680" s="12" t="s">
        <v>5715</v>
      </c>
      <c r="C1680" s="12" t="s">
        <v>5716</v>
      </c>
      <c r="D1680" s="12" t="s">
        <v>14</v>
      </c>
      <c r="E1680" s="12" t="s">
        <v>5717</v>
      </c>
      <c r="F1680" s="12" t="s">
        <v>5718</v>
      </c>
      <c r="G1680" s="12" t="b">
        <v>0</v>
      </c>
      <c r="H1680" s="12" t="b">
        <v>1</v>
      </c>
      <c r="I1680" s="12" t="b">
        <v>1</v>
      </c>
    </row>
    <row r="1681" spans="1:9" x14ac:dyDescent="0.25">
      <c r="A1681" s="12">
        <v>1680</v>
      </c>
      <c r="B1681" s="12" t="s">
        <v>5719</v>
      </c>
      <c r="C1681" s="12" t="s">
        <v>5720</v>
      </c>
      <c r="D1681" s="12" t="s">
        <v>14</v>
      </c>
      <c r="E1681" s="12" t="s">
        <v>5721</v>
      </c>
      <c r="F1681" s="12" t="s">
        <v>5722</v>
      </c>
      <c r="G1681" s="12" t="b">
        <v>0</v>
      </c>
      <c r="H1681" s="12" t="b">
        <v>1</v>
      </c>
      <c r="I1681" s="12" t="b">
        <v>1</v>
      </c>
    </row>
    <row r="1682" spans="1:9" x14ac:dyDescent="0.25">
      <c r="A1682" s="12">
        <v>1681</v>
      </c>
      <c r="B1682" s="12" t="s">
        <v>5723</v>
      </c>
      <c r="C1682" s="12" t="s">
        <v>5724</v>
      </c>
      <c r="D1682" s="12" t="s">
        <v>45</v>
      </c>
      <c r="E1682" s="12" t="s">
        <v>5725</v>
      </c>
      <c r="F1682" s="12" t="s">
        <v>3908</v>
      </c>
      <c r="G1682" s="12" t="b">
        <v>0</v>
      </c>
      <c r="H1682" s="12" t="b">
        <v>0</v>
      </c>
      <c r="I1682" s="12" t="b">
        <v>0</v>
      </c>
    </row>
    <row r="1683" spans="1:9" x14ac:dyDescent="0.25">
      <c r="A1683" s="12">
        <v>1682</v>
      </c>
      <c r="B1683" s="12" t="s">
        <v>5726</v>
      </c>
      <c r="C1683" s="12" t="s">
        <v>5727</v>
      </c>
      <c r="D1683" s="12" t="s">
        <v>14</v>
      </c>
      <c r="E1683" s="12" t="s">
        <v>5728</v>
      </c>
      <c r="F1683" s="12" t="s">
        <v>340</v>
      </c>
      <c r="G1683" s="12" t="b">
        <v>1</v>
      </c>
      <c r="H1683" s="12" t="b">
        <v>0</v>
      </c>
      <c r="I1683" s="12" t="b">
        <v>0</v>
      </c>
    </row>
    <row r="1684" spans="1:9" x14ac:dyDescent="0.25">
      <c r="A1684" s="12">
        <v>1683</v>
      </c>
      <c r="B1684" s="12" t="s">
        <v>5729</v>
      </c>
      <c r="C1684" s="12" t="s">
        <v>5730</v>
      </c>
      <c r="D1684" s="12" t="s">
        <v>10</v>
      </c>
      <c r="E1684" s="12" t="s">
        <v>5731</v>
      </c>
      <c r="F1684" s="12" t="s">
        <v>859</v>
      </c>
      <c r="G1684" s="12" t="b">
        <v>1</v>
      </c>
      <c r="H1684" s="12" t="b">
        <v>0</v>
      </c>
      <c r="I1684" s="12" t="b">
        <v>0</v>
      </c>
    </row>
    <row r="1685" spans="1:9" x14ac:dyDescent="0.25">
      <c r="A1685" s="12">
        <v>1684</v>
      </c>
      <c r="B1685" s="12" t="s">
        <v>5732</v>
      </c>
      <c r="C1685" s="12" t="s">
        <v>5733</v>
      </c>
      <c r="D1685" s="12" t="s">
        <v>10</v>
      </c>
      <c r="E1685" s="12" t="s">
        <v>5734</v>
      </c>
      <c r="F1685" s="12" t="s">
        <v>5735</v>
      </c>
      <c r="G1685" s="12" t="b">
        <v>0</v>
      </c>
      <c r="H1685" s="12" t="b">
        <v>0</v>
      </c>
      <c r="I1685" s="12" t="b">
        <v>0</v>
      </c>
    </row>
    <row r="1686" spans="1:9" x14ac:dyDescent="0.25">
      <c r="A1686" s="12">
        <v>1685</v>
      </c>
      <c r="B1686" s="12" t="s">
        <v>5736</v>
      </c>
      <c r="C1686" s="12" t="s">
        <v>5737</v>
      </c>
      <c r="D1686" s="12" t="s">
        <v>14</v>
      </c>
      <c r="E1686" s="12" t="s">
        <v>5738</v>
      </c>
      <c r="F1686" s="12" t="s">
        <v>5422</v>
      </c>
      <c r="G1686" s="12" t="b">
        <v>0</v>
      </c>
      <c r="H1686" s="12" t="b">
        <v>0</v>
      </c>
      <c r="I1686" s="12" t="b">
        <v>0</v>
      </c>
    </row>
    <row r="1687" spans="1:9" x14ac:dyDescent="0.25">
      <c r="A1687" s="12">
        <v>1686</v>
      </c>
      <c r="B1687" s="12" t="s">
        <v>5739</v>
      </c>
      <c r="C1687" s="12" t="s">
        <v>5740</v>
      </c>
      <c r="D1687" s="12" t="s">
        <v>14</v>
      </c>
      <c r="E1687" s="12" t="s">
        <v>5741</v>
      </c>
      <c r="F1687" s="12" t="s">
        <v>5742</v>
      </c>
      <c r="G1687" s="12" t="b">
        <v>0</v>
      </c>
      <c r="H1687" s="12" t="b">
        <v>0</v>
      </c>
      <c r="I1687" s="12" t="b">
        <v>0</v>
      </c>
    </row>
    <row r="1688" spans="1:9" x14ac:dyDescent="0.25">
      <c r="A1688" s="12">
        <v>1687</v>
      </c>
      <c r="B1688" s="12" t="s">
        <v>5743</v>
      </c>
      <c r="C1688" s="12" t="s">
        <v>5744</v>
      </c>
      <c r="D1688" s="12" t="s">
        <v>45</v>
      </c>
      <c r="E1688" s="12" t="s">
        <v>5745</v>
      </c>
      <c r="F1688" s="12" t="s">
        <v>5746</v>
      </c>
      <c r="G1688" s="12" t="b">
        <v>0</v>
      </c>
      <c r="H1688" s="12" t="b">
        <v>0</v>
      </c>
      <c r="I1688" s="12" t="b">
        <v>0</v>
      </c>
    </row>
    <row r="1689" spans="1:9" x14ac:dyDescent="0.25">
      <c r="A1689" s="12">
        <v>1688</v>
      </c>
      <c r="B1689" s="12" t="s">
        <v>5747</v>
      </c>
      <c r="C1689" s="12" t="s">
        <v>5748</v>
      </c>
      <c r="D1689" s="12" t="s">
        <v>10</v>
      </c>
      <c r="E1689" s="12" t="s">
        <v>5749</v>
      </c>
      <c r="F1689" s="12" t="s">
        <v>3837</v>
      </c>
      <c r="G1689" s="12" t="b">
        <v>0</v>
      </c>
      <c r="H1689" s="12" t="b">
        <v>0</v>
      </c>
      <c r="I1689" s="12" t="b">
        <v>0</v>
      </c>
    </row>
    <row r="1690" spans="1:9" x14ac:dyDescent="0.25">
      <c r="A1690" s="12">
        <v>1689</v>
      </c>
      <c r="B1690" s="12" t="s">
        <v>5750</v>
      </c>
      <c r="C1690" s="12" t="s">
        <v>5751</v>
      </c>
      <c r="D1690" s="12" t="s">
        <v>14</v>
      </c>
      <c r="E1690" s="12" t="s">
        <v>5752</v>
      </c>
      <c r="F1690" s="12" t="s">
        <v>3455</v>
      </c>
      <c r="G1690" s="12" t="b">
        <v>0</v>
      </c>
      <c r="H1690" s="12" t="b">
        <v>1</v>
      </c>
      <c r="I1690" s="12" t="b">
        <v>1</v>
      </c>
    </row>
    <row r="1691" spans="1:9" x14ac:dyDescent="0.25">
      <c r="A1691" s="12">
        <v>1690</v>
      </c>
      <c r="B1691" s="12" t="s">
        <v>5753</v>
      </c>
      <c r="C1691" s="12" t="s">
        <v>5754</v>
      </c>
      <c r="D1691" s="12" t="s">
        <v>14</v>
      </c>
      <c r="E1691" s="12" t="s">
        <v>5755</v>
      </c>
      <c r="F1691" s="12" t="s">
        <v>3098</v>
      </c>
      <c r="G1691" s="12" t="b">
        <v>0</v>
      </c>
      <c r="H1691" s="12" t="b">
        <v>1</v>
      </c>
      <c r="I1691" s="12" t="b">
        <v>1</v>
      </c>
    </row>
    <row r="1692" spans="1:9" x14ac:dyDescent="0.25">
      <c r="A1692" s="12">
        <v>1691</v>
      </c>
      <c r="B1692" s="12" t="s">
        <v>5756</v>
      </c>
      <c r="C1692" s="12" t="s">
        <v>5757</v>
      </c>
      <c r="D1692" s="12" t="s">
        <v>45</v>
      </c>
      <c r="E1692" s="12" t="s">
        <v>5758</v>
      </c>
      <c r="F1692" s="12" t="s">
        <v>4610</v>
      </c>
      <c r="G1692" s="12" t="b">
        <v>0</v>
      </c>
      <c r="H1692" s="12" t="b">
        <v>0</v>
      </c>
      <c r="I1692" s="12" t="b">
        <v>0</v>
      </c>
    </row>
    <row r="1693" spans="1:9" x14ac:dyDescent="0.25">
      <c r="A1693" s="12">
        <v>1692</v>
      </c>
      <c r="B1693" s="12" t="s">
        <v>5759</v>
      </c>
      <c r="C1693" s="12" t="s">
        <v>5760</v>
      </c>
      <c r="D1693" s="12" t="s">
        <v>45</v>
      </c>
      <c r="E1693" s="12" t="s">
        <v>5761</v>
      </c>
      <c r="F1693" s="12" t="s">
        <v>292</v>
      </c>
      <c r="G1693" s="12" t="b">
        <v>1</v>
      </c>
      <c r="H1693" s="12" t="b">
        <v>0</v>
      </c>
      <c r="I1693" s="12" t="b">
        <v>0</v>
      </c>
    </row>
    <row r="1694" spans="1:9" x14ac:dyDescent="0.25">
      <c r="A1694" s="12">
        <v>1693</v>
      </c>
      <c r="B1694" s="12" t="s">
        <v>5762</v>
      </c>
      <c r="C1694" s="12" t="s">
        <v>5763</v>
      </c>
      <c r="D1694" s="12" t="s">
        <v>10</v>
      </c>
      <c r="E1694" s="12" t="s">
        <v>5764</v>
      </c>
      <c r="F1694" s="12" t="s">
        <v>859</v>
      </c>
      <c r="G1694" s="12" t="b">
        <v>0</v>
      </c>
      <c r="H1694" s="12" t="b">
        <v>0</v>
      </c>
      <c r="I1694" s="12" t="b">
        <v>0</v>
      </c>
    </row>
    <row r="1695" spans="1:9" x14ac:dyDescent="0.25">
      <c r="A1695" s="12">
        <v>1694</v>
      </c>
      <c r="B1695" s="12" t="s">
        <v>5765</v>
      </c>
      <c r="C1695" s="12" t="s">
        <v>5766</v>
      </c>
      <c r="D1695" s="12" t="s">
        <v>10</v>
      </c>
      <c r="E1695" s="12" t="s">
        <v>5767</v>
      </c>
      <c r="F1695" s="12" t="s">
        <v>316</v>
      </c>
      <c r="G1695" s="12" t="b">
        <v>0</v>
      </c>
      <c r="H1695" s="12" t="b">
        <v>0</v>
      </c>
      <c r="I1695" s="12" t="b">
        <v>0</v>
      </c>
    </row>
    <row r="1696" spans="1:9" x14ac:dyDescent="0.25">
      <c r="A1696" s="12">
        <v>1695</v>
      </c>
      <c r="B1696" s="12" t="s">
        <v>5768</v>
      </c>
      <c r="C1696" s="12" t="s">
        <v>5769</v>
      </c>
      <c r="D1696" s="12" t="s">
        <v>14</v>
      </c>
      <c r="E1696" s="12" t="s">
        <v>5770</v>
      </c>
      <c r="F1696" s="12" t="s">
        <v>994</v>
      </c>
      <c r="G1696" s="12" t="b">
        <v>0</v>
      </c>
      <c r="H1696" s="12" t="b">
        <v>1</v>
      </c>
      <c r="I1696" s="12" t="b">
        <v>1</v>
      </c>
    </row>
    <row r="1697" spans="1:9" x14ac:dyDescent="0.25">
      <c r="A1697" s="12">
        <v>1696</v>
      </c>
      <c r="B1697" s="12" t="s">
        <v>5771</v>
      </c>
      <c r="C1697" s="12" t="s">
        <v>5772</v>
      </c>
      <c r="D1697" s="12" t="s">
        <v>14</v>
      </c>
      <c r="E1697" s="12" t="s">
        <v>5773</v>
      </c>
      <c r="F1697" s="12" t="s">
        <v>4885</v>
      </c>
      <c r="G1697" s="12" t="b">
        <v>0</v>
      </c>
      <c r="H1697" s="12" t="b">
        <v>1</v>
      </c>
      <c r="I1697" s="12" t="b">
        <v>1</v>
      </c>
    </row>
    <row r="1698" spans="1:9" x14ac:dyDescent="0.25">
      <c r="A1698" s="12">
        <v>1697</v>
      </c>
      <c r="B1698" s="12" t="s">
        <v>5774</v>
      </c>
      <c r="C1698" s="12" t="s">
        <v>5775</v>
      </c>
      <c r="D1698" s="12" t="s">
        <v>45</v>
      </c>
      <c r="E1698" s="12" t="s">
        <v>3732</v>
      </c>
      <c r="F1698" s="12" t="s">
        <v>5776</v>
      </c>
      <c r="G1698" s="12" t="b">
        <v>0</v>
      </c>
      <c r="H1698" s="12" t="b">
        <v>0</v>
      </c>
      <c r="I1698" s="12" t="b">
        <v>0</v>
      </c>
    </row>
    <row r="1699" spans="1:9" x14ac:dyDescent="0.25">
      <c r="A1699" s="12">
        <v>1698</v>
      </c>
      <c r="B1699" s="12" t="s">
        <v>5777</v>
      </c>
      <c r="C1699" s="12" t="s">
        <v>5778</v>
      </c>
      <c r="D1699" s="12" t="s">
        <v>14</v>
      </c>
      <c r="E1699" s="12" t="s">
        <v>5779</v>
      </c>
      <c r="F1699" s="12" t="s">
        <v>5780</v>
      </c>
      <c r="G1699" s="12" t="b">
        <v>1</v>
      </c>
      <c r="H1699" s="12" t="b">
        <v>0</v>
      </c>
      <c r="I1699" s="12" t="b">
        <v>0</v>
      </c>
    </row>
    <row r="1700" spans="1:9" x14ac:dyDescent="0.25">
      <c r="A1700" s="12">
        <v>1699</v>
      </c>
      <c r="B1700" s="12" t="s">
        <v>5781</v>
      </c>
      <c r="C1700" s="12" t="s">
        <v>5782</v>
      </c>
      <c r="D1700" s="12" t="s">
        <v>14</v>
      </c>
      <c r="E1700" s="12" t="s">
        <v>5783</v>
      </c>
      <c r="F1700" s="12" t="s">
        <v>859</v>
      </c>
      <c r="G1700" s="12" t="b">
        <v>1</v>
      </c>
      <c r="H1700" s="12" t="b">
        <v>0</v>
      </c>
      <c r="I1700" s="12" t="b">
        <v>0</v>
      </c>
    </row>
    <row r="1701" spans="1:9" x14ac:dyDescent="0.25">
      <c r="A1701" s="12">
        <v>1700</v>
      </c>
      <c r="B1701" s="12" t="s">
        <v>5784</v>
      </c>
      <c r="C1701" s="12" t="s">
        <v>5785</v>
      </c>
      <c r="D1701" s="12" t="s">
        <v>10</v>
      </c>
      <c r="E1701" s="12" t="s">
        <v>5786</v>
      </c>
      <c r="F1701" s="12" t="s">
        <v>5787</v>
      </c>
      <c r="G1701" s="12" t="b">
        <v>0</v>
      </c>
      <c r="H1701" s="12" t="b">
        <v>0</v>
      </c>
      <c r="I1701" s="12" t="b">
        <v>0</v>
      </c>
    </row>
    <row r="1702" spans="1:9" x14ac:dyDescent="0.25">
      <c r="A1702" s="12">
        <v>1701</v>
      </c>
      <c r="B1702" s="12" t="s">
        <v>5788</v>
      </c>
      <c r="C1702" s="12" t="s">
        <v>5789</v>
      </c>
      <c r="D1702" s="12" t="s">
        <v>14</v>
      </c>
      <c r="E1702" s="12" t="s">
        <v>5790</v>
      </c>
      <c r="F1702" s="12" t="s">
        <v>1877</v>
      </c>
      <c r="G1702" s="12" t="b">
        <v>0</v>
      </c>
      <c r="H1702" s="12" t="b">
        <v>0</v>
      </c>
      <c r="I1702" s="12" t="b">
        <v>0</v>
      </c>
    </row>
    <row r="1703" spans="1:9" x14ac:dyDescent="0.25">
      <c r="A1703" s="12">
        <v>1702</v>
      </c>
      <c r="B1703" s="12" t="s">
        <v>5791</v>
      </c>
      <c r="C1703" s="12" t="s">
        <v>5792</v>
      </c>
      <c r="D1703" s="12" t="s">
        <v>14</v>
      </c>
      <c r="E1703" s="12" t="s">
        <v>5793</v>
      </c>
      <c r="F1703" s="12" t="s">
        <v>3455</v>
      </c>
      <c r="G1703" s="12" t="b">
        <v>0</v>
      </c>
      <c r="H1703" s="12" t="b">
        <v>0</v>
      </c>
      <c r="I1703" s="12" t="b">
        <v>0</v>
      </c>
    </row>
    <row r="1704" spans="1:9" x14ac:dyDescent="0.25">
      <c r="A1704" s="12">
        <v>1703</v>
      </c>
      <c r="B1704" s="12" t="s">
        <v>5794</v>
      </c>
      <c r="C1704" s="12" t="s">
        <v>5795</v>
      </c>
      <c r="D1704" s="12" t="s">
        <v>45</v>
      </c>
      <c r="E1704" s="12" t="s">
        <v>5796</v>
      </c>
      <c r="F1704" s="12" t="s">
        <v>5797</v>
      </c>
      <c r="G1704" s="12" t="b">
        <v>0</v>
      </c>
      <c r="H1704" s="12" t="b">
        <v>0</v>
      </c>
      <c r="I1704" s="12" t="b">
        <v>0</v>
      </c>
    </row>
    <row r="1705" spans="1:9" x14ac:dyDescent="0.25">
      <c r="A1705" s="12">
        <v>1704</v>
      </c>
      <c r="B1705" s="12" t="s">
        <v>5798</v>
      </c>
      <c r="C1705" s="12" t="s">
        <v>5799</v>
      </c>
      <c r="D1705" s="12" t="s">
        <v>10</v>
      </c>
      <c r="E1705" s="12" t="s">
        <v>5800</v>
      </c>
      <c r="F1705" s="12" t="s">
        <v>4865</v>
      </c>
      <c r="G1705" s="12" t="b">
        <v>0</v>
      </c>
      <c r="H1705" s="12" t="b">
        <v>1</v>
      </c>
      <c r="I1705" s="12" t="b">
        <v>1</v>
      </c>
    </row>
    <row r="1706" spans="1:9" x14ac:dyDescent="0.25">
      <c r="A1706" s="12">
        <v>1705</v>
      </c>
      <c r="B1706" s="12" t="s">
        <v>5801</v>
      </c>
      <c r="C1706" s="12" t="s">
        <v>5802</v>
      </c>
      <c r="D1706" s="12" t="s">
        <v>14</v>
      </c>
      <c r="E1706" s="12" t="s">
        <v>5803</v>
      </c>
      <c r="F1706" s="12" t="s">
        <v>2299</v>
      </c>
      <c r="G1706" s="12" t="b">
        <v>0</v>
      </c>
      <c r="H1706" s="12" t="b">
        <v>0</v>
      </c>
      <c r="I1706" s="12" t="b">
        <v>0</v>
      </c>
    </row>
    <row r="1707" spans="1:9" x14ac:dyDescent="0.25">
      <c r="A1707" s="12">
        <v>1706</v>
      </c>
      <c r="B1707" s="12" t="s">
        <v>5804</v>
      </c>
      <c r="C1707" s="12" t="s">
        <v>5805</v>
      </c>
      <c r="D1707" s="12" t="s">
        <v>14</v>
      </c>
      <c r="E1707" s="12" t="s">
        <v>5806</v>
      </c>
      <c r="F1707" s="12" t="s">
        <v>5807</v>
      </c>
      <c r="G1707" s="12" t="b">
        <v>0</v>
      </c>
      <c r="H1707" s="12" t="b">
        <v>0</v>
      </c>
      <c r="I1707" s="12" t="b">
        <v>0</v>
      </c>
    </row>
    <row r="1708" spans="1:9" x14ac:dyDescent="0.25">
      <c r="A1708" s="12">
        <v>1707</v>
      </c>
      <c r="B1708" s="12" t="s">
        <v>5808</v>
      </c>
      <c r="C1708" s="12" t="s">
        <v>5809</v>
      </c>
      <c r="D1708" s="12" t="s">
        <v>45</v>
      </c>
      <c r="E1708" s="12" t="s">
        <v>962</v>
      </c>
      <c r="F1708" s="12" t="s">
        <v>5810</v>
      </c>
      <c r="G1708" s="12" t="b">
        <v>0</v>
      </c>
      <c r="H1708" s="12" t="b">
        <v>0</v>
      </c>
      <c r="I1708" s="12" t="b">
        <v>0</v>
      </c>
    </row>
    <row r="1709" spans="1:9" x14ac:dyDescent="0.25">
      <c r="A1709" s="12">
        <v>1708</v>
      </c>
      <c r="B1709" s="12" t="s">
        <v>5811</v>
      </c>
      <c r="C1709" s="12" t="s">
        <v>5812</v>
      </c>
      <c r="D1709" s="12" t="s">
        <v>10</v>
      </c>
      <c r="E1709" s="12" t="s">
        <v>5813</v>
      </c>
      <c r="F1709" s="12" t="s">
        <v>732</v>
      </c>
      <c r="G1709" s="12" t="b">
        <v>1</v>
      </c>
      <c r="H1709" s="12" t="b">
        <v>0</v>
      </c>
      <c r="I1709" s="12" t="b">
        <v>0</v>
      </c>
    </row>
    <row r="1710" spans="1:9" x14ac:dyDescent="0.25">
      <c r="A1710" s="12">
        <v>1709</v>
      </c>
      <c r="B1710" s="12" t="s">
        <v>5814</v>
      </c>
      <c r="C1710" s="12" t="s">
        <v>5815</v>
      </c>
      <c r="D1710" s="12" t="s">
        <v>14</v>
      </c>
      <c r="E1710" s="12" t="s">
        <v>5816</v>
      </c>
      <c r="F1710" s="12" t="s">
        <v>859</v>
      </c>
      <c r="G1710" s="12" t="b">
        <v>1</v>
      </c>
      <c r="H1710" s="12" t="b">
        <v>0</v>
      </c>
      <c r="I1710" s="12" t="b">
        <v>0</v>
      </c>
    </row>
    <row r="1711" spans="1:9" x14ac:dyDescent="0.25">
      <c r="A1711" s="12">
        <v>1710</v>
      </c>
      <c r="B1711" s="12" t="s">
        <v>5817</v>
      </c>
      <c r="C1711" s="12" t="s">
        <v>5818</v>
      </c>
      <c r="D1711" s="12" t="s">
        <v>10</v>
      </c>
      <c r="E1711" s="12" t="s">
        <v>5819</v>
      </c>
      <c r="F1711" s="12" t="s">
        <v>1181</v>
      </c>
      <c r="G1711" s="12" t="b">
        <v>0</v>
      </c>
      <c r="H1711" s="12" t="b">
        <v>1</v>
      </c>
      <c r="I1711" s="12" t="b">
        <v>1</v>
      </c>
    </row>
    <row r="1712" spans="1:9" x14ac:dyDescent="0.25">
      <c r="A1712" s="12">
        <v>1711</v>
      </c>
      <c r="B1712" s="12" t="s">
        <v>5820</v>
      </c>
      <c r="C1712" s="12" t="s">
        <v>5821</v>
      </c>
      <c r="D1712" s="12" t="s">
        <v>14</v>
      </c>
      <c r="E1712" s="12" t="s">
        <v>5822</v>
      </c>
      <c r="F1712" s="12" t="s">
        <v>328</v>
      </c>
      <c r="G1712" s="12" t="b">
        <v>0</v>
      </c>
      <c r="H1712" s="12" t="b">
        <v>0</v>
      </c>
      <c r="I1712" s="12" t="b">
        <v>0</v>
      </c>
    </row>
    <row r="1713" spans="1:9" x14ac:dyDescent="0.25">
      <c r="A1713" s="12">
        <v>1712</v>
      </c>
      <c r="B1713" s="12" t="s">
        <v>5823</v>
      </c>
      <c r="C1713" s="12" t="s">
        <v>5824</v>
      </c>
      <c r="D1713" s="12" t="s">
        <v>14</v>
      </c>
      <c r="E1713" s="12" t="s">
        <v>5825</v>
      </c>
      <c r="F1713" s="12" t="s">
        <v>5826</v>
      </c>
      <c r="G1713" s="12" t="b">
        <v>0</v>
      </c>
      <c r="H1713" s="12" t="b">
        <v>0</v>
      </c>
      <c r="I1713" s="12" t="b">
        <v>0</v>
      </c>
    </row>
    <row r="1714" spans="1:9" x14ac:dyDescent="0.25">
      <c r="A1714" s="12">
        <v>1713</v>
      </c>
      <c r="B1714" s="12" t="s">
        <v>5827</v>
      </c>
      <c r="C1714" s="12" t="s">
        <v>5828</v>
      </c>
      <c r="D1714" s="12" t="s">
        <v>45</v>
      </c>
      <c r="E1714" s="12" t="s">
        <v>3492</v>
      </c>
      <c r="F1714" s="12" t="s">
        <v>5829</v>
      </c>
      <c r="G1714" s="12" t="b">
        <v>0</v>
      </c>
      <c r="H1714" s="12" t="b">
        <v>0</v>
      </c>
      <c r="I1714" s="12" t="b">
        <v>0</v>
      </c>
    </row>
    <row r="1715" spans="1:9" x14ac:dyDescent="0.25">
      <c r="A1715" s="12">
        <v>1714</v>
      </c>
      <c r="B1715" s="12" t="s">
        <v>5830</v>
      </c>
      <c r="C1715" s="12" t="s">
        <v>5831</v>
      </c>
      <c r="D1715" s="12" t="s">
        <v>45</v>
      </c>
      <c r="E1715" s="12" t="s">
        <v>5832</v>
      </c>
      <c r="F1715" s="12" t="s">
        <v>681</v>
      </c>
      <c r="G1715" s="12" t="b">
        <v>1</v>
      </c>
      <c r="H1715" s="12" t="b">
        <v>0</v>
      </c>
      <c r="I1715" s="12" t="b">
        <v>0</v>
      </c>
    </row>
    <row r="1716" spans="1:9" x14ac:dyDescent="0.25">
      <c r="A1716" s="12">
        <v>1715</v>
      </c>
      <c r="B1716" s="12" t="s">
        <v>5833</v>
      </c>
      <c r="C1716" s="12" t="s">
        <v>5834</v>
      </c>
      <c r="D1716" s="12" t="s">
        <v>14</v>
      </c>
      <c r="E1716" s="12" t="s">
        <v>5835</v>
      </c>
      <c r="F1716" s="12" t="s">
        <v>859</v>
      </c>
      <c r="G1716" s="12" t="b">
        <v>1</v>
      </c>
      <c r="H1716" s="12" t="b">
        <v>0</v>
      </c>
      <c r="I1716" s="12" t="b">
        <v>0</v>
      </c>
    </row>
    <row r="1717" spans="1:9" x14ac:dyDescent="0.25">
      <c r="A1717" s="12">
        <v>1716</v>
      </c>
      <c r="B1717" s="12" t="s">
        <v>5836</v>
      </c>
      <c r="C1717" s="12" t="s">
        <v>5837</v>
      </c>
      <c r="D1717" s="12" t="s">
        <v>10</v>
      </c>
      <c r="E1717" s="12" t="s">
        <v>5838</v>
      </c>
      <c r="F1717" s="12" t="s">
        <v>315</v>
      </c>
      <c r="G1717" s="12" t="b">
        <v>0</v>
      </c>
      <c r="H1717" s="12" t="b">
        <v>0</v>
      </c>
      <c r="I1717" s="12" t="b">
        <v>0</v>
      </c>
    </row>
    <row r="1718" spans="1:9" x14ac:dyDescent="0.25">
      <c r="A1718" s="12">
        <v>1717</v>
      </c>
      <c r="B1718" s="12" t="s">
        <v>5839</v>
      </c>
      <c r="C1718" s="12" t="s">
        <v>5840</v>
      </c>
      <c r="D1718" s="12" t="s">
        <v>14</v>
      </c>
      <c r="E1718" s="12" t="s">
        <v>5841</v>
      </c>
      <c r="F1718" s="12" t="s">
        <v>3249</v>
      </c>
      <c r="G1718" s="12" t="b">
        <v>0</v>
      </c>
      <c r="H1718" s="12" t="b">
        <v>0</v>
      </c>
      <c r="I1718" s="12" t="b">
        <v>0</v>
      </c>
    </row>
    <row r="1719" spans="1:9" x14ac:dyDescent="0.25">
      <c r="A1719" s="12">
        <v>1718</v>
      </c>
      <c r="B1719" s="12" t="s">
        <v>5842</v>
      </c>
      <c r="C1719" s="12" t="s">
        <v>5843</v>
      </c>
      <c r="D1719" s="12" t="s">
        <v>14</v>
      </c>
      <c r="E1719" s="12" t="s">
        <v>5844</v>
      </c>
      <c r="F1719" s="12" t="s">
        <v>445</v>
      </c>
      <c r="G1719" s="12" t="b">
        <v>0</v>
      </c>
      <c r="H1719" s="12" t="b">
        <v>0</v>
      </c>
      <c r="I1719" s="12" t="b">
        <v>0</v>
      </c>
    </row>
    <row r="1720" spans="1:9" x14ac:dyDescent="0.25">
      <c r="A1720" s="12">
        <v>1719</v>
      </c>
      <c r="B1720" s="12" t="s">
        <v>5845</v>
      </c>
      <c r="C1720" s="12" t="s">
        <v>5846</v>
      </c>
      <c r="D1720" s="12" t="s">
        <v>45</v>
      </c>
      <c r="E1720" s="12" t="s">
        <v>5847</v>
      </c>
      <c r="F1720" s="12" t="s">
        <v>5848</v>
      </c>
      <c r="G1720" s="12" t="b">
        <v>0</v>
      </c>
      <c r="H1720" s="12" t="b">
        <v>0</v>
      </c>
      <c r="I1720" s="12" t="b">
        <v>0</v>
      </c>
    </row>
    <row r="1721" spans="1:9" x14ac:dyDescent="0.25">
      <c r="A1721" s="12">
        <v>1720</v>
      </c>
      <c r="B1721" s="12" t="s">
        <v>5849</v>
      </c>
      <c r="C1721" s="12" t="s">
        <v>5850</v>
      </c>
      <c r="D1721" s="12" t="s">
        <v>10</v>
      </c>
      <c r="E1721" s="12" t="s">
        <v>5851</v>
      </c>
      <c r="F1721" s="12" t="s">
        <v>738</v>
      </c>
      <c r="G1721" s="12" t="b">
        <v>0</v>
      </c>
      <c r="H1721" s="12" t="b">
        <v>0</v>
      </c>
      <c r="I1721" s="12" t="b">
        <v>0</v>
      </c>
    </row>
    <row r="1722" spans="1:9" x14ac:dyDescent="0.25">
      <c r="A1722" s="12">
        <v>1721</v>
      </c>
      <c r="B1722" s="12" t="s">
        <v>5852</v>
      </c>
      <c r="C1722" s="12" t="s">
        <v>5853</v>
      </c>
      <c r="D1722" s="12" t="s">
        <v>14</v>
      </c>
      <c r="E1722" s="12" t="s">
        <v>5854</v>
      </c>
      <c r="F1722" s="12" t="s">
        <v>383</v>
      </c>
      <c r="G1722" s="12" t="b">
        <v>0</v>
      </c>
      <c r="H1722" s="12" t="b">
        <v>1</v>
      </c>
      <c r="I1722" s="12" t="b">
        <v>1</v>
      </c>
    </row>
    <row r="1723" spans="1:9" x14ac:dyDescent="0.25">
      <c r="A1723" s="12">
        <v>1722</v>
      </c>
      <c r="B1723" s="12" t="s">
        <v>5855</v>
      </c>
      <c r="C1723" s="12" t="s">
        <v>5856</v>
      </c>
      <c r="D1723" s="12" t="s">
        <v>14</v>
      </c>
      <c r="E1723" s="12" t="s">
        <v>5857</v>
      </c>
      <c r="F1723" s="12" t="s">
        <v>5858</v>
      </c>
      <c r="G1723" s="12" t="b">
        <v>0</v>
      </c>
      <c r="H1723" s="12" t="b">
        <v>0</v>
      </c>
      <c r="I1723" s="12" t="b">
        <v>0</v>
      </c>
    </row>
    <row r="1724" spans="1:9" x14ac:dyDescent="0.25">
      <c r="A1724" s="12">
        <v>1723</v>
      </c>
      <c r="B1724" s="12" t="s">
        <v>5859</v>
      </c>
      <c r="C1724" s="12" t="s">
        <v>5860</v>
      </c>
      <c r="D1724" s="12" t="s">
        <v>45</v>
      </c>
      <c r="E1724" s="12" t="s">
        <v>5861</v>
      </c>
      <c r="F1724" s="12" t="s">
        <v>1780</v>
      </c>
      <c r="G1724" s="12" t="b">
        <v>0</v>
      </c>
      <c r="H1724" s="12" t="b">
        <v>0</v>
      </c>
      <c r="I1724" s="12" t="b">
        <v>0</v>
      </c>
    </row>
    <row r="1725" spans="1:9" x14ac:dyDescent="0.25">
      <c r="A1725" s="12">
        <v>1724</v>
      </c>
      <c r="B1725" s="12" t="s">
        <v>5862</v>
      </c>
      <c r="C1725" s="12" t="s">
        <v>5863</v>
      </c>
      <c r="D1725" s="12" t="s">
        <v>45</v>
      </c>
      <c r="E1725" s="12" t="s">
        <v>5864</v>
      </c>
      <c r="F1725" s="12" t="s">
        <v>4045</v>
      </c>
      <c r="G1725" s="12" t="b">
        <v>1</v>
      </c>
      <c r="H1725" s="12" t="b">
        <v>0</v>
      </c>
      <c r="I1725" s="12" t="b">
        <v>0</v>
      </c>
    </row>
    <row r="1726" spans="1:9" x14ac:dyDescent="0.25">
      <c r="A1726" s="12">
        <v>1725</v>
      </c>
      <c r="B1726" s="12" t="s">
        <v>5865</v>
      </c>
      <c r="C1726" s="12" t="s">
        <v>5866</v>
      </c>
      <c r="D1726" s="12" t="s">
        <v>10</v>
      </c>
      <c r="E1726" s="12" t="s">
        <v>5867</v>
      </c>
      <c r="F1726" s="12" t="s">
        <v>317</v>
      </c>
      <c r="G1726" s="12" t="b">
        <v>0</v>
      </c>
      <c r="H1726" s="12" t="b">
        <v>0</v>
      </c>
      <c r="I1726" s="12" t="b">
        <v>0</v>
      </c>
    </row>
    <row r="1727" spans="1:9" x14ac:dyDescent="0.25">
      <c r="A1727" s="12">
        <v>1726</v>
      </c>
      <c r="B1727" s="12" t="s">
        <v>5868</v>
      </c>
      <c r="C1727" s="12" t="s">
        <v>5869</v>
      </c>
      <c r="D1727" s="12" t="s">
        <v>14</v>
      </c>
      <c r="E1727" s="12" t="s">
        <v>5870</v>
      </c>
      <c r="F1727" s="12" t="s">
        <v>328</v>
      </c>
      <c r="G1727" s="12" t="b">
        <v>0</v>
      </c>
      <c r="H1727" s="12" t="b">
        <v>0</v>
      </c>
      <c r="I1727" s="12" t="b">
        <v>0</v>
      </c>
    </row>
    <row r="1728" spans="1:9" x14ac:dyDescent="0.25">
      <c r="A1728" s="12">
        <v>1727</v>
      </c>
      <c r="B1728" s="12" t="s">
        <v>5871</v>
      </c>
      <c r="C1728" s="12" t="s">
        <v>5872</v>
      </c>
      <c r="D1728" s="12" t="s">
        <v>14</v>
      </c>
      <c r="E1728" s="12" t="s">
        <v>5873</v>
      </c>
      <c r="F1728" s="12" t="s">
        <v>5874</v>
      </c>
      <c r="G1728" s="12" t="b">
        <v>0</v>
      </c>
      <c r="H1728" s="12" t="b">
        <v>0</v>
      </c>
      <c r="I1728" s="12" t="b">
        <v>0</v>
      </c>
    </row>
    <row r="1729" spans="1:9" x14ac:dyDescent="0.25">
      <c r="A1729" s="12">
        <v>1728</v>
      </c>
      <c r="B1729" s="12" t="s">
        <v>5875</v>
      </c>
      <c r="C1729" s="12" t="s">
        <v>5876</v>
      </c>
      <c r="D1729" s="12" t="s">
        <v>45</v>
      </c>
      <c r="E1729" s="12" t="s">
        <v>5877</v>
      </c>
      <c r="F1729" s="12" t="s">
        <v>5878</v>
      </c>
      <c r="G1729" s="12" t="b">
        <v>0</v>
      </c>
      <c r="H1729" s="12" t="b">
        <v>0</v>
      </c>
      <c r="I1729" s="12" t="b">
        <v>0</v>
      </c>
    </row>
    <row r="1730" spans="1:9" x14ac:dyDescent="0.25">
      <c r="A1730" s="12">
        <v>1729</v>
      </c>
      <c r="B1730" s="12" t="s">
        <v>5879</v>
      </c>
      <c r="C1730" s="12" t="s">
        <v>5880</v>
      </c>
      <c r="D1730" s="12" t="s">
        <v>10</v>
      </c>
      <c r="E1730" s="12" t="s">
        <v>5881</v>
      </c>
      <c r="F1730" s="12" t="s">
        <v>859</v>
      </c>
      <c r="G1730" s="12" t="b">
        <v>0</v>
      </c>
      <c r="H1730" s="12" t="b">
        <v>0</v>
      </c>
      <c r="I1730" s="12" t="b">
        <v>0</v>
      </c>
    </row>
    <row r="1731" spans="1:9" x14ac:dyDescent="0.25">
      <c r="A1731" s="12">
        <v>1730</v>
      </c>
      <c r="B1731" s="12" t="s">
        <v>5882</v>
      </c>
      <c r="C1731" s="12" t="s">
        <v>5883</v>
      </c>
      <c r="D1731" s="12" t="s">
        <v>14</v>
      </c>
      <c r="E1731" s="12" t="s">
        <v>5884</v>
      </c>
      <c r="F1731" s="12" t="s">
        <v>1199</v>
      </c>
      <c r="G1731" s="12" t="b">
        <v>1</v>
      </c>
      <c r="H1731" s="12" t="b">
        <v>0</v>
      </c>
      <c r="I1731" s="12" t="b">
        <v>0</v>
      </c>
    </row>
    <row r="1732" spans="1:9" x14ac:dyDescent="0.25">
      <c r="A1732" s="12">
        <v>1731</v>
      </c>
      <c r="B1732" s="12" t="s">
        <v>5885</v>
      </c>
      <c r="C1732" s="12" t="s">
        <v>5886</v>
      </c>
      <c r="D1732" s="12" t="s">
        <v>10</v>
      </c>
      <c r="E1732" s="12" t="s">
        <v>5887</v>
      </c>
      <c r="F1732" s="12" t="s">
        <v>859</v>
      </c>
      <c r="G1732" s="12" t="b">
        <v>1</v>
      </c>
      <c r="H1732" s="12" t="b">
        <v>0</v>
      </c>
      <c r="I1732" s="12" t="b">
        <v>0</v>
      </c>
    </row>
    <row r="1733" spans="1:9" x14ac:dyDescent="0.25">
      <c r="A1733" s="12">
        <v>1732</v>
      </c>
      <c r="B1733" s="12" t="s">
        <v>5888</v>
      </c>
      <c r="C1733" s="12" t="s">
        <v>5889</v>
      </c>
      <c r="D1733" s="12" t="s">
        <v>10</v>
      </c>
      <c r="E1733" s="12" t="s">
        <v>5890</v>
      </c>
      <c r="F1733" s="12" t="s">
        <v>1055</v>
      </c>
      <c r="G1733" s="12" t="b">
        <v>0</v>
      </c>
      <c r="H1733" s="12" t="b">
        <v>0</v>
      </c>
      <c r="I1733" s="12" t="b">
        <v>0</v>
      </c>
    </row>
    <row r="1734" spans="1:9" x14ac:dyDescent="0.25">
      <c r="A1734" s="12">
        <v>1733</v>
      </c>
      <c r="B1734" s="12" t="s">
        <v>5891</v>
      </c>
      <c r="C1734" s="12" t="s">
        <v>5892</v>
      </c>
      <c r="D1734" s="12" t="s">
        <v>14</v>
      </c>
      <c r="E1734" s="12" t="s">
        <v>5893</v>
      </c>
      <c r="F1734" s="12" t="s">
        <v>732</v>
      </c>
      <c r="G1734" s="12" t="b">
        <v>0</v>
      </c>
      <c r="H1734" s="12" t="b">
        <v>0</v>
      </c>
      <c r="I1734" s="12" t="b">
        <v>0</v>
      </c>
    </row>
    <row r="1735" spans="1:9" x14ac:dyDescent="0.25">
      <c r="A1735" s="12">
        <v>1734</v>
      </c>
      <c r="B1735" s="12" t="s">
        <v>5894</v>
      </c>
      <c r="C1735" s="12" t="s">
        <v>5895</v>
      </c>
      <c r="D1735" s="12" t="s">
        <v>14</v>
      </c>
      <c r="E1735" s="12" t="s">
        <v>5896</v>
      </c>
      <c r="F1735" s="12" t="s">
        <v>738</v>
      </c>
      <c r="G1735" s="12" t="b">
        <v>0</v>
      </c>
      <c r="H1735" s="12" t="b">
        <v>0</v>
      </c>
      <c r="I1735" s="12" t="b">
        <v>0</v>
      </c>
    </row>
    <row r="1736" spans="1:9" x14ac:dyDescent="0.25">
      <c r="A1736" s="12">
        <v>1735</v>
      </c>
      <c r="B1736" s="12" t="s">
        <v>5897</v>
      </c>
      <c r="C1736" s="12" t="s">
        <v>5898</v>
      </c>
      <c r="D1736" s="12" t="s">
        <v>45</v>
      </c>
      <c r="E1736" s="12" t="s">
        <v>5899</v>
      </c>
      <c r="F1736" s="12" t="s">
        <v>1283</v>
      </c>
      <c r="G1736" s="12" t="b">
        <v>0</v>
      </c>
      <c r="H1736" s="12" t="b">
        <v>0</v>
      </c>
      <c r="I1736" s="12" t="b">
        <v>0</v>
      </c>
    </row>
    <row r="1737" spans="1:9" x14ac:dyDescent="0.25">
      <c r="A1737" s="12">
        <v>1736</v>
      </c>
      <c r="B1737" s="12" t="s">
        <v>5900</v>
      </c>
      <c r="C1737" s="12" t="s">
        <v>5901</v>
      </c>
      <c r="D1737" s="12" t="s">
        <v>10</v>
      </c>
      <c r="E1737" s="12" t="s">
        <v>5902</v>
      </c>
      <c r="F1737" s="12" t="s">
        <v>3455</v>
      </c>
      <c r="G1737" s="12" t="b">
        <v>0</v>
      </c>
      <c r="H1737" s="12" t="b">
        <v>0</v>
      </c>
      <c r="I1737" s="12" t="b">
        <v>0</v>
      </c>
    </row>
    <row r="1738" spans="1:9" x14ac:dyDescent="0.25">
      <c r="A1738" s="12">
        <v>1737</v>
      </c>
      <c r="B1738" s="12" t="s">
        <v>5903</v>
      </c>
      <c r="C1738" s="12" t="s">
        <v>5904</v>
      </c>
      <c r="D1738" s="12" t="s">
        <v>14</v>
      </c>
      <c r="E1738" s="12" t="s">
        <v>5905</v>
      </c>
      <c r="F1738" s="12" t="s">
        <v>5906</v>
      </c>
      <c r="G1738" s="12" t="b">
        <v>0</v>
      </c>
      <c r="H1738" s="12" t="b">
        <v>0</v>
      </c>
      <c r="I1738" s="12" t="b">
        <v>0</v>
      </c>
    </row>
    <row r="1739" spans="1:9" x14ac:dyDescent="0.25">
      <c r="A1739" s="12">
        <v>1738</v>
      </c>
      <c r="B1739" s="12" t="s">
        <v>5907</v>
      </c>
      <c r="C1739" s="12" t="s">
        <v>5908</v>
      </c>
      <c r="D1739" s="12" t="s">
        <v>14</v>
      </c>
      <c r="E1739" s="12" t="s">
        <v>5909</v>
      </c>
      <c r="F1739" s="12" t="s">
        <v>5910</v>
      </c>
      <c r="G1739" s="12" t="b">
        <v>0</v>
      </c>
      <c r="H1739" s="12" t="b">
        <v>0</v>
      </c>
      <c r="I1739" s="12" t="b">
        <v>0</v>
      </c>
    </row>
    <row r="1740" spans="1:9" x14ac:dyDescent="0.25">
      <c r="A1740" s="12">
        <v>1739</v>
      </c>
      <c r="B1740" s="12" t="s">
        <v>5911</v>
      </c>
      <c r="C1740" s="12" t="s">
        <v>5912</v>
      </c>
      <c r="D1740" s="12" t="s">
        <v>45</v>
      </c>
      <c r="E1740" s="12" t="s">
        <v>5913</v>
      </c>
      <c r="F1740" s="12" t="s">
        <v>5914</v>
      </c>
      <c r="G1740" s="12" t="b">
        <v>0</v>
      </c>
      <c r="H1740" s="12" t="b">
        <v>0</v>
      </c>
      <c r="I1740" s="12" t="b">
        <v>0</v>
      </c>
    </row>
    <row r="1741" spans="1:9" x14ac:dyDescent="0.25">
      <c r="A1741" s="12">
        <v>1740</v>
      </c>
      <c r="B1741" s="12" t="s">
        <v>5915</v>
      </c>
      <c r="C1741" s="12" t="s">
        <v>5916</v>
      </c>
      <c r="D1741" s="12" t="s">
        <v>14</v>
      </c>
      <c r="E1741" s="12" t="s">
        <v>5917</v>
      </c>
      <c r="F1741" s="12" t="s">
        <v>1286</v>
      </c>
      <c r="G1741" s="12" t="b">
        <v>1</v>
      </c>
      <c r="H1741" s="12" t="b">
        <v>0</v>
      </c>
      <c r="I1741" s="12" t="b">
        <v>0</v>
      </c>
    </row>
    <row r="1742" spans="1:9" x14ac:dyDescent="0.25">
      <c r="A1742" s="12">
        <v>1741</v>
      </c>
      <c r="B1742" s="12" t="s">
        <v>5918</v>
      </c>
      <c r="C1742" s="12" t="s">
        <v>5919</v>
      </c>
      <c r="D1742" s="12" t="s">
        <v>10</v>
      </c>
      <c r="E1742" s="12" t="s">
        <v>5920</v>
      </c>
      <c r="F1742" s="12" t="s">
        <v>859</v>
      </c>
      <c r="G1742" s="12" t="b">
        <v>0</v>
      </c>
      <c r="H1742" s="12" t="b">
        <v>0</v>
      </c>
      <c r="I1742" s="12" t="b">
        <v>0</v>
      </c>
    </row>
    <row r="1743" spans="1:9" x14ac:dyDescent="0.25">
      <c r="A1743" s="12">
        <v>1742</v>
      </c>
      <c r="B1743" s="12" t="s">
        <v>5921</v>
      </c>
      <c r="C1743" s="12" t="s">
        <v>5922</v>
      </c>
      <c r="D1743" s="12" t="s">
        <v>10</v>
      </c>
      <c r="E1743" s="12" t="s">
        <v>5923</v>
      </c>
      <c r="F1743" s="12" t="s">
        <v>5924</v>
      </c>
      <c r="G1743" s="12" t="b">
        <v>0</v>
      </c>
      <c r="H1743" s="12" t="b">
        <v>0</v>
      </c>
      <c r="I1743" s="12" t="b">
        <v>0</v>
      </c>
    </row>
    <row r="1744" spans="1:9" x14ac:dyDescent="0.25">
      <c r="A1744" s="12">
        <v>1743</v>
      </c>
      <c r="B1744" s="12" t="s">
        <v>5925</v>
      </c>
      <c r="C1744" s="12" t="s">
        <v>5926</v>
      </c>
      <c r="D1744" s="12" t="s">
        <v>14</v>
      </c>
      <c r="E1744" s="12" t="s">
        <v>5927</v>
      </c>
      <c r="F1744" s="12" t="s">
        <v>328</v>
      </c>
      <c r="G1744" s="12" t="b">
        <v>0</v>
      </c>
      <c r="H1744" s="12" t="b">
        <v>0</v>
      </c>
      <c r="I1744" s="12" t="b">
        <v>0</v>
      </c>
    </row>
    <row r="1745" spans="1:9" x14ac:dyDescent="0.25">
      <c r="A1745" s="12">
        <v>1744</v>
      </c>
      <c r="B1745" s="12" t="s">
        <v>5928</v>
      </c>
      <c r="C1745" s="12" t="s">
        <v>5929</v>
      </c>
      <c r="D1745" s="12" t="s">
        <v>14</v>
      </c>
      <c r="E1745" s="12" t="s">
        <v>5930</v>
      </c>
      <c r="F1745" s="12" t="s">
        <v>1055</v>
      </c>
      <c r="G1745" s="12" t="b">
        <v>0</v>
      </c>
      <c r="H1745" s="12" t="b">
        <v>0</v>
      </c>
      <c r="I1745" s="12" t="b">
        <v>0</v>
      </c>
    </row>
    <row r="1746" spans="1:9" x14ac:dyDescent="0.25">
      <c r="A1746" s="12">
        <v>1745</v>
      </c>
      <c r="B1746" s="12" t="s">
        <v>5931</v>
      </c>
      <c r="C1746" s="12" t="s">
        <v>5932</v>
      </c>
      <c r="D1746" s="12" t="s">
        <v>45</v>
      </c>
      <c r="E1746" s="12" t="s">
        <v>5933</v>
      </c>
      <c r="F1746" s="12" t="s">
        <v>340</v>
      </c>
      <c r="G1746" s="12" t="b">
        <v>0</v>
      </c>
      <c r="H1746" s="12" t="b">
        <v>0</v>
      </c>
      <c r="I1746" s="12" t="b">
        <v>0</v>
      </c>
    </row>
    <row r="1747" spans="1:9" x14ac:dyDescent="0.25">
      <c r="A1747" s="12">
        <v>1746</v>
      </c>
      <c r="B1747" s="12" t="s">
        <v>5934</v>
      </c>
      <c r="C1747" s="12" t="s">
        <v>5935</v>
      </c>
      <c r="D1747" s="12" t="s">
        <v>14</v>
      </c>
      <c r="E1747" s="12" t="s">
        <v>5936</v>
      </c>
      <c r="F1747" s="12" t="s">
        <v>681</v>
      </c>
      <c r="G1747" s="12" t="b">
        <v>1</v>
      </c>
      <c r="H1747" s="12" t="b">
        <v>0</v>
      </c>
      <c r="I1747" s="12" t="b">
        <v>0</v>
      </c>
    </row>
    <row r="1748" spans="1:9" x14ac:dyDescent="0.25">
      <c r="A1748" s="12">
        <v>1747</v>
      </c>
      <c r="B1748" s="12" t="s">
        <v>5937</v>
      </c>
      <c r="C1748" s="12" t="s">
        <v>5938</v>
      </c>
      <c r="D1748" s="12" t="s">
        <v>14</v>
      </c>
      <c r="E1748" s="12" t="s">
        <v>5939</v>
      </c>
      <c r="F1748" s="12" t="s">
        <v>859</v>
      </c>
      <c r="G1748" s="12" t="b">
        <v>1</v>
      </c>
      <c r="H1748" s="12" t="b">
        <v>0</v>
      </c>
      <c r="I1748" s="12" t="b">
        <v>0</v>
      </c>
    </row>
    <row r="1749" spans="1:9" x14ac:dyDescent="0.25">
      <c r="A1749" s="12">
        <v>1748</v>
      </c>
      <c r="B1749" s="12" t="s">
        <v>5940</v>
      </c>
      <c r="C1749" s="12" t="s">
        <v>5941</v>
      </c>
      <c r="D1749" s="12" t="s">
        <v>10</v>
      </c>
      <c r="E1749" s="12" t="s">
        <v>5942</v>
      </c>
      <c r="F1749" s="12" t="s">
        <v>3539</v>
      </c>
      <c r="G1749" s="12" t="b">
        <v>0</v>
      </c>
      <c r="H1749" s="12" t="b">
        <v>0</v>
      </c>
      <c r="I1749" s="12" t="b">
        <v>0</v>
      </c>
    </row>
    <row r="1750" spans="1:9" x14ac:dyDescent="0.25">
      <c r="A1750" s="12">
        <v>1749</v>
      </c>
      <c r="B1750" s="12" t="s">
        <v>5943</v>
      </c>
      <c r="C1750" s="12" t="s">
        <v>5944</v>
      </c>
      <c r="D1750" s="12" t="s">
        <v>14</v>
      </c>
      <c r="E1750" s="12" t="s">
        <v>5945</v>
      </c>
      <c r="F1750" s="12" t="s">
        <v>681</v>
      </c>
      <c r="G1750" s="12" t="b">
        <v>0</v>
      </c>
      <c r="H1750" s="12" t="b">
        <v>0</v>
      </c>
      <c r="I1750" s="12" t="b">
        <v>0</v>
      </c>
    </row>
    <row r="1751" spans="1:9" x14ac:dyDescent="0.25">
      <c r="A1751" s="12">
        <v>1750</v>
      </c>
      <c r="B1751" s="12" t="s">
        <v>5946</v>
      </c>
      <c r="C1751" s="12" t="s">
        <v>5947</v>
      </c>
      <c r="D1751" s="12" t="s">
        <v>14</v>
      </c>
      <c r="E1751" s="12" t="s">
        <v>5948</v>
      </c>
      <c r="F1751" s="12" t="s">
        <v>702</v>
      </c>
      <c r="G1751" s="12" t="b">
        <v>0</v>
      </c>
      <c r="H1751" s="12" t="b">
        <v>0</v>
      </c>
      <c r="I1751" s="12" t="b">
        <v>0</v>
      </c>
    </row>
    <row r="1752" spans="1:9" x14ac:dyDescent="0.25">
      <c r="A1752" s="12">
        <v>1751</v>
      </c>
      <c r="B1752" s="12" t="s">
        <v>5949</v>
      </c>
      <c r="C1752" s="12" t="s">
        <v>5950</v>
      </c>
      <c r="D1752" s="12" t="s">
        <v>45</v>
      </c>
      <c r="E1752" s="12" t="s">
        <v>5951</v>
      </c>
      <c r="F1752" s="12" t="s">
        <v>1243</v>
      </c>
      <c r="G1752" s="12" t="b">
        <v>0</v>
      </c>
      <c r="H1752" s="12" t="b">
        <v>0</v>
      </c>
      <c r="I1752" s="12" t="b">
        <v>0</v>
      </c>
    </row>
    <row r="1753" spans="1:9" x14ac:dyDescent="0.25">
      <c r="A1753" s="12">
        <v>1752</v>
      </c>
      <c r="B1753" s="12" t="s">
        <v>5952</v>
      </c>
      <c r="C1753" s="12" t="s">
        <v>5953</v>
      </c>
      <c r="D1753" s="12" t="s">
        <v>10</v>
      </c>
      <c r="E1753" s="12" t="s">
        <v>5954</v>
      </c>
      <c r="F1753" s="12" t="s">
        <v>317</v>
      </c>
      <c r="G1753" s="12" t="b">
        <v>0</v>
      </c>
      <c r="H1753" s="12" t="b">
        <v>0</v>
      </c>
      <c r="I1753" s="12" t="b">
        <v>0</v>
      </c>
    </row>
    <row r="1754" spans="1:9" x14ac:dyDescent="0.25">
      <c r="A1754" s="12">
        <v>1753</v>
      </c>
      <c r="B1754" s="12" t="s">
        <v>5955</v>
      </c>
      <c r="C1754" s="12" t="s">
        <v>5956</v>
      </c>
      <c r="D1754" s="12" t="s">
        <v>14</v>
      </c>
      <c r="E1754" s="12" t="s">
        <v>5957</v>
      </c>
      <c r="F1754" s="12" t="s">
        <v>4147</v>
      </c>
      <c r="G1754" s="12" t="b">
        <v>0</v>
      </c>
      <c r="H1754" s="12" t="b">
        <v>0</v>
      </c>
      <c r="I1754" s="12" t="b">
        <v>0</v>
      </c>
    </row>
    <row r="1755" spans="1:9" x14ac:dyDescent="0.25">
      <c r="A1755" s="12">
        <v>1754</v>
      </c>
      <c r="B1755" s="12" t="s">
        <v>5958</v>
      </c>
      <c r="C1755" s="12" t="s">
        <v>5959</v>
      </c>
      <c r="D1755" s="12" t="s">
        <v>14</v>
      </c>
      <c r="E1755" s="12" t="s">
        <v>5960</v>
      </c>
      <c r="F1755" s="12" t="s">
        <v>2454</v>
      </c>
      <c r="G1755" s="12" t="b">
        <v>0</v>
      </c>
      <c r="H1755" s="12" t="b">
        <v>0</v>
      </c>
      <c r="I1755" s="12" t="b">
        <v>0</v>
      </c>
    </row>
    <row r="1756" spans="1:9" x14ac:dyDescent="0.25">
      <c r="A1756" s="12">
        <v>1755</v>
      </c>
      <c r="B1756" s="12" t="s">
        <v>5961</v>
      </c>
      <c r="C1756" s="12" t="s">
        <v>5962</v>
      </c>
      <c r="D1756" s="12" t="s">
        <v>45</v>
      </c>
      <c r="E1756" s="12" t="s">
        <v>5963</v>
      </c>
      <c r="F1756" s="12" t="s">
        <v>5964</v>
      </c>
      <c r="G1756" s="12" t="b">
        <v>0</v>
      </c>
      <c r="H1756" s="12" t="b">
        <v>0</v>
      </c>
      <c r="I1756" s="12" t="b">
        <v>0</v>
      </c>
    </row>
    <row r="1757" spans="1:9" x14ac:dyDescent="0.25">
      <c r="A1757" s="12">
        <v>1756</v>
      </c>
      <c r="B1757" s="12" t="s">
        <v>5965</v>
      </c>
      <c r="C1757" s="12" t="s">
        <v>5966</v>
      </c>
      <c r="D1757" s="12" t="s">
        <v>14</v>
      </c>
      <c r="E1757" s="12" t="s">
        <v>5967</v>
      </c>
      <c r="F1757" s="12" t="s">
        <v>5968</v>
      </c>
      <c r="G1757" s="12" t="b">
        <v>1</v>
      </c>
      <c r="H1757" s="12" t="b">
        <v>0</v>
      </c>
      <c r="I1757" s="12" t="b">
        <v>0</v>
      </c>
    </row>
    <row r="1758" spans="1:9" x14ac:dyDescent="0.25">
      <c r="A1758" s="12">
        <v>1757</v>
      </c>
      <c r="B1758" s="12" t="s">
        <v>5969</v>
      </c>
      <c r="C1758" s="12" t="s">
        <v>5970</v>
      </c>
      <c r="D1758" s="12" t="s">
        <v>10</v>
      </c>
      <c r="E1758" s="12" t="s">
        <v>5971</v>
      </c>
      <c r="F1758" s="12" t="s">
        <v>859</v>
      </c>
      <c r="G1758" s="12" t="b">
        <v>0</v>
      </c>
      <c r="H1758" s="12" t="b">
        <v>0</v>
      </c>
      <c r="I1758" s="12" t="b">
        <v>0</v>
      </c>
    </row>
    <row r="1759" spans="1:9" x14ac:dyDescent="0.25">
      <c r="A1759" s="12">
        <v>1758</v>
      </c>
      <c r="B1759" s="12" t="s">
        <v>5972</v>
      </c>
      <c r="C1759" s="12" t="s">
        <v>5973</v>
      </c>
      <c r="D1759" s="12" t="s">
        <v>10</v>
      </c>
      <c r="E1759" s="12" t="s">
        <v>5974</v>
      </c>
      <c r="F1759" s="12" t="s">
        <v>316</v>
      </c>
      <c r="G1759" s="12" t="b">
        <v>0</v>
      </c>
      <c r="H1759" s="12" t="b">
        <v>0</v>
      </c>
      <c r="I1759" s="12" t="b">
        <v>0</v>
      </c>
    </row>
    <row r="1760" spans="1:9" x14ac:dyDescent="0.25">
      <c r="A1760" s="12">
        <v>1759</v>
      </c>
      <c r="B1760" s="12" t="s">
        <v>5975</v>
      </c>
      <c r="C1760" s="12" t="s">
        <v>5976</v>
      </c>
      <c r="D1760" s="12" t="s">
        <v>14</v>
      </c>
      <c r="E1760" s="12" t="s">
        <v>5977</v>
      </c>
      <c r="F1760" s="12" t="s">
        <v>836</v>
      </c>
      <c r="G1760" s="12" t="b">
        <v>0</v>
      </c>
      <c r="H1760" s="12" t="b">
        <v>0</v>
      </c>
      <c r="I1760" s="12" t="b">
        <v>0</v>
      </c>
    </row>
    <row r="1761" spans="1:9" x14ac:dyDescent="0.25">
      <c r="A1761" s="12">
        <v>1760</v>
      </c>
      <c r="B1761" s="12" t="s">
        <v>5978</v>
      </c>
      <c r="C1761" s="12" t="s">
        <v>5979</v>
      </c>
      <c r="D1761" s="12" t="s">
        <v>14</v>
      </c>
      <c r="E1761" s="12" t="s">
        <v>959</v>
      </c>
      <c r="F1761" s="12" t="s">
        <v>426</v>
      </c>
      <c r="G1761" s="12" t="b">
        <v>0</v>
      </c>
      <c r="H1761" s="12" t="b">
        <v>0</v>
      </c>
      <c r="I1761" s="12" t="b">
        <v>0</v>
      </c>
    </row>
    <row r="1762" spans="1:9" x14ac:dyDescent="0.25">
      <c r="A1762" s="12">
        <v>1761</v>
      </c>
      <c r="B1762" s="12" t="s">
        <v>5980</v>
      </c>
      <c r="C1762" s="12" t="s">
        <v>5981</v>
      </c>
      <c r="D1762" s="12" t="s">
        <v>45</v>
      </c>
      <c r="E1762" s="12" t="s">
        <v>5982</v>
      </c>
      <c r="F1762" s="12" t="s">
        <v>121</v>
      </c>
      <c r="G1762" s="12" t="b">
        <v>0</v>
      </c>
      <c r="H1762" s="12" t="b">
        <v>0</v>
      </c>
      <c r="I1762" s="12" t="b">
        <v>0</v>
      </c>
    </row>
    <row r="1763" spans="1:9" x14ac:dyDescent="0.25">
      <c r="A1763" s="12">
        <v>1762</v>
      </c>
      <c r="B1763" s="12" t="s">
        <v>5983</v>
      </c>
      <c r="C1763" s="12" t="s">
        <v>5984</v>
      </c>
      <c r="D1763" s="12" t="s">
        <v>14</v>
      </c>
      <c r="E1763" s="12" t="s">
        <v>4495</v>
      </c>
      <c r="F1763" s="12" t="s">
        <v>577</v>
      </c>
      <c r="G1763" s="12" t="b">
        <v>1</v>
      </c>
      <c r="H1763" s="12" t="b">
        <v>1</v>
      </c>
      <c r="I1763" s="12" t="b">
        <v>1</v>
      </c>
    </row>
    <row r="1764" spans="1:9" x14ac:dyDescent="0.25">
      <c r="A1764" s="12">
        <v>1763</v>
      </c>
      <c r="B1764" s="12" t="s">
        <v>5985</v>
      </c>
      <c r="C1764" s="12" t="s">
        <v>5986</v>
      </c>
      <c r="D1764" s="12" t="s">
        <v>10</v>
      </c>
      <c r="E1764" s="12" t="s">
        <v>5987</v>
      </c>
      <c r="F1764" s="12" t="s">
        <v>5988</v>
      </c>
      <c r="G1764" s="12" t="b">
        <v>0</v>
      </c>
      <c r="H1764" s="12" t="b">
        <v>0</v>
      </c>
      <c r="I1764" s="12" t="b">
        <v>0</v>
      </c>
    </row>
    <row r="1765" spans="1:9" x14ac:dyDescent="0.25">
      <c r="A1765" s="12">
        <v>1764</v>
      </c>
      <c r="B1765" s="12" t="s">
        <v>5989</v>
      </c>
      <c r="C1765" s="12" t="s">
        <v>5990</v>
      </c>
      <c r="D1765" s="12" t="s">
        <v>14</v>
      </c>
      <c r="E1765" s="12" t="s">
        <v>5991</v>
      </c>
      <c r="F1765" s="12" t="s">
        <v>5992</v>
      </c>
      <c r="G1765" s="12" t="b">
        <v>0</v>
      </c>
      <c r="H1765" s="12" t="b">
        <v>0</v>
      </c>
      <c r="I1765" s="12" t="b">
        <v>0</v>
      </c>
    </row>
    <row r="1766" spans="1:9" x14ac:dyDescent="0.25">
      <c r="A1766" s="12">
        <v>1765</v>
      </c>
      <c r="B1766" s="12" t="s">
        <v>5993</v>
      </c>
      <c r="C1766" s="12" t="s">
        <v>5994</v>
      </c>
      <c r="D1766" s="12" t="s">
        <v>14</v>
      </c>
      <c r="E1766" s="12" t="s">
        <v>5995</v>
      </c>
      <c r="F1766" s="12" t="s">
        <v>1199</v>
      </c>
      <c r="G1766" s="12" t="b">
        <v>0</v>
      </c>
      <c r="H1766" s="12" t="b">
        <v>0</v>
      </c>
      <c r="I1766" s="12" t="b">
        <v>0</v>
      </c>
    </row>
    <row r="1767" spans="1:9" x14ac:dyDescent="0.25">
      <c r="A1767" s="12">
        <v>1766</v>
      </c>
      <c r="B1767" s="12" t="s">
        <v>5996</v>
      </c>
      <c r="C1767" s="12" t="s">
        <v>5997</v>
      </c>
      <c r="D1767" s="12" t="s">
        <v>45</v>
      </c>
      <c r="E1767" s="12" t="s">
        <v>5998</v>
      </c>
      <c r="F1767" s="12" t="s">
        <v>5999</v>
      </c>
      <c r="G1767" s="12" t="b">
        <v>0</v>
      </c>
      <c r="H1767" s="12" t="b">
        <v>0</v>
      </c>
      <c r="I1767" s="12" t="b">
        <v>0</v>
      </c>
    </row>
    <row r="1768" spans="1:9" x14ac:dyDescent="0.25">
      <c r="A1768" s="12">
        <v>1767</v>
      </c>
      <c r="B1768" s="12" t="s">
        <v>6000</v>
      </c>
      <c r="C1768" s="12" t="s">
        <v>6001</v>
      </c>
      <c r="D1768" s="12" t="s">
        <v>45</v>
      </c>
      <c r="E1768" s="12" t="s">
        <v>6002</v>
      </c>
      <c r="F1768" s="12" t="s">
        <v>859</v>
      </c>
      <c r="G1768" s="12" t="b">
        <v>1</v>
      </c>
      <c r="H1768" s="12" t="b">
        <v>0</v>
      </c>
      <c r="I1768" s="12" t="b">
        <v>0</v>
      </c>
    </row>
    <row r="1769" spans="1:9" x14ac:dyDescent="0.25">
      <c r="A1769" s="12">
        <v>1768</v>
      </c>
      <c r="B1769" s="12" t="s">
        <v>6003</v>
      </c>
      <c r="C1769" s="12" t="s">
        <v>6004</v>
      </c>
      <c r="D1769" s="12" t="s">
        <v>10</v>
      </c>
      <c r="E1769" s="12" t="s">
        <v>6005</v>
      </c>
      <c r="F1769" s="12" t="s">
        <v>702</v>
      </c>
      <c r="G1769" s="12" t="b">
        <v>0</v>
      </c>
      <c r="H1769" s="12" t="b">
        <v>0</v>
      </c>
      <c r="I1769" s="12" t="b">
        <v>0</v>
      </c>
    </row>
    <row r="1770" spans="1:9" x14ac:dyDescent="0.25">
      <c r="A1770" s="12">
        <v>1769</v>
      </c>
      <c r="B1770" s="12" t="s">
        <v>6006</v>
      </c>
      <c r="C1770" s="12" t="s">
        <v>6007</v>
      </c>
      <c r="D1770" s="12" t="s">
        <v>14</v>
      </c>
      <c r="E1770" s="12" t="s">
        <v>6008</v>
      </c>
      <c r="F1770" s="12" t="s">
        <v>1072</v>
      </c>
      <c r="G1770" s="12" t="b">
        <v>0</v>
      </c>
      <c r="H1770" s="12" t="b">
        <v>0</v>
      </c>
      <c r="I1770" s="12" t="b">
        <v>0</v>
      </c>
    </row>
    <row r="1771" spans="1:9" x14ac:dyDescent="0.25">
      <c r="A1771" s="12">
        <v>1770</v>
      </c>
      <c r="B1771" s="12" t="s">
        <v>6009</v>
      </c>
      <c r="C1771" s="12" t="s">
        <v>6010</v>
      </c>
      <c r="D1771" s="12" t="s">
        <v>14</v>
      </c>
      <c r="E1771" s="12" t="s">
        <v>6011</v>
      </c>
      <c r="F1771" s="12" t="s">
        <v>681</v>
      </c>
      <c r="G1771" s="12" t="b">
        <v>0</v>
      </c>
      <c r="H1771" s="12" t="b">
        <v>0</v>
      </c>
      <c r="I1771" s="12" t="b">
        <v>0</v>
      </c>
    </row>
    <row r="1772" spans="1:9" x14ac:dyDescent="0.25">
      <c r="A1772" s="12">
        <v>1771</v>
      </c>
      <c r="B1772" s="12" t="s">
        <v>6012</v>
      </c>
      <c r="C1772" s="12" t="s">
        <v>6013</v>
      </c>
      <c r="D1772" s="12" t="s">
        <v>45</v>
      </c>
      <c r="E1772" s="12" t="s">
        <v>6014</v>
      </c>
      <c r="F1772" s="12" t="s">
        <v>340</v>
      </c>
      <c r="G1772" s="12" t="b">
        <v>0</v>
      </c>
      <c r="H1772" s="12" t="b">
        <v>0</v>
      </c>
      <c r="I1772" s="12" t="b">
        <v>0</v>
      </c>
    </row>
    <row r="1773" spans="1:9" x14ac:dyDescent="0.25">
      <c r="A1773" s="12">
        <v>1772</v>
      </c>
      <c r="B1773" s="12" t="s">
        <v>6015</v>
      </c>
      <c r="C1773" s="12" t="s">
        <v>6016</v>
      </c>
      <c r="D1773" s="12" t="s">
        <v>14</v>
      </c>
      <c r="E1773" s="12" t="s">
        <v>6017</v>
      </c>
      <c r="F1773" s="12" t="s">
        <v>475</v>
      </c>
      <c r="G1773" s="12" t="b">
        <v>1</v>
      </c>
      <c r="H1773" s="12" t="b">
        <v>0</v>
      </c>
      <c r="I1773" s="12" t="b">
        <v>0</v>
      </c>
    </row>
    <row r="1774" spans="1:9" x14ac:dyDescent="0.25">
      <c r="A1774" s="12">
        <v>1773</v>
      </c>
      <c r="B1774" s="12" t="s">
        <v>6018</v>
      </c>
      <c r="C1774" s="12" t="s">
        <v>6019</v>
      </c>
      <c r="D1774" s="12" t="s">
        <v>10</v>
      </c>
      <c r="E1774" s="12" t="s">
        <v>6020</v>
      </c>
      <c r="F1774" s="12" t="s">
        <v>1072</v>
      </c>
      <c r="G1774" s="12" t="b">
        <v>0</v>
      </c>
      <c r="H1774" s="12" t="b">
        <v>0</v>
      </c>
      <c r="I1774" s="12" t="b">
        <v>0</v>
      </c>
    </row>
    <row r="1775" spans="1:9" x14ac:dyDescent="0.25">
      <c r="A1775" s="12">
        <v>1774</v>
      </c>
      <c r="B1775" s="12" t="s">
        <v>6021</v>
      </c>
      <c r="C1775" s="12" t="s">
        <v>6022</v>
      </c>
      <c r="D1775" s="12" t="s">
        <v>14</v>
      </c>
      <c r="E1775" s="12" t="s">
        <v>6023</v>
      </c>
      <c r="F1775" s="12" t="s">
        <v>1873</v>
      </c>
      <c r="G1775" s="12" t="b">
        <v>0</v>
      </c>
      <c r="H1775" s="12" t="b">
        <v>0</v>
      </c>
      <c r="I1775" s="12" t="b">
        <v>0</v>
      </c>
    </row>
    <row r="1776" spans="1:9" x14ac:dyDescent="0.25">
      <c r="A1776" s="12">
        <v>1775</v>
      </c>
      <c r="B1776" s="12" t="s">
        <v>6024</v>
      </c>
      <c r="C1776" s="12" t="s">
        <v>6025</v>
      </c>
      <c r="D1776" s="12" t="s">
        <v>14</v>
      </c>
      <c r="E1776" s="12" t="s">
        <v>6026</v>
      </c>
      <c r="F1776" s="12" t="s">
        <v>6027</v>
      </c>
      <c r="G1776" s="12" t="b">
        <v>0</v>
      </c>
      <c r="H1776" s="12" t="b">
        <v>0</v>
      </c>
      <c r="I1776" s="12" t="b">
        <v>0</v>
      </c>
    </row>
    <row r="1777" spans="1:9" x14ac:dyDescent="0.25">
      <c r="A1777" s="12">
        <v>1776</v>
      </c>
      <c r="B1777" s="12" t="s">
        <v>6028</v>
      </c>
      <c r="C1777" s="12" t="s">
        <v>6029</v>
      </c>
      <c r="D1777" s="12" t="s">
        <v>45</v>
      </c>
      <c r="E1777" s="12" t="s">
        <v>6030</v>
      </c>
      <c r="F1777" s="12" t="s">
        <v>6031</v>
      </c>
      <c r="G1777" s="12" t="b">
        <v>0</v>
      </c>
      <c r="H1777" s="12" t="b">
        <v>0</v>
      </c>
      <c r="I1777" s="12" t="b">
        <v>0</v>
      </c>
    </row>
    <row r="1778" spans="1:9" x14ac:dyDescent="0.25">
      <c r="A1778" s="12">
        <v>1777</v>
      </c>
      <c r="B1778" s="12" t="s">
        <v>6032</v>
      </c>
      <c r="C1778" s="12" t="s">
        <v>6033</v>
      </c>
      <c r="D1778" s="12" t="s">
        <v>10</v>
      </c>
      <c r="E1778" s="12" t="s">
        <v>6034</v>
      </c>
      <c r="F1778" s="12" t="s">
        <v>859</v>
      </c>
      <c r="G1778" s="12" t="b">
        <v>1</v>
      </c>
      <c r="H1778" s="12" t="b">
        <v>0</v>
      </c>
      <c r="I1778" s="12" t="b">
        <v>0</v>
      </c>
    </row>
    <row r="1779" spans="1:9" x14ac:dyDescent="0.25">
      <c r="A1779" s="12">
        <v>1778</v>
      </c>
      <c r="B1779" s="12" t="s">
        <v>6035</v>
      </c>
      <c r="C1779" s="12" t="s">
        <v>6036</v>
      </c>
      <c r="D1779" s="12" t="s">
        <v>14</v>
      </c>
      <c r="E1779" s="12" t="s">
        <v>6037</v>
      </c>
      <c r="F1779" s="12" t="s">
        <v>6038</v>
      </c>
      <c r="G1779" s="12" t="b">
        <v>1</v>
      </c>
      <c r="H1779" s="12" t="b">
        <v>0</v>
      </c>
      <c r="I1779" s="12" t="b">
        <v>0</v>
      </c>
    </row>
    <row r="1780" spans="1:9" x14ac:dyDescent="0.25">
      <c r="A1780" s="12">
        <v>1779</v>
      </c>
      <c r="B1780" s="12" t="s">
        <v>6039</v>
      </c>
      <c r="C1780" s="12" t="s">
        <v>6040</v>
      </c>
      <c r="D1780" s="12" t="s">
        <v>10</v>
      </c>
      <c r="E1780" s="12" t="s">
        <v>6041</v>
      </c>
      <c r="F1780" s="12" t="s">
        <v>317</v>
      </c>
      <c r="G1780" s="12" t="b">
        <v>0</v>
      </c>
      <c r="H1780" s="12" t="b">
        <v>0</v>
      </c>
      <c r="I1780" s="12" t="b">
        <v>0</v>
      </c>
    </row>
    <row r="1781" spans="1:9" x14ac:dyDescent="0.25">
      <c r="A1781" s="12">
        <v>1780</v>
      </c>
      <c r="B1781" s="12" t="s">
        <v>6042</v>
      </c>
      <c r="C1781" s="12" t="s">
        <v>6043</v>
      </c>
      <c r="D1781" s="12" t="s">
        <v>14</v>
      </c>
      <c r="E1781" s="12" t="s">
        <v>6044</v>
      </c>
      <c r="F1781" s="12" t="s">
        <v>315</v>
      </c>
      <c r="G1781" s="12" t="b">
        <v>0</v>
      </c>
      <c r="H1781" s="12" t="b">
        <v>0</v>
      </c>
      <c r="I1781" s="12" t="b">
        <v>0</v>
      </c>
    </row>
    <row r="1782" spans="1:9" x14ac:dyDescent="0.25">
      <c r="A1782" s="12">
        <v>1781</v>
      </c>
      <c r="B1782" s="12" t="s">
        <v>6045</v>
      </c>
      <c r="C1782" s="12" t="s">
        <v>6046</v>
      </c>
      <c r="D1782" s="12" t="s">
        <v>14</v>
      </c>
      <c r="E1782" s="12" t="s">
        <v>6047</v>
      </c>
      <c r="F1782" s="12" t="s">
        <v>1240</v>
      </c>
      <c r="G1782" s="12" t="b">
        <v>0</v>
      </c>
      <c r="H1782" s="12" t="b">
        <v>0</v>
      </c>
      <c r="I1782" s="12" t="b">
        <v>0</v>
      </c>
    </row>
    <row r="1783" spans="1:9" x14ac:dyDescent="0.25">
      <c r="A1783" s="12">
        <v>1782</v>
      </c>
      <c r="B1783" s="12" t="s">
        <v>6048</v>
      </c>
      <c r="C1783" s="12" t="s">
        <v>6049</v>
      </c>
      <c r="D1783" s="12" t="s">
        <v>45</v>
      </c>
      <c r="E1783" s="12" t="s">
        <v>6050</v>
      </c>
      <c r="F1783" s="12" t="s">
        <v>6051</v>
      </c>
      <c r="G1783" s="12" t="b">
        <v>0</v>
      </c>
      <c r="H1783" s="12" t="b">
        <v>0</v>
      </c>
      <c r="I1783" s="12" t="b">
        <v>0</v>
      </c>
    </row>
    <row r="1784" spans="1:9" x14ac:dyDescent="0.25">
      <c r="A1784" s="12">
        <v>1783</v>
      </c>
      <c r="B1784" s="12" t="s">
        <v>6052</v>
      </c>
      <c r="C1784" s="12" t="s">
        <v>6053</v>
      </c>
      <c r="D1784" s="12" t="s">
        <v>14</v>
      </c>
      <c r="E1784" s="12" t="s">
        <v>6054</v>
      </c>
      <c r="F1784" s="12" t="s">
        <v>859</v>
      </c>
      <c r="G1784" s="12" t="b">
        <v>1</v>
      </c>
      <c r="H1784" s="12" t="b">
        <v>0</v>
      </c>
      <c r="I1784" s="12" t="b">
        <v>0</v>
      </c>
    </row>
    <row r="1785" spans="1:9" x14ac:dyDescent="0.25">
      <c r="A1785" s="12">
        <v>1784</v>
      </c>
      <c r="B1785" s="12" t="s">
        <v>6055</v>
      </c>
      <c r="C1785" s="12" t="s">
        <v>6056</v>
      </c>
      <c r="D1785" s="12" t="s">
        <v>10</v>
      </c>
      <c r="E1785" s="12" t="s">
        <v>6057</v>
      </c>
      <c r="F1785" s="12" t="s">
        <v>316</v>
      </c>
      <c r="G1785" s="12" t="b">
        <v>0</v>
      </c>
      <c r="H1785" s="12" t="b">
        <v>0</v>
      </c>
      <c r="I1785" s="12" t="b">
        <v>0</v>
      </c>
    </row>
    <row r="1786" spans="1:9" x14ac:dyDescent="0.25">
      <c r="A1786" s="12">
        <v>1785</v>
      </c>
      <c r="B1786" s="12" t="s">
        <v>6058</v>
      </c>
      <c r="C1786" s="12" t="s">
        <v>6059</v>
      </c>
      <c r="D1786" s="12" t="s">
        <v>14</v>
      </c>
      <c r="E1786" s="12" t="s">
        <v>6060</v>
      </c>
      <c r="F1786" s="12" t="s">
        <v>732</v>
      </c>
      <c r="G1786" s="12" t="b">
        <v>0</v>
      </c>
      <c r="H1786" s="12" t="b">
        <v>0</v>
      </c>
      <c r="I1786" s="12" t="b">
        <v>0</v>
      </c>
    </row>
    <row r="1787" spans="1:9" x14ac:dyDescent="0.25">
      <c r="A1787" s="12">
        <v>1786</v>
      </c>
      <c r="B1787" s="12" t="s">
        <v>6061</v>
      </c>
      <c r="C1787" s="12" t="s">
        <v>6062</v>
      </c>
      <c r="D1787" s="12" t="s">
        <v>14</v>
      </c>
      <c r="E1787" s="12" t="s">
        <v>6063</v>
      </c>
      <c r="F1787" s="12" t="s">
        <v>6064</v>
      </c>
      <c r="G1787" s="12" t="b">
        <v>0</v>
      </c>
      <c r="H1787" s="12" t="b">
        <v>0</v>
      </c>
      <c r="I1787" s="12" t="b">
        <v>0</v>
      </c>
    </row>
    <row r="1788" spans="1:9" x14ac:dyDescent="0.25">
      <c r="A1788" s="12">
        <v>1787</v>
      </c>
      <c r="B1788" s="12" t="s">
        <v>6065</v>
      </c>
      <c r="C1788" s="12" t="s">
        <v>6066</v>
      </c>
      <c r="D1788" s="12" t="s">
        <v>45</v>
      </c>
      <c r="E1788" s="12" t="s">
        <v>6067</v>
      </c>
      <c r="F1788" s="12" t="s">
        <v>3169</v>
      </c>
      <c r="G1788" s="12" t="b">
        <v>0</v>
      </c>
      <c r="H1788" s="12" t="b">
        <v>0</v>
      </c>
      <c r="I1788" s="12" t="b">
        <v>0</v>
      </c>
    </row>
    <row r="1789" spans="1:9" x14ac:dyDescent="0.25">
      <c r="A1789" s="12">
        <v>1788</v>
      </c>
      <c r="B1789" s="12" t="s">
        <v>6068</v>
      </c>
      <c r="C1789" s="12" t="s">
        <v>6069</v>
      </c>
      <c r="D1789" s="12" t="s">
        <v>45</v>
      </c>
      <c r="E1789" s="12" t="s">
        <v>6070</v>
      </c>
      <c r="F1789" s="12" t="s">
        <v>6071</v>
      </c>
      <c r="G1789" s="12" t="b">
        <v>1</v>
      </c>
      <c r="H1789" s="12" t="b">
        <v>0</v>
      </c>
      <c r="I1789" s="12" t="b">
        <v>0</v>
      </c>
    </row>
    <row r="1790" spans="1:9" x14ac:dyDescent="0.25">
      <c r="A1790" s="12">
        <v>1789</v>
      </c>
      <c r="B1790" s="12" t="s">
        <v>6072</v>
      </c>
      <c r="C1790" s="12" t="s">
        <v>6073</v>
      </c>
      <c r="D1790" s="12" t="s">
        <v>10</v>
      </c>
      <c r="E1790" s="12" t="s">
        <v>6074</v>
      </c>
      <c r="F1790" s="12" t="s">
        <v>859</v>
      </c>
      <c r="G1790" s="12" t="b">
        <v>1</v>
      </c>
      <c r="H1790" s="12" t="b">
        <v>0</v>
      </c>
      <c r="I1790" s="12" t="b">
        <v>0</v>
      </c>
    </row>
    <row r="1791" spans="1:9" x14ac:dyDescent="0.25">
      <c r="A1791" s="12">
        <v>1790</v>
      </c>
      <c r="B1791" s="12" t="s">
        <v>6075</v>
      </c>
      <c r="C1791" s="12" t="s">
        <v>6076</v>
      </c>
      <c r="D1791" s="12" t="s">
        <v>10</v>
      </c>
      <c r="E1791" s="12" t="s">
        <v>3850</v>
      </c>
      <c r="F1791" s="12" t="s">
        <v>1240</v>
      </c>
      <c r="G1791" s="12" t="b">
        <v>0</v>
      </c>
      <c r="H1791" s="12" t="b">
        <v>0</v>
      </c>
      <c r="I1791" s="12" t="b">
        <v>0</v>
      </c>
    </row>
    <row r="1792" spans="1:9" x14ac:dyDescent="0.25">
      <c r="A1792" s="12">
        <v>1791</v>
      </c>
      <c r="B1792" s="12" t="s">
        <v>6077</v>
      </c>
      <c r="C1792" s="12" t="s">
        <v>6078</v>
      </c>
      <c r="D1792" s="12" t="s">
        <v>10</v>
      </c>
      <c r="E1792" s="12" t="s">
        <v>6079</v>
      </c>
      <c r="F1792" s="12" t="s">
        <v>121</v>
      </c>
      <c r="G1792" s="12" t="b">
        <v>0</v>
      </c>
      <c r="H1792" s="12" t="b">
        <v>0</v>
      </c>
      <c r="I1792" s="12" t="b">
        <v>0</v>
      </c>
    </row>
    <row r="1793" spans="1:9" x14ac:dyDescent="0.25">
      <c r="A1793" s="12">
        <v>1792</v>
      </c>
      <c r="B1793" s="12" t="s">
        <v>6080</v>
      </c>
      <c r="C1793" s="12" t="s">
        <v>6081</v>
      </c>
      <c r="D1793" s="12" t="s">
        <v>14</v>
      </c>
      <c r="E1793" s="12" t="s">
        <v>6082</v>
      </c>
      <c r="F1793" s="12" t="s">
        <v>2299</v>
      </c>
      <c r="G1793" s="12" t="b">
        <v>0</v>
      </c>
      <c r="H1793" s="12" t="b">
        <v>0</v>
      </c>
      <c r="I1793" s="12" t="b">
        <v>0</v>
      </c>
    </row>
    <row r="1794" spans="1:9" x14ac:dyDescent="0.25">
      <c r="A1794" s="12">
        <v>1793</v>
      </c>
      <c r="B1794" s="12" t="s">
        <v>6083</v>
      </c>
      <c r="C1794" s="12" t="s">
        <v>6084</v>
      </c>
      <c r="D1794" s="12" t="s">
        <v>45</v>
      </c>
      <c r="E1794" s="12" t="s">
        <v>6085</v>
      </c>
      <c r="F1794" s="12" t="s">
        <v>5375</v>
      </c>
      <c r="G1794" s="12" t="b">
        <v>0</v>
      </c>
      <c r="H1794" s="12" t="b">
        <v>0</v>
      </c>
      <c r="I1794" s="12" t="b">
        <v>0</v>
      </c>
    </row>
    <row r="1795" spans="1:9" x14ac:dyDescent="0.25">
      <c r="A1795" s="12">
        <v>1794</v>
      </c>
      <c r="B1795" s="12" t="s">
        <v>6086</v>
      </c>
      <c r="C1795" s="12" t="s">
        <v>6087</v>
      </c>
      <c r="D1795" s="12" t="s">
        <v>14</v>
      </c>
      <c r="E1795" s="12" t="s">
        <v>6088</v>
      </c>
      <c r="F1795" s="12" t="s">
        <v>1604</v>
      </c>
      <c r="G1795" s="12" t="b">
        <v>1</v>
      </c>
      <c r="H1795" s="12" t="b">
        <v>0</v>
      </c>
      <c r="I1795" s="12" t="b">
        <v>0</v>
      </c>
    </row>
    <row r="1796" spans="1:9" x14ac:dyDescent="0.25">
      <c r="A1796" s="12">
        <v>1795</v>
      </c>
      <c r="B1796" s="12" t="s">
        <v>6089</v>
      </c>
      <c r="C1796" s="12" t="s">
        <v>6090</v>
      </c>
      <c r="D1796" s="12" t="s">
        <v>10</v>
      </c>
      <c r="E1796" s="12" t="s">
        <v>6091</v>
      </c>
      <c r="F1796" s="12" t="s">
        <v>859</v>
      </c>
      <c r="G1796" s="12" t="b">
        <v>0</v>
      </c>
      <c r="H1796" s="12" t="b">
        <v>0</v>
      </c>
      <c r="I1796" s="12" t="b">
        <v>0</v>
      </c>
    </row>
    <row r="1797" spans="1:9" x14ac:dyDescent="0.25">
      <c r="A1797" s="12">
        <v>1796</v>
      </c>
      <c r="B1797" s="12" t="s">
        <v>6092</v>
      </c>
      <c r="C1797" s="12" t="s">
        <v>6093</v>
      </c>
      <c r="D1797" s="12" t="s">
        <v>10</v>
      </c>
      <c r="E1797" s="12" t="s">
        <v>6094</v>
      </c>
      <c r="F1797" s="12" t="s">
        <v>952</v>
      </c>
      <c r="G1797" s="12" t="b">
        <v>0</v>
      </c>
      <c r="H1797" s="12" t="b">
        <v>0</v>
      </c>
      <c r="I1797" s="12" t="b">
        <v>0</v>
      </c>
    </row>
    <row r="1798" spans="1:9" x14ac:dyDescent="0.25">
      <c r="A1798" s="12">
        <v>1797</v>
      </c>
      <c r="B1798" s="12" t="s">
        <v>6095</v>
      </c>
      <c r="C1798" s="12" t="s">
        <v>6096</v>
      </c>
      <c r="D1798" s="12" t="s">
        <v>14</v>
      </c>
      <c r="E1798" s="12" t="s">
        <v>6097</v>
      </c>
      <c r="F1798" s="12" t="s">
        <v>1435</v>
      </c>
      <c r="G1798" s="12" t="b">
        <v>0</v>
      </c>
      <c r="H1798" s="12" t="b">
        <v>0</v>
      </c>
      <c r="I1798" s="12" t="b">
        <v>0</v>
      </c>
    </row>
    <row r="1799" spans="1:9" x14ac:dyDescent="0.25">
      <c r="A1799" s="12">
        <v>1798</v>
      </c>
      <c r="B1799" s="12" t="s">
        <v>6098</v>
      </c>
      <c r="C1799" s="12" t="s">
        <v>6099</v>
      </c>
      <c r="D1799" s="12" t="s">
        <v>14</v>
      </c>
      <c r="E1799" s="12" t="s">
        <v>6100</v>
      </c>
      <c r="F1799" s="12" t="s">
        <v>732</v>
      </c>
      <c r="G1799" s="12" t="b">
        <v>0</v>
      </c>
      <c r="H1799" s="12" t="b">
        <v>0</v>
      </c>
      <c r="I1799" s="12" t="b">
        <v>0</v>
      </c>
    </row>
    <row r="1800" spans="1:9" x14ac:dyDescent="0.25">
      <c r="A1800" s="12">
        <v>1799</v>
      </c>
      <c r="B1800" s="12" t="s">
        <v>6101</v>
      </c>
      <c r="C1800" s="12" t="s">
        <v>6102</v>
      </c>
      <c r="D1800" s="12" t="s">
        <v>45</v>
      </c>
      <c r="E1800" s="12" t="s">
        <v>6103</v>
      </c>
      <c r="F1800" s="12" t="s">
        <v>6104</v>
      </c>
      <c r="G1800" s="12" t="b">
        <v>0</v>
      </c>
      <c r="H1800" s="12" t="b">
        <v>0</v>
      </c>
      <c r="I1800" s="12" t="b">
        <v>0</v>
      </c>
    </row>
    <row r="1801" spans="1:9" x14ac:dyDescent="0.25">
      <c r="A1801" s="12">
        <v>1800</v>
      </c>
      <c r="B1801" s="12" t="s">
        <v>6105</v>
      </c>
      <c r="C1801" s="12" t="s">
        <v>6106</v>
      </c>
      <c r="D1801" s="12" t="s">
        <v>10</v>
      </c>
      <c r="E1801" s="12" t="s">
        <v>6107</v>
      </c>
      <c r="F1801" s="12" t="s">
        <v>317</v>
      </c>
      <c r="G1801" s="12" t="b">
        <v>0</v>
      </c>
      <c r="H1801" s="12" t="b">
        <v>0</v>
      </c>
      <c r="I1801" s="12" t="b">
        <v>0</v>
      </c>
    </row>
    <row r="1802" spans="1:9" x14ac:dyDescent="0.25">
      <c r="A1802" s="12">
        <v>1801</v>
      </c>
      <c r="B1802" s="12" t="s">
        <v>6108</v>
      </c>
      <c r="C1802" s="12" t="s">
        <v>6109</v>
      </c>
      <c r="D1802" s="12" t="s">
        <v>14</v>
      </c>
      <c r="E1802" s="12" t="s">
        <v>6110</v>
      </c>
      <c r="F1802" s="12" t="s">
        <v>6111</v>
      </c>
      <c r="G1802" s="12" t="b">
        <v>0</v>
      </c>
      <c r="H1802" s="12" t="b">
        <v>0</v>
      </c>
      <c r="I1802" s="12" t="b">
        <v>0</v>
      </c>
    </row>
    <row r="1803" spans="1:9" x14ac:dyDescent="0.25">
      <c r="A1803" s="12">
        <v>1802</v>
      </c>
      <c r="B1803" s="12" t="s">
        <v>6112</v>
      </c>
      <c r="C1803" s="12" t="s">
        <v>6113</v>
      </c>
      <c r="D1803" s="12" t="s">
        <v>14</v>
      </c>
      <c r="E1803" s="12" t="s">
        <v>6114</v>
      </c>
      <c r="F1803" s="12" t="s">
        <v>6115</v>
      </c>
      <c r="G1803" s="12" t="b">
        <v>0</v>
      </c>
      <c r="H1803" s="12" t="b">
        <v>0</v>
      </c>
      <c r="I1803" s="12" t="b">
        <v>0</v>
      </c>
    </row>
    <row r="1804" spans="1:9" x14ac:dyDescent="0.25">
      <c r="A1804" s="12">
        <v>1803</v>
      </c>
      <c r="B1804" s="12" t="s">
        <v>6116</v>
      </c>
      <c r="C1804" s="12" t="s">
        <v>6117</v>
      </c>
      <c r="D1804" s="12" t="s">
        <v>45</v>
      </c>
      <c r="E1804" s="12" t="s">
        <v>6118</v>
      </c>
      <c r="F1804" s="12" t="s">
        <v>5810</v>
      </c>
      <c r="G1804" s="12" t="b">
        <v>0</v>
      </c>
      <c r="H1804" s="12" t="b">
        <v>0</v>
      </c>
      <c r="I1804" s="12" t="b">
        <v>0</v>
      </c>
    </row>
    <row r="1805" spans="1:9" x14ac:dyDescent="0.25">
      <c r="A1805" s="12">
        <v>1804</v>
      </c>
      <c r="B1805" s="12" t="s">
        <v>6119</v>
      </c>
      <c r="C1805" s="12" t="s">
        <v>6120</v>
      </c>
      <c r="D1805" s="12" t="s">
        <v>14</v>
      </c>
      <c r="E1805" s="12" t="s">
        <v>6121</v>
      </c>
      <c r="F1805" s="12" t="s">
        <v>960</v>
      </c>
      <c r="G1805" s="12" t="b">
        <v>1</v>
      </c>
      <c r="H1805" s="12" t="b">
        <v>0</v>
      </c>
      <c r="I1805" s="12" t="b">
        <v>0</v>
      </c>
    </row>
    <row r="1806" spans="1:9" x14ac:dyDescent="0.25">
      <c r="A1806" s="12">
        <v>1805</v>
      </c>
      <c r="B1806" s="12" t="s">
        <v>6122</v>
      </c>
      <c r="C1806" s="12" t="s">
        <v>6123</v>
      </c>
      <c r="D1806" s="12" t="s">
        <v>10</v>
      </c>
      <c r="E1806" s="12" t="s">
        <v>6124</v>
      </c>
      <c r="F1806" s="12" t="s">
        <v>952</v>
      </c>
      <c r="G1806" s="12" t="b">
        <v>0</v>
      </c>
      <c r="H1806" s="12" t="b">
        <v>0</v>
      </c>
      <c r="I1806" s="12" t="b">
        <v>0</v>
      </c>
    </row>
    <row r="1807" spans="1:9" x14ac:dyDescent="0.25">
      <c r="A1807" s="12">
        <v>1806</v>
      </c>
      <c r="B1807" s="12" t="s">
        <v>6125</v>
      </c>
      <c r="C1807" s="12" t="s">
        <v>6126</v>
      </c>
      <c r="D1807" s="12" t="s">
        <v>14</v>
      </c>
      <c r="E1807" s="12" t="s">
        <v>6127</v>
      </c>
      <c r="F1807" s="12" t="s">
        <v>4324</v>
      </c>
      <c r="G1807" s="12" t="b">
        <v>0</v>
      </c>
      <c r="H1807" s="12" t="b">
        <v>0</v>
      </c>
      <c r="I1807" s="12" t="b">
        <v>0</v>
      </c>
    </row>
    <row r="1808" spans="1:9" x14ac:dyDescent="0.25">
      <c r="A1808" s="12">
        <v>1807</v>
      </c>
      <c r="B1808" s="12" t="s">
        <v>6128</v>
      </c>
      <c r="C1808" s="12" t="s">
        <v>6129</v>
      </c>
      <c r="D1808" s="12" t="s">
        <v>14</v>
      </c>
      <c r="E1808" s="12" t="s">
        <v>6130</v>
      </c>
      <c r="F1808" s="12" t="s">
        <v>1090</v>
      </c>
      <c r="G1808" s="12" t="b">
        <v>0</v>
      </c>
      <c r="H1808" s="12" t="b">
        <v>0</v>
      </c>
      <c r="I1808" s="12" t="b">
        <v>0</v>
      </c>
    </row>
    <row r="1809" spans="1:9" x14ac:dyDescent="0.25">
      <c r="A1809" s="12">
        <v>1808</v>
      </c>
      <c r="B1809" s="12" t="s">
        <v>6131</v>
      </c>
      <c r="C1809" s="12" t="s">
        <v>6132</v>
      </c>
      <c r="D1809" s="12" t="s">
        <v>45</v>
      </c>
      <c r="E1809" s="12" t="s">
        <v>6133</v>
      </c>
      <c r="F1809" s="12" t="s">
        <v>479</v>
      </c>
      <c r="G1809" s="12" t="b">
        <v>0</v>
      </c>
      <c r="H1809" s="12" t="b">
        <v>0</v>
      </c>
      <c r="I1809" s="12" t="b">
        <v>0</v>
      </c>
    </row>
    <row r="1810" spans="1:9" x14ac:dyDescent="0.25">
      <c r="A1810" s="12">
        <v>1809</v>
      </c>
      <c r="B1810" s="12" t="s">
        <v>6134</v>
      </c>
      <c r="C1810" s="12" t="s">
        <v>6135</v>
      </c>
      <c r="D1810" s="12" t="s">
        <v>10</v>
      </c>
      <c r="E1810" s="12" t="s">
        <v>6136</v>
      </c>
      <c r="F1810" s="12" t="s">
        <v>859</v>
      </c>
      <c r="G1810" s="12" t="b">
        <v>1</v>
      </c>
      <c r="H1810" s="12" t="b">
        <v>0</v>
      </c>
      <c r="I1810" s="12" t="b">
        <v>0</v>
      </c>
    </row>
    <row r="1811" spans="1:9" x14ac:dyDescent="0.25">
      <c r="A1811" s="12">
        <v>1810</v>
      </c>
      <c r="B1811" s="12" t="s">
        <v>6137</v>
      </c>
      <c r="C1811" s="12" t="s">
        <v>6138</v>
      </c>
      <c r="D1811" s="12" t="s">
        <v>14</v>
      </c>
      <c r="E1811" s="12" t="s">
        <v>6139</v>
      </c>
      <c r="F1811" s="12" t="s">
        <v>6140</v>
      </c>
      <c r="G1811" s="12" t="b">
        <v>1</v>
      </c>
      <c r="H1811" s="12" t="b">
        <v>0</v>
      </c>
      <c r="I1811" s="12" t="b">
        <v>0</v>
      </c>
    </row>
    <row r="1812" spans="1:9" x14ac:dyDescent="0.25">
      <c r="A1812" s="12">
        <v>1811</v>
      </c>
      <c r="B1812" s="12" t="s">
        <v>6141</v>
      </c>
      <c r="C1812" s="12" t="s">
        <v>6142</v>
      </c>
      <c r="D1812" s="12" t="s">
        <v>14</v>
      </c>
      <c r="E1812" s="12" t="s">
        <v>6143</v>
      </c>
      <c r="F1812" s="12" t="s">
        <v>859</v>
      </c>
      <c r="G1812" s="12" t="b">
        <v>1</v>
      </c>
      <c r="H1812" s="12" t="b">
        <v>0</v>
      </c>
      <c r="I1812" s="12" t="b">
        <v>0</v>
      </c>
    </row>
    <row r="1813" spans="1:9" x14ac:dyDescent="0.25">
      <c r="A1813" s="12">
        <v>1812</v>
      </c>
      <c r="B1813" s="12" t="s">
        <v>6144</v>
      </c>
      <c r="C1813" s="12" t="s">
        <v>6145</v>
      </c>
      <c r="D1813" s="12" t="s">
        <v>10</v>
      </c>
      <c r="E1813" s="12" t="s">
        <v>6146</v>
      </c>
      <c r="F1813" s="12" t="s">
        <v>836</v>
      </c>
      <c r="G1813" s="12" t="b">
        <v>0</v>
      </c>
      <c r="H1813" s="12" t="b">
        <v>0</v>
      </c>
      <c r="I1813" s="12" t="b">
        <v>0</v>
      </c>
    </row>
    <row r="1814" spans="1:9" x14ac:dyDescent="0.25">
      <c r="A1814" s="12">
        <v>1813</v>
      </c>
      <c r="B1814" s="12" t="s">
        <v>6147</v>
      </c>
      <c r="C1814" s="12" t="s">
        <v>6148</v>
      </c>
      <c r="D1814" s="12" t="s">
        <v>14</v>
      </c>
      <c r="E1814" s="12" t="s">
        <v>6149</v>
      </c>
      <c r="F1814" s="12" t="s">
        <v>2875</v>
      </c>
      <c r="G1814" s="12" t="b">
        <v>0</v>
      </c>
      <c r="H1814" s="12" t="b">
        <v>0</v>
      </c>
      <c r="I1814" s="12" t="b">
        <v>0</v>
      </c>
    </row>
    <row r="1815" spans="1:9" x14ac:dyDescent="0.25">
      <c r="A1815" s="12">
        <v>1814</v>
      </c>
      <c r="B1815" s="12" t="s">
        <v>6150</v>
      </c>
      <c r="C1815" s="12" t="s">
        <v>6151</v>
      </c>
      <c r="D1815" s="12" t="s">
        <v>14</v>
      </c>
      <c r="E1815" s="12" t="s">
        <v>6152</v>
      </c>
      <c r="F1815" s="12" t="s">
        <v>5169</v>
      </c>
      <c r="G1815" s="12" t="b">
        <v>0</v>
      </c>
      <c r="H1815" s="12" t="b">
        <v>0</v>
      </c>
      <c r="I1815" s="12" t="b">
        <v>0</v>
      </c>
    </row>
    <row r="1816" spans="1:9" x14ac:dyDescent="0.25">
      <c r="A1816" s="12">
        <v>1815</v>
      </c>
      <c r="B1816" s="12" t="s">
        <v>6153</v>
      </c>
      <c r="C1816" s="12" t="s">
        <v>6154</v>
      </c>
      <c r="D1816" s="12" t="s">
        <v>45</v>
      </c>
      <c r="E1816" s="12" t="s">
        <v>6155</v>
      </c>
      <c r="F1816" s="12" t="s">
        <v>6156</v>
      </c>
      <c r="G1816" s="12" t="b">
        <v>0</v>
      </c>
      <c r="H1816" s="12" t="b">
        <v>0</v>
      </c>
      <c r="I1816" s="12" t="b">
        <v>0</v>
      </c>
    </row>
    <row r="1817" spans="1:9" x14ac:dyDescent="0.25">
      <c r="A1817" s="12">
        <v>1816</v>
      </c>
      <c r="B1817" s="12" t="s">
        <v>6157</v>
      </c>
      <c r="C1817" s="12" t="s">
        <v>6158</v>
      </c>
      <c r="D1817" s="12" t="s">
        <v>10</v>
      </c>
      <c r="E1817" s="12" t="s">
        <v>6159</v>
      </c>
      <c r="F1817" s="12" t="s">
        <v>1072</v>
      </c>
      <c r="G1817" s="12" t="b">
        <v>0</v>
      </c>
      <c r="H1817" s="12" t="b">
        <v>0</v>
      </c>
      <c r="I1817" s="12" t="b">
        <v>0</v>
      </c>
    </row>
    <row r="1818" spans="1:9" x14ac:dyDescent="0.25">
      <c r="A1818" s="12">
        <v>1817</v>
      </c>
      <c r="B1818" s="12" t="s">
        <v>6160</v>
      </c>
      <c r="C1818" s="12" t="s">
        <v>6161</v>
      </c>
      <c r="D1818" s="12" t="s">
        <v>14</v>
      </c>
      <c r="E1818" s="12" t="s">
        <v>6162</v>
      </c>
      <c r="F1818" s="12" t="s">
        <v>328</v>
      </c>
      <c r="G1818" s="12" t="b">
        <v>0</v>
      </c>
      <c r="H1818" s="12" t="b">
        <v>0</v>
      </c>
      <c r="I1818" s="12" t="b">
        <v>0</v>
      </c>
    </row>
    <row r="1819" spans="1:9" x14ac:dyDescent="0.25">
      <c r="A1819" s="12">
        <v>1818</v>
      </c>
      <c r="B1819" s="12" t="s">
        <v>6163</v>
      </c>
      <c r="C1819" s="12" t="s">
        <v>6164</v>
      </c>
      <c r="D1819" s="12" t="s">
        <v>14</v>
      </c>
      <c r="E1819" s="12" t="s">
        <v>6165</v>
      </c>
      <c r="F1819" s="12" t="s">
        <v>6166</v>
      </c>
      <c r="G1819" s="12" t="b">
        <v>0</v>
      </c>
      <c r="H1819" s="12" t="b">
        <v>0</v>
      </c>
      <c r="I1819" s="12" t="b">
        <v>0</v>
      </c>
    </row>
    <row r="1820" spans="1:9" x14ac:dyDescent="0.25">
      <c r="A1820" s="12">
        <v>1819</v>
      </c>
      <c r="B1820" s="12" t="s">
        <v>6167</v>
      </c>
      <c r="C1820" s="12" t="s">
        <v>6168</v>
      </c>
      <c r="D1820" s="12" t="s">
        <v>45</v>
      </c>
      <c r="E1820" s="12" t="s">
        <v>6169</v>
      </c>
      <c r="F1820" s="12" t="s">
        <v>6170</v>
      </c>
      <c r="G1820" s="12" t="b">
        <v>0</v>
      </c>
      <c r="H1820" s="12" t="b">
        <v>0</v>
      </c>
      <c r="I1820" s="12" t="b">
        <v>0</v>
      </c>
    </row>
    <row r="1821" spans="1:9" x14ac:dyDescent="0.25">
      <c r="A1821" s="12">
        <v>1820</v>
      </c>
      <c r="B1821" s="12" t="s">
        <v>6171</v>
      </c>
      <c r="C1821" s="12" t="s">
        <v>6172</v>
      </c>
      <c r="D1821" s="12" t="s">
        <v>14</v>
      </c>
      <c r="E1821" s="12" t="s">
        <v>6173</v>
      </c>
      <c r="F1821" s="12" t="s">
        <v>439</v>
      </c>
      <c r="G1821" s="12" t="b">
        <v>1</v>
      </c>
      <c r="H1821" s="12" t="b">
        <v>0</v>
      </c>
      <c r="I1821" s="12" t="b">
        <v>0</v>
      </c>
    </row>
    <row r="1822" spans="1:9" x14ac:dyDescent="0.25">
      <c r="A1822" s="12">
        <v>1821</v>
      </c>
      <c r="B1822" s="12" t="s">
        <v>6174</v>
      </c>
      <c r="C1822" s="12" t="s">
        <v>6175</v>
      </c>
      <c r="D1822" s="12" t="s">
        <v>10</v>
      </c>
      <c r="E1822" s="12" t="s">
        <v>6176</v>
      </c>
      <c r="F1822" s="12" t="s">
        <v>859</v>
      </c>
      <c r="G1822" s="12" t="b">
        <v>1</v>
      </c>
      <c r="H1822" s="12" t="b">
        <v>0</v>
      </c>
      <c r="I1822" s="12" t="b">
        <v>0</v>
      </c>
    </row>
    <row r="1823" spans="1:9" x14ac:dyDescent="0.25">
      <c r="A1823" s="12">
        <v>1822</v>
      </c>
      <c r="B1823" s="12" t="s">
        <v>6177</v>
      </c>
      <c r="C1823" s="12" t="s">
        <v>6178</v>
      </c>
      <c r="D1823" s="12" t="s">
        <v>10</v>
      </c>
      <c r="E1823" s="12" t="s">
        <v>6179</v>
      </c>
      <c r="F1823" s="12" t="s">
        <v>525</v>
      </c>
      <c r="G1823" s="12" t="b">
        <v>0</v>
      </c>
      <c r="H1823" s="12" t="b">
        <v>0</v>
      </c>
      <c r="I1823" s="12" t="b">
        <v>0</v>
      </c>
    </row>
    <row r="1824" spans="1:9" x14ac:dyDescent="0.25">
      <c r="A1824" s="12">
        <v>1823</v>
      </c>
      <c r="B1824" s="12" t="s">
        <v>6180</v>
      </c>
      <c r="C1824" s="12" t="s">
        <v>6181</v>
      </c>
      <c r="D1824" s="12" t="s">
        <v>14</v>
      </c>
      <c r="E1824" s="12" t="s">
        <v>6182</v>
      </c>
      <c r="F1824" s="12" t="s">
        <v>6183</v>
      </c>
      <c r="G1824" s="12" t="b">
        <v>0</v>
      </c>
      <c r="H1824" s="12" t="b">
        <v>0</v>
      </c>
      <c r="I1824" s="12" t="b">
        <v>0</v>
      </c>
    </row>
    <row r="1825" spans="1:9" x14ac:dyDescent="0.25">
      <c r="A1825" s="12">
        <v>1824</v>
      </c>
      <c r="B1825" s="12" t="s">
        <v>6184</v>
      </c>
      <c r="C1825" s="12" t="s">
        <v>6185</v>
      </c>
      <c r="D1825" s="12" t="s">
        <v>14</v>
      </c>
      <c r="E1825" s="12" t="s">
        <v>6186</v>
      </c>
      <c r="F1825" s="12" t="s">
        <v>464</v>
      </c>
      <c r="G1825" s="12" t="b">
        <v>0</v>
      </c>
      <c r="H1825" s="12" t="b">
        <v>0</v>
      </c>
      <c r="I1825" s="12" t="b">
        <v>0</v>
      </c>
    </row>
    <row r="1826" spans="1:9" x14ac:dyDescent="0.25">
      <c r="A1826" s="12">
        <v>1825</v>
      </c>
      <c r="B1826" s="12" t="s">
        <v>6187</v>
      </c>
      <c r="C1826" s="12" t="s">
        <v>6188</v>
      </c>
      <c r="D1826" s="12" t="s">
        <v>45</v>
      </c>
      <c r="E1826" s="12" t="s">
        <v>6189</v>
      </c>
      <c r="F1826" s="12" t="s">
        <v>6190</v>
      </c>
      <c r="G1826" s="12" t="b">
        <v>0</v>
      </c>
      <c r="H1826" s="12" t="b">
        <v>0</v>
      </c>
      <c r="I1826" s="12" t="b">
        <v>0</v>
      </c>
    </row>
    <row r="1827" spans="1:9" x14ac:dyDescent="0.25">
      <c r="A1827" s="12">
        <v>1826</v>
      </c>
      <c r="B1827" s="12" t="s">
        <v>6191</v>
      </c>
      <c r="C1827" s="12" t="s">
        <v>6192</v>
      </c>
      <c r="D1827" s="12" t="s">
        <v>10</v>
      </c>
      <c r="E1827" s="12" t="s">
        <v>6193</v>
      </c>
      <c r="F1827" s="12" t="s">
        <v>404</v>
      </c>
      <c r="G1827" s="12" t="b">
        <v>1</v>
      </c>
      <c r="H1827" s="12" t="b">
        <v>0</v>
      </c>
      <c r="I1827" s="12" t="b">
        <v>0</v>
      </c>
    </row>
    <row r="1828" spans="1:9" x14ac:dyDescent="0.25">
      <c r="A1828" s="12">
        <v>1827</v>
      </c>
      <c r="B1828" s="12" t="s">
        <v>6194</v>
      </c>
      <c r="C1828" s="12" t="s">
        <v>6195</v>
      </c>
      <c r="D1828" s="12" t="s">
        <v>10</v>
      </c>
      <c r="E1828" s="12" t="s">
        <v>6196</v>
      </c>
      <c r="F1828" s="12" t="s">
        <v>732</v>
      </c>
      <c r="G1828" s="12" t="b">
        <v>0</v>
      </c>
      <c r="H1828" s="12" t="b">
        <v>0</v>
      </c>
      <c r="I1828" s="12" t="b">
        <v>0</v>
      </c>
    </row>
    <row r="1829" spans="1:9" x14ac:dyDescent="0.25">
      <c r="A1829" s="12">
        <v>1828</v>
      </c>
      <c r="B1829" s="12" t="s">
        <v>6197</v>
      </c>
      <c r="C1829" s="12" t="s">
        <v>6198</v>
      </c>
      <c r="D1829" s="12" t="s">
        <v>14</v>
      </c>
      <c r="E1829" s="12" t="s">
        <v>6199</v>
      </c>
      <c r="F1829" s="12" t="s">
        <v>1354</v>
      </c>
      <c r="G1829" s="12" t="b">
        <v>0</v>
      </c>
      <c r="H1829" s="12" t="b">
        <v>0</v>
      </c>
      <c r="I1829" s="12" t="b">
        <v>0</v>
      </c>
    </row>
    <row r="1830" spans="1:9" x14ac:dyDescent="0.25">
      <c r="A1830" s="12">
        <v>1829</v>
      </c>
      <c r="B1830" s="12" t="s">
        <v>6200</v>
      </c>
      <c r="C1830" s="12" t="s">
        <v>6201</v>
      </c>
      <c r="D1830" s="12" t="s">
        <v>14</v>
      </c>
      <c r="E1830" s="12" t="s">
        <v>6202</v>
      </c>
      <c r="F1830" s="12" t="s">
        <v>4514</v>
      </c>
      <c r="G1830" s="12" t="b">
        <v>0</v>
      </c>
      <c r="H1830" s="12" t="b">
        <v>0</v>
      </c>
      <c r="I1830" s="12" t="b">
        <v>0</v>
      </c>
    </row>
    <row r="1831" spans="1:9" x14ac:dyDescent="0.25">
      <c r="A1831" s="12">
        <v>1830</v>
      </c>
      <c r="B1831" s="12" t="s">
        <v>6203</v>
      </c>
      <c r="C1831" s="12" t="s">
        <v>6204</v>
      </c>
      <c r="D1831" s="12" t="s">
        <v>45</v>
      </c>
      <c r="E1831" s="12" t="s">
        <v>6205</v>
      </c>
      <c r="F1831" s="12" t="s">
        <v>6206</v>
      </c>
      <c r="G1831" s="12" t="b">
        <v>0</v>
      </c>
      <c r="H1831" s="12" t="b">
        <v>0</v>
      </c>
      <c r="I1831" s="12" t="b">
        <v>0</v>
      </c>
    </row>
    <row r="1832" spans="1:9" x14ac:dyDescent="0.25">
      <c r="A1832" s="12">
        <v>1831</v>
      </c>
      <c r="B1832" s="12" t="s">
        <v>6207</v>
      </c>
      <c r="C1832" s="12" t="s">
        <v>6208</v>
      </c>
      <c r="D1832" s="12" t="s">
        <v>14</v>
      </c>
      <c r="E1832" s="12" t="s">
        <v>6209</v>
      </c>
      <c r="F1832" s="12" t="s">
        <v>859</v>
      </c>
      <c r="G1832" s="12" t="b">
        <v>1</v>
      </c>
      <c r="H1832" s="12" t="b">
        <v>0</v>
      </c>
      <c r="I1832" s="12" t="b">
        <v>0</v>
      </c>
    </row>
    <row r="1833" spans="1:9" x14ac:dyDescent="0.25">
      <c r="A1833" s="12">
        <v>1832</v>
      </c>
      <c r="B1833" s="12" t="s">
        <v>6210</v>
      </c>
      <c r="C1833" s="12" t="s">
        <v>6211</v>
      </c>
      <c r="D1833" s="12" t="s">
        <v>10</v>
      </c>
      <c r="E1833" s="12" t="s">
        <v>6212</v>
      </c>
      <c r="F1833" s="12" t="s">
        <v>952</v>
      </c>
      <c r="G1833" s="12" t="b">
        <v>0</v>
      </c>
      <c r="H1833" s="12" t="b">
        <v>0</v>
      </c>
      <c r="I1833" s="12" t="b">
        <v>0</v>
      </c>
    </row>
    <row r="1834" spans="1:9" x14ac:dyDescent="0.25">
      <c r="A1834" s="12">
        <v>1833</v>
      </c>
      <c r="B1834" s="12" t="s">
        <v>6213</v>
      </c>
      <c r="C1834" s="12" t="s">
        <v>6214</v>
      </c>
      <c r="D1834" s="12" t="s">
        <v>14</v>
      </c>
      <c r="E1834" s="12" t="s">
        <v>6215</v>
      </c>
      <c r="F1834" s="12" t="s">
        <v>1181</v>
      </c>
      <c r="G1834" s="12" t="b">
        <v>0</v>
      </c>
      <c r="H1834" s="12" t="b">
        <v>0</v>
      </c>
      <c r="I1834" s="12" t="b">
        <v>0</v>
      </c>
    </row>
    <row r="1835" spans="1:9" x14ac:dyDescent="0.25">
      <c r="A1835" s="12">
        <v>1834</v>
      </c>
      <c r="B1835" s="12" t="s">
        <v>6216</v>
      </c>
      <c r="C1835" s="12" t="s">
        <v>6217</v>
      </c>
      <c r="D1835" s="12" t="s">
        <v>14</v>
      </c>
      <c r="E1835" s="12" t="s">
        <v>6218</v>
      </c>
      <c r="F1835" s="12" t="s">
        <v>1913</v>
      </c>
      <c r="G1835" s="12" t="b">
        <v>0</v>
      </c>
      <c r="H1835" s="12" t="b">
        <v>1</v>
      </c>
      <c r="I1835" s="12" t="b">
        <v>1</v>
      </c>
    </row>
    <row r="1836" spans="1:9" x14ac:dyDescent="0.25">
      <c r="A1836" s="12">
        <v>1835</v>
      </c>
      <c r="B1836" s="12" t="s">
        <v>6219</v>
      </c>
      <c r="C1836" s="12" t="s">
        <v>6220</v>
      </c>
      <c r="D1836" s="12" t="s">
        <v>45</v>
      </c>
      <c r="E1836" s="12" t="s">
        <v>6221</v>
      </c>
      <c r="F1836" s="12" t="s">
        <v>1818</v>
      </c>
      <c r="G1836" s="12" t="b">
        <v>0</v>
      </c>
      <c r="H1836" s="12" t="b">
        <v>0</v>
      </c>
      <c r="I1836" s="12" t="b">
        <v>0</v>
      </c>
    </row>
    <row r="1837" spans="1:9" x14ac:dyDescent="0.25">
      <c r="A1837" s="12">
        <v>1836</v>
      </c>
      <c r="B1837" s="12" t="s">
        <v>6222</v>
      </c>
      <c r="C1837" s="12" t="s">
        <v>6223</v>
      </c>
      <c r="D1837" s="12" t="s">
        <v>14</v>
      </c>
      <c r="E1837" s="12" t="s">
        <v>6224</v>
      </c>
      <c r="F1837" s="12" t="s">
        <v>745</v>
      </c>
      <c r="G1837" s="12" t="b">
        <v>1</v>
      </c>
      <c r="H1837" s="12" t="b">
        <v>0</v>
      </c>
      <c r="I1837" s="12" t="b">
        <v>0</v>
      </c>
    </row>
    <row r="1838" spans="1:9" x14ac:dyDescent="0.25">
      <c r="A1838" s="12">
        <v>1837</v>
      </c>
      <c r="B1838" s="12" t="s">
        <v>6225</v>
      </c>
      <c r="C1838" s="12" t="s">
        <v>6226</v>
      </c>
      <c r="D1838" s="12" t="s">
        <v>10</v>
      </c>
      <c r="E1838" s="12" t="s">
        <v>6227</v>
      </c>
      <c r="F1838" s="12" t="s">
        <v>315</v>
      </c>
      <c r="G1838" s="12" t="b">
        <v>0</v>
      </c>
      <c r="H1838" s="12" t="b">
        <v>0</v>
      </c>
      <c r="I1838" s="12" t="b">
        <v>0</v>
      </c>
    </row>
    <row r="1839" spans="1:9" x14ac:dyDescent="0.25">
      <c r="A1839" s="12">
        <v>1838</v>
      </c>
      <c r="B1839" s="12" t="s">
        <v>6228</v>
      </c>
      <c r="C1839" s="12" t="s">
        <v>6229</v>
      </c>
      <c r="D1839" s="12" t="s">
        <v>14</v>
      </c>
      <c r="E1839" s="12" t="s">
        <v>6230</v>
      </c>
      <c r="F1839" s="12" t="s">
        <v>6231</v>
      </c>
      <c r="G1839" s="12" t="b">
        <v>0</v>
      </c>
      <c r="H1839" s="12" t="b">
        <v>0</v>
      </c>
      <c r="I1839" s="12" t="b">
        <v>0</v>
      </c>
    </row>
    <row r="1840" spans="1:9" x14ac:dyDescent="0.25">
      <c r="A1840" s="12">
        <v>1839</v>
      </c>
      <c r="B1840" s="12" t="s">
        <v>6232</v>
      </c>
      <c r="C1840" s="12" t="s">
        <v>6233</v>
      </c>
      <c r="D1840" s="12" t="s">
        <v>14</v>
      </c>
      <c r="E1840" s="12" t="s">
        <v>6234</v>
      </c>
      <c r="F1840" s="12" t="s">
        <v>4007</v>
      </c>
      <c r="G1840" s="12" t="b">
        <v>0</v>
      </c>
      <c r="H1840" s="12" t="b">
        <v>0</v>
      </c>
      <c r="I1840" s="12" t="b">
        <v>0</v>
      </c>
    </row>
    <row r="1841" spans="1:9" x14ac:dyDescent="0.25">
      <c r="A1841" s="12">
        <v>1840</v>
      </c>
      <c r="B1841" s="12" t="s">
        <v>6235</v>
      </c>
      <c r="C1841" s="12" t="s">
        <v>6236</v>
      </c>
      <c r="D1841" s="12" t="s">
        <v>45</v>
      </c>
      <c r="E1841" s="12" t="s">
        <v>6237</v>
      </c>
      <c r="F1841" s="12" t="s">
        <v>525</v>
      </c>
      <c r="G1841" s="12" t="b">
        <v>0</v>
      </c>
      <c r="H1841" s="12" t="b">
        <v>0</v>
      </c>
      <c r="I1841" s="12" t="b">
        <v>0</v>
      </c>
    </row>
    <row r="1842" spans="1:9" x14ac:dyDescent="0.25">
      <c r="A1842" s="12">
        <v>1841</v>
      </c>
      <c r="B1842" s="12" t="s">
        <v>6238</v>
      </c>
      <c r="C1842" s="12" t="s">
        <v>6239</v>
      </c>
      <c r="D1842" s="12" t="s">
        <v>14</v>
      </c>
      <c r="E1842" s="12" t="s">
        <v>6240</v>
      </c>
      <c r="F1842" s="12" t="s">
        <v>859</v>
      </c>
      <c r="G1842" s="12" t="b">
        <v>1</v>
      </c>
      <c r="H1842" s="12" t="b">
        <v>0</v>
      </c>
      <c r="I1842" s="12" t="b">
        <v>0</v>
      </c>
    </row>
    <row r="1843" spans="1:9" x14ac:dyDescent="0.25">
      <c r="A1843" s="12">
        <v>1842</v>
      </c>
      <c r="B1843" s="12" t="s">
        <v>6241</v>
      </c>
      <c r="C1843" s="12" t="s">
        <v>6242</v>
      </c>
      <c r="D1843" s="12" t="s">
        <v>45</v>
      </c>
      <c r="E1843" s="12" t="s">
        <v>6243</v>
      </c>
      <c r="F1843" s="12" t="s">
        <v>702</v>
      </c>
      <c r="G1843" s="12" t="b">
        <v>1</v>
      </c>
      <c r="H1843" s="12" t="b">
        <v>0</v>
      </c>
      <c r="I1843" s="12" t="b">
        <v>0</v>
      </c>
    </row>
    <row r="1844" spans="1:9" x14ac:dyDescent="0.25">
      <c r="A1844" s="12">
        <v>1843</v>
      </c>
      <c r="B1844" s="12" t="s">
        <v>6244</v>
      </c>
      <c r="C1844" s="12" t="s">
        <v>6245</v>
      </c>
      <c r="D1844" s="12" t="s">
        <v>14</v>
      </c>
      <c r="E1844" s="12" t="s">
        <v>6246</v>
      </c>
      <c r="F1844" s="12" t="s">
        <v>859</v>
      </c>
      <c r="G1844" s="12" t="b">
        <v>1</v>
      </c>
      <c r="H1844" s="12" t="b">
        <v>0</v>
      </c>
      <c r="I1844" s="12" t="b">
        <v>0</v>
      </c>
    </row>
    <row r="1845" spans="1:9" x14ac:dyDescent="0.25">
      <c r="A1845" s="12">
        <v>1844</v>
      </c>
      <c r="B1845" s="12" t="s">
        <v>6247</v>
      </c>
      <c r="C1845" s="12" t="s">
        <v>6248</v>
      </c>
      <c r="D1845" s="12" t="s">
        <v>10</v>
      </c>
      <c r="E1845" s="12" t="s">
        <v>6249</v>
      </c>
      <c r="F1845" s="12" t="s">
        <v>316</v>
      </c>
      <c r="G1845" s="12" t="b">
        <v>0</v>
      </c>
      <c r="H1845" s="12" t="b">
        <v>0</v>
      </c>
      <c r="I1845" s="12" t="b">
        <v>0</v>
      </c>
    </row>
    <row r="1846" spans="1:9" x14ac:dyDescent="0.25">
      <c r="A1846" s="12">
        <v>1845</v>
      </c>
      <c r="B1846" s="12" t="s">
        <v>6250</v>
      </c>
      <c r="C1846" s="12" t="s">
        <v>6251</v>
      </c>
      <c r="D1846" s="12" t="s">
        <v>14</v>
      </c>
      <c r="E1846" s="12" t="s">
        <v>6252</v>
      </c>
      <c r="F1846" s="12" t="s">
        <v>6253</v>
      </c>
      <c r="G1846" s="12" t="b">
        <v>0</v>
      </c>
      <c r="H1846" s="12" t="b">
        <v>0</v>
      </c>
      <c r="I1846" s="12" t="b">
        <v>0</v>
      </c>
    </row>
    <row r="1847" spans="1:9" x14ac:dyDescent="0.25">
      <c r="A1847" s="12">
        <v>1846</v>
      </c>
      <c r="B1847" s="12" t="s">
        <v>6254</v>
      </c>
      <c r="C1847" s="12" t="s">
        <v>6255</v>
      </c>
      <c r="D1847" s="12" t="s">
        <v>14</v>
      </c>
      <c r="E1847" s="12" t="s">
        <v>6256</v>
      </c>
      <c r="F1847" s="12" t="s">
        <v>1181</v>
      </c>
      <c r="G1847" s="12" t="b">
        <v>0</v>
      </c>
      <c r="H1847" s="12" t="b">
        <v>0</v>
      </c>
      <c r="I1847" s="12" t="b">
        <v>0</v>
      </c>
    </row>
    <row r="1848" spans="1:9" x14ac:dyDescent="0.25">
      <c r="A1848" s="12">
        <v>1847</v>
      </c>
      <c r="B1848" s="12" t="s">
        <v>6257</v>
      </c>
      <c r="C1848" s="12" t="s">
        <v>6258</v>
      </c>
      <c r="D1848" s="12" t="s">
        <v>45</v>
      </c>
      <c r="E1848" s="12" t="s">
        <v>6259</v>
      </c>
      <c r="F1848" s="12" t="s">
        <v>1690</v>
      </c>
      <c r="G1848" s="12" t="b">
        <v>0</v>
      </c>
      <c r="H1848" s="12" t="b">
        <v>0</v>
      </c>
      <c r="I1848" s="12" t="b">
        <v>0</v>
      </c>
    </row>
    <row r="1849" spans="1:9" x14ac:dyDescent="0.25">
      <c r="A1849" s="12">
        <v>1848</v>
      </c>
      <c r="B1849" s="12" t="s">
        <v>6260</v>
      </c>
      <c r="C1849" s="12" t="s">
        <v>6261</v>
      </c>
      <c r="D1849" s="12" t="s">
        <v>10</v>
      </c>
      <c r="E1849" s="12" t="s">
        <v>6262</v>
      </c>
      <c r="F1849" s="12" t="s">
        <v>317</v>
      </c>
      <c r="G1849" s="12" t="b">
        <v>0</v>
      </c>
      <c r="H1849" s="12" t="b">
        <v>0</v>
      </c>
      <c r="I1849" s="12" t="b">
        <v>0</v>
      </c>
    </row>
    <row r="1850" spans="1:9" x14ac:dyDescent="0.25">
      <c r="A1850" s="12">
        <v>1849</v>
      </c>
      <c r="B1850" s="12" t="s">
        <v>6263</v>
      </c>
      <c r="C1850" s="12" t="s">
        <v>6264</v>
      </c>
      <c r="D1850" s="12" t="s">
        <v>14</v>
      </c>
      <c r="E1850" s="12" t="s">
        <v>6265</v>
      </c>
      <c r="F1850" s="12" t="s">
        <v>604</v>
      </c>
      <c r="G1850" s="12" t="b">
        <v>0</v>
      </c>
      <c r="H1850" s="12" t="b">
        <v>0</v>
      </c>
      <c r="I1850" s="12" t="b">
        <v>0</v>
      </c>
    </row>
    <row r="1851" spans="1:9" x14ac:dyDescent="0.25">
      <c r="A1851" s="12">
        <v>1850</v>
      </c>
      <c r="B1851" s="12" t="s">
        <v>6266</v>
      </c>
      <c r="C1851" s="12" t="s">
        <v>6267</v>
      </c>
      <c r="D1851" s="12" t="s">
        <v>14</v>
      </c>
      <c r="E1851" s="12" t="s">
        <v>6268</v>
      </c>
      <c r="F1851" s="12" t="s">
        <v>2454</v>
      </c>
      <c r="G1851" s="12" t="b">
        <v>0</v>
      </c>
      <c r="H1851" s="12" t="b">
        <v>0</v>
      </c>
      <c r="I1851" s="12" t="b">
        <v>0</v>
      </c>
    </row>
    <row r="1852" spans="1:9" x14ac:dyDescent="0.25">
      <c r="A1852" s="12">
        <v>1851</v>
      </c>
      <c r="B1852" s="12" t="s">
        <v>6269</v>
      </c>
      <c r="C1852" s="12" t="s">
        <v>6270</v>
      </c>
      <c r="D1852" s="12" t="s">
        <v>45</v>
      </c>
      <c r="E1852" s="12" t="s">
        <v>6271</v>
      </c>
      <c r="F1852" s="12" t="s">
        <v>6272</v>
      </c>
      <c r="G1852" s="12" t="b">
        <v>0</v>
      </c>
      <c r="H1852" s="12" t="b">
        <v>0</v>
      </c>
      <c r="I1852" s="12" t="b">
        <v>0</v>
      </c>
    </row>
    <row r="1853" spans="1:9" x14ac:dyDescent="0.25">
      <c r="A1853" s="12">
        <v>1852</v>
      </c>
      <c r="B1853" s="12" t="s">
        <v>6273</v>
      </c>
      <c r="C1853" s="12" t="s">
        <v>6274</v>
      </c>
      <c r="D1853" s="12" t="s">
        <v>14</v>
      </c>
      <c r="E1853" s="12" t="s">
        <v>6275</v>
      </c>
      <c r="F1853" s="12" t="s">
        <v>994</v>
      </c>
      <c r="G1853" s="12" t="b">
        <v>1</v>
      </c>
      <c r="H1853" s="12" t="b">
        <v>0</v>
      </c>
      <c r="I1853" s="12" t="b">
        <v>0</v>
      </c>
    </row>
    <row r="1854" spans="1:9" x14ac:dyDescent="0.25">
      <c r="A1854" s="12">
        <v>1853</v>
      </c>
      <c r="B1854" s="12" t="s">
        <v>6276</v>
      </c>
      <c r="C1854" s="12" t="s">
        <v>6277</v>
      </c>
      <c r="D1854" s="12" t="s">
        <v>10</v>
      </c>
      <c r="E1854" s="12" t="s">
        <v>6278</v>
      </c>
      <c r="F1854" s="12" t="s">
        <v>859</v>
      </c>
      <c r="G1854" s="12" t="b">
        <v>1</v>
      </c>
      <c r="H1854" s="12" t="b">
        <v>0</v>
      </c>
      <c r="I1854" s="12" t="b">
        <v>0</v>
      </c>
    </row>
    <row r="1855" spans="1:9" x14ac:dyDescent="0.25">
      <c r="A1855" s="12">
        <v>1854</v>
      </c>
      <c r="B1855" s="12" t="s">
        <v>6279</v>
      </c>
      <c r="C1855" s="12" t="s">
        <v>6280</v>
      </c>
      <c r="D1855" s="12" t="s">
        <v>10</v>
      </c>
      <c r="E1855" s="12" t="s">
        <v>6281</v>
      </c>
      <c r="F1855" s="12" t="s">
        <v>6282</v>
      </c>
      <c r="G1855" s="12" t="b">
        <v>0</v>
      </c>
      <c r="H1855" s="12" t="b">
        <v>0</v>
      </c>
      <c r="I1855" s="12" t="b">
        <v>0</v>
      </c>
    </row>
    <row r="1856" spans="1:9" x14ac:dyDescent="0.25">
      <c r="A1856" s="12">
        <v>1855</v>
      </c>
      <c r="B1856" s="12" t="s">
        <v>6283</v>
      </c>
      <c r="C1856" s="12" t="s">
        <v>6284</v>
      </c>
      <c r="D1856" s="12" t="s">
        <v>14</v>
      </c>
      <c r="E1856" s="12" t="s">
        <v>6285</v>
      </c>
      <c r="F1856" s="12" t="s">
        <v>6286</v>
      </c>
      <c r="G1856" s="12" t="b">
        <v>0</v>
      </c>
      <c r="H1856" s="12" t="b">
        <v>0</v>
      </c>
      <c r="I1856" s="12" t="b">
        <v>0</v>
      </c>
    </row>
    <row r="1857" spans="1:9" x14ac:dyDescent="0.25">
      <c r="A1857" s="12">
        <v>1856</v>
      </c>
      <c r="B1857" s="12" t="s">
        <v>6287</v>
      </c>
      <c r="C1857" s="12" t="s">
        <v>6288</v>
      </c>
      <c r="D1857" s="12" t="s">
        <v>14</v>
      </c>
      <c r="E1857" s="12" t="s">
        <v>6289</v>
      </c>
      <c r="F1857" s="12" t="s">
        <v>6290</v>
      </c>
      <c r="G1857" s="12" t="b">
        <v>0</v>
      </c>
      <c r="H1857" s="12" t="b">
        <v>0</v>
      </c>
      <c r="I1857" s="12" t="b">
        <v>0</v>
      </c>
    </row>
    <row r="1858" spans="1:9" x14ac:dyDescent="0.25">
      <c r="A1858" s="12">
        <v>1857</v>
      </c>
      <c r="B1858" s="12" t="s">
        <v>6291</v>
      </c>
      <c r="C1858" s="12" t="s">
        <v>6292</v>
      </c>
      <c r="D1858" s="12" t="s">
        <v>45</v>
      </c>
      <c r="E1858" s="12" t="s">
        <v>6293</v>
      </c>
      <c r="F1858" s="12" t="s">
        <v>6294</v>
      </c>
      <c r="G1858" s="12" t="b">
        <v>0</v>
      </c>
      <c r="H1858" s="12" t="b">
        <v>0</v>
      </c>
      <c r="I1858" s="12" t="b">
        <v>0</v>
      </c>
    </row>
    <row r="1859" spans="1:9" x14ac:dyDescent="0.25">
      <c r="A1859" s="12">
        <v>1858</v>
      </c>
      <c r="B1859" s="12" t="s">
        <v>6295</v>
      </c>
      <c r="C1859" s="12" t="s">
        <v>6296</v>
      </c>
      <c r="D1859" s="12" t="s">
        <v>14</v>
      </c>
      <c r="E1859" s="12" t="s">
        <v>6297</v>
      </c>
      <c r="F1859" s="12" t="s">
        <v>1523</v>
      </c>
      <c r="G1859" s="12" t="b">
        <v>1</v>
      </c>
      <c r="H1859" s="12" t="b">
        <v>0</v>
      </c>
      <c r="I1859" s="12" t="b">
        <v>0</v>
      </c>
    </row>
    <row r="1860" spans="1:9" x14ac:dyDescent="0.25">
      <c r="A1860" s="12">
        <v>1859</v>
      </c>
      <c r="B1860" s="12" t="s">
        <v>6298</v>
      </c>
      <c r="C1860" s="12" t="s">
        <v>6299</v>
      </c>
      <c r="D1860" s="12" t="s">
        <v>10</v>
      </c>
      <c r="E1860" s="12" t="s">
        <v>6020</v>
      </c>
      <c r="F1860" s="12" t="s">
        <v>4973</v>
      </c>
      <c r="G1860" s="12" t="b">
        <v>0</v>
      </c>
      <c r="H1860" s="12" t="b">
        <v>0</v>
      </c>
      <c r="I1860" s="12" t="b">
        <v>0</v>
      </c>
    </row>
    <row r="1861" spans="1:9" x14ac:dyDescent="0.25">
      <c r="A1861" s="12">
        <v>1860</v>
      </c>
      <c r="B1861" s="12" t="s">
        <v>6300</v>
      </c>
      <c r="C1861" s="12" t="s">
        <v>6301</v>
      </c>
      <c r="D1861" s="12" t="s">
        <v>14</v>
      </c>
      <c r="E1861" s="12" t="s">
        <v>6302</v>
      </c>
      <c r="F1861" s="12" t="s">
        <v>6303</v>
      </c>
      <c r="G1861" s="12" t="b">
        <v>0</v>
      </c>
      <c r="H1861" s="12" t="b">
        <v>0</v>
      </c>
      <c r="I1861" s="12" t="b">
        <v>0</v>
      </c>
    </row>
    <row r="1862" spans="1:9" x14ac:dyDescent="0.25">
      <c r="A1862" s="12">
        <v>1861</v>
      </c>
      <c r="B1862" s="12" t="s">
        <v>6304</v>
      </c>
      <c r="C1862" s="12" t="s">
        <v>6305</v>
      </c>
      <c r="D1862" s="12" t="s">
        <v>14</v>
      </c>
      <c r="E1862" s="12" t="s">
        <v>6306</v>
      </c>
      <c r="F1862" s="12" t="s">
        <v>6307</v>
      </c>
      <c r="G1862" s="12" t="b">
        <v>0</v>
      </c>
      <c r="H1862" s="12" t="b">
        <v>0</v>
      </c>
      <c r="I1862" s="12" t="b">
        <v>0</v>
      </c>
    </row>
    <row r="1863" spans="1:9" x14ac:dyDescent="0.25">
      <c r="A1863" s="12">
        <v>1862</v>
      </c>
      <c r="B1863" s="12" t="s">
        <v>6308</v>
      </c>
      <c r="C1863" s="12" t="s">
        <v>6309</v>
      </c>
      <c r="D1863" s="12" t="s">
        <v>45</v>
      </c>
      <c r="E1863" s="12" t="s">
        <v>6310</v>
      </c>
      <c r="F1863" s="12" t="s">
        <v>6311</v>
      </c>
      <c r="G1863" s="12" t="b">
        <v>0</v>
      </c>
      <c r="H1863" s="12" t="b">
        <v>0</v>
      </c>
      <c r="I1863" s="12" t="b">
        <v>0</v>
      </c>
    </row>
    <row r="1864" spans="1:9" x14ac:dyDescent="0.25">
      <c r="A1864" s="12">
        <v>1863</v>
      </c>
      <c r="B1864" s="12" t="s">
        <v>6312</v>
      </c>
      <c r="C1864" s="12" t="s">
        <v>6313</v>
      </c>
      <c r="D1864" s="12" t="s">
        <v>10</v>
      </c>
      <c r="E1864" s="12" t="s">
        <v>6314</v>
      </c>
      <c r="F1864" s="12" t="s">
        <v>6315</v>
      </c>
      <c r="G1864" s="12" t="b">
        <v>0</v>
      </c>
      <c r="H1864" s="12" t="b">
        <v>0</v>
      </c>
      <c r="I1864" s="12" t="b">
        <v>0</v>
      </c>
    </row>
    <row r="1865" spans="1:9" x14ac:dyDescent="0.25">
      <c r="A1865" s="12">
        <v>1864</v>
      </c>
      <c r="B1865" s="12" t="s">
        <v>6316</v>
      </c>
      <c r="C1865" s="12" t="s">
        <v>6317</v>
      </c>
      <c r="D1865" s="12" t="s">
        <v>14</v>
      </c>
      <c r="E1865" s="12" t="s">
        <v>6318</v>
      </c>
      <c r="F1865" s="12" t="s">
        <v>3455</v>
      </c>
      <c r="G1865" s="12" t="b">
        <v>0</v>
      </c>
      <c r="H1865" s="12" t="b">
        <v>0</v>
      </c>
      <c r="I1865" s="12" t="b">
        <v>0</v>
      </c>
    </row>
    <row r="1866" spans="1:9" x14ac:dyDescent="0.25">
      <c r="A1866" s="12">
        <v>1865</v>
      </c>
      <c r="B1866" s="12" t="s">
        <v>6319</v>
      </c>
      <c r="C1866" s="12" t="s">
        <v>6320</v>
      </c>
      <c r="D1866" s="12" t="s">
        <v>14</v>
      </c>
      <c r="E1866" s="12" t="s">
        <v>6321</v>
      </c>
      <c r="F1866" s="12" t="s">
        <v>4666</v>
      </c>
      <c r="G1866" s="12" t="b">
        <v>0</v>
      </c>
      <c r="H1866" s="12" t="b">
        <v>0</v>
      </c>
      <c r="I1866" s="12" t="b">
        <v>0</v>
      </c>
    </row>
    <row r="1867" spans="1:9" x14ac:dyDescent="0.25">
      <c r="A1867" s="12">
        <v>1866</v>
      </c>
      <c r="B1867" s="12" t="s">
        <v>6322</v>
      </c>
      <c r="C1867" s="12" t="s">
        <v>6323</v>
      </c>
      <c r="D1867" s="12" t="s">
        <v>45</v>
      </c>
      <c r="E1867" s="12" t="s">
        <v>6324</v>
      </c>
      <c r="F1867" s="12" t="s">
        <v>511</v>
      </c>
      <c r="G1867" s="12" t="b">
        <v>0</v>
      </c>
      <c r="H1867" s="12" t="b">
        <v>0</v>
      </c>
      <c r="I1867" s="12" t="b">
        <v>0</v>
      </c>
    </row>
    <row r="1868" spans="1:9" x14ac:dyDescent="0.25">
      <c r="A1868" s="12">
        <v>1867</v>
      </c>
      <c r="B1868" s="12" t="s">
        <v>6325</v>
      </c>
      <c r="C1868" s="12" t="s">
        <v>6326</v>
      </c>
      <c r="D1868" s="12" t="s">
        <v>14</v>
      </c>
      <c r="E1868" s="12" t="s">
        <v>6327</v>
      </c>
      <c r="F1868" s="12" t="s">
        <v>859</v>
      </c>
      <c r="G1868" s="12" t="b">
        <v>1</v>
      </c>
      <c r="H1868" s="12" t="b">
        <v>0</v>
      </c>
      <c r="I1868" s="12" t="b">
        <v>0</v>
      </c>
    </row>
    <row r="1869" spans="1:9" x14ac:dyDescent="0.25">
      <c r="A1869" s="12">
        <v>1868</v>
      </c>
      <c r="B1869" s="12" t="s">
        <v>6328</v>
      </c>
      <c r="C1869" s="12" t="s">
        <v>6329</v>
      </c>
      <c r="D1869" s="12" t="s">
        <v>14</v>
      </c>
      <c r="E1869" s="12" t="s">
        <v>6330</v>
      </c>
      <c r="F1869" s="12" t="s">
        <v>404</v>
      </c>
      <c r="G1869" s="12" t="b">
        <v>1</v>
      </c>
      <c r="H1869" s="12" t="b">
        <v>0</v>
      </c>
      <c r="I1869" s="12" t="b">
        <v>0</v>
      </c>
    </row>
    <row r="1870" spans="1:9" x14ac:dyDescent="0.25">
      <c r="A1870" s="12">
        <v>1869</v>
      </c>
      <c r="B1870" s="12" t="s">
        <v>6331</v>
      </c>
      <c r="C1870" s="12" t="s">
        <v>6332</v>
      </c>
      <c r="D1870" s="12" t="s">
        <v>10</v>
      </c>
      <c r="E1870" s="12" t="s">
        <v>6333</v>
      </c>
      <c r="F1870" s="12" t="s">
        <v>316</v>
      </c>
      <c r="G1870" s="12" t="b">
        <v>0</v>
      </c>
      <c r="H1870" s="12" t="b">
        <v>0</v>
      </c>
      <c r="I1870" s="12" t="b">
        <v>0</v>
      </c>
    </row>
    <row r="1871" spans="1:9" x14ac:dyDescent="0.25">
      <c r="A1871" s="12">
        <v>1870</v>
      </c>
      <c r="B1871" s="12" t="s">
        <v>6334</v>
      </c>
      <c r="C1871" s="12" t="s">
        <v>6335</v>
      </c>
      <c r="D1871" s="12" t="s">
        <v>14</v>
      </c>
      <c r="E1871" s="12" t="s">
        <v>6336</v>
      </c>
      <c r="F1871" s="12" t="s">
        <v>426</v>
      </c>
      <c r="G1871" s="12" t="b">
        <v>0</v>
      </c>
      <c r="H1871" s="12" t="b">
        <v>0</v>
      </c>
      <c r="I1871" s="12" t="b">
        <v>0</v>
      </c>
    </row>
    <row r="1872" spans="1:9" x14ac:dyDescent="0.25">
      <c r="A1872" s="12">
        <v>1871</v>
      </c>
      <c r="B1872" s="12" t="s">
        <v>6337</v>
      </c>
      <c r="C1872" s="12" t="s">
        <v>6338</v>
      </c>
      <c r="D1872" s="12" t="s">
        <v>14</v>
      </c>
      <c r="E1872" s="12" t="s">
        <v>6339</v>
      </c>
      <c r="F1872" s="12" t="s">
        <v>6340</v>
      </c>
      <c r="G1872" s="12" t="b">
        <v>0</v>
      </c>
      <c r="H1872" s="12" t="b">
        <v>0</v>
      </c>
      <c r="I1872" s="12" t="b">
        <v>0</v>
      </c>
    </row>
    <row r="1873" spans="1:9" x14ac:dyDescent="0.25">
      <c r="A1873" s="12">
        <v>1872</v>
      </c>
      <c r="B1873" s="12" t="s">
        <v>6341</v>
      </c>
      <c r="C1873" s="12" t="s">
        <v>6342</v>
      </c>
      <c r="D1873" s="12" t="s">
        <v>45</v>
      </c>
      <c r="E1873" s="12" t="s">
        <v>6343</v>
      </c>
      <c r="F1873" s="12" t="s">
        <v>6344</v>
      </c>
      <c r="G1873" s="12" t="b">
        <v>0</v>
      </c>
      <c r="H1873" s="12" t="b">
        <v>0</v>
      </c>
      <c r="I1873" s="12" t="b">
        <v>0</v>
      </c>
    </row>
    <row r="1874" spans="1:9" x14ac:dyDescent="0.25">
      <c r="A1874" s="12">
        <v>1873</v>
      </c>
      <c r="B1874" s="12" t="s">
        <v>6345</v>
      </c>
      <c r="C1874" s="12" t="s">
        <v>6346</v>
      </c>
      <c r="D1874" s="12" t="s">
        <v>10</v>
      </c>
      <c r="E1874" s="12" t="s">
        <v>6347</v>
      </c>
      <c r="F1874" s="12" t="s">
        <v>859</v>
      </c>
      <c r="G1874" s="12" t="b">
        <v>0</v>
      </c>
      <c r="H1874" s="12" t="b">
        <v>0</v>
      </c>
      <c r="I1874" s="12" t="b">
        <v>0</v>
      </c>
    </row>
    <row r="1875" spans="1:9" x14ac:dyDescent="0.25">
      <c r="A1875" s="12">
        <v>1874</v>
      </c>
      <c r="B1875" s="12" t="s">
        <v>6348</v>
      </c>
      <c r="C1875" s="12" t="s">
        <v>6349</v>
      </c>
      <c r="D1875" s="12" t="s">
        <v>14</v>
      </c>
      <c r="E1875" s="12" t="s">
        <v>6350</v>
      </c>
      <c r="F1875" s="12" t="s">
        <v>1181</v>
      </c>
      <c r="G1875" s="12" t="b">
        <v>1</v>
      </c>
      <c r="H1875" s="12" t="b">
        <v>1</v>
      </c>
      <c r="I1875" s="12" t="b">
        <v>1</v>
      </c>
    </row>
    <row r="1876" spans="1:9" x14ac:dyDescent="0.25">
      <c r="A1876" s="12">
        <v>1875</v>
      </c>
      <c r="B1876" s="12" t="s">
        <v>6351</v>
      </c>
      <c r="C1876" s="12" t="s">
        <v>6352</v>
      </c>
      <c r="D1876" s="12" t="s">
        <v>14</v>
      </c>
      <c r="E1876" s="12" t="s">
        <v>6353</v>
      </c>
      <c r="F1876" s="12" t="s">
        <v>859</v>
      </c>
      <c r="G1876" s="12" t="b">
        <v>1</v>
      </c>
      <c r="H1876" s="12" t="b">
        <v>0</v>
      </c>
      <c r="I1876" s="12" t="b">
        <v>0</v>
      </c>
    </row>
    <row r="1877" spans="1:9" x14ac:dyDescent="0.25">
      <c r="A1877" s="12">
        <v>1876</v>
      </c>
      <c r="B1877" s="12" t="s">
        <v>6354</v>
      </c>
      <c r="C1877" s="12" t="s">
        <v>6355</v>
      </c>
      <c r="D1877" s="12" t="s">
        <v>10</v>
      </c>
      <c r="E1877" s="12" t="s">
        <v>6356</v>
      </c>
      <c r="F1877" s="12" t="s">
        <v>6357</v>
      </c>
      <c r="G1877" s="12" t="b">
        <v>0</v>
      </c>
      <c r="H1877" s="12" t="b">
        <v>0</v>
      </c>
      <c r="I1877" s="12" t="b">
        <v>0</v>
      </c>
    </row>
    <row r="1878" spans="1:9" x14ac:dyDescent="0.25">
      <c r="A1878" s="12">
        <v>1877</v>
      </c>
      <c r="B1878" s="12" t="s">
        <v>6358</v>
      </c>
      <c r="C1878" s="12" t="s">
        <v>6359</v>
      </c>
      <c r="D1878" s="12" t="s">
        <v>14</v>
      </c>
      <c r="E1878" s="12" t="s">
        <v>6360</v>
      </c>
      <c r="F1878" s="12" t="s">
        <v>3111</v>
      </c>
      <c r="G1878" s="12" t="b">
        <v>0</v>
      </c>
      <c r="H1878" s="12" t="b">
        <v>0</v>
      </c>
      <c r="I1878" s="12" t="b">
        <v>0</v>
      </c>
    </row>
    <row r="1879" spans="1:9" x14ac:dyDescent="0.25">
      <c r="A1879" s="12">
        <v>1878</v>
      </c>
      <c r="B1879" s="12" t="s">
        <v>6361</v>
      </c>
      <c r="C1879" s="12" t="s">
        <v>6362</v>
      </c>
      <c r="D1879" s="12" t="s">
        <v>14</v>
      </c>
      <c r="E1879" s="12" t="s">
        <v>6363</v>
      </c>
      <c r="F1879" s="12" t="s">
        <v>6364</v>
      </c>
      <c r="G1879" s="12" t="b">
        <v>0</v>
      </c>
      <c r="H1879" s="12" t="b">
        <v>0</v>
      </c>
      <c r="I1879" s="12" t="b">
        <v>0</v>
      </c>
    </row>
    <row r="1880" spans="1:9" x14ac:dyDescent="0.25">
      <c r="A1880" s="12">
        <v>1879</v>
      </c>
      <c r="B1880" s="12" t="s">
        <v>6365</v>
      </c>
      <c r="C1880" s="12" t="s">
        <v>6366</v>
      </c>
      <c r="D1880" s="12" t="s">
        <v>45</v>
      </c>
      <c r="E1880" s="12" t="s">
        <v>6367</v>
      </c>
      <c r="F1880" s="12" t="s">
        <v>3908</v>
      </c>
      <c r="G1880" s="12" t="b">
        <v>0</v>
      </c>
      <c r="H1880" s="12" t="b">
        <v>0</v>
      </c>
      <c r="I1880" s="12" t="b">
        <v>0</v>
      </c>
    </row>
    <row r="1881" spans="1:9" x14ac:dyDescent="0.25">
      <c r="A1881" s="12">
        <v>1880</v>
      </c>
      <c r="B1881" s="12" t="s">
        <v>6368</v>
      </c>
      <c r="C1881" s="12" t="s">
        <v>6369</v>
      </c>
      <c r="D1881" s="12" t="s">
        <v>10</v>
      </c>
      <c r="E1881" s="12" t="s">
        <v>6370</v>
      </c>
      <c r="F1881" s="12" t="s">
        <v>316</v>
      </c>
      <c r="G1881" s="12" t="b">
        <v>0</v>
      </c>
      <c r="H1881" s="12" t="b">
        <v>0</v>
      </c>
      <c r="I1881" s="12" t="b">
        <v>0</v>
      </c>
    </row>
    <row r="1882" spans="1:9" x14ac:dyDescent="0.25">
      <c r="A1882" s="12">
        <v>1881</v>
      </c>
      <c r="B1882" s="12" t="s">
        <v>6371</v>
      </c>
      <c r="C1882" s="12" t="s">
        <v>6372</v>
      </c>
      <c r="D1882" s="12" t="s">
        <v>14</v>
      </c>
      <c r="E1882" s="12" t="s">
        <v>2965</v>
      </c>
      <c r="F1882" s="12" t="s">
        <v>3455</v>
      </c>
      <c r="G1882" s="12" t="b">
        <v>0</v>
      </c>
      <c r="H1882" s="12" t="b">
        <v>0</v>
      </c>
      <c r="I1882" s="12" t="b">
        <v>0</v>
      </c>
    </row>
    <row r="1883" spans="1:9" x14ac:dyDescent="0.25">
      <c r="A1883" s="12">
        <v>1882</v>
      </c>
      <c r="B1883" s="12" t="s">
        <v>6373</v>
      </c>
      <c r="C1883" s="12" t="s">
        <v>6374</v>
      </c>
      <c r="D1883" s="12" t="s">
        <v>14</v>
      </c>
      <c r="E1883" s="12" t="s">
        <v>6375</v>
      </c>
      <c r="F1883" s="12" t="s">
        <v>1478</v>
      </c>
      <c r="G1883" s="12" t="b">
        <v>0</v>
      </c>
      <c r="H1883" s="12" t="b">
        <v>0</v>
      </c>
      <c r="I1883" s="12" t="b">
        <v>0</v>
      </c>
    </row>
    <row r="1884" spans="1:9" x14ac:dyDescent="0.25">
      <c r="A1884" s="12">
        <v>1883</v>
      </c>
      <c r="B1884" s="12" t="s">
        <v>6376</v>
      </c>
      <c r="C1884" s="12" t="s">
        <v>6377</v>
      </c>
      <c r="D1884" s="12" t="s">
        <v>45</v>
      </c>
      <c r="E1884" s="12" t="s">
        <v>6378</v>
      </c>
      <c r="F1884" s="12" t="s">
        <v>681</v>
      </c>
      <c r="G1884" s="12" t="b">
        <v>0</v>
      </c>
      <c r="H1884" s="12" t="b">
        <v>0</v>
      </c>
      <c r="I1884" s="12" t="b">
        <v>0</v>
      </c>
    </row>
    <row r="1885" spans="1:9" x14ac:dyDescent="0.25">
      <c r="A1885" s="12">
        <v>1884</v>
      </c>
      <c r="B1885" s="12" t="s">
        <v>6379</v>
      </c>
      <c r="C1885" s="12" t="s">
        <v>6380</v>
      </c>
      <c r="D1885" s="12" t="s">
        <v>14</v>
      </c>
      <c r="E1885" s="12" t="s">
        <v>6381</v>
      </c>
      <c r="F1885" s="12" t="s">
        <v>1379</v>
      </c>
      <c r="G1885" s="12" t="b">
        <v>0</v>
      </c>
      <c r="H1885" s="12" t="b">
        <v>0</v>
      </c>
      <c r="I1885" s="12" t="b">
        <v>0</v>
      </c>
    </row>
    <row r="1886" spans="1:9" x14ac:dyDescent="0.25">
      <c r="A1886" s="12">
        <v>1885</v>
      </c>
      <c r="B1886" s="12" t="s">
        <v>6382</v>
      </c>
      <c r="C1886" s="12" t="s">
        <v>6383</v>
      </c>
      <c r="D1886" s="12" t="s">
        <v>14</v>
      </c>
      <c r="E1886" s="12" t="s">
        <v>6384</v>
      </c>
      <c r="F1886" s="12" t="s">
        <v>1690</v>
      </c>
      <c r="G1886" s="12" t="b">
        <v>1</v>
      </c>
      <c r="H1886" s="12" t="b">
        <v>0</v>
      </c>
      <c r="I1886" s="12" t="b">
        <v>0</v>
      </c>
    </row>
    <row r="1887" spans="1:9" x14ac:dyDescent="0.25">
      <c r="A1887" s="12">
        <v>1886</v>
      </c>
      <c r="B1887" s="12" t="s">
        <v>6385</v>
      </c>
      <c r="C1887" s="12" t="s">
        <v>6386</v>
      </c>
      <c r="D1887" s="12" t="s">
        <v>10</v>
      </c>
      <c r="E1887" s="12" t="s">
        <v>6387</v>
      </c>
      <c r="F1887" s="12" t="s">
        <v>1646</v>
      </c>
      <c r="G1887" s="12" t="b">
        <v>0</v>
      </c>
      <c r="H1887" s="12" t="b">
        <v>0</v>
      </c>
      <c r="I1887" s="12" t="b">
        <v>0</v>
      </c>
    </row>
    <row r="1888" spans="1:9" x14ac:dyDescent="0.25">
      <c r="A1888" s="12">
        <v>1887</v>
      </c>
      <c r="B1888" s="12" t="s">
        <v>6388</v>
      </c>
      <c r="C1888" s="12" t="s">
        <v>6389</v>
      </c>
      <c r="D1888" s="12" t="s">
        <v>14</v>
      </c>
      <c r="E1888" s="12" t="s">
        <v>6390</v>
      </c>
      <c r="F1888" s="12" t="s">
        <v>495</v>
      </c>
      <c r="G1888" s="12" t="b">
        <v>0</v>
      </c>
      <c r="H1888" s="12" t="b">
        <v>0</v>
      </c>
      <c r="I1888" s="12" t="b">
        <v>0</v>
      </c>
    </row>
    <row r="1889" spans="1:9" x14ac:dyDescent="0.25">
      <c r="A1889" s="12">
        <v>1888</v>
      </c>
      <c r="B1889" s="12" t="s">
        <v>6391</v>
      </c>
      <c r="C1889" s="12" t="s">
        <v>6392</v>
      </c>
      <c r="D1889" s="12" t="s">
        <v>14</v>
      </c>
      <c r="E1889" s="12" t="s">
        <v>6393</v>
      </c>
      <c r="F1889" s="12" t="s">
        <v>3455</v>
      </c>
      <c r="G1889" s="12" t="b">
        <v>0</v>
      </c>
      <c r="H1889" s="12" t="b">
        <v>0</v>
      </c>
      <c r="I1889" s="12" t="b">
        <v>0</v>
      </c>
    </row>
    <row r="1890" spans="1:9" x14ac:dyDescent="0.25">
      <c r="A1890" s="12">
        <v>1889</v>
      </c>
      <c r="B1890" s="12" t="s">
        <v>6394</v>
      </c>
      <c r="C1890" s="12" t="s">
        <v>6395</v>
      </c>
      <c r="D1890" s="12" t="s">
        <v>45</v>
      </c>
      <c r="E1890" s="12" t="s">
        <v>6396</v>
      </c>
      <c r="F1890" s="12" t="s">
        <v>6397</v>
      </c>
      <c r="G1890" s="12" t="b">
        <v>0</v>
      </c>
      <c r="H1890" s="12" t="b">
        <v>0</v>
      </c>
      <c r="I1890" s="12" t="b">
        <v>0</v>
      </c>
    </row>
    <row r="1891" spans="1:9" x14ac:dyDescent="0.25">
      <c r="A1891" s="12">
        <v>1890</v>
      </c>
      <c r="B1891" s="12" t="s">
        <v>6398</v>
      </c>
      <c r="C1891" s="12" t="s">
        <v>6399</v>
      </c>
      <c r="D1891" s="12" t="s">
        <v>10</v>
      </c>
      <c r="E1891" s="12" t="s">
        <v>6400</v>
      </c>
      <c r="F1891" s="12" t="s">
        <v>859</v>
      </c>
      <c r="G1891" s="12" t="b">
        <v>0</v>
      </c>
      <c r="H1891" s="12" t="b">
        <v>0</v>
      </c>
      <c r="I1891" s="12" t="b">
        <v>0</v>
      </c>
    </row>
    <row r="1892" spans="1:9" x14ac:dyDescent="0.25">
      <c r="A1892" s="12">
        <v>1891</v>
      </c>
      <c r="B1892" s="12" t="s">
        <v>6401</v>
      </c>
      <c r="C1892" s="12" t="s">
        <v>6402</v>
      </c>
      <c r="D1892" s="12" t="s">
        <v>14</v>
      </c>
      <c r="E1892" s="12" t="s">
        <v>6403</v>
      </c>
      <c r="F1892" s="12" t="s">
        <v>426</v>
      </c>
      <c r="G1892" s="12" t="b">
        <v>1</v>
      </c>
      <c r="H1892" s="12" t="b">
        <v>0</v>
      </c>
      <c r="I1892" s="12" t="b">
        <v>0</v>
      </c>
    </row>
    <row r="1893" spans="1:9" x14ac:dyDescent="0.25">
      <c r="A1893" s="12">
        <v>1892</v>
      </c>
      <c r="B1893" s="12" t="s">
        <v>6404</v>
      </c>
      <c r="C1893" s="12" t="s">
        <v>6405</v>
      </c>
      <c r="D1893" s="12" t="s">
        <v>45</v>
      </c>
      <c r="E1893" s="12" t="s">
        <v>6406</v>
      </c>
      <c r="F1893" s="12" t="s">
        <v>859</v>
      </c>
      <c r="G1893" s="12" t="b">
        <v>1</v>
      </c>
      <c r="H1893" s="12" t="b">
        <v>0</v>
      </c>
      <c r="I1893" s="12" t="b">
        <v>0</v>
      </c>
    </row>
    <row r="1894" spans="1:9" x14ac:dyDescent="0.25">
      <c r="A1894" s="12">
        <v>1893</v>
      </c>
      <c r="B1894" s="12" t="s">
        <v>6407</v>
      </c>
      <c r="C1894" s="12" t="s">
        <v>6408</v>
      </c>
      <c r="D1894" s="12" t="s">
        <v>10</v>
      </c>
      <c r="E1894" s="12" t="s">
        <v>6409</v>
      </c>
      <c r="F1894" s="12" t="s">
        <v>1976</v>
      </c>
      <c r="G1894" s="12" t="b">
        <v>0</v>
      </c>
      <c r="H1894" s="12" t="b">
        <v>0</v>
      </c>
      <c r="I1894" s="12" t="b">
        <v>0</v>
      </c>
    </row>
    <row r="1895" spans="1:9" x14ac:dyDescent="0.25">
      <c r="A1895" s="12">
        <v>1894</v>
      </c>
      <c r="B1895" s="12" t="s">
        <v>6410</v>
      </c>
      <c r="C1895" s="12" t="s">
        <v>6411</v>
      </c>
      <c r="D1895" s="12" t="s">
        <v>14</v>
      </c>
      <c r="E1895" s="12" t="s">
        <v>6412</v>
      </c>
      <c r="F1895" s="12" t="s">
        <v>6413</v>
      </c>
      <c r="G1895" s="12" t="b">
        <v>0</v>
      </c>
      <c r="H1895" s="12" t="b">
        <v>0</v>
      </c>
      <c r="I1895" s="12" t="b">
        <v>0</v>
      </c>
    </row>
    <row r="1896" spans="1:9" x14ac:dyDescent="0.25">
      <c r="A1896" s="12">
        <v>1895</v>
      </c>
      <c r="B1896" s="12" t="s">
        <v>6414</v>
      </c>
      <c r="C1896" s="12" t="s">
        <v>6415</v>
      </c>
      <c r="D1896" s="12" t="s">
        <v>14</v>
      </c>
      <c r="E1896" s="12" t="s">
        <v>6416</v>
      </c>
      <c r="F1896" s="12" t="s">
        <v>4528</v>
      </c>
      <c r="G1896" s="12" t="b">
        <v>0</v>
      </c>
      <c r="H1896" s="12" t="b">
        <v>0</v>
      </c>
      <c r="I1896" s="12" t="b">
        <v>0</v>
      </c>
    </row>
    <row r="1897" spans="1:9" x14ac:dyDescent="0.25">
      <c r="A1897" s="12">
        <v>1896</v>
      </c>
      <c r="B1897" s="12" t="s">
        <v>6417</v>
      </c>
      <c r="C1897" s="12" t="s">
        <v>6418</v>
      </c>
      <c r="D1897" s="12" t="s">
        <v>45</v>
      </c>
      <c r="E1897" s="12" t="s">
        <v>6419</v>
      </c>
      <c r="F1897" s="12" t="s">
        <v>6420</v>
      </c>
      <c r="G1897" s="12" t="b">
        <v>0</v>
      </c>
      <c r="H1897" s="12" t="b">
        <v>0</v>
      </c>
      <c r="I1897" s="12" t="b">
        <v>0</v>
      </c>
    </row>
    <row r="1898" spans="1:9" x14ac:dyDescent="0.25">
      <c r="A1898" s="12">
        <v>1897</v>
      </c>
      <c r="B1898" s="12" t="s">
        <v>6421</v>
      </c>
      <c r="C1898" s="12" t="s">
        <v>6422</v>
      </c>
      <c r="D1898" s="12" t="s">
        <v>10</v>
      </c>
      <c r="E1898" s="12" t="s">
        <v>6423</v>
      </c>
      <c r="F1898" s="12" t="s">
        <v>1240</v>
      </c>
      <c r="G1898" s="12" t="b">
        <v>0</v>
      </c>
      <c r="H1898" s="12" t="b">
        <v>0</v>
      </c>
      <c r="I1898" s="12" t="b">
        <v>0</v>
      </c>
    </row>
    <row r="1899" spans="1:9" x14ac:dyDescent="0.25">
      <c r="A1899" s="12">
        <v>1898</v>
      </c>
      <c r="B1899" s="12" t="s">
        <v>6424</v>
      </c>
      <c r="C1899" s="12" t="s">
        <v>6425</v>
      </c>
      <c r="D1899" s="12" t="s">
        <v>14</v>
      </c>
      <c r="E1899" s="12" t="s">
        <v>6426</v>
      </c>
      <c r="F1899" s="12" t="s">
        <v>6427</v>
      </c>
      <c r="G1899" s="12" t="b">
        <v>0</v>
      </c>
      <c r="H1899" s="12" t="b">
        <v>0</v>
      </c>
      <c r="I1899" s="12" t="b">
        <v>0</v>
      </c>
    </row>
    <row r="1900" spans="1:9" x14ac:dyDescent="0.25">
      <c r="A1900" s="12">
        <v>1899</v>
      </c>
      <c r="B1900" s="12" t="s">
        <v>6428</v>
      </c>
      <c r="C1900" s="12" t="s">
        <v>6429</v>
      </c>
      <c r="D1900" s="12" t="s">
        <v>14</v>
      </c>
      <c r="E1900" s="12" t="s">
        <v>6430</v>
      </c>
      <c r="F1900" s="12" t="s">
        <v>732</v>
      </c>
      <c r="G1900" s="12" t="b">
        <v>0</v>
      </c>
      <c r="H1900" s="12" t="b">
        <v>0</v>
      </c>
      <c r="I1900" s="12" t="b">
        <v>0</v>
      </c>
    </row>
    <row r="1901" spans="1:9" x14ac:dyDescent="0.25">
      <c r="A1901" s="12">
        <v>1900</v>
      </c>
      <c r="B1901" s="12" t="s">
        <v>6431</v>
      </c>
      <c r="C1901" s="12" t="s">
        <v>6432</v>
      </c>
      <c r="D1901" s="12" t="s">
        <v>45</v>
      </c>
      <c r="E1901" s="12" t="s">
        <v>6433</v>
      </c>
      <c r="F1901" s="12" t="s">
        <v>5305</v>
      </c>
      <c r="G1901" s="12" t="b">
        <v>0</v>
      </c>
      <c r="H1901" s="12" t="b">
        <v>0</v>
      </c>
      <c r="I1901" s="12" t="b">
        <v>0</v>
      </c>
    </row>
    <row r="1902" spans="1:9" x14ac:dyDescent="0.25">
      <c r="A1902" s="12">
        <v>1901</v>
      </c>
      <c r="B1902" s="12" t="s">
        <v>6434</v>
      </c>
      <c r="C1902" s="12" t="s">
        <v>6435</v>
      </c>
      <c r="D1902" s="12" t="s">
        <v>14</v>
      </c>
      <c r="E1902" s="12" t="s">
        <v>6436</v>
      </c>
      <c r="F1902" s="12" t="s">
        <v>551</v>
      </c>
      <c r="G1902" s="12" t="b">
        <v>0</v>
      </c>
      <c r="H1902" s="12" t="b">
        <v>0</v>
      </c>
      <c r="I1902" s="12" t="b">
        <v>0</v>
      </c>
    </row>
    <row r="1903" spans="1:9" x14ac:dyDescent="0.25">
      <c r="A1903" s="12">
        <v>1902</v>
      </c>
      <c r="B1903" s="12" t="s">
        <v>6437</v>
      </c>
      <c r="C1903" s="12" t="s">
        <v>6438</v>
      </c>
      <c r="D1903" s="12" t="s">
        <v>14</v>
      </c>
      <c r="E1903" s="12" t="s">
        <v>6439</v>
      </c>
      <c r="F1903" s="12" t="s">
        <v>6440</v>
      </c>
      <c r="G1903" s="12" t="b">
        <v>1</v>
      </c>
      <c r="H1903" s="12" t="b">
        <v>0</v>
      </c>
      <c r="I1903" s="12" t="b">
        <v>0</v>
      </c>
    </row>
    <row r="1904" spans="1:9" x14ac:dyDescent="0.25">
      <c r="A1904" s="12">
        <v>1903</v>
      </c>
      <c r="B1904" s="12" t="s">
        <v>6441</v>
      </c>
      <c r="C1904" s="12" t="s">
        <v>6442</v>
      </c>
      <c r="D1904" s="12" t="s">
        <v>10</v>
      </c>
      <c r="E1904" s="12" t="s">
        <v>6443</v>
      </c>
      <c r="F1904" s="12" t="s">
        <v>4306</v>
      </c>
      <c r="G1904" s="12" t="b">
        <v>0</v>
      </c>
      <c r="H1904" s="12" t="b">
        <v>0</v>
      </c>
      <c r="I1904" s="12" t="b">
        <v>0</v>
      </c>
    </row>
    <row r="1905" spans="1:9" x14ac:dyDescent="0.25">
      <c r="A1905" s="12">
        <v>1904</v>
      </c>
      <c r="B1905" s="12" t="s">
        <v>6444</v>
      </c>
      <c r="C1905" s="12" t="s">
        <v>6445</v>
      </c>
      <c r="D1905" s="12" t="s">
        <v>14</v>
      </c>
      <c r="E1905" s="12" t="s">
        <v>6446</v>
      </c>
      <c r="F1905" s="12" t="s">
        <v>836</v>
      </c>
      <c r="G1905" s="12" t="b">
        <v>0</v>
      </c>
      <c r="H1905" s="12" t="b">
        <v>0</v>
      </c>
      <c r="I1905" s="12" t="b">
        <v>0</v>
      </c>
    </row>
    <row r="1906" spans="1:9" x14ac:dyDescent="0.25">
      <c r="A1906" s="12">
        <v>1905</v>
      </c>
      <c r="B1906" s="12" t="s">
        <v>6447</v>
      </c>
      <c r="C1906" s="12" t="s">
        <v>6448</v>
      </c>
      <c r="D1906" s="12" t="s">
        <v>14</v>
      </c>
      <c r="E1906" s="12" t="s">
        <v>6449</v>
      </c>
      <c r="F1906" s="12" t="s">
        <v>720</v>
      </c>
      <c r="G1906" s="12" t="b">
        <v>0</v>
      </c>
      <c r="H1906" s="12" t="b">
        <v>0</v>
      </c>
      <c r="I1906" s="12" t="b">
        <v>0</v>
      </c>
    </row>
    <row r="1907" spans="1:9" x14ac:dyDescent="0.25">
      <c r="A1907" s="12">
        <v>1906</v>
      </c>
      <c r="B1907" s="12" t="s">
        <v>6450</v>
      </c>
      <c r="C1907" s="12" t="s">
        <v>6451</v>
      </c>
      <c r="D1907" s="12" t="s">
        <v>14</v>
      </c>
      <c r="E1907" s="12" t="s">
        <v>1325</v>
      </c>
      <c r="F1907" s="12" t="s">
        <v>328</v>
      </c>
      <c r="G1907" s="12" t="b">
        <v>0</v>
      </c>
      <c r="H1907" s="12" t="b">
        <v>0</v>
      </c>
      <c r="I1907" s="12" t="b">
        <v>0</v>
      </c>
    </row>
    <row r="1908" spans="1:9" x14ac:dyDescent="0.25">
      <c r="A1908" s="12">
        <v>1907</v>
      </c>
      <c r="B1908" s="12" t="s">
        <v>6452</v>
      </c>
      <c r="C1908" s="12" t="s">
        <v>6453</v>
      </c>
      <c r="D1908" s="12" t="s">
        <v>14</v>
      </c>
      <c r="E1908" s="12" t="s">
        <v>6454</v>
      </c>
      <c r="F1908" s="12" t="s">
        <v>859</v>
      </c>
      <c r="G1908" s="12" t="b">
        <v>1</v>
      </c>
      <c r="H1908" s="12" t="b">
        <v>0</v>
      </c>
      <c r="I1908" s="12" t="b">
        <v>0</v>
      </c>
    </row>
    <row r="1909" spans="1:9" x14ac:dyDescent="0.25">
      <c r="A1909" s="12">
        <v>1908</v>
      </c>
      <c r="B1909" s="12" t="s">
        <v>6455</v>
      </c>
      <c r="C1909" s="12" t="s">
        <v>6456</v>
      </c>
      <c r="D1909" s="12" t="s">
        <v>14</v>
      </c>
      <c r="E1909" s="12" t="s">
        <v>6457</v>
      </c>
      <c r="F1909" s="12" t="s">
        <v>6458</v>
      </c>
      <c r="G1909" s="12" t="b">
        <v>1</v>
      </c>
      <c r="H1909" s="12" t="b">
        <v>0</v>
      </c>
      <c r="I1909" s="12" t="b">
        <v>0</v>
      </c>
    </row>
    <row r="1910" spans="1:9" x14ac:dyDescent="0.25">
      <c r="A1910" s="12">
        <v>1909</v>
      </c>
      <c r="B1910" s="12" t="s">
        <v>6459</v>
      </c>
      <c r="C1910" s="12" t="s">
        <v>6460</v>
      </c>
      <c r="D1910" s="12" t="s">
        <v>10</v>
      </c>
      <c r="E1910" s="12" t="s">
        <v>6461</v>
      </c>
      <c r="F1910" s="12" t="s">
        <v>317</v>
      </c>
      <c r="G1910" s="12" t="b">
        <v>0</v>
      </c>
      <c r="H1910" s="12" t="b">
        <v>0</v>
      </c>
      <c r="I1910" s="12" t="b">
        <v>0</v>
      </c>
    </row>
    <row r="1911" spans="1:9" x14ac:dyDescent="0.25">
      <c r="A1911" s="12">
        <v>1910</v>
      </c>
      <c r="B1911" s="12" t="s">
        <v>6462</v>
      </c>
      <c r="C1911" s="12" t="s">
        <v>6463</v>
      </c>
      <c r="D1911" s="12" t="s">
        <v>14</v>
      </c>
      <c r="E1911" s="12" t="s">
        <v>6464</v>
      </c>
      <c r="F1911" s="12" t="s">
        <v>316</v>
      </c>
      <c r="G1911" s="12" t="b">
        <v>0</v>
      </c>
      <c r="H1911" s="12" t="b">
        <v>0</v>
      </c>
      <c r="I1911" s="12" t="b">
        <v>0</v>
      </c>
    </row>
    <row r="1912" spans="1:9" x14ac:dyDescent="0.25">
      <c r="A1912" s="12">
        <v>1911</v>
      </c>
      <c r="B1912" s="12" t="s">
        <v>6465</v>
      </c>
      <c r="C1912" s="12" t="s">
        <v>6466</v>
      </c>
      <c r="D1912" s="12" t="s">
        <v>14</v>
      </c>
      <c r="E1912" s="12" t="s">
        <v>6467</v>
      </c>
      <c r="F1912" s="12" t="s">
        <v>681</v>
      </c>
      <c r="G1912" s="12" t="b">
        <v>0</v>
      </c>
      <c r="H1912" s="12" t="b">
        <v>0</v>
      </c>
      <c r="I1912" s="12" t="b">
        <v>0</v>
      </c>
    </row>
    <row r="1913" spans="1:9" x14ac:dyDescent="0.25">
      <c r="A1913" s="12">
        <v>1912</v>
      </c>
      <c r="B1913" s="12" t="s">
        <v>6468</v>
      </c>
      <c r="C1913" s="12" t="s">
        <v>6469</v>
      </c>
      <c r="D1913" s="12" t="s">
        <v>45</v>
      </c>
      <c r="E1913" s="12" t="s">
        <v>6470</v>
      </c>
      <c r="F1913" s="12" t="s">
        <v>6471</v>
      </c>
      <c r="G1913" s="12" t="b">
        <v>0</v>
      </c>
      <c r="H1913" s="12" t="b">
        <v>0</v>
      </c>
      <c r="I1913" s="12" t="b">
        <v>0</v>
      </c>
    </row>
    <row r="1914" spans="1:9" x14ac:dyDescent="0.25">
      <c r="A1914" s="12">
        <v>1913</v>
      </c>
      <c r="B1914" s="12" t="s">
        <v>6472</v>
      </c>
      <c r="C1914" s="12" t="s">
        <v>6473</v>
      </c>
      <c r="D1914" s="12" t="s">
        <v>10</v>
      </c>
      <c r="E1914" s="12" t="s">
        <v>6474</v>
      </c>
      <c r="F1914" s="12" t="s">
        <v>495</v>
      </c>
      <c r="G1914" s="12" t="b">
        <v>0</v>
      </c>
      <c r="H1914" s="12" t="b">
        <v>0</v>
      </c>
      <c r="I1914" s="12" t="b">
        <v>0</v>
      </c>
    </row>
    <row r="1915" spans="1:9" x14ac:dyDescent="0.25">
      <c r="A1915" s="12">
        <v>1914</v>
      </c>
      <c r="B1915" s="12" t="s">
        <v>6475</v>
      </c>
      <c r="C1915" s="12" t="s">
        <v>6476</v>
      </c>
      <c r="D1915" s="12" t="s">
        <v>14</v>
      </c>
      <c r="E1915" s="12" t="s">
        <v>6477</v>
      </c>
      <c r="F1915" s="12" t="s">
        <v>490</v>
      </c>
      <c r="G1915" s="12" t="b">
        <v>0</v>
      </c>
      <c r="H1915" s="12" t="b">
        <v>0</v>
      </c>
      <c r="I1915" s="12" t="b">
        <v>0</v>
      </c>
    </row>
    <row r="1916" spans="1:9" x14ac:dyDescent="0.25">
      <c r="A1916" s="12">
        <v>1915</v>
      </c>
      <c r="B1916" s="12" t="s">
        <v>6478</v>
      </c>
      <c r="C1916" s="12" t="s">
        <v>6479</v>
      </c>
      <c r="D1916" s="12" t="s">
        <v>14</v>
      </c>
      <c r="E1916" s="12" t="s">
        <v>6480</v>
      </c>
      <c r="F1916" s="12" t="s">
        <v>4075</v>
      </c>
      <c r="G1916" s="12" t="b">
        <v>0</v>
      </c>
      <c r="H1916" s="12" t="b">
        <v>0</v>
      </c>
      <c r="I1916" s="12" t="b">
        <v>0</v>
      </c>
    </row>
    <row r="1917" spans="1:9" x14ac:dyDescent="0.25">
      <c r="A1917" s="12">
        <v>1916</v>
      </c>
      <c r="B1917" s="12" t="s">
        <v>6481</v>
      </c>
      <c r="C1917" s="12" t="s">
        <v>6482</v>
      </c>
      <c r="D1917" s="12" t="s">
        <v>45</v>
      </c>
      <c r="E1917" s="12" t="s">
        <v>6483</v>
      </c>
      <c r="F1917" s="12" t="s">
        <v>6484</v>
      </c>
      <c r="G1917" s="12" t="b">
        <v>0</v>
      </c>
      <c r="H1917" s="12" t="b">
        <v>0</v>
      </c>
      <c r="I1917" s="12" t="b">
        <v>0</v>
      </c>
    </row>
    <row r="1918" spans="1:9" x14ac:dyDescent="0.25">
      <c r="A1918" s="12">
        <v>1917</v>
      </c>
      <c r="B1918" s="12" t="s">
        <v>6485</v>
      </c>
      <c r="C1918" s="12" t="s">
        <v>6486</v>
      </c>
      <c r="D1918" s="12" t="s">
        <v>45</v>
      </c>
      <c r="E1918" s="12" t="s">
        <v>6487</v>
      </c>
      <c r="F1918" s="12" t="s">
        <v>859</v>
      </c>
      <c r="G1918" s="12" t="b">
        <v>1</v>
      </c>
      <c r="H1918" s="12" t="b">
        <v>0</v>
      </c>
      <c r="I1918" s="12" t="b">
        <v>0</v>
      </c>
    </row>
    <row r="1919" spans="1:9" x14ac:dyDescent="0.25">
      <c r="A1919" s="12">
        <v>1918</v>
      </c>
      <c r="B1919" s="12" t="s">
        <v>6488</v>
      </c>
      <c r="C1919" s="12" t="s">
        <v>6489</v>
      </c>
      <c r="D1919" s="12" t="s">
        <v>14</v>
      </c>
      <c r="E1919" s="12" t="s">
        <v>6490</v>
      </c>
      <c r="F1919" s="12" t="s">
        <v>6491</v>
      </c>
      <c r="G1919" s="12" t="b">
        <v>1</v>
      </c>
      <c r="H1919" s="12" t="b">
        <v>0</v>
      </c>
      <c r="I1919" s="12" t="b">
        <v>0</v>
      </c>
    </row>
    <row r="1920" spans="1:9" x14ac:dyDescent="0.25">
      <c r="A1920" s="12">
        <v>1919</v>
      </c>
      <c r="B1920" s="12" t="s">
        <v>6492</v>
      </c>
      <c r="C1920" s="12" t="s">
        <v>6493</v>
      </c>
      <c r="D1920" s="12" t="s">
        <v>45</v>
      </c>
      <c r="E1920" s="12" t="s">
        <v>6494</v>
      </c>
      <c r="F1920" s="12" t="s">
        <v>859</v>
      </c>
      <c r="G1920" s="12" t="b">
        <v>1</v>
      </c>
      <c r="H1920" s="12" t="b">
        <v>0</v>
      </c>
      <c r="I1920" s="12" t="b">
        <v>0</v>
      </c>
    </row>
    <row r="1921" spans="1:9" x14ac:dyDescent="0.25">
      <c r="A1921" s="12">
        <v>1920</v>
      </c>
      <c r="B1921" s="12" t="s">
        <v>6495</v>
      </c>
      <c r="C1921" s="12" t="s">
        <v>6496</v>
      </c>
      <c r="D1921" s="12" t="s">
        <v>10</v>
      </c>
      <c r="E1921" s="12" t="s">
        <v>6497</v>
      </c>
      <c r="F1921" s="12" t="s">
        <v>1877</v>
      </c>
      <c r="G1921" s="12" t="b">
        <v>0</v>
      </c>
      <c r="H1921" s="12" t="b">
        <v>0</v>
      </c>
      <c r="I1921" s="12" t="b">
        <v>0</v>
      </c>
    </row>
    <row r="1922" spans="1:9" x14ac:dyDescent="0.25">
      <c r="A1922" s="12">
        <v>1921</v>
      </c>
      <c r="B1922" s="12" t="s">
        <v>6498</v>
      </c>
      <c r="C1922" s="12" t="s">
        <v>6499</v>
      </c>
      <c r="D1922" s="12" t="s">
        <v>14</v>
      </c>
      <c r="E1922" s="12" t="s">
        <v>6500</v>
      </c>
      <c r="F1922" s="12" t="s">
        <v>1181</v>
      </c>
      <c r="G1922" s="12" t="b">
        <v>0</v>
      </c>
      <c r="H1922" s="12" t="b">
        <v>0</v>
      </c>
      <c r="I1922" s="12" t="b">
        <v>0</v>
      </c>
    </row>
    <row r="1923" spans="1:9" x14ac:dyDescent="0.25">
      <c r="A1923" s="12">
        <v>1922</v>
      </c>
      <c r="B1923" s="12" t="s">
        <v>6501</v>
      </c>
      <c r="C1923" s="12" t="s">
        <v>6502</v>
      </c>
      <c r="D1923" s="12" t="s">
        <v>14</v>
      </c>
      <c r="E1923" s="12" t="s">
        <v>6503</v>
      </c>
      <c r="F1923" s="12" t="s">
        <v>479</v>
      </c>
      <c r="G1923" s="12" t="b">
        <v>0</v>
      </c>
      <c r="H1923" s="12" t="b">
        <v>0</v>
      </c>
      <c r="I1923" s="12" t="b">
        <v>0</v>
      </c>
    </row>
    <row r="1924" spans="1:9" x14ac:dyDescent="0.25">
      <c r="A1924" s="12">
        <v>1923</v>
      </c>
      <c r="B1924" s="12" t="s">
        <v>6504</v>
      </c>
      <c r="C1924" s="12" t="s">
        <v>6505</v>
      </c>
      <c r="D1924" s="12" t="s">
        <v>45</v>
      </c>
      <c r="E1924" s="12" t="s">
        <v>6506</v>
      </c>
      <c r="F1924" s="12" t="s">
        <v>6507</v>
      </c>
      <c r="G1924" s="12" t="b">
        <v>0</v>
      </c>
      <c r="H1924" s="12" t="b">
        <v>0</v>
      </c>
      <c r="I1924" s="12" t="b">
        <v>0</v>
      </c>
    </row>
    <row r="1925" spans="1:9" x14ac:dyDescent="0.25">
      <c r="A1925" s="12">
        <v>1924</v>
      </c>
      <c r="B1925" s="12" t="s">
        <v>6508</v>
      </c>
      <c r="C1925" s="12" t="s">
        <v>6509</v>
      </c>
      <c r="D1925" s="12" t="s">
        <v>45</v>
      </c>
      <c r="E1925" s="12" t="s">
        <v>6510</v>
      </c>
      <c r="F1925" s="12" t="s">
        <v>1354</v>
      </c>
      <c r="G1925" s="12" t="b">
        <v>1</v>
      </c>
      <c r="H1925" s="12" t="b">
        <v>0</v>
      </c>
      <c r="I1925" s="12" t="b">
        <v>0</v>
      </c>
    </row>
    <row r="1926" spans="1:9" x14ac:dyDescent="0.25">
      <c r="A1926" s="12">
        <v>1925</v>
      </c>
      <c r="B1926" s="12" t="s">
        <v>6511</v>
      </c>
      <c r="C1926" s="12" t="s">
        <v>6512</v>
      </c>
      <c r="D1926" s="12" t="s">
        <v>10</v>
      </c>
      <c r="E1926" s="12" t="s">
        <v>6513</v>
      </c>
      <c r="F1926" s="12" t="s">
        <v>2939</v>
      </c>
      <c r="G1926" s="12" t="b">
        <v>0</v>
      </c>
      <c r="H1926" s="12" t="b">
        <v>0</v>
      </c>
      <c r="I1926" s="12" t="b">
        <v>0</v>
      </c>
    </row>
    <row r="1927" spans="1:9" x14ac:dyDescent="0.25">
      <c r="A1927" s="12">
        <v>1926</v>
      </c>
      <c r="B1927" s="12" t="s">
        <v>6514</v>
      </c>
      <c r="C1927" s="12" t="s">
        <v>6515</v>
      </c>
      <c r="D1927" s="12" t="s">
        <v>14</v>
      </c>
      <c r="E1927" s="12" t="s">
        <v>6516</v>
      </c>
      <c r="F1927" s="12" t="s">
        <v>1199</v>
      </c>
      <c r="G1927" s="12" t="b">
        <v>0</v>
      </c>
      <c r="H1927" s="12" t="b">
        <v>0</v>
      </c>
      <c r="I1927" s="12" t="b">
        <v>0</v>
      </c>
    </row>
    <row r="1928" spans="1:9" x14ac:dyDescent="0.25">
      <c r="A1928" s="12">
        <v>1927</v>
      </c>
      <c r="B1928" s="12" t="s">
        <v>6517</v>
      </c>
      <c r="C1928" s="12" t="s">
        <v>6518</v>
      </c>
      <c r="D1928" s="12" t="s">
        <v>14</v>
      </c>
      <c r="E1928" s="12" t="s">
        <v>6519</v>
      </c>
      <c r="F1928" s="12" t="s">
        <v>6520</v>
      </c>
      <c r="G1928" s="12" t="b">
        <v>0</v>
      </c>
      <c r="H1928" s="12" t="b">
        <v>0</v>
      </c>
      <c r="I1928" s="12" t="b">
        <v>0</v>
      </c>
    </row>
    <row r="1929" spans="1:9" x14ac:dyDescent="0.25">
      <c r="A1929" s="12">
        <v>1928</v>
      </c>
      <c r="B1929" s="12" t="s">
        <v>6521</v>
      </c>
      <c r="C1929" s="12" t="s">
        <v>6522</v>
      </c>
      <c r="D1929" s="12" t="s">
        <v>45</v>
      </c>
      <c r="E1929" s="12" t="s">
        <v>6523</v>
      </c>
      <c r="F1929" s="12" t="s">
        <v>5289</v>
      </c>
      <c r="G1929" s="12" t="b">
        <v>0</v>
      </c>
      <c r="H1929" s="12" t="b">
        <v>0</v>
      </c>
      <c r="I1929" s="12" t="b">
        <v>0</v>
      </c>
    </row>
    <row r="1930" spans="1:9" x14ac:dyDescent="0.25">
      <c r="A1930" s="12">
        <v>1929</v>
      </c>
      <c r="B1930" s="12" t="s">
        <v>6524</v>
      </c>
      <c r="C1930" s="12" t="s">
        <v>6525</v>
      </c>
      <c r="D1930" s="12" t="s">
        <v>10</v>
      </c>
      <c r="E1930" s="12" t="s">
        <v>6526</v>
      </c>
      <c r="F1930" s="12" t="s">
        <v>317</v>
      </c>
      <c r="G1930" s="12" t="b">
        <v>0</v>
      </c>
      <c r="H1930" s="12" t="b">
        <v>0</v>
      </c>
      <c r="I1930" s="12" t="b">
        <v>0</v>
      </c>
    </row>
    <row r="1931" spans="1:9" x14ac:dyDescent="0.25">
      <c r="A1931" s="12">
        <v>1930</v>
      </c>
      <c r="B1931" s="12" t="s">
        <v>6527</v>
      </c>
      <c r="C1931" s="12" t="s">
        <v>6528</v>
      </c>
      <c r="D1931" s="12" t="s">
        <v>14</v>
      </c>
      <c r="E1931" s="12" t="s">
        <v>6529</v>
      </c>
      <c r="F1931" s="12" t="s">
        <v>6530</v>
      </c>
      <c r="G1931" s="12" t="b">
        <v>0</v>
      </c>
      <c r="H1931" s="12" t="b">
        <v>0</v>
      </c>
      <c r="I1931" s="12" t="b">
        <v>0</v>
      </c>
    </row>
    <row r="1932" spans="1:9" x14ac:dyDescent="0.25">
      <c r="A1932" s="12">
        <v>1931</v>
      </c>
      <c r="B1932" s="12" t="s">
        <v>6531</v>
      </c>
      <c r="C1932" s="12" t="s">
        <v>6532</v>
      </c>
      <c r="D1932" s="12" t="s">
        <v>45</v>
      </c>
      <c r="E1932" s="12" t="s">
        <v>6533</v>
      </c>
      <c r="F1932" s="12" t="s">
        <v>292</v>
      </c>
      <c r="G1932" s="12" t="b">
        <v>0</v>
      </c>
      <c r="H1932" s="12" t="b">
        <v>0</v>
      </c>
      <c r="I1932" s="12" t="b">
        <v>0</v>
      </c>
    </row>
    <row r="1933" spans="1:9" x14ac:dyDescent="0.25">
      <c r="A1933" s="12">
        <v>1932</v>
      </c>
      <c r="B1933" s="12" t="s">
        <v>6534</v>
      </c>
      <c r="C1933" s="12" t="s">
        <v>6535</v>
      </c>
      <c r="D1933" s="12" t="s">
        <v>45</v>
      </c>
      <c r="E1933" s="12" t="s">
        <v>6536</v>
      </c>
      <c r="F1933" s="12" t="s">
        <v>6537</v>
      </c>
      <c r="G1933" s="12" t="b">
        <v>0</v>
      </c>
      <c r="H1933" s="12" t="b">
        <v>0</v>
      </c>
      <c r="I1933" s="12" t="b">
        <v>0</v>
      </c>
    </row>
    <row r="1934" spans="1:9" x14ac:dyDescent="0.25">
      <c r="A1934" s="12">
        <v>1933</v>
      </c>
      <c r="B1934" s="12" t="s">
        <v>6538</v>
      </c>
      <c r="C1934" s="12" t="s">
        <v>6539</v>
      </c>
      <c r="D1934" s="12" t="s">
        <v>10</v>
      </c>
      <c r="E1934" s="12" t="s">
        <v>6540</v>
      </c>
      <c r="F1934" s="12" t="s">
        <v>316</v>
      </c>
      <c r="G1934" s="12" t="b">
        <v>1</v>
      </c>
      <c r="H1934" s="12" t="b">
        <v>0</v>
      </c>
      <c r="I1934" s="12" t="b">
        <v>0</v>
      </c>
    </row>
    <row r="1935" spans="1:9" x14ac:dyDescent="0.25">
      <c r="A1935" s="12">
        <v>1934</v>
      </c>
      <c r="B1935" s="12" t="s">
        <v>6541</v>
      </c>
      <c r="C1935" s="12" t="s">
        <v>6542</v>
      </c>
      <c r="D1935" s="12" t="s">
        <v>14</v>
      </c>
      <c r="E1935" s="12" t="s">
        <v>6543</v>
      </c>
      <c r="F1935" s="12" t="s">
        <v>859</v>
      </c>
      <c r="G1935" s="12" t="b">
        <v>1</v>
      </c>
      <c r="H1935" s="12" t="b">
        <v>0</v>
      </c>
      <c r="I1935" s="12" t="b">
        <v>0</v>
      </c>
    </row>
    <row r="1936" spans="1:9" x14ac:dyDescent="0.25">
      <c r="A1936" s="12">
        <v>1935</v>
      </c>
      <c r="B1936" s="12" t="s">
        <v>6544</v>
      </c>
      <c r="C1936" s="12" t="s">
        <v>6545</v>
      </c>
      <c r="D1936" s="12" t="s">
        <v>10</v>
      </c>
      <c r="E1936" s="12" t="s">
        <v>6546</v>
      </c>
      <c r="F1936" s="12" t="s">
        <v>952</v>
      </c>
      <c r="G1936" s="12" t="b">
        <v>0</v>
      </c>
      <c r="H1936" s="12" t="b">
        <v>0</v>
      </c>
      <c r="I1936" s="12" t="b">
        <v>0</v>
      </c>
    </row>
    <row r="1937" spans="1:9" x14ac:dyDescent="0.25">
      <c r="A1937" s="12">
        <v>1936</v>
      </c>
      <c r="B1937" s="12" t="s">
        <v>6547</v>
      </c>
      <c r="C1937" s="12" t="s">
        <v>6548</v>
      </c>
      <c r="D1937" s="12" t="s">
        <v>14</v>
      </c>
      <c r="E1937" s="12" t="s">
        <v>6549</v>
      </c>
      <c r="F1937" s="12" t="s">
        <v>732</v>
      </c>
      <c r="G1937" s="12" t="b">
        <v>0</v>
      </c>
      <c r="H1937" s="12" t="b">
        <v>0</v>
      </c>
      <c r="I1937" s="12" t="b">
        <v>0</v>
      </c>
    </row>
    <row r="1938" spans="1:9" x14ac:dyDescent="0.25">
      <c r="A1938" s="12">
        <v>1937</v>
      </c>
      <c r="B1938" s="12" t="s">
        <v>6550</v>
      </c>
      <c r="C1938" s="12" t="s">
        <v>6551</v>
      </c>
      <c r="D1938" s="12" t="s">
        <v>14</v>
      </c>
      <c r="E1938" s="12" t="s">
        <v>6552</v>
      </c>
      <c r="F1938" s="12" t="s">
        <v>681</v>
      </c>
      <c r="G1938" s="12" t="b">
        <v>0</v>
      </c>
      <c r="H1938" s="12" t="b">
        <v>0</v>
      </c>
      <c r="I1938" s="12" t="b">
        <v>0</v>
      </c>
    </row>
    <row r="1939" spans="1:9" x14ac:dyDescent="0.25">
      <c r="A1939" s="12">
        <v>1938</v>
      </c>
      <c r="B1939" s="12" t="s">
        <v>6553</v>
      </c>
      <c r="C1939" s="12" t="s">
        <v>6554</v>
      </c>
      <c r="D1939" s="12" t="s">
        <v>45</v>
      </c>
      <c r="E1939" s="12" t="s">
        <v>6555</v>
      </c>
      <c r="F1939" s="12" t="s">
        <v>5810</v>
      </c>
      <c r="G1939" s="12" t="b">
        <v>0</v>
      </c>
      <c r="H1939" s="12" t="b">
        <v>0</v>
      </c>
      <c r="I1939" s="12" t="b">
        <v>0</v>
      </c>
    </row>
    <row r="1940" spans="1:9" x14ac:dyDescent="0.25">
      <c r="A1940" s="12">
        <v>1939</v>
      </c>
      <c r="B1940" s="12" t="s">
        <v>6556</v>
      </c>
      <c r="C1940" s="12" t="s">
        <v>6557</v>
      </c>
      <c r="D1940" s="12" t="s">
        <v>10</v>
      </c>
      <c r="E1940" s="12" t="s">
        <v>6558</v>
      </c>
      <c r="F1940" s="12" t="s">
        <v>859</v>
      </c>
      <c r="G1940" s="12" t="b">
        <v>1</v>
      </c>
      <c r="H1940" s="12" t="b">
        <v>0</v>
      </c>
      <c r="I1940" s="12" t="b">
        <v>0</v>
      </c>
    </row>
    <row r="1941" spans="1:9" x14ac:dyDescent="0.25">
      <c r="A1941" s="12">
        <v>1940</v>
      </c>
      <c r="B1941" s="12" t="s">
        <v>6559</v>
      </c>
      <c r="C1941" s="12" t="s">
        <v>6560</v>
      </c>
      <c r="D1941" s="12" t="s">
        <v>14</v>
      </c>
      <c r="E1941" s="12" t="s">
        <v>6561</v>
      </c>
      <c r="F1941" s="12" t="s">
        <v>3539</v>
      </c>
      <c r="G1941" s="12" t="b">
        <v>1</v>
      </c>
      <c r="H1941" s="12" t="b">
        <v>0</v>
      </c>
      <c r="I1941" s="12" t="b">
        <v>0</v>
      </c>
    </row>
    <row r="1942" spans="1:9" x14ac:dyDescent="0.25">
      <c r="A1942" s="12">
        <v>1941</v>
      </c>
      <c r="B1942" s="12" t="s">
        <v>6562</v>
      </c>
      <c r="C1942" s="12" t="s">
        <v>6563</v>
      </c>
      <c r="D1942" s="12" t="s">
        <v>10</v>
      </c>
      <c r="E1942" s="12" t="s">
        <v>6564</v>
      </c>
      <c r="F1942" s="12" t="s">
        <v>1240</v>
      </c>
      <c r="G1942" s="12" t="b">
        <v>0</v>
      </c>
      <c r="H1942" s="12" t="b">
        <v>0</v>
      </c>
      <c r="I1942" s="12" t="b">
        <v>0</v>
      </c>
    </row>
    <row r="1943" spans="1:9" x14ac:dyDescent="0.25">
      <c r="A1943" s="12">
        <v>1942</v>
      </c>
      <c r="B1943" s="12" t="s">
        <v>6565</v>
      </c>
      <c r="C1943" s="12" t="s">
        <v>6566</v>
      </c>
      <c r="D1943" s="12" t="s">
        <v>14</v>
      </c>
      <c r="E1943" s="12" t="s">
        <v>6567</v>
      </c>
      <c r="F1943" s="12" t="s">
        <v>6568</v>
      </c>
      <c r="G1943" s="12" t="b">
        <v>0</v>
      </c>
      <c r="H1943" s="12" t="b">
        <v>0</v>
      </c>
      <c r="I1943" s="12" t="b">
        <v>0</v>
      </c>
    </row>
    <row r="1944" spans="1:9" x14ac:dyDescent="0.25">
      <c r="A1944" s="12">
        <v>1943</v>
      </c>
      <c r="B1944" s="12" t="s">
        <v>6569</v>
      </c>
      <c r="C1944" s="12" t="s">
        <v>6570</v>
      </c>
      <c r="D1944" s="12" t="s">
        <v>14</v>
      </c>
      <c r="E1944" s="12" t="s">
        <v>6571</v>
      </c>
      <c r="F1944" s="12" t="s">
        <v>1055</v>
      </c>
      <c r="G1944" s="12" t="b">
        <v>0</v>
      </c>
      <c r="H1944" s="12" t="b">
        <v>0</v>
      </c>
      <c r="I1944" s="12" t="b">
        <v>0</v>
      </c>
    </row>
    <row r="1945" spans="1:9" x14ac:dyDescent="0.25">
      <c r="A1945" s="12">
        <v>1944</v>
      </c>
      <c r="B1945" s="12" t="s">
        <v>6572</v>
      </c>
      <c r="C1945" s="12" t="s">
        <v>6573</v>
      </c>
      <c r="D1945" s="12" t="s">
        <v>45</v>
      </c>
      <c r="E1945" s="12" t="s">
        <v>6574</v>
      </c>
      <c r="F1945" s="12" t="s">
        <v>577</v>
      </c>
      <c r="G1945" s="12" t="b">
        <v>0</v>
      </c>
      <c r="H1945" s="12" t="b">
        <v>0</v>
      </c>
      <c r="I1945" s="12" t="b">
        <v>0</v>
      </c>
    </row>
    <row r="1946" spans="1:9" x14ac:dyDescent="0.25">
      <c r="A1946" s="12">
        <v>1945</v>
      </c>
      <c r="B1946" s="12" t="s">
        <v>6575</v>
      </c>
      <c r="C1946" s="12" t="s">
        <v>6576</v>
      </c>
      <c r="D1946" s="12" t="s">
        <v>10</v>
      </c>
      <c r="E1946" s="12" t="s">
        <v>5388</v>
      </c>
      <c r="F1946" s="12" t="s">
        <v>2382</v>
      </c>
      <c r="G1946" s="12" t="b">
        <v>0</v>
      </c>
      <c r="H1946" s="12" t="b">
        <v>0</v>
      </c>
      <c r="I1946" s="12" t="b">
        <v>0</v>
      </c>
    </row>
    <row r="1947" spans="1:9" x14ac:dyDescent="0.25">
      <c r="A1947" s="12">
        <v>1946</v>
      </c>
      <c r="B1947" s="12" t="s">
        <v>6577</v>
      </c>
      <c r="C1947" s="12" t="s">
        <v>6578</v>
      </c>
      <c r="D1947" s="12" t="s">
        <v>14</v>
      </c>
      <c r="E1947" s="12" t="s">
        <v>6579</v>
      </c>
      <c r="F1947" s="12" t="s">
        <v>2070</v>
      </c>
      <c r="G1947" s="12" t="b">
        <v>0</v>
      </c>
      <c r="H1947" s="12" t="b">
        <v>0</v>
      </c>
      <c r="I1947" s="12" t="b">
        <v>0</v>
      </c>
    </row>
    <row r="1948" spans="1:9" x14ac:dyDescent="0.25">
      <c r="A1948" s="12">
        <v>1947</v>
      </c>
      <c r="B1948" s="12" t="s">
        <v>6580</v>
      </c>
      <c r="C1948" s="12" t="s">
        <v>6581</v>
      </c>
      <c r="D1948" s="12" t="s">
        <v>14</v>
      </c>
      <c r="E1948" s="12" t="s">
        <v>6582</v>
      </c>
      <c r="F1948" s="12" t="s">
        <v>1780</v>
      </c>
      <c r="G1948" s="12" t="b">
        <v>0</v>
      </c>
      <c r="H1948" s="12" t="b">
        <v>0</v>
      </c>
      <c r="I1948" s="12" t="b">
        <v>0</v>
      </c>
    </row>
    <row r="1949" spans="1:9" x14ac:dyDescent="0.25">
      <c r="A1949" s="12">
        <v>1948</v>
      </c>
      <c r="B1949" s="12" t="s">
        <v>6583</v>
      </c>
      <c r="C1949" s="12" t="s">
        <v>6584</v>
      </c>
      <c r="D1949" s="12" t="s">
        <v>45</v>
      </c>
      <c r="E1949" s="12" t="s">
        <v>6585</v>
      </c>
      <c r="F1949" s="12" t="s">
        <v>6586</v>
      </c>
      <c r="G1949" s="12" t="b">
        <v>0</v>
      </c>
      <c r="H1949" s="12" t="b">
        <v>0</v>
      </c>
      <c r="I1949" s="12" t="b">
        <v>0</v>
      </c>
    </row>
    <row r="1950" spans="1:9" x14ac:dyDescent="0.25">
      <c r="A1950" s="12">
        <v>1949</v>
      </c>
      <c r="B1950" s="12" t="s">
        <v>6587</v>
      </c>
      <c r="C1950" s="12" t="s">
        <v>6588</v>
      </c>
      <c r="D1950" s="12" t="s">
        <v>14</v>
      </c>
      <c r="E1950" s="12" t="s">
        <v>6589</v>
      </c>
      <c r="F1950" s="12" t="s">
        <v>859</v>
      </c>
      <c r="G1950" s="12" t="b">
        <v>1</v>
      </c>
      <c r="H1950" s="12" t="b">
        <v>0</v>
      </c>
      <c r="I1950" s="12" t="b">
        <v>0</v>
      </c>
    </row>
    <row r="1951" spans="1:9" x14ac:dyDescent="0.25">
      <c r="A1951" s="12">
        <v>1950</v>
      </c>
      <c r="B1951" s="12" t="s">
        <v>6590</v>
      </c>
      <c r="C1951" s="12" t="s">
        <v>6591</v>
      </c>
      <c r="D1951" s="12" t="s">
        <v>14</v>
      </c>
      <c r="E1951" s="12" t="s">
        <v>6592</v>
      </c>
      <c r="F1951" s="12" t="s">
        <v>577</v>
      </c>
      <c r="G1951" s="12" t="b">
        <v>1</v>
      </c>
      <c r="H1951" s="12" t="b">
        <v>0</v>
      </c>
      <c r="I1951" s="12" t="b">
        <v>0</v>
      </c>
    </row>
    <row r="1952" spans="1:9" x14ac:dyDescent="0.25">
      <c r="A1952" s="12">
        <v>1951</v>
      </c>
      <c r="B1952" s="12" t="s">
        <v>6593</v>
      </c>
      <c r="C1952" s="12" t="s">
        <v>6594</v>
      </c>
      <c r="D1952" s="12" t="s">
        <v>14</v>
      </c>
      <c r="E1952" s="12" t="s">
        <v>6595</v>
      </c>
      <c r="F1952" s="12" t="s">
        <v>859</v>
      </c>
      <c r="G1952" s="12" t="b">
        <v>1</v>
      </c>
      <c r="H1952" s="12" t="b">
        <v>0</v>
      </c>
      <c r="I1952" s="12" t="b">
        <v>0</v>
      </c>
    </row>
    <row r="1953" spans="1:9" x14ac:dyDescent="0.25">
      <c r="A1953" s="12">
        <v>1952</v>
      </c>
      <c r="B1953" s="12" t="s">
        <v>6596</v>
      </c>
      <c r="C1953" s="12" t="s">
        <v>6597</v>
      </c>
      <c r="D1953" s="12" t="s">
        <v>10</v>
      </c>
      <c r="E1953" s="12" t="s">
        <v>6598</v>
      </c>
      <c r="F1953" s="12" t="s">
        <v>315</v>
      </c>
      <c r="G1953" s="12" t="b">
        <v>0</v>
      </c>
      <c r="H1953" s="12" t="b">
        <v>0</v>
      </c>
      <c r="I1953" s="12" t="b">
        <v>0</v>
      </c>
    </row>
    <row r="1954" spans="1:9" x14ac:dyDescent="0.25">
      <c r="A1954" s="12">
        <v>1953</v>
      </c>
      <c r="B1954" s="12" t="s">
        <v>6599</v>
      </c>
      <c r="C1954" s="12" t="s">
        <v>6600</v>
      </c>
      <c r="D1954" s="12" t="s">
        <v>14</v>
      </c>
      <c r="E1954" s="12" t="s">
        <v>6601</v>
      </c>
      <c r="F1954" s="12" t="s">
        <v>732</v>
      </c>
      <c r="G1954" s="12" t="b">
        <v>0</v>
      </c>
      <c r="H1954" s="12" t="b">
        <v>0</v>
      </c>
      <c r="I1954" s="12" t="b">
        <v>0</v>
      </c>
    </row>
    <row r="1955" spans="1:9" x14ac:dyDescent="0.25">
      <c r="A1955" s="12">
        <v>1954</v>
      </c>
      <c r="B1955" s="12" t="s">
        <v>6602</v>
      </c>
      <c r="C1955" s="12" t="s">
        <v>6603</v>
      </c>
      <c r="D1955" s="12" t="s">
        <v>14</v>
      </c>
      <c r="E1955" s="12" t="s">
        <v>6604</v>
      </c>
      <c r="F1955" s="12" t="s">
        <v>537</v>
      </c>
      <c r="G1955" s="12" t="b">
        <v>0</v>
      </c>
      <c r="H1955" s="12" t="b">
        <v>0</v>
      </c>
      <c r="I1955" s="12" t="b">
        <v>0</v>
      </c>
    </row>
    <row r="1956" spans="1:9" x14ac:dyDescent="0.25">
      <c r="A1956" s="12">
        <v>1955</v>
      </c>
      <c r="B1956" s="12" t="s">
        <v>6605</v>
      </c>
      <c r="C1956" s="12" t="s">
        <v>6606</v>
      </c>
      <c r="D1956" s="12" t="s">
        <v>45</v>
      </c>
      <c r="E1956" s="12" t="s">
        <v>6607</v>
      </c>
      <c r="F1956" s="12" t="s">
        <v>681</v>
      </c>
      <c r="G1956" s="12" t="b">
        <v>0</v>
      </c>
      <c r="H1956" s="12" t="b">
        <v>0</v>
      </c>
      <c r="I1956" s="12" t="b">
        <v>0</v>
      </c>
    </row>
    <row r="1957" spans="1:9" x14ac:dyDescent="0.25">
      <c r="A1957" s="12">
        <v>1956</v>
      </c>
      <c r="B1957" s="12" t="s">
        <v>6608</v>
      </c>
      <c r="C1957" s="12" t="s">
        <v>6609</v>
      </c>
      <c r="D1957" s="12" t="s">
        <v>45</v>
      </c>
      <c r="E1957" s="12" t="s">
        <v>6610</v>
      </c>
      <c r="F1957" s="12" t="s">
        <v>6611</v>
      </c>
      <c r="G1957" s="12" t="b">
        <v>1</v>
      </c>
      <c r="H1957" s="12" t="b">
        <v>0</v>
      </c>
      <c r="I1957" s="12" t="b">
        <v>0</v>
      </c>
    </row>
    <row r="1958" spans="1:9" x14ac:dyDescent="0.25">
      <c r="A1958" s="12">
        <v>1957</v>
      </c>
      <c r="B1958" s="12" t="s">
        <v>6612</v>
      </c>
      <c r="C1958" s="12" t="s">
        <v>6613</v>
      </c>
      <c r="D1958" s="12" t="s">
        <v>10</v>
      </c>
      <c r="E1958" s="12" t="s">
        <v>6614</v>
      </c>
      <c r="F1958" s="12" t="s">
        <v>316</v>
      </c>
      <c r="G1958" s="12" t="b">
        <v>0</v>
      </c>
      <c r="H1958" s="12" t="b">
        <v>0</v>
      </c>
      <c r="I1958" s="12" t="b">
        <v>0</v>
      </c>
    </row>
    <row r="1959" spans="1:9" x14ac:dyDescent="0.25">
      <c r="A1959" s="12">
        <v>1958</v>
      </c>
      <c r="B1959" s="12" t="s">
        <v>6615</v>
      </c>
      <c r="C1959" s="12" t="s">
        <v>6616</v>
      </c>
      <c r="D1959" s="12" t="s">
        <v>14</v>
      </c>
      <c r="E1959" s="12" t="s">
        <v>6617</v>
      </c>
      <c r="F1959" s="12" t="s">
        <v>6618</v>
      </c>
      <c r="G1959" s="12" t="b">
        <v>0</v>
      </c>
      <c r="H1959" s="12" t="b">
        <v>0</v>
      </c>
      <c r="I1959" s="12" t="b">
        <v>0</v>
      </c>
    </row>
    <row r="1960" spans="1:9" x14ac:dyDescent="0.25">
      <c r="A1960" s="12">
        <v>1959</v>
      </c>
      <c r="B1960" s="12" t="s">
        <v>6619</v>
      </c>
      <c r="C1960" s="12" t="s">
        <v>6620</v>
      </c>
      <c r="D1960" s="12" t="s">
        <v>14</v>
      </c>
      <c r="E1960" s="12" t="s">
        <v>6621</v>
      </c>
      <c r="F1960" s="12" t="s">
        <v>681</v>
      </c>
      <c r="G1960" s="12" t="b">
        <v>0</v>
      </c>
      <c r="H1960" s="12" t="b">
        <v>0</v>
      </c>
      <c r="I1960" s="12" t="b">
        <v>0</v>
      </c>
    </row>
    <row r="1961" spans="1:9" x14ac:dyDescent="0.25">
      <c r="A1961" s="12">
        <v>1960</v>
      </c>
      <c r="B1961" s="12" t="s">
        <v>6622</v>
      </c>
      <c r="C1961" s="12" t="s">
        <v>6623</v>
      </c>
      <c r="D1961" s="12" t="s">
        <v>45</v>
      </c>
      <c r="E1961" s="12" t="s">
        <v>6624</v>
      </c>
      <c r="F1961" s="12" t="s">
        <v>6625</v>
      </c>
      <c r="G1961" s="12" t="b">
        <v>0</v>
      </c>
      <c r="H1961" s="12" t="b">
        <v>0</v>
      </c>
      <c r="I1961" s="12" t="b">
        <v>0</v>
      </c>
    </row>
    <row r="1962" spans="1:9" x14ac:dyDescent="0.25">
      <c r="A1962" s="12">
        <v>1961</v>
      </c>
      <c r="B1962" s="12" t="s">
        <v>6626</v>
      </c>
      <c r="C1962" s="12" t="s">
        <v>6627</v>
      </c>
      <c r="D1962" s="12" t="s">
        <v>10</v>
      </c>
      <c r="E1962" s="12" t="s">
        <v>6628</v>
      </c>
      <c r="F1962" s="12" t="s">
        <v>1072</v>
      </c>
      <c r="G1962" s="12" t="b">
        <v>0</v>
      </c>
      <c r="H1962" s="12" t="b">
        <v>0</v>
      </c>
      <c r="I1962" s="12" t="b">
        <v>0</v>
      </c>
    </row>
    <row r="1963" spans="1:9" x14ac:dyDescent="0.25">
      <c r="A1963" s="12">
        <v>1962</v>
      </c>
      <c r="B1963" s="12" t="s">
        <v>6629</v>
      </c>
      <c r="C1963" s="12" t="s">
        <v>6630</v>
      </c>
      <c r="D1963" s="12" t="s">
        <v>14</v>
      </c>
      <c r="E1963" s="12" t="s">
        <v>6631</v>
      </c>
      <c r="F1963" s="12" t="s">
        <v>1478</v>
      </c>
      <c r="G1963" s="12" t="b">
        <v>0</v>
      </c>
      <c r="H1963" s="12" t="b">
        <v>0</v>
      </c>
      <c r="I1963" s="12" t="b">
        <v>0</v>
      </c>
    </row>
    <row r="1964" spans="1:9" x14ac:dyDescent="0.25">
      <c r="A1964" s="12">
        <v>1963</v>
      </c>
      <c r="B1964" s="12" t="s">
        <v>6632</v>
      </c>
      <c r="C1964" s="12" t="s">
        <v>6633</v>
      </c>
      <c r="D1964" s="12" t="s">
        <v>14</v>
      </c>
      <c r="E1964" s="12" t="s">
        <v>6634</v>
      </c>
      <c r="F1964" s="12" t="s">
        <v>6635</v>
      </c>
      <c r="G1964" s="12" t="b">
        <v>0</v>
      </c>
      <c r="H1964" s="12" t="b">
        <v>0</v>
      </c>
      <c r="I1964" s="12" t="b">
        <v>0</v>
      </c>
    </row>
    <row r="1965" spans="1:9" x14ac:dyDescent="0.25">
      <c r="A1965" s="12">
        <v>1964</v>
      </c>
      <c r="B1965" s="12" t="s">
        <v>6636</v>
      </c>
      <c r="C1965" s="12" t="s">
        <v>6637</v>
      </c>
      <c r="D1965" s="12" t="s">
        <v>45</v>
      </c>
      <c r="E1965" s="12" t="s">
        <v>6638</v>
      </c>
      <c r="F1965" s="12" t="s">
        <v>6639</v>
      </c>
      <c r="G1965" s="12" t="b">
        <v>0</v>
      </c>
      <c r="H1965" s="12" t="b">
        <v>0</v>
      </c>
      <c r="I1965" s="12" t="b">
        <v>0</v>
      </c>
    </row>
    <row r="1966" spans="1:9" x14ac:dyDescent="0.25">
      <c r="A1966" s="12">
        <v>1965</v>
      </c>
      <c r="B1966" s="12" t="s">
        <v>6640</v>
      </c>
      <c r="C1966" s="12" t="s">
        <v>6641</v>
      </c>
      <c r="D1966" s="12" t="s">
        <v>10</v>
      </c>
      <c r="E1966" s="12" t="s">
        <v>6642</v>
      </c>
      <c r="F1966" s="12" t="s">
        <v>859</v>
      </c>
      <c r="G1966" s="12" t="b">
        <v>0</v>
      </c>
      <c r="H1966" s="12" t="b">
        <v>0</v>
      </c>
      <c r="I1966" s="12" t="b">
        <v>0</v>
      </c>
    </row>
    <row r="1967" spans="1:9" x14ac:dyDescent="0.25">
      <c r="A1967" s="12">
        <v>1966</v>
      </c>
      <c r="B1967" s="12" t="s">
        <v>6643</v>
      </c>
      <c r="C1967" s="12" t="s">
        <v>6644</v>
      </c>
      <c r="D1967" s="12" t="s">
        <v>14</v>
      </c>
      <c r="E1967" s="12" t="s">
        <v>6645</v>
      </c>
      <c r="F1967" s="12" t="s">
        <v>426</v>
      </c>
      <c r="G1967" s="12" t="b">
        <v>1</v>
      </c>
      <c r="H1967" s="12" t="b">
        <v>0</v>
      </c>
      <c r="I1967" s="12" t="b">
        <v>0</v>
      </c>
    </row>
    <row r="1968" spans="1:9" x14ac:dyDescent="0.25">
      <c r="A1968" s="12">
        <v>1967</v>
      </c>
      <c r="B1968" s="12" t="s">
        <v>6646</v>
      </c>
      <c r="C1968" s="12" t="s">
        <v>6647</v>
      </c>
      <c r="D1968" s="12" t="s">
        <v>10</v>
      </c>
      <c r="E1968" s="12" t="s">
        <v>6648</v>
      </c>
      <c r="F1968" s="12" t="s">
        <v>316</v>
      </c>
      <c r="G1968" s="12" t="b">
        <v>0</v>
      </c>
      <c r="H1968" s="12" t="b">
        <v>0</v>
      </c>
      <c r="I1968" s="12" t="b">
        <v>0</v>
      </c>
    </row>
    <row r="1969" spans="1:9" x14ac:dyDescent="0.25">
      <c r="A1969" s="12">
        <v>1968</v>
      </c>
      <c r="B1969" s="12" t="s">
        <v>6649</v>
      </c>
      <c r="C1969" s="12" t="s">
        <v>6650</v>
      </c>
      <c r="D1969" s="12" t="s">
        <v>14</v>
      </c>
      <c r="E1969" s="12" t="s">
        <v>6651</v>
      </c>
      <c r="F1969" s="12" t="s">
        <v>1181</v>
      </c>
      <c r="G1969" s="12" t="b">
        <v>0</v>
      </c>
      <c r="H1969" s="12" t="b">
        <v>0</v>
      </c>
      <c r="I1969" s="12" t="b">
        <v>0</v>
      </c>
    </row>
    <row r="1970" spans="1:9" x14ac:dyDescent="0.25">
      <c r="A1970" s="12">
        <v>1969</v>
      </c>
      <c r="B1970" s="12" t="s">
        <v>6652</v>
      </c>
      <c r="C1970" s="12" t="s">
        <v>6653</v>
      </c>
      <c r="D1970" s="12" t="s">
        <v>14</v>
      </c>
      <c r="E1970" s="12" t="s">
        <v>6654</v>
      </c>
      <c r="F1970" s="12" t="s">
        <v>6655</v>
      </c>
      <c r="G1970" s="12" t="b">
        <v>0</v>
      </c>
      <c r="H1970" s="12" t="b">
        <v>0</v>
      </c>
      <c r="I1970" s="12" t="b">
        <v>0</v>
      </c>
    </row>
    <row r="1971" spans="1:9" x14ac:dyDescent="0.25">
      <c r="A1971" s="12">
        <v>1970</v>
      </c>
      <c r="B1971" s="12" t="s">
        <v>6656</v>
      </c>
      <c r="C1971" s="12" t="s">
        <v>6657</v>
      </c>
      <c r="D1971" s="12" t="s">
        <v>45</v>
      </c>
      <c r="E1971" s="12" t="s">
        <v>6658</v>
      </c>
      <c r="F1971" s="12" t="s">
        <v>6659</v>
      </c>
      <c r="G1971" s="12" t="b">
        <v>0</v>
      </c>
      <c r="H1971" s="12" t="b">
        <v>0</v>
      </c>
      <c r="I1971" s="12" t="b">
        <v>0</v>
      </c>
    </row>
    <row r="1972" spans="1:9" x14ac:dyDescent="0.25">
      <c r="A1972" s="12">
        <v>1971</v>
      </c>
      <c r="B1972" s="12" t="s">
        <v>6660</v>
      </c>
      <c r="C1972" s="12" t="s">
        <v>6661</v>
      </c>
      <c r="D1972" s="12" t="s">
        <v>10</v>
      </c>
      <c r="E1972" s="12" t="s">
        <v>6662</v>
      </c>
      <c r="F1972" s="12" t="s">
        <v>1860</v>
      </c>
      <c r="G1972" s="12" t="b">
        <v>0</v>
      </c>
      <c r="H1972" s="12" t="b">
        <v>0</v>
      </c>
      <c r="I1972" s="12" t="b">
        <v>0</v>
      </c>
    </row>
    <row r="1973" spans="1:9" x14ac:dyDescent="0.25">
      <c r="A1973" s="12">
        <v>1972</v>
      </c>
      <c r="B1973" s="12" t="s">
        <v>6663</v>
      </c>
      <c r="C1973" s="12" t="s">
        <v>6664</v>
      </c>
      <c r="D1973" s="12" t="s">
        <v>45</v>
      </c>
      <c r="E1973" s="12" t="s">
        <v>6665</v>
      </c>
      <c r="F1973" s="12" t="s">
        <v>859</v>
      </c>
      <c r="G1973" s="12" t="b">
        <v>1</v>
      </c>
      <c r="H1973" s="12" t="b">
        <v>0</v>
      </c>
      <c r="I1973" s="12" t="b">
        <v>0</v>
      </c>
    </row>
    <row r="1974" spans="1:9" x14ac:dyDescent="0.25">
      <c r="A1974" s="12">
        <v>1973</v>
      </c>
      <c r="B1974" s="12" t="s">
        <v>6666</v>
      </c>
      <c r="C1974" s="12" t="s">
        <v>6667</v>
      </c>
      <c r="D1974" s="12" t="s">
        <v>14</v>
      </c>
      <c r="E1974" s="12" t="s">
        <v>6668</v>
      </c>
      <c r="F1974" s="12" t="s">
        <v>622</v>
      </c>
      <c r="G1974" s="12" t="b">
        <v>1</v>
      </c>
      <c r="H1974" s="12" t="b">
        <v>0</v>
      </c>
      <c r="I1974" s="12" t="b">
        <v>0</v>
      </c>
    </row>
    <row r="1975" spans="1:9" x14ac:dyDescent="0.25">
      <c r="A1975" s="12">
        <v>1974</v>
      </c>
      <c r="B1975" s="12" t="s">
        <v>6669</v>
      </c>
      <c r="C1975" s="12" t="s">
        <v>6670</v>
      </c>
      <c r="D1975" s="12" t="s">
        <v>10</v>
      </c>
      <c r="E1975" s="12" t="s">
        <v>6671</v>
      </c>
      <c r="F1975" s="12" t="s">
        <v>3455</v>
      </c>
      <c r="G1975" s="12" t="b">
        <v>0</v>
      </c>
      <c r="H1975" s="12" t="b">
        <v>0</v>
      </c>
      <c r="I1975" s="12" t="b">
        <v>0</v>
      </c>
    </row>
    <row r="1976" spans="1:9" x14ac:dyDescent="0.25">
      <c r="A1976" s="12">
        <v>1975</v>
      </c>
      <c r="B1976" s="12" t="s">
        <v>6672</v>
      </c>
      <c r="C1976" s="12" t="s">
        <v>6673</v>
      </c>
      <c r="D1976" s="12" t="s">
        <v>14</v>
      </c>
      <c r="E1976" s="12" t="s">
        <v>6674</v>
      </c>
      <c r="F1976" s="12" t="s">
        <v>2867</v>
      </c>
      <c r="G1976" s="12" t="b">
        <v>0</v>
      </c>
      <c r="H1976" s="12" t="b">
        <v>0</v>
      </c>
      <c r="I1976" s="12" t="b">
        <v>0</v>
      </c>
    </row>
    <row r="1977" spans="1:9" x14ac:dyDescent="0.25">
      <c r="A1977" s="12">
        <v>1976</v>
      </c>
      <c r="B1977" s="12" t="s">
        <v>6675</v>
      </c>
      <c r="C1977" s="12" t="s">
        <v>6676</v>
      </c>
      <c r="D1977" s="12" t="s">
        <v>14</v>
      </c>
      <c r="E1977" s="12" t="s">
        <v>6677</v>
      </c>
      <c r="F1977" s="12" t="s">
        <v>6678</v>
      </c>
      <c r="G1977" s="12" t="b">
        <v>0</v>
      </c>
      <c r="H1977" s="12" t="b">
        <v>0</v>
      </c>
      <c r="I1977" s="12" t="b">
        <v>0</v>
      </c>
    </row>
    <row r="1978" spans="1:9" x14ac:dyDescent="0.25">
      <c r="A1978" s="12">
        <v>1977</v>
      </c>
      <c r="B1978" s="12" t="s">
        <v>6679</v>
      </c>
      <c r="C1978" s="12" t="s">
        <v>6680</v>
      </c>
      <c r="D1978" s="12" t="s">
        <v>45</v>
      </c>
      <c r="E1978" s="12" t="s">
        <v>6681</v>
      </c>
      <c r="F1978" s="12" t="s">
        <v>6682</v>
      </c>
      <c r="G1978" s="12" t="b">
        <v>0</v>
      </c>
      <c r="H1978" s="12" t="b">
        <v>0</v>
      </c>
      <c r="I1978" s="12" t="b">
        <v>0</v>
      </c>
    </row>
    <row r="1979" spans="1:9" x14ac:dyDescent="0.25">
      <c r="A1979" s="12">
        <v>1978</v>
      </c>
      <c r="B1979" s="12" t="s">
        <v>6683</v>
      </c>
      <c r="C1979" s="12" t="s">
        <v>6684</v>
      </c>
      <c r="D1979" s="12" t="s">
        <v>10</v>
      </c>
      <c r="E1979" s="12" t="s">
        <v>6685</v>
      </c>
      <c r="F1979" s="12" t="s">
        <v>859</v>
      </c>
      <c r="G1979" s="12" t="b">
        <v>1</v>
      </c>
      <c r="H1979" s="12" t="b">
        <v>0</v>
      </c>
      <c r="I1979" s="12" t="b">
        <v>0</v>
      </c>
    </row>
    <row r="1980" spans="1:9" x14ac:dyDescent="0.25">
      <c r="A1980" s="12">
        <v>1979</v>
      </c>
      <c r="B1980" s="12" t="s">
        <v>6686</v>
      </c>
      <c r="C1980" s="12" t="s">
        <v>6687</v>
      </c>
      <c r="D1980" s="12" t="s">
        <v>10</v>
      </c>
      <c r="E1980" s="12" t="s">
        <v>6688</v>
      </c>
      <c r="F1980" s="12" t="s">
        <v>4317</v>
      </c>
      <c r="G1980" s="12" t="b">
        <v>0</v>
      </c>
      <c r="H1980" s="12" t="b">
        <v>0</v>
      </c>
      <c r="I1980" s="12" t="b">
        <v>0</v>
      </c>
    </row>
    <row r="1981" spans="1:9" x14ac:dyDescent="0.25">
      <c r="A1981" s="12">
        <v>1980</v>
      </c>
      <c r="B1981" s="12" t="s">
        <v>6689</v>
      </c>
      <c r="C1981" s="12" t="s">
        <v>6690</v>
      </c>
      <c r="D1981" s="12" t="s">
        <v>14</v>
      </c>
      <c r="E1981" s="12" t="s">
        <v>6691</v>
      </c>
      <c r="F1981" s="12" t="s">
        <v>6692</v>
      </c>
      <c r="G1981" s="12" t="b">
        <v>0</v>
      </c>
      <c r="H1981" s="12" t="b">
        <v>0</v>
      </c>
      <c r="I1981" s="12" t="b">
        <v>0</v>
      </c>
    </row>
    <row r="1982" spans="1:9" x14ac:dyDescent="0.25">
      <c r="A1982" s="12">
        <v>1981</v>
      </c>
      <c r="B1982" s="12" t="s">
        <v>6693</v>
      </c>
      <c r="C1982" s="12" t="s">
        <v>6694</v>
      </c>
      <c r="D1982" s="12" t="s">
        <v>14</v>
      </c>
      <c r="E1982" s="12" t="s">
        <v>6695</v>
      </c>
      <c r="F1982" s="12" t="s">
        <v>515</v>
      </c>
      <c r="G1982" s="12" t="b">
        <v>0</v>
      </c>
      <c r="H1982" s="12" t="b">
        <v>0</v>
      </c>
      <c r="I1982" s="12" t="b">
        <v>0</v>
      </c>
    </row>
    <row r="1983" spans="1:9" x14ac:dyDescent="0.25">
      <c r="A1983" s="12">
        <v>1982</v>
      </c>
      <c r="B1983" s="12" t="s">
        <v>6696</v>
      </c>
      <c r="C1983" s="12" t="s">
        <v>6697</v>
      </c>
      <c r="D1983" s="12" t="s">
        <v>45</v>
      </c>
      <c r="E1983" s="12" t="s">
        <v>6698</v>
      </c>
      <c r="F1983" s="12" t="s">
        <v>6699</v>
      </c>
      <c r="G1983" s="12" t="b">
        <v>0</v>
      </c>
      <c r="H1983" s="12" t="b">
        <v>0</v>
      </c>
      <c r="I1983" s="12" t="b">
        <v>0</v>
      </c>
    </row>
    <row r="1984" spans="1:9" x14ac:dyDescent="0.25">
      <c r="A1984" s="12">
        <v>1983</v>
      </c>
      <c r="B1984" s="12" t="s">
        <v>6700</v>
      </c>
      <c r="C1984" s="12" t="s">
        <v>6701</v>
      </c>
      <c r="D1984" s="12" t="s">
        <v>14</v>
      </c>
      <c r="E1984" s="12" t="s">
        <v>6702</v>
      </c>
      <c r="F1984" s="12" t="s">
        <v>1976</v>
      </c>
      <c r="G1984" s="12" t="b">
        <v>1</v>
      </c>
      <c r="H1984" s="12" t="b">
        <v>0</v>
      </c>
      <c r="I1984" s="12" t="b">
        <v>0</v>
      </c>
    </row>
    <row r="1985" spans="1:9" x14ac:dyDescent="0.25">
      <c r="A1985" s="12">
        <v>1984</v>
      </c>
      <c r="B1985" s="12" t="s">
        <v>6703</v>
      </c>
      <c r="C1985" s="12" t="s">
        <v>6704</v>
      </c>
      <c r="D1985" s="12" t="s">
        <v>10</v>
      </c>
      <c r="E1985" s="12" t="s">
        <v>6705</v>
      </c>
      <c r="F1985" s="12" t="s">
        <v>6706</v>
      </c>
      <c r="G1985" s="12" t="b">
        <v>0</v>
      </c>
      <c r="H1985" s="12" t="b">
        <v>0</v>
      </c>
      <c r="I1985" s="12" t="b">
        <v>0</v>
      </c>
    </row>
    <row r="1986" spans="1:9" x14ac:dyDescent="0.25">
      <c r="A1986" s="12">
        <v>1985</v>
      </c>
      <c r="B1986" s="12" t="s">
        <v>6707</v>
      </c>
      <c r="C1986" s="12" t="s">
        <v>6708</v>
      </c>
      <c r="D1986" s="12" t="s">
        <v>14</v>
      </c>
      <c r="E1986" s="12" t="s">
        <v>6709</v>
      </c>
      <c r="F1986" s="12" t="s">
        <v>6710</v>
      </c>
      <c r="G1986" s="12" t="b">
        <v>0</v>
      </c>
      <c r="H1986" s="12" t="b">
        <v>0</v>
      </c>
      <c r="I1986" s="12" t="b">
        <v>0</v>
      </c>
    </row>
    <row r="1987" spans="1:9" x14ac:dyDescent="0.25">
      <c r="A1987" s="12">
        <v>1986</v>
      </c>
      <c r="B1987" s="12" t="s">
        <v>6711</v>
      </c>
      <c r="C1987" s="12" t="s">
        <v>6712</v>
      </c>
      <c r="D1987" s="12" t="s">
        <v>14</v>
      </c>
      <c r="E1987" s="12" t="s">
        <v>6713</v>
      </c>
      <c r="F1987" s="12" t="s">
        <v>1780</v>
      </c>
      <c r="G1987" s="12" t="b">
        <v>0</v>
      </c>
      <c r="H1987" s="12" t="b">
        <v>0</v>
      </c>
      <c r="I1987" s="12" t="b">
        <v>0</v>
      </c>
    </row>
    <row r="1988" spans="1:9" x14ac:dyDescent="0.25">
      <c r="A1988" s="12">
        <v>1987</v>
      </c>
      <c r="B1988" s="12" t="s">
        <v>6714</v>
      </c>
      <c r="C1988" s="12" t="s">
        <v>6715</v>
      </c>
      <c r="D1988" s="12" t="s">
        <v>45</v>
      </c>
      <c r="E1988" s="12" t="s">
        <v>6716</v>
      </c>
      <c r="F1988" s="12" t="s">
        <v>340</v>
      </c>
      <c r="G1988" s="12" t="b">
        <v>0</v>
      </c>
      <c r="H1988" s="12" t="b">
        <v>0</v>
      </c>
      <c r="I1988" s="12" t="b">
        <v>0</v>
      </c>
    </row>
    <row r="1989" spans="1:9" x14ac:dyDescent="0.25">
      <c r="A1989" s="12">
        <v>1988</v>
      </c>
      <c r="B1989" s="12" t="s">
        <v>6717</v>
      </c>
      <c r="C1989" s="12" t="s">
        <v>6718</v>
      </c>
      <c r="D1989" s="12" t="s">
        <v>14</v>
      </c>
      <c r="E1989" s="12" t="s">
        <v>6719</v>
      </c>
      <c r="F1989" s="12" t="s">
        <v>859</v>
      </c>
      <c r="G1989" s="12" t="b">
        <v>1</v>
      </c>
      <c r="H1989" s="12" t="b">
        <v>0</v>
      </c>
      <c r="I1989" s="12" t="b">
        <v>0</v>
      </c>
    </row>
    <row r="1990" spans="1:9" x14ac:dyDescent="0.25">
      <c r="A1990" s="12">
        <v>1989</v>
      </c>
      <c r="B1990" s="12" t="s">
        <v>6720</v>
      </c>
      <c r="C1990" s="12" t="s">
        <v>6721</v>
      </c>
      <c r="D1990" s="12" t="s">
        <v>14</v>
      </c>
      <c r="E1990" s="12" t="s">
        <v>6722</v>
      </c>
      <c r="F1990" s="12" t="s">
        <v>732</v>
      </c>
      <c r="G1990" s="12" t="b">
        <v>1</v>
      </c>
      <c r="H1990" s="12" t="b">
        <v>0</v>
      </c>
      <c r="I1990" s="12" t="b">
        <v>0</v>
      </c>
    </row>
    <row r="1991" spans="1:9" x14ac:dyDescent="0.25">
      <c r="A1991" s="12">
        <v>1990</v>
      </c>
      <c r="B1991" s="12" t="s">
        <v>6723</v>
      </c>
      <c r="C1991" s="12" t="s">
        <v>6724</v>
      </c>
      <c r="D1991" s="12" t="s">
        <v>14</v>
      </c>
      <c r="E1991" s="12" t="s">
        <v>6725</v>
      </c>
      <c r="F1991" s="12" t="s">
        <v>859</v>
      </c>
      <c r="G1991" s="12" t="b">
        <v>1</v>
      </c>
      <c r="H1991" s="12" t="b">
        <v>0</v>
      </c>
      <c r="I1991" s="12" t="b">
        <v>0</v>
      </c>
    </row>
    <row r="1992" spans="1:9" x14ac:dyDescent="0.25">
      <c r="A1992" s="12">
        <v>1991</v>
      </c>
      <c r="B1992" s="12" t="s">
        <v>6726</v>
      </c>
      <c r="C1992" s="12" t="s">
        <v>6727</v>
      </c>
      <c r="D1992" s="12" t="s">
        <v>10</v>
      </c>
      <c r="E1992" s="12" t="s">
        <v>6728</v>
      </c>
      <c r="F1992" s="12" t="s">
        <v>1055</v>
      </c>
      <c r="G1992" s="12" t="b">
        <v>0</v>
      </c>
      <c r="H1992" s="12" t="b">
        <v>0</v>
      </c>
      <c r="I1992" s="12" t="b">
        <v>0</v>
      </c>
    </row>
    <row r="1993" spans="1:9" x14ac:dyDescent="0.25">
      <c r="A1993" s="12">
        <v>1992</v>
      </c>
      <c r="B1993" s="12" t="s">
        <v>6729</v>
      </c>
      <c r="C1993" s="12" t="s">
        <v>6730</v>
      </c>
      <c r="D1993" s="12" t="s">
        <v>14</v>
      </c>
      <c r="E1993" s="12" t="s">
        <v>6731</v>
      </c>
      <c r="F1993" s="12" t="s">
        <v>1628</v>
      </c>
      <c r="G1993" s="12" t="b">
        <v>0</v>
      </c>
      <c r="H1993" s="12" t="b">
        <v>0</v>
      </c>
      <c r="I1993" s="12" t="b">
        <v>0</v>
      </c>
    </row>
    <row r="1994" spans="1:9" x14ac:dyDescent="0.25">
      <c r="A1994" s="12">
        <v>1993</v>
      </c>
      <c r="B1994" s="12" t="s">
        <v>6732</v>
      </c>
      <c r="C1994" s="12" t="s">
        <v>6733</v>
      </c>
      <c r="D1994" s="12" t="s">
        <v>14</v>
      </c>
      <c r="E1994" s="12" t="s">
        <v>6734</v>
      </c>
      <c r="F1994" s="12" t="s">
        <v>6735</v>
      </c>
      <c r="G1994" s="12" t="b">
        <v>0</v>
      </c>
      <c r="H1994" s="12" t="b">
        <v>0</v>
      </c>
      <c r="I1994" s="12" t="b">
        <v>0</v>
      </c>
    </row>
    <row r="1995" spans="1:9" x14ac:dyDescent="0.25">
      <c r="A1995" s="12">
        <v>1994</v>
      </c>
      <c r="B1995" s="12" t="s">
        <v>6736</v>
      </c>
      <c r="C1995" s="12" t="s">
        <v>6737</v>
      </c>
      <c r="D1995" s="12" t="s">
        <v>45</v>
      </c>
      <c r="E1995" s="12" t="s">
        <v>6738</v>
      </c>
      <c r="F1995" s="12" t="s">
        <v>2860</v>
      </c>
      <c r="G1995" s="12" t="b">
        <v>0</v>
      </c>
      <c r="H1995" s="12" t="b">
        <v>0</v>
      </c>
      <c r="I1995" s="12" t="b">
        <v>0</v>
      </c>
    </row>
    <row r="1996" spans="1:9" x14ac:dyDescent="0.25">
      <c r="A1996" s="12">
        <v>1995</v>
      </c>
      <c r="B1996" s="12" t="s">
        <v>6739</v>
      </c>
      <c r="C1996" s="12" t="s">
        <v>6740</v>
      </c>
      <c r="D1996" s="12" t="s">
        <v>10</v>
      </c>
      <c r="E1996" s="12" t="s">
        <v>6741</v>
      </c>
      <c r="F1996" s="12" t="s">
        <v>5243</v>
      </c>
      <c r="G1996" s="12" t="b">
        <v>0</v>
      </c>
      <c r="H1996" s="12" t="b">
        <v>0</v>
      </c>
      <c r="I1996" s="12" t="b">
        <v>0</v>
      </c>
    </row>
    <row r="1997" spans="1:9" x14ac:dyDescent="0.25">
      <c r="A1997" s="12">
        <v>1996</v>
      </c>
      <c r="B1997" s="12" t="s">
        <v>6742</v>
      </c>
      <c r="C1997" s="12" t="s">
        <v>6743</v>
      </c>
      <c r="D1997" s="12" t="s">
        <v>14</v>
      </c>
      <c r="E1997" s="12" t="s">
        <v>6744</v>
      </c>
      <c r="F1997" s="12" t="s">
        <v>2739</v>
      </c>
      <c r="G1997" s="12" t="b">
        <v>0</v>
      </c>
      <c r="H1997" s="12" t="b">
        <v>0</v>
      </c>
      <c r="I1997" s="12" t="b">
        <v>0</v>
      </c>
    </row>
    <row r="1998" spans="1:9" x14ac:dyDescent="0.25">
      <c r="A1998" s="12">
        <v>1997</v>
      </c>
      <c r="B1998" s="12" t="s">
        <v>6745</v>
      </c>
      <c r="C1998" s="12" t="s">
        <v>6746</v>
      </c>
      <c r="D1998" s="12" t="s">
        <v>14</v>
      </c>
      <c r="E1998" s="12" t="s">
        <v>6747</v>
      </c>
      <c r="F1998" s="12" t="s">
        <v>681</v>
      </c>
      <c r="G1998" s="12" t="b">
        <v>0</v>
      </c>
      <c r="H1998" s="12" t="b">
        <v>0</v>
      </c>
      <c r="I1998" s="12" t="b">
        <v>0</v>
      </c>
    </row>
    <row r="1999" spans="1:9" x14ac:dyDescent="0.25">
      <c r="A1999" s="12">
        <v>1998</v>
      </c>
      <c r="B1999" s="12" t="s">
        <v>6748</v>
      </c>
      <c r="C1999" s="12" t="s">
        <v>6749</v>
      </c>
      <c r="D1999" s="12" t="s">
        <v>45</v>
      </c>
      <c r="E1999" s="12" t="s">
        <v>6750</v>
      </c>
      <c r="F1999" s="12" t="s">
        <v>6751</v>
      </c>
      <c r="G1999" s="12" t="b">
        <v>0</v>
      </c>
      <c r="H1999" s="12" t="b">
        <v>0</v>
      </c>
      <c r="I1999" s="12" t="b">
        <v>0</v>
      </c>
    </row>
    <row r="2000" spans="1:9" x14ac:dyDescent="0.25">
      <c r="A2000" s="12">
        <v>1999</v>
      </c>
      <c r="B2000" s="12" t="s">
        <v>6752</v>
      </c>
      <c r="C2000" s="12" t="s">
        <v>6753</v>
      </c>
      <c r="D2000" s="12" t="s">
        <v>14</v>
      </c>
      <c r="E2000" s="12" t="s">
        <v>6754</v>
      </c>
      <c r="F2000" s="12" t="s">
        <v>2939</v>
      </c>
      <c r="G2000" s="12" t="b">
        <v>1</v>
      </c>
      <c r="H2000" s="12" t="b">
        <v>0</v>
      </c>
      <c r="I2000" s="12" t="b">
        <v>0</v>
      </c>
    </row>
    <row r="2001" spans="1:9" x14ac:dyDescent="0.25">
      <c r="A2001" s="12">
        <v>2000</v>
      </c>
      <c r="B2001" s="12" t="s">
        <v>6755</v>
      </c>
      <c r="C2001" s="12" t="s">
        <v>6756</v>
      </c>
      <c r="D2001" s="12" t="s">
        <v>10</v>
      </c>
      <c r="E2001" s="12" t="s">
        <v>6757</v>
      </c>
      <c r="F2001" s="12" t="s">
        <v>702</v>
      </c>
      <c r="G2001" s="12" t="b">
        <v>0</v>
      </c>
      <c r="H2001" s="12" t="b">
        <v>0</v>
      </c>
      <c r="I2001" s="12" t="b">
        <v>0</v>
      </c>
    </row>
    <row r="2002" spans="1:9" x14ac:dyDescent="0.25">
      <c r="A2002" s="12">
        <v>2001</v>
      </c>
      <c r="B2002" s="12" t="s">
        <v>6758</v>
      </c>
      <c r="C2002" s="12" t="s">
        <v>6759</v>
      </c>
      <c r="D2002" s="12" t="s">
        <v>14</v>
      </c>
      <c r="E2002" s="12" t="s">
        <v>6760</v>
      </c>
      <c r="F2002" s="12" t="s">
        <v>3226</v>
      </c>
      <c r="G2002" s="12" t="b">
        <v>0</v>
      </c>
      <c r="H2002" s="12" t="b">
        <v>0</v>
      </c>
      <c r="I2002" s="12" t="b">
        <v>0</v>
      </c>
    </row>
    <row r="2003" spans="1:9" x14ac:dyDescent="0.25">
      <c r="A2003" s="12">
        <v>2002</v>
      </c>
      <c r="B2003" s="12" t="s">
        <v>6761</v>
      </c>
      <c r="C2003" s="12" t="s">
        <v>6762</v>
      </c>
      <c r="D2003" s="12" t="s">
        <v>14</v>
      </c>
      <c r="E2003" s="12" t="s">
        <v>6763</v>
      </c>
      <c r="F2003" s="12" t="s">
        <v>6764</v>
      </c>
      <c r="G2003" s="12" t="b">
        <v>0</v>
      </c>
      <c r="H2003" s="12" t="b">
        <v>0</v>
      </c>
      <c r="I2003" s="12" t="b">
        <v>0</v>
      </c>
    </row>
    <row r="2004" spans="1:9" x14ac:dyDescent="0.25">
      <c r="A2004" s="12">
        <v>2003</v>
      </c>
      <c r="B2004" s="12" t="s">
        <v>6765</v>
      </c>
      <c r="C2004" s="12" t="s">
        <v>6766</v>
      </c>
      <c r="D2004" s="12" t="s">
        <v>45</v>
      </c>
      <c r="E2004" s="12" t="s">
        <v>6767</v>
      </c>
      <c r="F2004" s="12" t="s">
        <v>6768</v>
      </c>
      <c r="G2004" s="12" t="b">
        <v>0</v>
      </c>
      <c r="H2004" s="12" t="b">
        <v>0</v>
      </c>
      <c r="I2004" s="12" t="b">
        <v>0</v>
      </c>
    </row>
    <row r="2005" spans="1:9" x14ac:dyDescent="0.25">
      <c r="A2005" s="12">
        <v>2004</v>
      </c>
      <c r="B2005" s="12" t="s">
        <v>6769</v>
      </c>
      <c r="C2005" s="12" t="s">
        <v>6770</v>
      </c>
      <c r="D2005" s="12" t="s">
        <v>45</v>
      </c>
      <c r="E2005" s="12" t="s">
        <v>6771</v>
      </c>
      <c r="F2005" s="12" t="s">
        <v>859</v>
      </c>
      <c r="G2005" s="12" t="b">
        <v>1</v>
      </c>
      <c r="H2005" s="12" t="b">
        <v>0</v>
      </c>
      <c r="I2005" s="12" t="b">
        <v>0</v>
      </c>
    </row>
    <row r="2006" spans="1:9" x14ac:dyDescent="0.25">
      <c r="A2006" s="12">
        <v>2005</v>
      </c>
      <c r="B2006" s="12" t="s">
        <v>6772</v>
      </c>
      <c r="C2006" s="12" t="s">
        <v>6773</v>
      </c>
      <c r="D2006" s="12" t="s">
        <v>45</v>
      </c>
      <c r="E2006" s="12" t="s">
        <v>6774</v>
      </c>
      <c r="F2006" s="12" t="s">
        <v>6775</v>
      </c>
      <c r="G2006" s="12" t="b">
        <v>1</v>
      </c>
      <c r="H2006" s="12" t="b">
        <v>0</v>
      </c>
      <c r="I2006" s="12" t="b">
        <v>0</v>
      </c>
    </row>
    <row r="2007" spans="1:9" x14ac:dyDescent="0.25">
      <c r="A2007" s="12">
        <v>2006</v>
      </c>
      <c r="B2007" s="12" t="s">
        <v>6776</v>
      </c>
      <c r="C2007" s="12" t="s">
        <v>6777</v>
      </c>
      <c r="D2007" s="12" t="s">
        <v>10</v>
      </c>
      <c r="E2007" s="12" t="s">
        <v>6778</v>
      </c>
      <c r="F2007" s="12" t="s">
        <v>3539</v>
      </c>
      <c r="G2007" s="12" t="b">
        <v>0</v>
      </c>
      <c r="H2007" s="12" t="b">
        <v>0</v>
      </c>
      <c r="I2007" s="12" t="b">
        <v>0</v>
      </c>
    </row>
    <row r="2008" spans="1:9" x14ac:dyDescent="0.25">
      <c r="A2008" s="12">
        <v>2007</v>
      </c>
      <c r="B2008" s="12" t="s">
        <v>6779</v>
      </c>
      <c r="C2008" s="12" t="s">
        <v>6780</v>
      </c>
      <c r="D2008" s="12" t="s">
        <v>14</v>
      </c>
      <c r="E2008" s="12" t="s">
        <v>6781</v>
      </c>
      <c r="F2008" s="12" t="s">
        <v>2996</v>
      </c>
      <c r="G2008" s="12" t="b">
        <v>0</v>
      </c>
      <c r="H2008" s="12" t="b">
        <v>0</v>
      </c>
      <c r="I2008" s="12" t="b">
        <v>0</v>
      </c>
    </row>
    <row r="2009" spans="1:9" x14ac:dyDescent="0.25">
      <c r="A2009" s="12">
        <v>2008</v>
      </c>
      <c r="B2009" s="12" t="s">
        <v>6782</v>
      </c>
      <c r="C2009" s="12" t="s">
        <v>6783</v>
      </c>
      <c r="D2009" s="12" t="s">
        <v>14</v>
      </c>
      <c r="E2009" s="12" t="s">
        <v>6784</v>
      </c>
      <c r="F2009" s="12" t="s">
        <v>1417</v>
      </c>
      <c r="G2009" s="12" t="b">
        <v>0</v>
      </c>
      <c r="H2009" s="12" t="b">
        <v>0</v>
      </c>
      <c r="I2009" s="12" t="b">
        <v>0</v>
      </c>
    </row>
    <row r="2010" spans="1:9" x14ac:dyDescent="0.25">
      <c r="A2010" s="12">
        <v>2009</v>
      </c>
      <c r="B2010" s="12" t="s">
        <v>6785</v>
      </c>
      <c r="C2010" s="12" t="s">
        <v>6786</v>
      </c>
      <c r="D2010" s="12" t="s">
        <v>45</v>
      </c>
      <c r="E2010" s="12" t="s">
        <v>6787</v>
      </c>
      <c r="F2010" s="12" t="s">
        <v>426</v>
      </c>
      <c r="G2010" s="12" t="b">
        <v>0</v>
      </c>
      <c r="H2010" s="12" t="b">
        <v>0</v>
      </c>
      <c r="I2010" s="12" t="b">
        <v>0</v>
      </c>
    </row>
    <row r="2011" spans="1:9" x14ac:dyDescent="0.25">
      <c r="A2011" s="12">
        <v>2010</v>
      </c>
      <c r="B2011" s="12" t="s">
        <v>6788</v>
      </c>
      <c r="C2011" s="12" t="s">
        <v>6789</v>
      </c>
      <c r="D2011" s="12" t="s">
        <v>45</v>
      </c>
      <c r="E2011" s="12" t="s">
        <v>6790</v>
      </c>
      <c r="F2011" s="12" t="s">
        <v>859</v>
      </c>
      <c r="G2011" s="12" t="b">
        <v>1</v>
      </c>
      <c r="H2011" s="12" t="b">
        <v>0</v>
      </c>
      <c r="I2011" s="12" t="b">
        <v>0</v>
      </c>
    </row>
    <row r="2012" spans="1:9" x14ac:dyDescent="0.25">
      <c r="A2012" s="12">
        <v>2011</v>
      </c>
      <c r="B2012" s="12" t="s">
        <v>6791</v>
      </c>
      <c r="C2012" s="12" t="s">
        <v>6792</v>
      </c>
      <c r="D2012" s="12" t="s">
        <v>10</v>
      </c>
      <c r="E2012" s="12" t="s">
        <v>6793</v>
      </c>
      <c r="F2012" s="12" t="s">
        <v>533</v>
      </c>
      <c r="G2012" s="12" t="b">
        <v>0</v>
      </c>
      <c r="H2012" s="12" t="b">
        <v>0</v>
      </c>
      <c r="I2012" s="12" t="b">
        <v>0</v>
      </c>
    </row>
    <row r="2013" spans="1:9" x14ac:dyDescent="0.25">
      <c r="A2013" s="12">
        <v>2012</v>
      </c>
      <c r="B2013" s="12" t="s">
        <v>6794</v>
      </c>
      <c r="C2013" s="12" t="s">
        <v>6795</v>
      </c>
      <c r="D2013" s="12" t="s">
        <v>14</v>
      </c>
      <c r="E2013" s="12" t="s">
        <v>6796</v>
      </c>
      <c r="F2013" s="12" t="s">
        <v>317</v>
      </c>
      <c r="G2013" s="12" t="b">
        <v>0</v>
      </c>
      <c r="H2013" s="12" t="b">
        <v>0</v>
      </c>
      <c r="I2013" s="12" t="b">
        <v>0</v>
      </c>
    </row>
    <row r="2014" spans="1:9" x14ac:dyDescent="0.25">
      <c r="A2014" s="12">
        <v>2013</v>
      </c>
      <c r="B2014" s="12" t="s">
        <v>6797</v>
      </c>
      <c r="C2014" s="12" t="s">
        <v>6798</v>
      </c>
      <c r="D2014" s="12" t="s">
        <v>14</v>
      </c>
      <c r="E2014" s="12" t="s">
        <v>6799</v>
      </c>
      <c r="F2014" s="12" t="s">
        <v>6800</v>
      </c>
      <c r="G2014" s="12" t="b">
        <v>0</v>
      </c>
      <c r="H2014" s="12" t="b">
        <v>0</v>
      </c>
      <c r="I2014" s="12" t="b">
        <v>0</v>
      </c>
    </row>
    <row r="2015" spans="1:9" x14ac:dyDescent="0.25">
      <c r="A2015" s="12">
        <v>2014</v>
      </c>
      <c r="B2015" s="12" t="s">
        <v>6801</v>
      </c>
      <c r="C2015" s="12" t="s">
        <v>6802</v>
      </c>
      <c r="D2015" s="12" t="s">
        <v>45</v>
      </c>
      <c r="E2015" s="12" t="s">
        <v>6803</v>
      </c>
      <c r="F2015" s="12" t="s">
        <v>6804</v>
      </c>
      <c r="G2015" s="12" t="b">
        <v>0</v>
      </c>
      <c r="H2015" s="12" t="b">
        <v>0</v>
      </c>
      <c r="I2015" s="12" t="b">
        <v>0</v>
      </c>
    </row>
    <row r="2016" spans="1:9" x14ac:dyDescent="0.25">
      <c r="A2016" s="12">
        <v>2015</v>
      </c>
      <c r="B2016" s="12" t="s">
        <v>6805</v>
      </c>
      <c r="C2016" s="12" t="s">
        <v>6806</v>
      </c>
      <c r="D2016" s="12" t="s">
        <v>14</v>
      </c>
      <c r="E2016" s="12" t="s">
        <v>6807</v>
      </c>
      <c r="F2016" s="12" t="s">
        <v>1901</v>
      </c>
      <c r="G2016" s="12" t="b">
        <v>1</v>
      </c>
      <c r="H2016" s="12" t="b">
        <v>0</v>
      </c>
      <c r="I2016" s="12" t="b">
        <v>0</v>
      </c>
    </row>
    <row r="2017" spans="1:9" x14ac:dyDescent="0.25">
      <c r="A2017" s="12">
        <v>2016</v>
      </c>
      <c r="B2017" s="12" t="s">
        <v>6808</v>
      </c>
      <c r="C2017" s="12" t="s">
        <v>6809</v>
      </c>
      <c r="D2017" s="12" t="s">
        <v>10</v>
      </c>
      <c r="E2017" s="12" t="s">
        <v>6810</v>
      </c>
      <c r="F2017" s="12" t="s">
        <v>317</v>
      </c>
      <c r="G2017" s="12" t="b">
        <v>0</v>
      </c>
      <c r="H2017" s="12" t="b">
        <v>0</v>
      </c>
      <c r="I2017" s="12" t="b">
        <v>0</v>
      </c>
    </row>
    <row r="2018" spans="1:9" x14ac:dyDescent="0.25">
      <c r="A2018" s="12">
        <v>2017</v>
      </c>
      <c r="B2018" s="12" t="s">
        <v>6811</v>
      </c>
      <c r="C2018" s="12" t="s">
        <v>6812</v>
      </c>
      <c r="D2018" s="12" t="s">
        <v>14</v>
      </c>
      <c r="E2018" s="12" t="s">
        <v>6813</v>
      </c>
      <c r="F2018" s="12" t="s">
        <v>4528</v>
      </c>
      <c r="G2018" s="12" t="b">
        <v>0</v>
      </c>
      <c r="H2018" s="12" t="b">
        <v>0</v>
      </c>
      <c r="I2018" s="12" t="b">
        <v>0</v>
      </c>
    </row>
    <row r="2019" spans="1:9" x14ac:dyDescent="0.25">
      <c r="A2019" s="12">
        <v>2018</v>
      </c>
      <c r="B2019" s="12" t="s">
        <v>6814</v>
      </c>
      <c r="C2019" s="12" t="s">
        <v>6815</v>
      </c>
      <c r="D2019" s="12" t="s">
        <v>14</v>
      </c>
      <c r="E2019" s="12" t="s">
        <v>6816</v>
      </c>
      <c r="F2019" s="12" t="s">
        <v>6618</v>
      </c>
      <c r="G2019" s="12" t="b">
        <v>0</v>
      </c>
      <c r="H2019" s="12" t="b">
        <v>0</v>
      </c>
      <c r="I2019" s="12" t="b">
        <v>0</v>
      </c>
    </row>
    <row r="2020" spans="1:9" x14ac:dyDescent="0.25">
      <c r="A2020" s="12">
        <v>2019</v>
      </c>
      <c r="B2020" s="12" t="s">
        <v>6817</v>
      </c>
      <c r="C2020" s="12" t="s">
        <v>6818</v>
      </c>
      <c r="D2020" s="12" t="s">
        <v>45</v>
      </c>
      <c r="E2020" s="12" t="s">
        <v>2445</v>
      </c>
      <c r="F2020" s="12" t="s">
        <v>6819</v>
      </c>
      <c r="G2020" s="12" t="b">
        <v>0</v>
      </c>
      <c r="H2020" s="12" t="b">
        <v>0</v>
      </c>
      <c r="I2020" s="12" t="b">
        <v>0</v>
      </c>
    </row>
    <row r="2021" spans="1:9" x14ac:dyDescent="0.25">
      <c r="A2021" s="12">
        <v>2020</v>
      </c>
      <c r="B2021" s="12" t="s">
        <v>6820</v>
      </c>
      <c r="C2021" s="12" t="s">
        <v>6821</v>
      </c>
      <c r="D2021" s="12" t="s">
        <v>14</v>
      </c>
      <c r="E2021" s="12" t="s">
        <v>6822</v>
      </c>
      <c r="F2021" s="12" t="s">
        <v>859</v>
      </c>
      <c r="G2021" s="12" t="b">
        <v>1</v>
      </c>
      <c r="H2021" s="12" t="b">
        <v>0</v>
      </c>
      <c r="I2021" s="12" t="b">
        <v>0</v>
      </c>
    </row>
    <row r="2022" spans="1:9" x14ac:dyDescent="0.25">
      <c r="A2022" s="12">
        <v>2021</v>
      </c>
      <c r="B2022" s="12" t="s">
        <v>6823</v>
      </c>
      <c r="C2022" s="12" t="s">
        <v>6824</v>
      </c>
      <c r="D2022" s="12" t="s">
        <v>14</v>
      </c>
      <c r="E2022" s="12" t="s">
        <v>6825</v>
      </c>
      <c r="F2022" s="12" t="s">
        <v>6826</v>
      </c>
      <c r="G2022" s="12" t="b">
        <v>1</v>
      </c>
      <c r="H2022" s="12" t="b">
        <v>0</v>
      </c>
      <c r="I2022" s="12" t="b">
        <v>0</v>
      </c>
    </row>
    <row r="2023" spans="1:9" x14ac:dyDescent="0.25">
      <c r="A2023" s="12">
        <v>2022</v>
      </c>
      <c r="B2023" s="12" t="s">
        <v>296</v>
      </c>
      <c r="C2023" s="12" t="s">
        <v>6827</v>
      </c>
      <c r="D2023" s="12" t="s">
        <v>10</v>
      </c>
      <c r="E2023" s="12" t="s">
        <v>6828</v>
      </c>
      <c r="F2023" s="12" t="s">
        <v>490</v>
      </c>
      <c r="G2023" s="12" t="b">
        <v>0</v>
      </c>
      <c r="H2023" s="12" t="b">
        <v>0</v>
      </c>
      <c r="I2023" s="12" t="b">
        <v>0</v>
      </c>
    </row>
    <row r="2024" spans="1:9" x14ac:dyDescent="0.25">
      <c r="A2024" s="12">
        <v>2023</v>
      </c>
      <c r="B2024" s="12" t="s">
        <v>6829</v>
      </c>
      <c r="C2024" s="12" t="s">
        <v>6830</v>
      </c>
      <c r="D2024" s="12" t="s">
        <v>14</v>
      </c>
      <c r="E2024" s="12" t="s">
        <v>6831</v>
      </c>
      <c r="F2024" s="12" t="s">
        <v>1072</v>
      </c>
      <c r="G2024" s="12" t="b">
        <v>0</v>
      </c>
      <c r="H2024" s="12" t="b">
        <v>0</v>
      </c>
      <c r="I2024" s="12" t="b">
        <v>0</v>
      </c>
    </row>
    <row r="2025" spans="1:9" x14ac:dyDescent="0.25">
      <c r="A2025" s="12">
        <v>2024</v>
      </c>
      <c r="B2025" s="12" t="s">
        <v>6832</v>
      </c>
      <c r="C2025" s="12" t="s">
        <v>6833</v>
      </c>
      <c r="D2025" s="12" t="s">
        <v>14</v>
      </c>
      <c r="E2025" s="12" t="s">
        <v>6834</v>
      </c>
      <c r="F2025" s="12" t="s">
        <v>4176</v>
      </c>
      <c r="G2025" s="12" t="b">
        <v>0</v>
      </c>
      <c r="H2025" s="12" t="b">
        <v>0</v>
      </c>
      <c r="I2025" s="12" t="b">
        <v>0</v>
      </c>
    </row>
    <row r="2026" spans="1:9" x14ac:dyDescent="0.25">
      <c r="A2026" s="12">
        <v>2025</v>
      </c>
      <c r="B2026" s="12" t="s">
        <v>6835</v>
      </c>
      <c r="C2026" s="12" t="s">
        <v>6836</v>
      </c>
      <c r="D2026" s="12" t="s">
        <v>45</v>
      </c>
      <c r="E2026" s="12" t="s">
        <v>6837</v>
      </c>
      <c r="F2026" s="12" t="s">
        <v>6838</v>
      </c>
      <c r="G2026" s="12" t="b">
        <v>0</v>
      </c>
      <c r="H2026" s="12" t="b">
        <v>0</v>
      </c>
      <c r="I2026" s="12" t="b">
        <v>0</v>
      </c>
    </row>
    <row r="2027" spans="1:9" x14ac:dyDescent="0.25">
      <c r="A2027" s="12">
        <v>2026</v>
      </c>
      <c r="B2027" s="12" t="s">
        <v>6839</v>
      </c>
      <c r="C2027" s="12" t="s">
        <v>6840</v>
      </c>
      <c r="D2027" s="12" t="s">
        <v>10</v>
      </c>
      <c r="E2027" s="12" t="s">
        <v>6841</v>
      </c>
      <c r="F2027" s="12" t="s">
        <v>859</v>
      </c>
      <c r="G2027" s="12" t="b">
        <v>1</v>
      </c>
      <c r="H2027" s="12" t="b">
        <v>0</v>
      </c>
      <c r="I2027" s="12" t="b">
        <v>0</v>
      </c>
    </row>
    <row r="2028" spans="1:9" x14ac:dyDescent="0.25">
      <c r="A2028" s="12">
        <v>2027</v>
      </c>
      <c r="B2028" s="12" t="s">
        <v>6842</v>
      </c>
      <c r="C2028" s="12" t="s">
        <v>6843</v>
      </c>
      <c r="D2028" s="12" t="s">
        <v>10</v>
      </c>
      <c r="E2028" s="12" t="s">
        <v>6844</v>
      </c>
      <c r="F2028" s="12" t="s">
        <v>3455</v>
      </c>
      <c r="G2028" s="12" t="b">
        <v>0</v>
      </c>
      <c r="H2028" s="12" t="b">
        <v>0</v>
      </c>
      <c r="I2028" s="12" t="b">
        <v>0</v>
      </c>
    </row>
    <row r="2029" spans="1:9" x14ac:dyDescent="0.25">
      <c r="A2029" s="12">
        <v>2028</v>
      </c>
      <c r="B2029" s="12" t="s">
        <v>6845</v>
      </c>
      <c r="C2029" s="12" t="s">
        <v>6846</v>
      </c>
      <c r="D2029" s="12" t="s">
        <v>14</v>
      </c>
      <c r="E2029" s="12" t="s">
        <v>6847</v>
      </c>
      <c r="F2029" s="12" t="s">
        <v>4324</v>
      </c>
      <c r="G2029" s="12" t="b">
        <v>0</v>
      </c>
      <c r="H2029" s="12" t="b">
        <v>0</v>
      </c>
      <c r="I2029" s="12" t="b">
        <v>0</v>
      </c>
    </row>
    <row r="2030" spans="1:9" x14ac:dyDescent="0.25">
      <c r="A2030" s="12">
        <v>2029</v>
      </c>
      <c r="B2030" s="12" t="s">
        <v>6848</v>
      </c>
      <c r="C2030" s="12" t="s">
        <v>6849</v>
      </c>
      <c r="D2030" s="12" t="s">
        <v>14</v>
      </c>
      <c r="E2030" s="12" t="s">
        <v>6850</v>
      </c>
      <c r="F2030" s="12" t="s">
        <v>6851</v>
      </c>
      <c r="G2030" s="12" t="b">
        <v>0</v>
      </c>
      <c r="H2030" s="12" t="b">
        <v>0</v>
      </c>
      <c r="I2030" s="12" t="b">
        <v>0</v>
      </c>
    </row>
    <row r="2031" spans="1:9" x14ac:dyDescent="0.25">
      <c r="A2031" s="12">
        <v>2030</v>
      </c>
      <c r="B2031" s="12" t="s">
        <v>6852</v>
      </c>
      <c r="C2031" s="12" t="s">
        <v>6853</v>
      </c>
      <c r="D2031" s="12" t="s">
        <v>45</v>
      </c>
      <c r="E2031" s="12" t="s">
        <v>1266</v>
      </c>
      <c r="F2031" s="12" t="s">
        <v>1294</v>
      </c>
      <c r="G2031" s="12" t="b">
        <v>0</v>
      </c>
      <c r="H2031" s="12" t="b">
        <v>0</v>
      </c>
      <c r="I2031" s="12" t="b">
        <v>0</v>
      </c>
    </row>
    <row r="2032" spans="1:9" x14ac:dyDescent="0.25">
      <c r="A2032" s="12">
        <v>2031</v>
      </c>
      <c r="B2032" s="12" t="s">
        <v>6854</v>
      </c>
      <c r="C2032" s="12" t="s">
        <v>6855</v>
      </c>
      <c r="D2032" s="12" t="s">
        <v>14</v>
      </c>
      <c r="E2032" s="12" t="s">
        <v>6856</v>
      </c>
      <c r="F2032" s="12" t="s">
        <v>1290</v>
      </c>
      <c r="G2032" s="12" t="b">
        <v>1</v>
      </c>
      <c r="H2032" s="12" t="b">
        <v>0</v>
      </c>
      <c r="I2032" s="12" t="b">
        <v>0</v>
      </c>
    </row>
    <row r="2033" spans="1:9" x14ac:dyDescent="0.25">
      <c r="A2033" s="12">
        <v>2032</v>
      </c>
      <c r="B2033" s="12" t="s">
        <v>6857</v>
      </c>
      <c r="C2033" s="12" t="s">
        <v>6858</v>
      </c>
      <c r="D2033" s="12" t="s">
        <v>10</v>
      </c>
      <c r="E2033" s="12" t="s">
        <v>6859</v>
      </c>
      <c r="F2033" s="12" t="s">
        <v>328</v>
      </c>
      <c r="G2033" s="12" t="b">
        <v>0</v>
      </c>
      <c r="H2033" s="12" t="b">
        <v>0</v>
      </c>
      <c r="I2033" s="12" t="b">
        <v>0</v>
      </c>
    </row>
    <row r="2034" spans="1:9" x14ac:dyDescent="0.25">
      <c r="A2034" s="12">
        <v>2033</v>
      </c>
      <c r="B2034" s="12" t="s">
        <v>6860</v>
      </c>
      <c r="C2034" s="12" t="s">
        <v>6861</v>
      </c>
      <c r="D2034" s="12" t="s">
        <v>14</v>
      </c>
      <c r="E2034" s="12" t="s">
        <v>6862</v>
      </c>
      <c r="F2034" s="12" t="s">
        <v>1231</v>
      </c>
      <c r="G2034" s="12" t="b">
        <v>0</v>
      </c>
      <c r="H2034" s="12" t="b">
        <v>0</v>
      </c>
      <c r="I2034" s="12" t="b">
        <v>0</v>
      </c>
    </row>
    <row r="2035" spans="1:9" x14ac:dyDescent="0.25">
      <c r="A2035" s="12">
        <v>2034</v>
      </c>
      <c r="B2035" s="12" t="s">
        <v>6863</v>
      </c>
      <c r="C2035" s="12" t="s">
        <v>6864</v>
      </c>
      <c r="D2035" s="12" t="s">
        <v>14</v>
      </c>
      <c r="E2035" s="12" t="s">
        <v>6865</v>
      </c>
      <c r="F2035" s="12" t="s">
        <v>6866</v>
      </c>
      <c r="G2035" s="12" t="b">
        <v>0</v>
      </c>
      <c r="H2035" s="12" t="b">
        <v>1</v>
      </c>
      <c r="I2035" s="12" t="b">
        <v>1</v>
      </c>
    </row>
    <row r="2036" spans="1:9" x14ac:dyDescent="0.25">
      <c r="A2036" s="12">
        <v>2035</v>
      </c>
      <c r="B2036" s="12" t="s">
        <v>6867</v>
      </c>
      <c r="C2036" s="12" t="s">
        <v>6868</v>
      </c>
      <c r="D2036" s="12" t="s">
        <v>45</v>
      </c>
      <c r="E2036" s="12" t="s">
        <v>6869</v>
      </c>
      <c r="F2036" s="12" t="s">
        <v>6870</v>
      </c>
      <c r="G2036" s="12" t="b">
        <v>0</v>
      </c>
      <c r="H2036" s="12" t="b">
        <v>0</v>
      </c>
      <c r="I2036" s="12" t="b">
        <v>0</v>
      </c>
    </row>
    <row r="2037" spans="1:9" x14ac:dyDescent="0.25">
      <c r="A2037" s="12">
        <v>2036</v>
      </c>
      <c r="B2037" s="12" t="s">
        <v>6871</v>
      </c>
      <c r="C2037" s="12" t="s">
        <v>6872</v>
      </c>
      <c r="D2037" s="12" t="s">
        <v>14</v>
      </c>
      <c r="E2037" s="12" t="s">
        <v>6873</v>
      </c>
      <c r="F2037" s="12" t="s">
        <v>681</v>
      </c>
      <c r="G2037" s="12" t="b">
        <v>1</v>
      </c>
      <c r="H2037" s="12" t="b">
        <v>0</v>
      </c>
      <c r="I2037" s="12" t="b">
        <v>0</v>
      </c>
    </row>
    <row r="2038" spans="1:9" x14ac:dyDescent="0.25">
      <c r="A2038" s="12">
        <v>2037</v>
      </c>
      <c r="B2038" s="12" t="s">
        <v>6874</v>
      </c>
      <c r="C2038" s="12" t="s">
        <v>6875</v>
      </c>
      <c r="D2038" s="12" t="s">
        <v>10</v>
      </c>
      <c r="E2038" s="12" t="s">
        <v>6876</v>
      </c>
      <c r="F2038" s="12" t="s">
        <v>495</v>
      </c>
      <c r="G2038" s="12" t="b">
        <v>0</v>
      </c>
      <c r="H2038" s="12" t="b">
        <v>0</v>
      </c>
      <c r="I2038" s="12" t="b">
        <v>0</v>
      </c>
    </row>
    <row r="2039" spans="1:9" x14ac:dyDescent="0.25">
      <c r="A2039" s="12">
        <v>2038</v>
      </c>
      <c r="B2039" s="12" t="s">
        <v>6877</v>
      </c>
      <c r="C2039" s="12" t="s">
        <v>6878</v>
      </c>
      <c r="D2039" s="12" t="s">
        <v>14</v>
      </c>
      <c r="E2039" s="12" t="s">
        <v>6879</v>
      </c>
      <c r="F2039" s="12" t="s">
        <v>6880</v>
      </c>
      <c r="G2039" s="12" t="b">
        <v>0</v>
      </c>
      <c r="H2039" s="12" t="b">
        <v>0</v>
      </c>
      <c r="I2039" s="12" t="b">
        <v>0</v>
      </c>
    </row>
    <row r="2040" spans="1:9" x14ac:dyDescent="0.25">
      <c r="A2040" s="12">
        <v>2039</v>
      </c>
      <c r="B2040" s="12" t="s">
        <v>6881</v>
      </c>
      <c r="C2040" s="12" t="s">
        <v>6882</v>
      </c>
      <c r="D2040" s="12" t="s">
        <v>14</v>
      </c>
      <c r="E2040" s="12" t="s">
        <v>6883</v>
      </c>
      <c r="F2040" s="12" t="s">
        <v>6884</v>
      </c>
      <c r="G2040" s="12" t="b">
        <v>0</v>
      </c>
      <c r="H2040" s="12" t="b">
        <v>0</v>
      </c>
      <c r="I2040" s="12" t="b">
        <v>0</v>
      </c>
    </row>
    <row r="2041" spans="1:9" x14ac:dyDescent="0.25">
      <c r="A2041" s="12">
        <v>2040</v>
      </c>
      <c r="B2041" s="12" t="s">
        <v>6885</v>
      </c>
      <c r="C2041" s="12" t="s">
        <v>6886</v>
      </c>
      <c r="D2041" s="12" t="s">
        <v>45</v>
      </c>
      <c r="E2041" s="12" t="s">
        <v>6887</v>
      </c>
      <c r="F2041" s="12" t="s">
        <v>426</v>
      </c>
      <c r="G2041" s="12" t="b">
        <v>0</v>
      </c>
      <c r="H2041" s="12" t="b">
        <v>0</v>
      </c>
      <c r="I2041" s="12" t="b">
        <v>0</v>
      </c>
    </row>
    <row r="2042" spans="1:9" x14ac:dyDescent="0.25">
      <c r="A2042" s="12">
        <v>2041</v>
      </c>
      <c r="B2042" s="12" t="s">
        <v>6888</v>
      </c>
      <c r="C2042" s="12" t="s">
        <v>6889</v>
      </c>
      <c r="D2042" s="12" t="s">
        <v>14</v>
      </c>
      <c r="E2042" s="12" t="s">
        <v>6890</v>
      </c>
      <c r="F2042" s="12" t="s">
        <v>859</v>
      </c>
      <c r="G2042" s="12" t="b">
        <v>1</v>
      </c>
      <c r="H2042" s="12" t="b">
        <v>0</v>
      </c>
      <c r="I2042" s="12" t="b">
        <v>0</v>
      </c>
    </row>
    <row r="2043" spans="1:9" x14ac:dyDescent="0.25">
      <c r="A2043" s="12">
        <v>2042</v>
      </c>
      <c r="B2043" s="12" t="s">
        <v>6891</v>
      </c>
      <c r="C2043" s="12" t="s">
        <v>6892</v>
      </c>
      <c r="D2043" s="12" t="s">
        <v>10</v>
      </c>
      <c r="E2043" s="12" t="s">
        <v>6893</v>
      </c>
      <c r="F2043" s="12" t="s">
        <v>316</v>
      </c>
      <c r="G2043" s="12" t="b">
        <v>0</v>
      </c>
      <c r="H2043" s="12" t="b">
        <v>0</v>
      </c>
      <c r="I2043" s="12" t="b">
        <v>0</v>
      </c>
    </row>
    <row r="2044" spans="1:9" x14ac:dyDescent="0.25">
      <c r="A2044" s="12">
        <v>2043</v>
      </c>
      <c r="B2044" s="12" t="s">
        <v>6894</v>
      </c>
      <c r="C2044" s="12" t="s">
        <v>6895</v>
      </c>
      <c r="D2044" s="12" t="s">
        <v>14</v>
      </c>
      <c r="E2044" s="12" t="s">
        <v>6896</v>
      </c>
      <c r="F2044" s="12" t="s">
        <v>6897</v>
      </c>
      <c r="G2044" s="12" t="b">
        <v>0</v>
      </c>
      <c r="H2044" s="12" t="b">
        <v>0</v>
      </c>
      <c r="I2044" s="12" t="b">
        <v>0</v>
      </c>
    </row>
    <row r="2045" spans="1:9" x14ac:dyDescent="0.25">
      <c r="A2045" s="12">
        <v>2044</v>
      </c>
      <c r="B2045" s="12" t="s">
        <v>6898</v>
      </c>
      <c r="C2045" s="12" t="s">
        <v>6899</v>
      </c>
      <c r="D2045" s="12" t="s">
        <v>14</v>
      </c>
      <c r="E2045" s="12" t="s">
        <v>6900</v>
      </c>
      <c r="F2045" s="12" t="s">
        <v>560</v>
      </c>
      <c r="G2045" s="12" t="b">
        <v>0</v>
      </c>
      <c r="H2045" s="12" t="b">
        <v>0</v>
      </c>
      <c r="I2045" s="12" t="b">
        <v>0</v>
      </c>
    </row>
    <row r="2046" spans="1:9" x14ac:dyDescent="0.25">
      <c r="A2046" s="12">
        <v>2045</v>
      </c>
      <c r="B2046" s="12" t="s">
        <v>6901</v>
      </c>
      <c r="C2046" s="12" t="s">
        <v>6902</v>
      </c>
      <c r="D2046" s="12" t="s">
        <v>45</v>
      </c>
      <c r="E2046" s="12" t="s">
        <v>6903</v>
      </c>
      <c r="F2046" s="12" t="s">
        <v>6904</v>
      </c>
      <c r="G2046" s="12" t="b">
        <v>0</v>
      </c>
      <c r="H2046" s="12" t="b">
        <v>0</v>
      </c>
      <c r="I2046" s="12" t="b">
        <v>0</v>
      </c>
    </row>
    <row r="2047" spans="1:9" x14ac:dyDescent="0.25">
      <c r="A2047" s="12">
        <v>2046</v>
      </c>
      <c r="B2047" s="12" t="s">
        <v>6905</v>
      </c>
      <c r="C2047" s="12" t="s">
        <v>6906</v>
      </c>
      <c r="D2047" s="12" t="s">
        <v>14</v>
      </c>
      <c r="E2047" s="12" t="s">
        <v>6907</v>
      </c>
      <c r="F2047" s="12" t="s">
        <v>6908</v>
      </c>
      <c r="G2047" s="12" t="b">
        <v>1</v>
      </c>
      <c r="H2047" s="12" t="b">
        <v>0</v>
      </c>
      <c r="I2047" s="12" t="b">
        <v>0</v>
      </c>
    </row>
    <row r="2048" spans="1:9" x14ac:dyDescent="0.25">
      <c r="A2048" s="12">
        <v>2047</v>
      </c>
      <c r="B2048" s="12" t="s">
        <v>6909</v>
      </c>
      <c r="C2048" s="12" t="s">
        <v>6910</v>
      </c>
      <c r="D2048" s="12" t="s">
        <v>10</v>
      </c>
      <c r="E2048" s="12" t="s">
        <v>6911</v>
      </c>
      <c r="F2048" s="12" t="s">
        <v>316</v>
      </c>
      <c r="G2048" s="12" t="b">
        <v>0</v>
      </c>
      <c r="H2048" s="12" t="b">
        <v>0</v>
      </c>
      <c r="I2048" s="12" t="b">
        <v>0</v>
      </c>
    </row>
    <row r="2049" spans="1:9" x14ac:dyDescent="0.25">
      <c r="A2049" s="12">
        <v>2048</v>
      </c>
      <c r="B2049" s="12" t="s">
        <v>6912</v>
      </c>
      <c r="C2049" s="12" t="s">
        <v>6913</v>
      </c>
      <c r="D2049" s="12" t="s">
        <v>14</v>
      </c>
      <c r="E2049" s="12" t="s">
        <v>6914</v>
      </c>
      <c r="F2049" s="12" t="s">
        <v>6915</v>
      </c>
      <c r="G2049" s="12" t="b">
        <v>0</v>
      </c>
      <c r="H2049" s="12" t="b">
        <v>0</v>
      </c>
      <c r="I2049" s="12" t="b">
        <v>0</v>
      </c>
    </row>
    <row r="2050" spans="1:9" x14ac:dyDescent="0.25">
      <c r="A2050" s="12">
        <v>2049</v>
      </c>
      <c r="B2050" s="12" t="s">
        <v>6916</v>
      </c>
      <c r="C2050" s="12" t="s">
        <v>6917</v>
      </c>
      <c r="D2050" s="12" t="s">
        <v>14</v>
      </c>
      <c r="E2050" s="12" t="s">
        <v>6918</v>
      </c>
      <c r="F2050" s="12" t="s">
        <v>2410</v>
      </c>
      <c r="G2050" s="12" t="b">
        <v>0</v>
      </c>
      <c r="H2050" s="12" t="b">
        <v>0</v>
      </c>
      <c r="I2050" s="12" t="b">
        <v>0</v>
      </c>
    </row>
    <row r="2051" spans="1:9" x14ac:dyDescent="0.25">
      <c r="A2051" s="12">
        <v>2050</v>
      </c>
      <c r="B2051" s="12" t="s">
        <v>6919</v>
      </c>
      <c r="C2051" s="12" t="s">
        <v>6920</v>
      </c>
      <c r="D2051" s="12" t="s">
        <v>45</v>
      </c>
      <c r="E2051" s="12" t="s">
        <v>6921</v>
      </c>
      <c r="F2051" s="12" t="s">
        <v>6922</v>
      </c>
      <c r="G2051" s="12" t="b">
        <v>0</v>
      </c>
      <c r="H2051" s="12" t="b">
        <v>0</v>
      </c>
      <c r="I2051" s="12" t="b">
        <v>0</v>
      </c>
    </row>
    <row r="2052" spans="1:9" x14ac:dyDescent="0.25">
      <c r="A2052" s="12">
        <v>2051</v>
      </c>
      <c r="B2052" s="12" t="s">
        <v>6923</v>
      </c>
      <c r="C2052" s="12" t="s">
        <v>6924</v>
      </c>
      <c r="D2052" s="12" t="s">
        <v>14</v>
      </c>
      <c r="E2052" s="12" t="s">
        <v>6925</v>
      </c>
      <c r="F2052" s="12" t="s">
        <v>859</v>
      </c>
      <c r="G2052" s="12" t="b">
        <v>1</v>
      </c>
      <c r="H2052" s="12" t="b">
        <v>0</v>
      </c>
      <c r="I2052" s="12" t="b">
        <v>0</v>
      </c>
    </row>
    <row r="2053" spans="1:9" x14ac:dyDescent="0.25">
      <c r="A2053" s="12">
        <v>2052</v>
      </c>
      <c r="B2053" s="12" t="s">
        <v>6926</v>
      </c>
      <c r="C2053" s="12" t="s">
        <v>6927</v>
      </c>
      <c r="D2053" s="12" t="s">
        <v>14</v>
      </c>
      <c r="E2053" s="12" t="s">
        <v>6928</v>
      </c>
      <c r="F2053" s="12" t="s">
        <v>681</v>
      </c>
      <c r="G2053" s="12" t="b">
        <v>1</v>
      </c>
      <c r="H2053" s="12" t="b">
        <v>0</v>
      </c>
      <c r="I2053" s="12" t="b">
        <v>0</v>
      </c>
    </row>
    <row r="2054" spans="1:9" x14ac:dyDescent="0.25">
      <c r="A2054" s="12">
        <v>2053</v>
      </c>
      <c r="B2054" s="12" t="s">
        <v>6929</v>
      </c>
      <c r="C2054" s="12" t="s">
        <v>6930</v>
      </c>
      <c r="D2054" s="12" t="s">
        <v>10</v>
      </c>
      <c r="E2054" s="12" t="s">
        <v>6931</v>
      </c>
      <c r="F2054" s="12" t="s">
        <v>2883</v>
      </c>
      <c r="G2054" s="12" t="b">
        <v>0</v>
      </c>
      <c r="H2054" s="12" t="b">
        <v>0</v>
      </c>
      <c r="I2054" s="12" t="b">
        <v>0</v>
      </c>
    </row>
    <row r="2055" spans="1:9" x14ac:dyDescent="0.25">
      <c r="A2055" s="12">
        <v>2054</v>
      </c>
      <c r="B2055" s="12" t="s">
        <v>6932</v>
      </c>
      <c r="C2055" s="12" t="s">
        <v>6933</v>
      </c>
      <c r="D2055" s="12" t="s">
        <v>14</v>
      </c>
      <c r="E2055" s="12" t="s">
        <v>6934</v>
      </c>
      <c r="F2055" s="12" t="s">
        <v>6935</v>
      </c>
      <c r="G2055" s="12" t="b">
        <v>0</v>
      </c>
      <c r="H2055" s="12" t="b">
        <v>0</v>
      </c>
      <c r="I2055" s="12" t="b">
        <v>0</v>
      </c>
    </row>
    <row r="2056" spans="1:9" x14ac:dyDescent="0.25">
      <c r="A2056" s="12">
        <v>2055</v>
      </c>
      <c r="B2056" s="12" t="s">
        <v>6936</v>
      </c>
      <c r="C2056" s="12" t="s">
        <v>6937</v>
      </c>
      <c r="D2056" s="12" t="s">
        <v>14</v>
      </c>
      <c r="E2056" s="12" t="s">
        <v>6938</v>
      </c>
      <c r="F2056" s="12" t="s">
        <v>6939</v>
      </c>
      <c r="G2056" s="12" t="b">
        <v>0</v>
      </c>
      <c r="H2056" s="12" t="b">
        <v>0</v>
      </c>
      <c r="I2056" s="12" t="b">
        <v>0</v>
      </c>
    </row>
    <row r="2057" spans="1:9" x14ac:dyDescent="0.25">
      <c r="A2057" s="12">
        <v>2056</v>
      </c>
      <c r="B2057" s="12" t="s">
        <v>6940</v>
      </c>
      <c r="C2057" s="12" t="s">
        <v>6941</v>
      </c>
      <c r="D2057" s="12" t="s">
        <v>45</v>
      </c>
      <c r="E2057" s="12" t="s">
        <v>6942</v>
      </c>
      <c r="F2057" s="12" t="s">
        <v>6943</v>
      </c>
      <c r="G2057" s="12" t="b">
        <v>0</v>
      </c>
      <c r="H2057" s="12" t="b">
        <v>0</v>
      </c>
      <c r="I2057" s="12" t="b">
        <v>0</v>
      </c>
    </row>
    <row r="2058" spans="1:9" x14ac:dyDescent="0.25">
      <c r="A2058" s="12">
        <v>2057</v>
      </c>
      <c r="B2058" s="12" t="s">
        <v>6944</v>
      </c>
      <c r="C2058" s="12" t="s">
        <v>6945</v>
      </c>
      <c r="D2058" s="12" t="s">
        <v>10</v>
      </c>
      <c r="E2058" s="12" t="s">
        <v>6946</v>
      </c>
      <c r="F2058" s="12" t="s">
        <v>317</v>
      </c>
      <c r="G2058" s="12" t="b">
        <v>0</v>
      </c>
      <c r="H2058" s="12" t="b">
        <v>0</v>
      </c>
      <c r="I2058" s="12" t="b">
        <v>0</v>
      </c>
    </row>
    <row r="2059" spans="1:9" x14ac:dyDescent="0.25">
      <c r="A2059" s="12">
        <v>2058</v>
      </c>
      <c r="B2059" s="12" t="s">
        <v>6947</v>
      </c>
      <c r="C2059" s="12" t="s">
        <v>6948</v>
      </c>
      <c r="D2059" s="12" t="s">
        <v>14</v>
      </c>
      <c r="E2059" s="12" t="s">
        <v>6949</v>
      </c>
      <c r="F2059" s="12" t="s">
        <v>573</v>
      </c>
      <c r="G2059" s="12" t="b">
        <v>0</v>
      </c>
      <c r="H2059" s="12" t="b">
        <v>0</v>
      </c>
      <c r="I2059" s="12" t="b">
        <v>0</v>
      </c>
    </row>
    <row r="2060" spans="1:9" x14ac:dyDescent="0.25">
      <c r="A2060" s="12">
        <v>2059</v>
      </c>
      <c r="B2060" s="12" t="s">
        <v>6950</v>
      </c>
      <c r="C2060" s="12" t="s">
        <v>6951</v>
      </c>
      <c r="D2060" s="12" t="s">
        <v>14</v>
      </c>
      <c r="E2060" s="12" t="s">
        <v>6952</v>
      </c>
      <c r="F2060" s="12" t="s">
        <v>4474</v>
      </c>
      <c r="G2060" s="12" t="b">
        <v>0</v>
      </c>
      <c r="H2060" s="12" t="b">
        <v>0</v>
      </c>
      <c r="I2060" s="12" t="b">
        <v>0</v>
      </c>
    </row>
    <row r="2061" spans="1:9" x14ac:dyDescent="0.25">
      <c r="A2061" s="12">
        <v>2060</v>
      </c>
      <c r="B2061" s="12" t="s">
        <v>6953</v>
      </c>
      <c r="C2061" s="12" t="s">
        <v>6954</v>
      </c>
      <c r="D2061" s="12" t="s">
        <v>45</v>
      </c>
      <c r="E2061" s="12" t="s">
        <v>6955</v>
      </c>
      <c r="F2061" s="12" t="s">
        <v>340</v>
      </c>
      <c r="G2061" s="12" t="b">
        <v>0</v>
      </c>
      <c r="H2061" s="12" t="b">
        <v>0</v>
      </c>
      <c r="I2061" s="12" t="b">
        <v>0</v>
      </c>
    </row>
    <row r="2062" spans="1:9" x14ac:dyDescent="0.25">
      <c r="A2062" s="12">
        <v>2061</v>
      </c>
      <c r="B2062" s="12" t="s">
        <v>6956</v>
      </c>
      <c r="C2062" s="12" t="s">
        <v>6957</v>
      </c>
      <c r="D2062" s="12" t="s">
        <v>14</v>
      </c>
      <c r="E2062" s="12" t="s">
        <v>6958</v>
      </c>
      <c r="F2062" s="12" t="s">
        <v>490</v>
      </c>
      <c r="G2062" s="12" t="b">
        <v>1</v>
      </c>
      <c r="H2062" s="12" t="b">
        <v>0</v>
      </c>
      <c r="I2062" s="12" t="b">
        <v>0</v>
      </c>
    </row>
    <row r="2063" spans="1:9" x14ac:dyDescent="0.25">
      <c r="A2063" s="12">
        <v>2062</v>
      </c>
      <c r="B2063" s="12" t="s">
        <v>6959</v>
      </c>
      <c r="C2063" s="12" t="s">
        <v>6960</v>
      </c>
      <c r="D2063" s="12" t="s">
        <v>10</v>
      </c>
      <c r="E2063" s="12" t="s">
        <v>4266</v>
      </c>
      <c r="F2063" s="12" t="s">
        <v>952</v>
      </c>
      <c r="G2063" s="12" t="b">
        <v>0</v>
      </c>
      <c r="H2063" s="12" t="b">
        <v>0</v>
      </c>
      <c r="I2063" s="12" t="b">
        <v>0</v>
      </c>
    </row>
    <row r="2064" spans="1:9" x14ac:dyDescent="0.25">
      <c r="A2064" s="12">
        <v>2063</v>
      </c>
      <c r="B2064" s="12" t="s">
        <v>6961</v>
      </c>
      <c r="C2064" s="12" t="s">
        <v>6962</v>
      </c>
      <c r="D2064" s="12" t="s">
        <v>14</v>
      </c>
      <c r="E2064" s="12" t="s">
        <v>6963</v>
      </c>
      <c r="F2064" s="12" t="s">
        <v>6964</v>
      </c>
      <c r="G2064" s="12" t="b">
        <v>0</v>
      </c>
      <c r="H2064" s="12" t="b">
        <v>0</v>
      </c>
      <c r="I2064" s="12" t="b">
        <v>0</v>
      </c>
    </row>
    <row r="2065" spans="1:9" x14ac:dyDescent="0.25">
      <c r="A2065" s="12">
        <v>2064</v>
      </c>
      <c r="B2065" s="12" t="s">
        <v>6965</v>
      </c>
      <c r="C2065" s="12" t="s">
        <v>6966</v>
      </c>
      <c r="D2065" s="12" t="s">
        <v>14</v>
      </c>
      <c r="E2065" s="12" t="s">
        <v>6967</v>
      </c>
      <c r="F2065" s="12" t="s">
        <v>426</v>
      </c>
      <c r="G2065" s="12" t="b">
        <v>0</v>
      </c>
      <c r="H2065" s="12" t="b">
        <v>0</v>
      </c>
      <c r="I2065" s="12" t="b">
        <v>0</v>
      </c>
    </row>
    <row r="2066" spans="1:9" x14ac:dyDescent="0.25">
      <c r="A2066" s="12">
        <v>2065</v>
      </c>
      <c r="B2066" s="12" t="s">
        <v>6968</v>
      </c>
      <c r="C2066" s="12" t="s">
        <v>6969</v>
      </c>
      <c r="D2066" s="12" t="s">
        <v>45</v>
      </c>
      <c r="E2066" s="12" t="s">
        <v>6970</v>
      </c>
      <c r="F2066" s="12" t="s">
        <v>6971</v>
      </c>
      <c r="G2066" s="12" t="b">
        <v>0</v>
      </c>
      <c r="H2066" s="12" t="b">
        <v>0</v>
      </c>
      <c r="I2066" s="12" t="b">
        <v>0</v>
      </c>
    </row>
    <row r="2067" spans="1:9" x14ac:dyDescent="0.25">
      <c r="A2067" s="12">
        <v>2066</v>
      </c>
      <c r="B2067" s="12" t="s">
        <v>6972</v>
      </c>
      <c r="C2067" s="12" t="s">
        <v>6973</v>
      </c>
      <c r="D2067" s="12" t="s">
        <v>14</v>
      </c>
      <c r="E2067" s="12" t="s">
        <v>6974</v>
      </c>
      <c r="F2067" s="12" t="s">
        <v>859</v>
      </c>
      <c r="G2067" s="12" t="b">
        <v>1</v>
      </c>
      <c r="H2067" s="12" t="b">
        <v>0</v>
      </c>
      <c r="I2067" s="12" t="b">
        <v>0</v>
      </c>
    </row>
    <row r="2068" spans="1:9" x14ac:dyDescent="0.25">
      <c r="A2068" s="12">
        <v>2067</v>
      </c>
      <c r="B2068" s="12" t="s">
        <v>6975</v>
      </c>
      <c r="C2068" s="12" t="s">
        <v>6976</v>
      </c>
      <c r="D2068" s="12" t="s">
        <v>14</v>
      </c>
      <c r="E2068" s="12" t="s">
        <v>6977</v>
      </c>
      <c r="F2068" s="12" t="s">
        <v>6978</v>
      </c>
      <c r="G2068" s="12" t="b">
        <v>1</v>
      </c>
      <c r="H2068" s="12" t="b">
        <v>0</v>
      </c>
      <c r="I2068" s="12" t="b">
        <v>0</v>
      </c>
    </row>
    <row r="2069" spans="1:9" x14ac:dyDescent="0.25">
      <c r="A2069" s="12">
        <v>2068</v>
      </c>
      <c r="B2069" s="12" t="s">
        <v>6979</v>
      </c>
      <c r="C2069" s="12" t="s">
        <v>6980</v>
      </c>
      <c r="D2069" s="12" t="s">
        <v>10</v>
      </c>
      <c r="E2069" s="12" t="s">
        <v>6981</v>
      </c>
      <c r="F2069" s="12" t="s">
        <v>1240</v>
      </c>
      <c r="G2069" s="12" t="b">
        <v>0</v>
      </c>
      <c r="H2069" s="12" t="b">
        <v>0</v>
      </c>
      <c r="I2069" s="12" t="b">
        <v>0</v>
      </c>
    </row>
    <row r="2070" spans="1:9" x14ac:dyDescent="0.25">
      <c r="A2070" s="12">
        <v>2069</v>
      </c>
      <c r="B2070" s="12" t="s">
        <v>6982</v>
      </c>
      <c r="C2070" s="12" t="s">
        <v>6983</v>
      </c>
      <c r="D2070" s="12" t="s">
        <v>14</v>
      </c>
      <c r="E2070" s="12" t="s">
        <v>6984</v>
      </c>
      <c r="F2070" s="12" t="s">
        <v>6985</v>
      </c>
      <c r="G2070" s="12" t="b">
        <v>0</v>
      </c>
      <c r="H2070" s="12" t="b">
        <v>0</v>
      </c>
      <c r="I2070" s="12" t="b">
        <v>0</v>
      </c>
    </row>
    <row r="2071" spans="1:9" x14ac:dyDescent="0.25">
      <c r="A2071" s="12">
        <v>2070</v>
      </c>
      <c r="B2071" s="12" t="s">
        <v>6986</v>
      </c>
      <c r="C2071" s="12" t="s">
        <v>6987</v>
      </c>
      <c r="D2071" s="12" t="s">
        <v>14</v>
      </c>
      <c r="E2071" s="12" t="s">
        <v>6988</v>
      </c>
      <c r="F2071" s="12" t="s">
        <v>1690</v>
      </c>
      <c r="G2071" s="12" t="b">
        <v>0</v>
      </c>
      <c r="H2071" s="12" t="b">
        <v>0</v>
      </c>
      <c r="I2071" s="12" t="b">
        <v>0</v>
      </c>
    </row>
    <row r="2072" spans="1:9" x14ac:dyDescent="0.25">
      <c r="A2072" s="12">
        <v>2071</v>
      </c>
      <c r="B2072" s="12" t="s">
        <v>6989</v>
      </c>
      <c r="C2072" s="12" t="s">
        <v>6990</v>
      </c>
      <c r="D2072" s="12" t="s">
        <v>45</v>
      </c>
      <c r="E2072" s="12" t="s">
        <v>1518</v>
      </c>
      <c r="F2072" s="12" t="s">
        <v>6991</v>
      </c>
      <c r="G2072" s="12" t="b">
        <v>0</v>
      </c>
      <c r="H2072" s="12" t="b">
        <v>0</v>
      </c>
      <c r="I2072" s="12" t="b">
        <v>0</v>
      </c>
    </row>
    <row r="2073" spans="1:9" x14ac:dyDescent="0.25">
      <c r="A2073" s="12">
        <v>2072</v>
      </c>
      <c r="B2073" s="12" t="s">
        <v>6992</v>
      </c>
      <c r="C2073" s="12" t="s">
        <v>6993</v>
      </c>
      <c r="D2073" s="12" t="s">
        <v>10</v>
      </c>
      <c r="E2073" s="12" t="s">
        <v>6994</v>
      </c>
      <c r="F2073" s="12" t="s">
        <v>859</v>
      </c>
      <c r="G2073" s="12" t="b">
        <v>1</v>
      </c>
      <c r="H2073" s="12" t="b">
        <v>0</v>
      </c>
      <c r="I2073" s="12" t="b">
        <v>0</v>
      </c>
    </row>
    <row r="2074" spans="1:9" x14ac:dyDescent="0.25">
      <c r="A2074" s="12">
        <v>2073</v>
      </c>
      <c r="B2074" s="12" t="s">
        <v>6995</v>
      </c>
      <c r="C2074" s="12" t="s">
        <v>6996</v>
      </c>
      <c r="D2074" s="12" t="s">
        <v>10</v>
      </c>
      <c r="E2074" s="12" t="s">
        <v>6997</v>
      </c>
      <c r="F2074" s="12" t="s">
        <v>6998</v>
      </c>
      <c r="G2074" s="12" t="b">
        <v>0</v>
      </c>
      <c r="H2074" s="12" t="b">
        <v>0</v>
      </c>
      <c r="I2074" s="12" t="b">
        <v>0</v>
      </c>
    </row>
    <row r="2075" spans="1:9" x14ac:dyDescent="0.25">
      <c r="A2075" s="12">
        <v>2074</v>
      </c>
      <c r="B2075" s="12" t="s">
        <v>6999</v>
      </c>
      <c r="C2075" s="12" t="s">
        <v>7000</v>
      </c>
      <c r="D2075" s="12" t="s">
        <v>14</v>
      </c>
      <c r="E2075" s="12" t="s">
        <v>7001</v>
      </c>
      <c r="F2075" s="12" t="s">
        <v>573</v>
      </c>
      <c r="G2075" s="12" t="b">
        <v>0</v>
      </c>
      <c r="H2075" s="12" t="b">
        <v>0</v>
      </c>
      <c r="I2075" s="12" t="b">
        <v>0</v>
      </c>
    </row>
    <row r="2076" spans="1:9" x14ac:dyDescent="0.25">
      <c r="A2076" s="12">
        <v>2075</v>
      </c>
      <c r="B2076" s="12" t="s">
        <v>7002</v>
      </c>
      <c r="C2076" s="12" t="s">
        <v>7003</v>
      </c>
      <c r="D2076" s="12" t="s">
        <v>14</v>
      </c>
      <c r="E2076" s="12" t="s">
        <v>7004</v>
      </c>
      <c r="F2076" s="12" t="s">
        <v>2382</v>
      </c>
      <c r="G2076" s="12" t="b">
        <v>0</v>
      </c>
      <c r="H2076" s="12" t="b">
        <v>0</v>
      </c>
      <c r="I2076" s="12" t="b">
        <v>0</v>
      </c>
    </row>
    <row r="2077" spans="1:9" x14ac:dyDescent="0.25">
      <c r="A2077" s="12">
        <v>2076</v>
      </c>
      <c r="B2077" s="12" t="s">
        <v>7005</v>
      </c>
      <c r="C2077" s="12" t="s">
        <v>7006</v>
      </c>
      <c r="D2077" s="12" t="s">
        <v>45</v>
      </c>
      <c r="E2077" s="12" t="s">
        <v>7007</v>
      </c>
      <c r="F2077" s="12" t="s">
        <v>5393</v>
      </c>
      <c r="G2077" s="12" t="b">
        <v>0</v>
      </c>
      <c r="H2077" s="12" t="b">
        <v>0</v>
      </c>
      <c r="I2077" s="12" t="b">
        <v>0</v>
      </c>
    </row>
    <row r="2078" spans="1:9" x14ac:dyDescent="0.25">
      <c r="A2078" s="12">
        <v>2077</v>
      </c>
      <c r="B2078" s="12" t="s">
        <v>7008</v>
      </c>
      <c r="C2078" s="12" t="s">
        <v>7009</v>
      </c>
      <c r="D2078" s="12" t="s">
        <v>14</v>
      </c>
      <c r="E2078" s="12" t="s">
        <v>7010</v>
      </c>
      <c r="F2078" s="12" t="s">
        <v>121</v>
      </c>
      <c r="G2078" s="12" t="b">
        <v>1</v>
      </c>
      <c r="H2078" s="12" t="b">
        <v>0</v>
      </c>
      <c r="I2078" s="12" t="b">
        <v>0</v>
      </c>
    </row>
    <row r="2079" spans="1:9" x14ac:dyDescent="0.25">
      <c r="A2079" s="12">
        <v>2078</v>
      </c>
      <c r="B2079" s="12" t="s">
        <v>7011</v>
      </c>
      <c r="C2079" s="12" t="s">
        <v>7012</v>
      </c>
      <c r="D2079" s="12" t="s">
        <v>10</v>
      </c>
      <c r="E2079" s="12" t="s">
        <v>7013</v>
      </c>
      <c r="F2079" s="12" t="s">
        <v>732</v>
      </c>
      <c r="G2079" s="12" t="b">
        <v>0</v>
      </c>
      <c r="H2079" s="12" t="b">
        <v>0</v>
      </c>
      <c r="I2079" s="12" t="b">
        <v>0</v>
      </c>
    </row>
    <row r="2080" spans="1:9" x14ac:dyDescent="0.25">
      <c r="A2080" s="12">
        <v>2079</v>
      </c>
      <c r="B2080" s="12" t="s">
        <v>7014</v>
      </c>
      <c r="C2080" s="12" t="s">
        <v>7015</v>
      </c>
      <c r="D2080" s="12" t="s">
        <v>14</v>
      </c>
      <c r="E2080" s="12" t="s">
        <v>7016</v>
      </c>
      <c r="F2080" s="12" t="s">
        <v>317</v>
      </c>
      <c r="G2080" s="12" t="b">
        <v>0</v>
      </c>
      <c r="H2080" s="12" t="b">
        <v>0</v>
      </c>
      <c r="I2080" s="12" t="b">
        <v>0</v>
      </c>
    </row>
    <row r="2081" spans="1:9" x14ac:dyDescent="0.25">
      <c r="A2081" s="12">
        <v>2080</v>
      </c>
      <c r="B2081" s="12" t="s">
        <v>7017</v>
      </c>
      <c r="C2081" s="12" t="s">
        <v>7018</v>
      </c>
      <c r="D2081" s="12" t="s">
        <v>14</v>
      </c>
      <c r="E2081" s="12" t="s">
        <v>7019</v>
      </c>
      <c r="F2081" s="12" t="s">
        <v>7020</v>
      </c>
      <c r="G2081" s="12" t="b">
        <v>0</v>
      </c>
      <c r="H2081" s="12" t="b">
        <v>0</v>
      </c>
      <c r="I2081" s="12" t="b">
        <v>0</v>
      </c>
    </row>
    <row r="2082" spans="1:9" x14ac:dyDescent="0.25">
      <c r="A2082" s="12">
        <v>2081</v>
      </c>
      <c r="B2082" s="12" t="s">
        <v>7021</v>
      </c>
      <c r="C2082" s="12" t="s">
        <v>7022</v>
      </c>
      <c r="D2082" s="12" t="s">
        <v>45</v>
      </c>
      <c r="E2082" s="12" t="s">
        <v>7023</v>
      </c>
      <c r="F2082" s="12" t="s">
        <v>2939</v>
      </c>
      <c r="G2082" s="12" t="b">
        <v>0</v>
      </c>
      <c r="H2082" s="12" t="b">
        <v>0</v>
      </c>
      <c r="I2082" s="12" t="b">
        <v>0</v>
      </c>
    </row>
    <row r="2083" spans="1:9" x14ac:dyDescent="0.25">
      <c r="A2083" s="12">
        <v>2082</v>
      </c>
      <c r="B2083" s="12" t="s">
        <v>7024</v>
      </c>
      <c r="C2083" s="12" t="s">
        <v>7025</v>
      </c>
      <c r="D2083" s="12" t="s">
        <v>10</v>
      </c>
      <c r="E2083" s="12" t="s">
        <v>7026</v>
      </c>
      <c r="F2083" s="12" t="s">
        <v>859</v>
      </c>
      <c r="G2083" s="12" t="b">
        <v>1</v>
      </c>
      <c r="H2083" s="12" t="b">
        <v>0</v>
      </c>
      <c r="I2083" s="12" t="b">
        <v>0</v>
      </c>
    </row>
    <row r="2084" spans="1:9" x14ac:dyDescent="0.25">
      <c r="A2084" s="12">
        <v>2083</v>
      </c>
      <c r="B2084" s="12" t="s">
        <v>7027</v>
      </c>
      <c r="C2084" s="12" t="s">
        <v>7028</v>
      </c>
      <c r="D2084" s="12" t="s">
        <v>14</v>
      </c>
      <c r="E2084" s="12" t="s">
        <v>7029</v>
      </c>
      <c r="F2084" s="12" t="s">
        <v>7030</v>
      </c>
      <c r="G2084" s="12" t="b">
        <v>1</v>
      </c>
      <c r="H2084" s="12" t="b">
        <v>0</v>
      </c>
      <c r="I2084" s="12" t="b">
        <v>0</v>
      </c>
    </row>
    <row r="2085" spans="1:9" x14ac:dyDescent="0.25">
      <c r="A2085" s="12">
        <v>2084</v>
      </c>
      <c r="B2085" s="12" t="s">
        <v>7031</v>
      </c>
      <c r="C2085" s="12" t="s">
        <v>7032</v>
      </c>
      <c r="D2085" s="12" t="s">
        <v>14</v>
      </c>
      <c r="E2085" s="12" t="s">
        <v>7033</v>
      </c>
      <c r="F2085" s="12" t="s">
        <v>859</v>
      </c>
      <c r="G2085" s="12" t="b">
        <v>1</v>
      </c>
      <c r="H2085" s="12" t="b">
        <v>0</v>
      </c>
      <c r="I2085" s="12" t="b">
        <v>0</v>
      </c>
    </row>
    <row r="2086" spans="1:9" x14ac:dyDescent="0.25">
      <c r="A2086" s="12">
        <v>2085</v>
      </c>
      <c r="B2086" s="12" t="s">
        <v>7034</v>
      </c>
      <c r="C2086" s="12" t="s">
        <v>7035</v>
      </c>
      <c r="D2086" s="12" t="s">
        <v>10</v>
      </c>
      <c r="E2086" s="12" t="s">
        <v>7036</v>
      </c>
      <c r="F2086" s="12" t="s">
        <v>2883</v>
      </c>
      <c r="G2086" s="12" t="b">
        <v>0</v>
      </c>
      <c r="H2086" s="12" t="b">
        <v>0</v>
      </c>
      <c r="I2086" s="12" t="b">
        <v>0</v>
      </c>
    </row>
    <row r="2087" spans="1:9" x14ac:dyDescent="0.25">
      <c r="A2087" s="12">
        <v>2086</v>
      </c>
      <c r="B2087" s="12" t="s">
        <v>7037</v>
      </c>
      <c r="C2087" s="12" t="s">
        <v>7038</v>
      </c>
      <c r="D2087" s="12" t="s">
        <v>14</v>
      </c>
      <c r="E2087" s="12" t="s">
        <v>7039</v>
      </c>
      <c r="F2087" s="12" t="s">
        <v>3683</v>
      </c>
      <c r="G2087" s="12" t="b">
        <v>0</v>
      </c>
      <c r="H2087" s="12" t="b">
        <v>0</v>
      </c>
      <c r="I2087" s="12" t="b">
        <v>0</v>
      </c>
    </row>
    <row r="2088" spans="1:9" x14ac:dyDescent="0.25">
      <c r="A2088" s="12">
        <v>2087</v>
      </c>
      <c r="B2088" s="12" t="s">
        <v>7040</v>
      </c>
      <c r="C2088" s="12" t="s">
        <v>7041</v>
      </c>
      <c r="D2088" s="12" t="s">
        <v>14</v>
      </c>
      <c r="E2088" s="12" t="s">
        <v>7042</v>
      </c>
      <c r="F2088" s="12" t="s">
        <v>2867</v>
      </c>
      <c r="G2088" s="12" t="b">
        <v>0</v>
      </c>
      <c r="H2088" s="12" t="b">
        <v>0</v>
      </c>
      <c r="I2088" s="12" t="b">
        <v>0</v>
      </c>
    </row>
    <row r="2089" spans="1:9" x14ac:dyDescent="0.25">
      <c r="A2089" s="12">
        <v>2088</v>
      </c>
      <c r="B2089" s="12" t="s">
        <v>7043</v>
      </c>
      <c r="C2089" s="12" t="s">
        <v>7044</v>
      </c>
      <c r="D2089" s="12" t="s">
        <v>45</v>
      </c>
      <c r="E2089" s="12" t="s">
        <v>7045</v>
      </c>
      <c r="F2089" s="12" t="s">
        <v>515</v>
      </c>
      <c r="G2089" s="12" t="b">
        <v>0</v>
      </c>
      <c r="H2089" s="12" t="b">
        <v>0</v>
      </c>
      <c r="I2089" s="12" t="b">
        <v>0</v>
      </c>
    </row>
    <row r="2090" spans="1:9" x14ac:dyDescent="0.25">
      <c r="A2090" s="12">
        <v>2089</v>
      </c>
      <c r="B2090" s="12" t="s">
        <v>7046</v>
      </c>
      <c r="C2090" s="12" t="s">
        <v>7047</v>
      </c>
      <c r="D2090" s="12" t="s">
        <v>10</v>
      </c>
      <c r="E2090" s="12" t="s">
        <v>7048</v>
      </c>
      <c r="F2090" s="12" t="s">
        <v>1690</v>
      </c>
      <c r="G2090" s="12" t="b">
        <v>0</v>
      </c>
      <c r="H2090" s="12" t="b">
        <v>0</v>
      </c>
      <c r="I2090" s="12" t="b">
        <v>0</v>
      </c>
    </row>
    <row r="2091" spans="1:9" x14ac:dyDescent="0.25">
      <c r="A2091" s="12">
        <v>2090</v>
      </c>
      <c r="B2091" s="12" t="s">
        <v>7049</v>
      </c>
      <c r="C2091" s="12" t="s">
        <v>7050</v>
      </c>
      <c r="D2091" s="12" t="s">
        <v>14</v>
      </c>
      <c r="E2091" s="12" t="s">
        <v>7051</v>
      </c>
      <c r="F2091" s="12" t="s">
        <v>2340</v>
      </c>
      <c r="G2091" s="12" t="b">
        <v>0</v>
      </c>
      <c r="H2091" s="12" t="b">
        <v>0</v>
      </c>
      <c r="I2091" s="12" t="b">
        <v>0</v>
      </c>
    </row>
    <row r="2092" spans="1:9" x14ac:dyDescent="0.25">
      <c r="A2092" s="12">
        <v>2091</v>
      </c>
      <c r="B2092" s="12" t="s">
        <v>7052</v>
      </c>
      <c r="C2092" s="12" t="s">
        <v>7053</v>
      </c>
      <c r="D2092" s="12" t="s">
        <v>14</v>
      </c>
      <c r="E2092" s="12" t="s">
        <v>7054</v>
      </c>
      <c r="F2092" s="12" t="s">
        <v>732</v>
      </c>
      <c r="G2092" s="12" t="b">
        <v>0</v>
      </c>
      <c r="H2092" s="12" t="b">
        <v>0</v>
      </c>
      <c r="I2092" s="12" t="b">
        <v>0</v>
      </c>
    </row>
    <row r="2093" spans="1:9" x14ac:dyDescent="0.25">
      <c r="A2093" s="12">
        <v>2092</v>
      </c>
      <c r="B2093" s="12" t="s">
        <v>7055</v>
      </c>
      <c r="C2093" s="12" t="s">
        <v>7056</v>
      </c>
      <c r="D2093" s="12" t="s">
        <v>45</v>
      </c>
      <c r="E2093" s="12" t="s">
        <v>7057</v>
      </c>
      <c r="F2093" s="12" t="s">
        <v>7058</v>
      </c>
      <c r="G2093" s="12" t="b">
        <v>0</v>
      </c>
      <c r="H2093" s="12" t="b">
        <v>0</v>
      </c>
      <c r="I2093" s="12" t="b">
        <v>0</v>
      </c>
    </row>
    <row r="2094" spans="1:9" x14ac:dyDescent="0.25">
      <c r="A2094" s="12">
        <v>2093</v>
      </c>
      <c r="B2094" s="12" t="s">
        <v>7059</v>
      </c>
      <c r="C2094" s="12" t="s">
        <v>7060</v>
      </c>
      <c r="D2094" s="12" t="s">
        <v>14</v>
      </c>
      <c r="E2094" s="12" t="s">
        <v>7061</v>
      </c>
      <c r="F2094" s="12" t="s">
        <v>7062</v>
      </c>
      <c r="G2094" s="12" t="b">
        <v>1</v>
      </c>
      <c r="H2094" s="12" t="b">
        <v>0</v>
      </c>
      <c r="I2094" s="12" t="b">
        <v>0</v>
      </c>
    </row>
    <row r="2095" spans="1:9" x14ac:dyDescent="0.25">
      <c r="A2095" s="12">
        <v>2094</v>
      </c>
      <c r="B2095" s="12" t="s">
        <v>7063</v>
      </c>
      <c r="C2095" s="12" t="s">
        <v>7064</v>
      </c>
      <c r="D2095" s="12" t="s">
        <v>10</v>
      </c>
      <c r="E2095" s="12" t="s">
        <v>7065</v>
      </c>
      <c r="F2095" s="12" t="s">
        <v>7066</v>
      </c>
      <c r="G2095" s="12" t="b">
        <v>0</v>
      </c>
      <c r="H2095" s="12" t="b">
        <v>0</v>
      </c>
      <c r="I2095" s="12" t="b">
        <v>0</v>
      </c>
    </row>
    <row r="2096" spans="1:9" x14ac:dyDescent="0.25">
      <c r="A2096" s="12">
        <v>2095</v>
      </c>
      <c r="B2096" s="12" t="s">
        <v>7067</v>
      </c>
      <c r="C2096" s="12" t="s">
        <v>7068</v>
      </c>
      <c r="D2096" s="12" t="s">
        <v>14</v>
      </c>
      <c r="E2096" s="12" t="s">
        <v>7069</v>
      </c>
      <c r="F2096" s="12" t="s">
        <v>383</v>
      </c>
      <c r="G2096" s="12" t="b">
        <v>0</v>
      </c>
      <c r="H2096" s="12" t="b">
        <v>0</v>
      </c>
      <c r="I2096" s="12" t="b">
        <v>0</v>
      </c>
    </row>
    <row r="2097" spans="1:9" x14ac:dyDescent="0.25">
      <c r="A2097" s="12">
        <v>2096</v>
      </c>
      <c r="B2097" s="12" t="s">
        <v>7070</v>
      </c>
      <c r="C2097" s="12" t="s">
        <v>7071</v>
      </c>
      <c r="D2097" s="12" t="s">
        <v>14</v>
      </c>
      <c r="E2097" s="12" t="s">
        <v>3086</v>
      </c>
      <c r="F2097" s="12" t="s">
        <v>2011</v>
      </c>
      <c r="G2097" s="12" t="b">
        <v>0</v>
      </c>
      <c r="H2097" s="12" t="b">
        <v>0</v>
      </c>
      <c r="I2097" s="12" t="b">
        <v>0</v>
      </c>
    </row>
    <row r="2098" spans="1:9" x14ac:dyDescent="0.25">
      <c r="A2098" s="12">
        <v>2097</v>
      </c>
      <c r="B2098" s="12" t="s">
        <v>7072</v>
      </c>
      <c r="C2098" s="12" t="s">
        <v>7073</v>
      </c>
      <c r="D2098" s="12" t="s">
        <v>45</v>
      </c>
      <c r="E2098" s="12" t="s">
        <v>7074</v>
      </c>
      <c r="F2098" s="12" t="s">
        <v>1344</v>
      </c>
      <c r="G2098" s="12" t="b">
        <v>0</v>
      </c>
      <c r="H2098" s="12" t="b">
        <v>0</v>
      </c>
      <c r="I2098" s="12" t="b">
        <v>0</v>
      </c>
    </row>
    <row r="2099" spans="1:9" x14ac:dyDescent="0.25">
      <c r="A2099" s="12">
        <v>2098</v>
      </c>
      <c r="B2099" s="12" t="s">
        <v>7075</v>
      </c>
      <c r="C2099" s="12" t="s">
        <v>7076</v>
      </c>
      <c r="D2099" s="12" t="s">
        <v>14</v>
      </c>
      <c r="E2099" s="12" t="s">
        <v>7077</v>
      </c>
      <c r="F2099" s="12" t="s">
        <v>1181</v>
      </c>
      <c r="G2099" s="12" t="b">
        <v>1</v>
      </c>
      <c r="H2099" s="12" t="b">
        <v>0</v>
      </c>
      <c r="I2099" s="12" t="b">
        <v>0</v>
      </c>
    </row>
    <row r="2100" spans="1:9" x14ac:dyDescent="0.25">
      <c r="A2100" s="12">
        <v>2099</v>
      </c>
      <c r="B2100" s="12" t="s">
        <v>7078</v>
      </c>
      <c r="C2100" s="12" t="s">
        <v>7079</v>
      </c>
      <c r="D2100" s="12" t="s">
        <v>10</v>
      </c>
      <c r="E2100" s="12" t="s">
        <v>7080</v>
      </c>
      <c r="F2100" s="12" t="s">
        <v>7081</v>
      </c>
      <c r="G2100" s="12" t="b">
        <v>0</v>
      </c>
      <c r="H2100" s="12" t="b">
        <v>0</v>
      </c>
      <c r="I2100" s="12" t="b">
        <v>0</v>
      </c>
    </row>
    <row r="2101" spans="1:9" x14ac:dyDescent="0.25">
      <c r="A2101" s="12">
        <v>2100</v>
      </c>
      <c r="B2101" s="12" t="s">
        <v>7082</v>
      </c>
      <c r="C2101" s="12" t="s">
        <v>7083</v>
      </c>
      <c r="D2101" s="12" t="s">
        <v>14</v>
      </c>
      <c r="E2101" s="12" t="s">
        <v>7084</v>
      </c>
      <c r="F2101" s="12" t="s">
        <v>7085</v>
      </c>
      <c r="G2101" s="12" t="b">
        <v>0</v>
      </c>
      <c r="H2101" s="12" t="b">
        <v>0</v>
      </c>
      <c r="I2101" s="12" t="b">
        <v>0</v>
      </c>
    </row>
    <row r="2102" spans="1:9" x14ac:dyDescent="0.25">
      <c r="A2102" s="12">
        <v>2101</v>
      </c>
      <c r="B2102" s="12" t="s">
        <v>7086</v>
      </c>
      <c r="C2102" s="12" t="s">
        <v>7087</v>
      </c>
      <c r="D2102" s="12" t="s">
        <v>14</v>
      </c>
      <c r="E2102" s="12" t="s">
        <v>7088</v>
      </c>
      <c r="F2102" s="12" t="s">
        <v>7089</v>
      </c>
      <c r="G2102" s="12" t="b">
        <v>0</v>
      </c>
      <c r="H2102" s="12" t="b">
        <v>0</v>
      </c>
      <c r="I2102" s="12" t="b">
        <v>0</v>
      </c>
    </row>
    <row r="2103" spans="1:9" x14ac:dyDescent="0.25">
      <c r="A2103" s="12">
        <v>2102</v>
      </c>
      <c r="B2103" s="12" t="s">
        <v>7090</v>
      </c>
      <c r="C2103" s="12" t="s">
        <v>7091</v>
      </c>
      <c r="D2103" s="12" t="s">
        <v>45</v>
      </c>
      <c r="E2103" s="12" t="s">
        <v>7092</v>
      </c>
      <c r="F2103" s="12" t="s">
        <v>7093</v>
      </c>
      <c r="G2103" s="12" t="b">
        <v>0</v>
      </c>
      <c r="H2103" s="12" t="b">
        <v>0</v>
      </c>
      <c r="I2103" s="12" t="b">
        <v>0</v>
      </c>
    </row>
    <row r="2104" spans="1:9" x14ac:dyDescent="0.25">
      <c r="A2104" s="12">
        <v>2103</v>
      </c>
      <c r="B2104" s="12" t="s">
        <v>7094</v>
      </c>
      <c r="C2104" s="12" t="s">
        <v>7095</v>
      </c>
      <c r="D2104" s="12" t="s">
        <v>10</v>
      </c>
      <c r="E2104" s="12" t="s">
        <v>7096</v>
      </c>
      <c r="F2104" s="12" t="s">
        <v>952</v>
      </c>
      <c r="G2104" s="12" t="b">
        <v>0</v>
      </c>
      <c r="H2104" s="12" t="b">
        <v>0</v>
      </c>
      <c r="I2104" s="12" t="b">
        <v>0</v>
      </c>
    </row>
    <row r="2105" spans="1:9" x14ac:dyDescent="0.25">
      <c r="A2105" s="12">
        <v>2104</v>
      </c>
      <c r="B2105" s="12" t="s">
        <v>7097</v>
      </c>
      <c r="C2105" s="12" t="s">
        <v>7098</v>
      </c>
      <c r="D2105" s="12" t="s">
        <v>14</v>
      </c>
      <c r="E2105" s="12" t="s">
        <v>7099</v>
      </c>
      <c r="F2105" s="12" t="s">
        <v>577</v>
      </c>
      <c r="G2105" s="12" t="b">
        <v>0</v>
      </c>
      <c r="H2105" s="12" t="b">
        <v>0</v>
      </c>
      <c r="I2105" s="12" t="b">
        <v>0</v>
      </c>
    </row>
    <row r="2106" spans="1:9" x14ac:dyDescent="0.25">
      <c r="A2106" s="12">
        <v>2105</v>
      </c>
      <c r="B2106" s="12" t="s">
        <v>7100</v>
      </c>
      <c r="C2106" s="12" t="s">
        <v>7101</v>
      </c>
      <c r="D2106" s="12" t="s">
        <v>14</v>
      </c>
      <c r="E2106" s="12" t="s">
        <v>7102</v>
      </c>
      <c r="F2106" s="12" t="s">
        <v>7103</v>
      </c>
      <c r="G2106" s="12" t="b">
        <v>0</v>
      </c>
      <c r="H2106" s="12" t="b">
        <v>0</v>
      </c>
      <c r="I2106" s="12" t="b">
        <v>0</v>
      </c>
    </row>
    <row r="2107" spans="1:9" x14ac:dyDescent="0.25">
      <c r="A2107" s="12">
        <v>2106</v>
      </c>
      <c r="B2107" s="12" t="s">
        <v>7104</v>
      </c>
      <c r="C2107" s="12" t="s">
        <v>7105</v>
      </c>
      <c r="D2107" s="12" t="s">
        <v>45</v>
      </c>
      <c r="E2107" s="12" t="s">
        <v>7106</v>
      </c>
      <c r="F2107" s="12" t="s">
        <v>963</v>
      </c>
      <c r="G2107" s="12" t="b">
        <v>0</v>
      </c>
      <c r="H2107" s="12" t="b">
        <v>0</v>
      </c>
      <c r="I2107" s="12" t="b">
        <v>0</v>
      </c>
    </row>
    <row r="2108" spans="1:9" x14ac:dyDescent="0.25">
      <c r="A2108" s="12">
        <v>2107</v>
      </c>
      <c r="B2108" s="12" t="s">
        <v>7107</v>
      </c>
      <c r="C2108" s="12" t="s">
        <v>7108</v>
      </c>
      <c r="D2108" s="12" t="s">
        <v>14</v>
      </c>
      <c r="E2108" s="12" t="s">
        <v>7109</v>
      </c>
      <c r="F2108" s="12" t="s">
        <v>994</v>
      </c>
      <c r="G2108" s="12" t="b">
        <v>1</v>
      </c>
      <c r="H2108" s="12" t="b">
        <v>0</v>
      </c>
      <c r="I2108" s="12" t="b">
        <v>0</v>
      </c>
    </row>
    <row r="2109" spans="1:9" x14ac:dyDescent="0.25">
      <c r="A2109" s="12">
        <v>2108</v>
      </c>
      <c r="B2109" s="12" t="s">
        <v>7110</v>
      </c>
      <c r="C2109" s="12" t="s">
        <v>7111</v>
      </c>
      <c r="D2109" s="12" t="s">
        <v>10</v>
      </c>
      <c r="E2109" s="12" t="s">
        <v>7112</v>
      </c>
      <c r="F2109" s="12" t="s">
        <v>2875</v>
      </c>
      <c r="G2109" s="12" t="b">
        <v>0</v>
      </c>
      <c r="H2109" s="12" t="b">
        <v>0</v>
      </c>
      <c r="I2109" s="12" t="b">
        <v>0</v>
      </c>
    </row>
    <row r="2110" spans="1:9" x14ac:dyDescent="0.25">
      <c r="A2110" s="12">
        <v>2109</v>
      </c>
      <c r="B2110" s="12" t="s">
        <v>7113</v>
      </c>
      <c r="C2110" s="12" t="s">
        <v>7114</v>
      </c>
      <c r="D2110" s="12" t="s">
        <v>14</v>
      </c>
      <c r="E2110" s="12" t="s">
        <v>7115</v>
      </c>
      <c r="F2110" s="12" t="s">
        <v>533</v>
      </c>
      <c r="G2110" s="12" t="b">
        <v>0</v>
      </c>
      <c r="H2110" s="12" t="b">
        <v>0</v>
      </c>
      <c r="I2110" s="12" t="b">
        <v>0</v>
      </c>
    </row>
    <row r="2111" spans="1:9" x14ac:dyDescent="0.25">
      <c r="A2111" s="12">
        <v>2110</v>
      </c>
      <c r="B2111" s="12" t="s">
        <v>7116</v>
      </c>
      <c r="C2111" s="12" t="s">
        <v>7117</v>
      </c>
      <c r="D2111" s="12" t="s">
        <v>14</v>
      </c>
      <c r="E2111" s="12" t="s">
        <v>7118</v>
      </c>
      <c r="F2111" s="12" t="s">
        <v>1283</v>
      </c>
      <c r="G2111" s="12" t="b">
        <v>0</v>
      </c>
      <c r="H2111" s="12" t="b">
        <v>0</v>
      </c>
      <c r="I2111" s="12" t="b">
        <v>0</v>
      </c>
    </row>
    <row r="2112" spans="1:9" x14ac:dyDescent="0.25">
      <c r="A2112" s="12">
        <v>2111</v>
      </c>
      <c r="B2112" s="12" t="s">
        <v>7119</v>
      </c>
      <c r="C2112" s="12" t="s">
        <v>7120</v>
      </c>
      <c r="D2112" s="12" t="s">
        <v>45</v>
      </c>
      <c r="E2112" s="12" t="s">
        <v>7121</v>
      </c>
      <c r="F2112" s="12" t="s">
        <v>426</v>
      </c>
      <c r="G2112" s="12" t="b">
        <v>0</v>
      </c>
      <c r="H2112" s="12" t="b">
        <v>0</v>
      </c>
      <c r="I2112" s="12" t="b">
        <v>0</v>
      </c>
    </row>
    <row r="2113" spans="1:9" x14ac:dyDescent="0.25">
      <c r="A2113" s="12">
        <v>2112</v>
      </c>
      <c r="B2113" s="12" t="s">
        <v>7122</v>
      </c>
      <c r="C2113" s="12" t="s">
        <v>7123</v>
      </c>
      <c r="D2113" s="12" t="s">
        <v>14</v>
      </c>
      <c r="E2113" s="12" t="s">
        <v>3151</v>
      </c>
      <c r="F2113" s="12" t="s">
        <v>859</v>
      </c>
      <c r="G2113" s="12" t="b">
        <v>1</v>
      </c>
      <c r="H2113" s="12" t="b">
        <v>0</v>
      </c>
      <c r="I2113" s="12" t="b">
        <v>0</v>
      </c>
    </row>
    <row r="2114" spans="1:9" x14ac:dyDescent="0.25">
      <c r="A2114" s="12">
        <v>2113</v>
      </c>
      <c r="B2114" s="12" t="s">
        <v>7124</v>
      </c>
      <c r="C2114" s="12" t="s">
        <v>7125</v>
      </c>
      <c r="D2114" s="12" t="s">
        <v>14</v>
      </c>
      <c r="E2114" s="12" t="s">
        <v>7126</v>
      </c>
      <c r="F2114" s="12" t="s">
        <v>317</v>
      </c>
      <c r="G2114" s="12" t="b">
        <v>1</v>
      </c>
      <c r="H2114" s="12" t="b">
        <v>0</v>
      </c>
      <c r="I2114" s="12" t="b">
        <v>0</v>
      </c>
    </row>
    <row r="2115" spans="1:9" x14ac:dyDescent="0.25">
      <c r="A2115" s="12">
        <v>2114</v>
      </c>
      <c r="B2115" s="12" t="s">
        <v>7127</v>
      </c>
      <c r="C2115" s="12" t="s">
        <v>7128</v>
      </c>
      <c r="D2115" s="12" t="s">
        <v>10</v>
      </c>
      <c r="E2115" s="12" t="s">
        <v>7129</v>
      </c>
      <c r="F2115" s="12" t="s">
        <v>1072</v>
      </c>
      <c r="G2115" s="12" t="b">
        <v>0</v>
      </c>
      <c r="H2115" s="12" t="b">
        <v>0</v>
      </c>
      <c r="I2115" s="12" t="b">
        <v>0</v>
      </c>
    </row>
    <row r="2116" spans="1:9" x14ac:dyDescent="0.25">
      <c r="A2116" s="12">
        <v>2115</v>
      </c>
      <c r="B2116" s="12" t="s">
        <v>7130</v>
      </c>
      <c r="C2116" s="12" t="s">
        <v>7131</v>
      </c>
      <c r="D2116" s="12" t="s">
        <v>14</v>
      </c>
      <c r="E2116" s="12" t="s">
        <v>7132</v>
      </c>
      <c r="F2116" s="12" t="s">
        <v>7133</v>
      </c>
      <c r="G2116" s="12" t="b">
        <v>0</v>
      </c>
      <c r="H2116" s="12" t="b">
        <v>0</v>
      </c>
      <c r="I2116" s="12" t="b">
        <v>0</v>
      </c>
    </row>
    <row r="2117" spans="1:9" x14ac:dyDescent="0.25">
      <c r="A2117" s="12">
        <v>2116</v>
      </c>
      <c r="B2117" s="12" t="s">
        <v>7134</v>
      </c>
      <c r="C2117" s="12" t="s">
        <v>7135</v>
      </c>
      <c r="D2117" s="12" t="s">
        <v>14</v>
      </c>
      <c r="E2117" s="12" t="s">
        <v>7136</v>
      </c>
      <c r="F2117" s="12" t="s">
        <v>3249</v>
      </c>
      <c r="G2117" s="12" t="b">
        <v>0</v>
      </c>
      <c r="H2117" s="12" t="b">
        <v>0</v>
      </c>
      <c r="I2117" s="12" t="b">
        <v>0</v>
      </c>
    </row>
    <row r="2118" spans="1:9" x14ac:dyDescent="0.25">
      <c r="A2118" s="12">
        <v>2117</v>
      </c>
      <c r="B2118" s="12" t="s">
        <v>7137</v>
      </c>
      <c r="C2118" s="12" t="s">
        <v>7138</v>
      </c>
      <c r="D2118" s="12" t="s">
        <v>45</v>
      </c>
      <c r="E2118" s="12" t="s">
        <v>7139</v>
      </c>
      <c r="F2118" s="12" t="s">
        <v>315</v>
      </c>
      <c r="G2118" s="12" t="b">
        <v>0</v>
      </c>
      <c r="H2118" s="12" t="b">
        <v>0</v>
      </c>
      <c r="I2118" s="12" t="b">
        <v>0</v>
      </c>
    </row>
    <row r="2119" spans="1:9" x14ac:dyDescent="0.25">
      <c r="A2119" s="12">
        <v>2118</v>
      </c>
      <c r="B2119" s="12" t="s">
        <v>7140</v>
      </c>
      <c r="C2119" s="12" t="s">
        <v>7141</v>
      </c>
      <c r="D2119" s="12" t="s">
        <v>45</v>
      </c>
      <c r="E2119" s="12" t="s">
        <v>5511</v>
      </c>
      <c r="F2119" s="12" t="s">
        <v>859</v>
      </c>
      <c r="G2119" s="12" t="b">
        <v>1</v>
      </c>
      <c r="H2119" s="12" t="b">
        <v>0</v>
      </c>
      <c r="I2119" s="12" t="b">
        <v>0</v>
      </c>
    </row>
    <row r="2120" spans="1:9" x14ac:dyDescent="0.25">
      <c r="A2120" s="12">
        <v>2119</v>
      </c>
      <c r="B2120" s="12" t="s">
        <v>7142</v>
      </c>
      <c r="C2120" s="12" t="s">
        <v>7143</v>
      </c>
      <c r="D2120" s="12" t="s">
        <v>10</v>
      </c>
      <c r="E2120" s="12" t="s">
        <v>7144</v>
      </c>
      <c r="F2120" s="12" t="s">
        <v>315</v>
      </c>
      <c r="G2120" s="12" t="b">
        <v>0</v>
      </c>
      <c r="H2120" s="12" t="b">
        <v>0</v>
      </c>
      <c r="I2120" s="12" t="b">
        <v>0</v>
      </c>
    </row>
    <row r="2121" spans="1:9" x14ac:dyDescent="0.25">
      <c r="A2121" s="12">
        <v>2120</v>
      </c>
      <c r="B2121" s="12" t="s">
        <v>7145</v>
      </c>
      <c r="C2121" s="12" t="s">
        <v>7146</v>
      </c>
      <c r="D2121" s="12" t="s">
        <v>14</v>
      </c>
      <c r="E2121" s="12" t="s">
        <v>7147</v>
      </c>
      <c r="F2121" s="12" t="s">
        <v>2382</v>
      </c>
      <c r="G2121" s="12" t="b">
        <v>0</v>
      </c>
      <c r="H2121" s="12" t="b">
        <v>0</v>
      </c>
      <c r="I2121" s="12" t="b">
        <v>0</v>
      </c>
    </row>
    <row r="2122" spans="1:9" x14ac:dyDescent="0.25">
      <c r="A2122" s="12">
        <v>2121</v>
      </c>
      <c r="B2122" s="12" t="s">
        <v>7148</v>
      </c>
      <c r="C2122" s="12" t="s">
        <v>7149</v>
      </c>
      <c r="D2122" s="12" t="s">
        <v>14</v>
      </c>
      <c r="E2122" s="12" t="s">
        <v>7150</v>
      </c>
      <c r="F2122" s="12" t="s">
        <v>1976</v>
      </c>
      <c r="G2122" s="12" t="b">
        <v>0</v>
      </c>
      <c r="H2122" s="12" t="b">
        <v>0</v>
      </c>
      <c r="I2122" s="12" t="b">
        <v>0</v>
      </c>
    </row>
    <row r="2123" spans="1:9" x14ac:dyDescent="0.25">
      <c r="A2123" s="12">
        <v>2122</v>
      </c>
      <c r="B2123" s="12" t="s">
        <v>7151</v>
      </c>
      <c r="C2123" s="12" t="s">
        <v>7152</v>
      </c>
      <c r="D2123" s="12" t="s">
        <v>45</v>
      </c>
      <c r="E2123" s="12" t="s">
        <v>7153</v>
      </c>
      <c r="F2123" s="12" t="s">
        <v>7066</v>
      </c>
      <c r="G2123" s="12" t="b">
        <v>0</v>
      </c>
      <c r="H2123" s="12" t="b">
        <v>0</v>
      </c>
      <c r="I2123" s="12" t="b">
        <v>0</v>
      </c>
    </row>
    <row r="2124" spans="1:9" x14ac:dyDescent="0.25">
      <c r="A2124" s="12">
        <v>2123</v>
      </c>
      <c r="B2124" s="12" t="s">
        <v>7154</v>
      </c>
      <c r="C2124" s="12" t="s">
        <v>7155</v>
      </c>
      <c r="D2124" s="12" t="s">
        <v>45</v>
      </c>
      <c r="E2124" s="12" t="s">
        <v>7156</v>
      </c>
      <c r="F2124" s="12" t="s">
        <v>7157</v>
      </c>
      <c r="G2124" s="12" t="b">
        <v>1</v>
      </c>
      <c r="H2124" s="12" t="b">
        <v>0</v>
      </c>
      <c r="I2124" s="12" t="b">
        <v>0</v>
      </c>
    </row>
    <row r="2125" spans="1:9" x14ac:dyDescent="0.25">
      <c r="A2125" s="12">
        <v>2124</v>
      </c>
      <c r="B2125" s="12" t="s">
        <v>7158</v>
      </c>
      <c r="C2125" s="12" t="s">
        <v>7159</v>
      </c>
      <c r="D2125" s="12" t="s">
        <v>10</v>
      </c>
      <c r="E2125" s="12" t="s">
        <v>7160</v>
      </c>
      <c r="F2125" s="12" t="s">
        <v>316</v>
      </c>
      <c r="G2125" s="12" t="b">
        <v>0</v>
      </c>
      <c r="H2125" s="12" t="b">
        <v>0</v>
      </c>
      <c r="I2125" s="12" t="b">
        <v>0</v>
      </c>
    </row>
    <row r="2126" spans="1:9" x14ac:dyDescent="0.25">
      <c r="A2126" s="12">
        <v>2125</v>
      </c>
      <c r="B2126" s="12" t="s">
        <v>7161</v>
      </c>
      <c r="C2126" s="12" t="s">
        <v>7162</v>
      </c>
      <c r="D2126" s="12" t="s">
        <v>14</v>
      </c>
      <c r="E2126" s="12" t="s">
        <v>7163</v>
      </c>
      <c r="F2126" s="12" t="s">
        <v>7164</v>
      </c>
      <c r="G2126" s="12" t="b">
        <v>0</v>
      </c>
      <c r="H2126" s="12" t="b">
        <v>0</v>
      </c>
      <c r="I2126" s="12" t="b">
        <v>0</v>
      </c>
    </row>
    <row r="2127" spans="1:9" x14ac:dyDescent="0.25">
      <c r="A2127" s="12">
        <v>2126</v>
      </c>
      <c r="B2127" s="12" t="s">
        <v>7165</v>
      </c>
      <c r="C2127" s="12" t="s">
        <v>7166</v>
      </c>
      <c r="D2127" s="12" t="s">
        <v>14</v>
      </c>
      <c r="E2127" s="12" t="s">
        <v>7167</v>
      </c>
      <c r="F2127" s="12" t="s">
        <v>1181</v>
      </c>
      <c r="G2127" s="12" t="b">
        <v>0</v>
      </c>
      <c r="H2127" s="12" t="b">
        <v>0</v>
      </c>
      <c r="I2127" s="12" t="b">
        <v>0</v>
      </c>
    </row>
    <row r="2128" spans="1:9" x14ac:dyDescent="0.25">
      <c r="A2128" s="12">
        <v>2127</v>
      </c>
      <c r="B2128" s="12" t="s">
        <v>7168</v>
      </c>
      <c r="C2128" s="12" t="s">
        <v>7169</v>
      </c>
      <c r="D2128" s="12" t="s">
        <v>45</v>
      </c>
      <c r="E2128" s="12" t="s">
        <v>7170</v>
      </c>
      <c r="F2128" s="12" t="s">
        <v>7171</v>
      </c>
      <c r="G2128" s="12" t="b">
        <v>0</v>
      </c>
      <c r="H2128" s="12" t="b">
        <v>0</v>
      </c>
      <c r="I2128" s="12" t="b">
        <v>0</v>
      </c>
    </row>
    <row r="2129" spans="1:9" x14ac:dyDescent="0.25">
      <c r="A2129" s="12">
        <v>2128</v>
      </c>
      <c r="B2129" s="12" t="s">
        <v>7172</v>
      </c>
      <c r="C2129" s="12" t="s">
        <v>7173</v>
      </c>
      <c r="D2129" s="12" t="s">
        <v>14</v>
      </c>
      <c r="E2129" s="12" t="s">
        <v>4142</v>
      </c>
      <c r="F2129" s="12" t="s">
        <v>2785</v>
      </c>
      <c r="G2129" s="12" t="b">
        <v>1</v>
      </c>
      <c r="H2129" s="12" t="b">
        <v>0</v>
      </c>
      <c r="I2129" s="12" t="b">
        <v>0</v>
      </c>
    </row>
    <row r="2130" spans="1:9" x14ac:dyDescent="0.25">
      <c r="A2130" s="12">
        <v>2129</v>
      </c>
      <c r="B2130" s="12" t="s">
        <v>7174</v>
      </c>
      <c r="C2130" s="12" t="s">
        <v>7175</v>
      </c>
      <c r="D2130" s="12" t="s">
        <v>10</v>
      </c>
      <c r="E2130" s="12" t="s">
        <v>7176</v>
      </c>
      <c r="F2130" s="12" t="s">
        <v>316</v>
      </c>
      <c r="G2130" s="12" t="b">
        <v>0</v>
      </c>
      <c r="H2130" s="12" t="b">
        <v>0</v>
      </c>
      <c r="I2130" s="12" t="b">
        <v>0</v>
      </c>
    </row>
    <row r="2131" spans="1:9" x14ac:dyDescent="0.25">
      <c r="A2131" s="12">
        <v>2130</v>
      </c>
      <c r="B2131" s="12" t="s">
        <v>7177</v>
      </c>
      <c r="C2131" s="12" t="s">
        <v>7178</v>
      </c>
      <c r="D2131" s="12" t="s">
        <v>14</v>
      </c>
      <c r="E2131" s="12" t="s">
        <v>7179</v>
      </c>
      <c r="F2131" s="12" t="s">
        <v>7180</v>
      </c>
      <c r="G2131" s="12" t="b">
        <v>0</v>
      </c>
      <c r="H2131" s="12" t="b">
        <v>0</v>
      </c>
      <c r="I2131" s="12" t="b">
        <v>0</v>
      </c>
    </row>
    <row r="2132" spans="1:9" x14ac:dyDescent="0.25">
      <c r="A2132" s="12">
        <v>2131</v>
      </c>
      <c r="B2132" s="12" t="s">
        <v>7181</v>
      </c>
      <c r="C2132" s="12" t="s">
        <v>7182</v>
      </c>
      <c r="D2132" s="12" t="s">
        <v>14</v>
      </c>
      <c r="E2132" s="12" t="s">
        <v>5252</v>
      </c>
      <c r="F2132" s="12" t="s">
        <v>7183</v>
      </c>
      <c r="G2132" s="12" t="b">
        <v>0</v>
      </c>
      <c r="H2132" s="12" t="b">
        <v>0</v>
      </c>
      <c r="I2132" s="12" t="b">
        <v>0</v>
      </c>
    </row>
    <row r="2133" spans="1:9" x14ac:dyDescent="0.25">
      <c r="A2133" s="12">
        <v>2132</v>
      </c>
      <c r="B2133" s="12" t="s">
        <v>7184</v>
      </c>
      <c r="C2133" s="12" t="s">
        <v>7185</v>
      </c>
      <c r="D2133" s="12" t="s">
        <v>45</v>
      </c>
      <c r="E2133" s="12" t="s">
        <v>7186</v>
      </c>
      <c r="F2133" s="12" t="s">
        <v>7187</v>
      </c>
      <c r="G2133" s="12" t="b">
        <v>0</v>
      </c>
      <c r="H2133" s="12" t="b">
        <v>0</v>
      </c>
      <c r="I2133" s="12" t="b">
        <v>0</v>
      </c>
    </row>
    <row r="2134" spans="1:9" x14ac:dyDescent="0.25">
      <c r="A2134" s="12">
        <v>2133</v>
      </c>
      <c r="B2134" s="12" t="s">
        <v>7188</v>
      </c>
      <c r="C2134" s="12" t="s">
        <v>7189</v>
      </c>
      <c r="D2134" s="12" t="s">
        <v>10</v>
      </c>
      <c r="E2134" s="12" t="s">
        <v>7190</v>
      </c>
      <c r="F2134" s="12" t="s">
        <v>436</v>
      </c>
      <c r="G2134" s="12" t="b">
        <v>0</v>
      </c>
      <c r="H2134" s="12" t="b">
        <v>0</v>
      </c>
      <c r="I2134" s="12" t="b">
        <v>0</v>
      </c>
    </row>
    <row r="2135" spans="1:9" x14ac:dyDescent="0.25">
      <c r="A2135" s="12">
        <v>2134</v>
      </c>
      <c r="B2135" s="12" t="s">
        <v>7191</v>
      </c>
      <c r="C2135" s="12" t="s">
        <v>7192</v>
      </c>
      <c r="D2135" s="12" t="s">
        <v>14</v>
      </c>
      <c r="E2135" s="12" t="s">
        <v>7193</v>
      </c>
      <c r="F2135" s="12" t="s">
        <v>2340</v>
      </c>
      <c r="G2135" s="12" t="b">
        <v>0</v>
      </c>
      <c r="H2135" s="12" t="b">
        <v>0</v>
      </c>
      <c r="I2135" s="12" t="b">
        <v>0</v>
      </c>
    </row>
    <row r="2136" spans="1:9" x14ac:dyDescent="0.25">
      <c r="A2136" s="12">
        <v>2135</v>
      </c>
      <c r="B2136" s="12" t="s">
        <v>7194</v>
      </c>
      <c r="C2136" s="12" t="s">
        <v>7195</v>
      </c>
      <c r="D2136" s="12" t="s">
        <v>14</v>
      </c>
      <c r="E2136" s="12" t="s">
        <v>7196</v>
      </c>
      <c r="F2136" s="12" t="s">
        <v>7197</v>
      </c>
      <c r="G2136" s="12" t="b">
        <v>0</v>
      </c>
      <c r="H2136" s="12" t="b">
        <v>0</v>
      </c>
      <c r="I2136" s="12" t="b">
        <v>0</v>
      </c>
    </row>
    <row r="2137" spans="1:9" x14ac:dyDescent="0.25">
      <c r="A2137" s="12">
        <v>2136</v>
      </c>
      <c r="B2137" s="12" t="s">
        <v>7198</v>
      </c>
      <c r="C2137" s="12" t="s">
        <v>7199</v>
      </c>
      <c r="D2137" s="12" t="s">
        <v>45</v>
      </c>
      <c r="E2137" s="12" t="s">
        <v>7200</v>
      </c>
      <c r="F2137" s="12" t="s">
        <v>1181</v>
      </c>
      <c r="G2137" s="12" t="b">
        <v>0</v>
      </c>
      <c r="H2137" s="12" t="b">
        <v>0</v>
      </c>
      <c r="I2137" s="12" t="b">
        <v>0</v>
      </c>
    </row>
    <row r="2138" spans="1:9" x14ac:dyDescent="0.25">
      <c r="A2138" s="12">
        <v>2137</v>
      </c>
      <c r="B2138" s="12" t="s">
        <v>7201</v>
      </c>
      <c r="C2138" s="12" t="s">
        <v>7202</v>
      </c>
      <c r="D2138" s="12" t="s">
        <v>14</v>
      </c>
      <c r="E2138" s="12" t="s">
        <v>7203</v>
      </c>
      <c r="F2138" s="12" t="s">
        <v>426</v>
      </c>
      <c r="G2138" s="12" t="b">
        <v>1</v>
      </c>
      <c r="H2138" s="12" t="b">
        <v>0</v>
      </c>
      <c r="I2138" s="12" t="b">
        <v>0</v>
      </c>
    </row>
    <row r="2139" spans="1:9" x14ac:dyDescent="0.25">
      <c r="A2139" s="12">
        <v>2138</v>
      </c>
      <c r="B2139" s="12" t="s">
        <v>7204</v>
      </c>
      <c r="C2139" s="12" t="s">
        <v>7205</v>
      </c>
      <c r="D2139" s="12" t="s">
        <v>10</v>
      </c>
      <c r="E2139" s="12" t="s">
        <v>7206</v>
      </c>
      <c r="F2139" s="12" t="s">
        <v>2382</v>
      </c>
      <c r="G2139" s="12" t="b">
        <v>0</v>
      </c>
      <c r="H2139" s="12" t="b">
        <v>0</v>
      </c>
      <c r="I2139" s="12" t="b">
        <v>0</v>
      </c>
    </row>
    <row r="2140" spans="1:9" x14ac:dyDescent="0.25">
      <c r="A2140" s="12">
        <v>2139</v>
      </c>
      <c r="B2140" s="12" t="s">
        <v>7207</v>
      </c>
      <c r="C2140" s="12" t="s">
        <v>7208</v>
      </c>
      <c r="D2140" s="12" t="s">
        <v>14</v>
      </c>
      <c r="E2140" s="12" t="s">
        <v>7209</v>
      </c>
      <c r="F2140" s="12" t="s">
        <v>2284</v>
      </c>
      <c r="G2140" s="12" t="b">
        <v>0</v>
      </c>
      <c r="H2140" s="12" t="b">
        <v>0</v>
      </c>
      <c r="I2140" s="12" t="b">
        <v>0</v>
      </c>
    </row>
    <row r="2141" spans="1:9" x14ac:dyDescent="0.25">
      <c r="A2141" s="12">
        <v>2140</v>
      </c>
      <c r="B2141" s="12" t="s">
        <v>7210</v>
      </c>
      <c r="C2141" s="12" t="s">
        <v>7211</v>
      </c>
      <c r="D2141" s="12" t="s">
        <v>14</v>
      </c>
      <c r="E2141" s="12" t="s">
        <v>7212</v>
      </c>
      <c r="F2141" s="12" t="s">
        <v>681</v>
      </c>
      <c r="G2141" s="12" t="b">
        <v>0</v>
      </c>
      <c r="H2141" s="12" t="b">
        <v>0</v>
      </c>
      <c r="I2141" s="12" t="b">
        <v>0</v>
      </c>
    </row>
    <row r="2142" spans="1:9" x14ac:dyDescent="0.25">
      <c r="A2142" s="12">
        <v>2141</v>
      </c>
      <c r="B2142" s="12" t="s">
        <v>7213</v>
      </c>
      <c r="C2142" s="12" t="s">
        <v>7214</v>
      </c>
      <c r="D2142" s="12" t="s">
        <v>45</v>
      </c>
      <c r="E2142" s="12" t="s">
        <v>7215</v>
      </c>
      <c r="F2142" s="12" t="s">
        <v>7216</v>
      </c>
      <c r="G2142" s="12" t="b">
        <v>0</v>
      </c>
      <c r="H2142" s="12" t="b">
        <v>0</v>
      </c>
      <c r="I2142" s="12" t="b">
        <v>0</v>
      </c>
    </row>
    <row r="2143" spans="1:9" x14ac:dyDescent="0.25">
      <c r="A2143" s="12">
        <v>2142</v>
      </c>
      <c r="B2143" s="12" t="s">
        <v>7217</v>
      </c>
      <c r="C2143" s="12" t="s">
        <v>7218</v>
      </c>
      <c r="D2143" s="12" t="s">
        <v>14</v>
      </c>
      <c r="E2143" s="12" t="s">
        <v>7042</v>
      </c>
      <c r="F2143" s="12" t="s">
        <v>859</v>
      </c>
      <c r="G2143" s="12" t="b">
        <v>1</v>
      </c>
      <c r="H2143" s="12" t="b">
        <v>0</v>
      </c>
      <c r="I2143" s="12" t="b">
        <v>0</v>
      </c>
    </row>
    <row r="2144" spans="1:9" x14ac:dyDescent="0.25">
      <c r="A2144" s="12">
        <v>2143</v>
      </c>
      <c r="B2144" s="12" t="s">
        <v>7219</v>
      </c>
      <c r="C2144" s="12" t="s">
        <v>7220</v>
      </c>
      <c r="D2144" s="12" t="s">
        <v>45</v>
      </c>
      <c r="E2144" s="12" t="s">
        <v>7221</v>
      </c>
      <c r="F2144" s="12" t="s">
        <v>681</v>
      </c>
      <c r="G2144" s="12" t="b">
        <v>1</v>
      </c>
      <c r="H2144" s="12" t="b">
        <v>0</v>
      </c>
      <c r="I2144" s="12" t="b">
        <v>0</v>
      </c>
    </row>
    <row r="2145" spans="1:9" x14ac:dyDescent="0.25">
      <c r="A2145" s="12">
        <v>2144</v>
      </c>
      <c r="B2145" s="12" t="s">
        <v>7222</v>
      </c>
      <c r="C2145" s="12" t="s">
        <v>7223</v>
      </c>
      <c r="D2145" s="12" t="s">
        <v>10</v>
      </c>
      <c r="E2145" s="12" t="s">
        <v>7224</v>
      </c>
      <c r="F2145" s="12" t="s">
        <v>1181</v>
      </c>
      <c r="G2145" s="12" t="b">
        <v>0</v>
      </c>
      <c r="H2145" s="12" t="b">
        <v>0</v>
      </c>
      <c r="I2145" s="12" t="b">
        <v>0</v>
      </c>
    </row>
    <row r="2146" spans="1:9" x14ac:dyDescent="0.25">
      <c r="A2146" s="12">
        <v>2145</v>
      </c>
      <c r="B2146" s="12" t="s">
        <v>7225</v>
      </c>
      <c r="C2146" s="12" t="s">
        <v>7226</v>
      </c>
      <c r="D2146" s="12" t="s">
        <v>14</v>
      </c>
      <c r="E2146" s="12" t="s">
        <v>7227</v>
      </c>
      <c r="F2146" s="12" t="s">
        <v>1055</v>
      </c>
      <c r="G2146" s="12" t="b">
        <v>0</v>
      </c>
      <c r="H2146" s="12" t="b">
        <v>0</v>
      </c>
      <c r="I2146" s="12" t="b">
        <v>0</v>
      </c>
    </row>
    <row r="2147" spans="1:9" x14ac:dyDescent="0.25">
      <c r="A2147" s="12">
        <v>2146</v>
      </c>
      <c r="B2147" s="12" t="s">
        <v>7228</v>
      </c>
      <c r="C2147" s="12" t="s">
        <v>7229</v>
      </c>
      <c r="D2147" s="12" t="s">
        <v>14</v>
      </c>
      <c r="E2147" s="12" t="s">
        <v>7230</v>
      </c>
      <c r="F2147" s="12" t="s">
        <v>7231</v>
      </c>
      <c r="G2147" s="12" t="b">
        <v>0</v>
      </c>
      <c r="H2147" s="12" t="b">
        <v>0</v>
      </c>
      <c r="I2147" s="12" t="b">
        <v>0</v>
      </c>
    </row>
    <row r="2148" spans="1:9" x14ac:dyDescent="0.25">
      <c r="A2148" s="12">
        <v>2147</v>
      </c>
      <c r="B2148" s="12" t="s">
        <v>7232</v>
      </c>
      <c r="C2148" s="12" t="s">
        <v>7233</v>
      </c>
      <c r="D2148" s="12" t="s">
        <v>45</v>
      </c>
      <c r="E2148" s="12" t="s">
        <v>7234</v>
      </c>
      <c r="F2148" s="12" t="s">
        <v>7235</v>
      </c>
      <c r="G2148" s="12" t="b">
        <v>0</v>
      </c>
      <c r="H2148" s="12" t="b">
        <v>0</v>
      </c>
      <c r="I2148" s="12" t="b">
        <v>0</v>
      </c>
    </row>
    <row r="2149" spans="1:9" x14ac:dyDescent="0.25">
      <c r="A2149" s="12">
        <v>2148</v>
      </c>
      <c r="B2149" s="12" t="s">
        <v>7236</v>
      </c>
      <c r="C2149" s="12" t="s">
        <v>7237</v>
      </c>
      <c r="D2149" s="12" t="s">
        <v>10</v>
      </c>
      <c r="E2149" s="12" t="s">
        <v>7238</v>
      </c>
      <c r="F2149" s="12" t="s">
        <v>495</v>
      </c>
      <c r="G2149" s="12" t="b">
        <v>0</v>
      </c>
      <c r="H2149" s="12" t="b">
        <v>0</v>
      </c>
      <c r="I2149" s="12" t="b">
        <v>0</v>
      </c>
    </row>
    <row r="2150" spans="1:9" x14ac:dyDescent="0.25">
      <c r="A2150" s="12">
        <v>2149</v>
      </c>
      <c r="B2150" s="12" t="s">
        <v>7239</v>
      </c>
      <c r="C2150" s="12" t="s">
        <v>7240</v>
      </c>
      <c r="D2150" s="12" t="s">
        <v>14</v>
      </c>
      <c r="E2150" s="12" t="s">
        <v>7241</v>
      </c>
      <c r="F2150" s="12" t="s">
        <v>7103</v>
      </c>
      <c r="G2150" s="12" t="b">
        <v>0</v>
      </c>
      <c r="H2150" s="12" t="b">
        <v>0</v>
      </c>
      <c r="I2150" s="12" t="b">
        <v>0</v>
      </c>
    </row>
    <row r="2151" spans="1:9" x14ac:dyDescent="0.25">
      <c r="A2151" s="12">
        <v>2150</v>
      </c>
      <c r="B2151" s="12" t="s">
        <v>7242</v>
      </c>
      <c r="C2151" s="12" t="s">
        <v>7243</v>
      </c>
      <c r="D2151" s="12" t="s">
        <v>14</v>
      </c>
      <c r="E2151" s="12" t="s">
        <v>7244</v>
      </c>
      <c r="F2151" s="12" t="s">
        <v>3539</v>
      </c>
      <c r="G2151" s="12" t="b">
        <v>0</v>
      </c>
      <c r="H2151" s="12" t="b">
        <v>0</v>
      </c>
      <c r="I2151" s="12" t="b">
        <v>0</v>
      </c>
    </row>
    <row r="2152" spans="1:9" x14ac:dyDescent="0.25">
      <c r="A2152" s="12">
        <v>2151</v>
      </c>
      <c r="B2152" s="12" t="s">
        <v>7245</v>
      </c>
      <c r="C2152" s="12" t="s">
        <v>7246</v>
      </c>
      <c r="D2152" s="12" t="s">
        <v>45</v>
      </c>
      <c r="E2152" s="12" t="s">
        <v>7247</v>
      </c>
      <c r="F2152" s="12" t="s">
        <v>5465</v>
      </c>
      <c r="G2152" s="12" t="b">
        <v>0</v>
      </c>
      <c r="H2152" s="12" t="b">
        <v>0</v>
      </c>
      <c r="I2152" s="12" t="b">
        <v>0</v>
      </c>
    </row>
    <row r="2153" spans="1:9" x14ac:dyDescent="0.25">
      <c r="A2153" s="12">
        <v>2152</v>
      </c>
      <c r="B2153" s="12" t="s">
        <v>7248</v>
      </c>
      <c r="C2153" s="12" t="s">
        <v>7249</v>
      </c>
      <c r="D2153" s="12" t="s">
        <v>14</v>
      </c>
      <c r="E2153" s="12" t="s">
        <v>7250</v>
      </c>
      <c r="F2153" s="12" t="s">
        <v>7251</v>
      </c>
      <c r="G2153" s="12" t="b">
        <v>1</v>
      </c>
      <c r="H2153" s="12" t="b">
        <v>0</v>
      </c>
      <c r="I2153" s="12" t="b">
        <v>0</v>
      </c>
    </row>
    <row r="2154" spans="1:9" x14ac:dyDescent="0.25">
      <c r="A2154" s="12">
        <v>2153</v>
      </c>
      <c r="B2154" s="12" t="s">
        <v>7252</v>
      </c>
      <c r="C2154" s="12" t="s">
        <v>7253</v>
      </c>
      <c r="D2154" s="12" t="s">
        <v>45</v>
      </c>
      <c r="E2154" s="12" t="s">
        <v>7254</v>
      </c>
      <c r="F2154" s="12" t="s">
        <v>859</v>
      </c>
      <c r="G2154" s="12" t="b">
        <v>1</v>
      </c>
      <c r="H2154" s="12" t="b">
        <v>0</v>
      </c>
      <c r="I2154" s="12" t="b">
        <v>0</v>
      </c>
    </row>
    <row r="2155" spans="1:9" x14ac:dyDescent="0.25">
      <c r="A2155" s="12">
        <v>2154</v>
      </c>
      <c r="B2155" s="12" t="s">
        <v>7255</v>
      </c>
      <c r="C2155" s="12" t="s">
        <v>7256</v>
      </c>
      <c r="D2155" s="12" t="s">
        <v>10</v>
      </c>
      <c r="E2155" s="12" t="s">
        <v>7257</v>
      </c>
      <c r="F2155" s="12" t="s">
        <v>7258</v>
      </c>
      <c r="G2155" s="12" t="b">
        <v>0</v>
      </c>
      <c r="H2155" s="12" t="b">
        <v>0</v>
      </c>
      <c r="I2155" s="12" t="b">
        <v>0</v>
      </c>
    </row>
    <row r="2156" spans="1:9" x14ac:dyDescent="0.25">
      <c r="A2156" s="12">
        <v>2155</v>
      </c>
      <c r="B2156" s="12" t="s">
        <v>7259</v>
      </c>
      <c r="C2156" s="12" t="s">
        <v>7260</v>
      </c>
      <c r="D2156" s="12" t="s">
        <v>14</v>
      </c>
      <c r="E2156" s="12" t="s">
        <v>7261</v>
      </c>
      <c r="F2156" s="12" t="s">
        <v>317</v>
      </c>
      <c r="G2156" s="12" t="b">
        <v>0</v>
      </c>
      <c r="H2156" s="12" t="b">
        <v>0</v>
      </c>
      <c r="I2156" s="12" t="b">
        <v>0</v>
      </c>
    </row>
    <row r="2157" spans="1:9" x14ac:dyDescent="0.25">
      <c r="A2157" s="12">
        <v>2156</v>
      </c>
      <c r="B2157" s="12" t="s">
        <v>7262</v>
      </c>
      <c r="C2157" s="12" t="s">
        <v>7263</v>
      </c>
      <c r="D2157" s="12" t="s">
        <v>45</v>
      </c>
      <c r="E2157" s="12" t="s">
        <v>7264</v>
      </c>
      <c r="F2157" s="12" t="s">
        <v>7265</v>
      </c>
      <c r="G2157" s="12" t="b">
        <v>0</v>
      </c>
      <c r="H2157" s="12" t="b">
        <v>0</v>
      </c>
      <c r="I2157" s="12" t="b">
        <v>0</v>
      </c>
    </row>
    <row r="2158" spans="1:9" x14ac:dyDescent="0.25">
      <c r="A2158" s="12">
        <v>2157</v>
      </c>
      <c r="B2158" s="12" t="s">
        <v>7266</v>
      </c>
      <c r="C2158" s="12" t="s">
        <v>7267</v>
      </c>
      <c r="D2158" s="12" t="s">
        <v>45</v>
      </c>
      <c r="E2158" s="12" t="s">
        <v>7268</v>
      </c>
      <c r="F2158" s="12" t="s">
        <v>7269</v>
      </c>
      <c r="G2158" s="12" t="b">
        <v>0</v>
      </c>
      <c r="H2158" s="12" t="b">
        <v>0</v>
      </c>
      <c r="I2158" s="12" t="b">
        <v>0</v>
      </c>
    </row>
    <row r="2159" spans="1:9" x14ac:dyDescent="0.25">
      <c r="A2159" s="12">
        <v>2158</v>
      </c>
      <c r="B2159" s="12" t="s">
        <v>7270</v>
      </c>
      <c r="C2159" s="12" t="s">
        <v>7271</v>
      </c>
      <c r="D2159" s="12" t="s">
        <v>45</v>
      </c>
      <c r="E2159" s="12" t="s">
        <v>7272</v>
      </c>
      <c r="F2159" s="12" t="s">
        <v>2517</v>
      </c>
      <c r="G2159" s="12" t="b">
        <v>1</v>
      </c>
      <c r="H2159" s="12" t="b">
        <v>0</v>
      </c>
      <c r="I2159" s="12" t="b">
        <v>0</v>
      </c>
    </row>
    <row r="2160" spans="1:9" x14ac:dyDescent="0.25">
      <c r="A2160" s="12">
        <v>2159</v>
      </c>
      <c r="B2160" s="12" t="s">
        <v>7273</v>
      </c>
      <c r="C2160" s="12" t="s">
        <v>7274</v>
      </c>
      <c r="D2160" s="12" t="s">
        <v>14</v>
      </c>
      <c r="E2160" s="12" t="s">
        <v>3570</v>
      </c>
      <c r="F2160" s="12" t="s">
        <v>859</v>
      </c>
      <c r="G2160" s="12" t="b">
        <v>1</v>
      </c>
      <c r="H2160" s="12" t="b">
        <v>0</v>
      </c>
      <c r="I2160" s="12" t="b">
        <v>0</v>
      </c>
    </row>
    <row r="2161" spans="1:9" x14ac:dyDescent="0.25">
      <c r="A2161" s="12">
        <v>2160</v>
      </c>
      <c r="B2161" s="12" t="s">
        <v>7275</v>
      </c>
      <c r="C2161" s="12" t="s">
        <v>7276</v>
      </c>
      <c r="D2161" s="12" t="s">
        <v>10</v>
      </c>
      <c r="E2161" s="12" t="s">
        <v>7277</v>
      </c>
      <c r="F2161" s="12" t="s">
        <v>7278</v>
      </c>
      <c r="G2161" s="12" t="b">
        <v>0</v>
      </c>
      <c r="H2161" s="12" t="b">
        <v>0</v>
      </c>
      <c r="I2161" s="12" t="b">
        <v>0</v>
      </c>
    </row>
    <row r="2162" spans="1:9" x14ac:dyDescent="0.25">
      <c r="A2162" s="12">
        <v>2161</v>
      </c>
      <c r="B2162" s="12" t="s">
        <v>7279</v>
      </c>
      <c r="C2162" s="12" t="s">
        <v>7280</v>
      </c>
      <c r="D2162" s="12" t="s">
        <v>14</v>
      </c>
      <c r="E2162" s="12" t="s">
        <v>7281</v>
      </c>
      <c r="F2162" s="12" t="s">
        <v>7103</v>
      </c>
      <c r="G2162" s="12" t="b">
        <v>0</v>
      </c>
      <c r="H2162" s="12" t="b">
        <v>0</v>
      </c>
      <c r="I2162" s="12" t="b">
        <v>0</v>
      </c>
    </row>
    <row r="2163" spans="1:9" x14ac:dyDescent="0.25">
      <c r="A2163" s="12">
        <v>2162</v>
      </c>
      <c r="B2163" s="12" t="s">
        <v>7282</v>
      </c>
      <c r="C2163" s="12" t="s">
        <v>7283</v>
      </c>
      <c r="D2163" s="12" t="s">
        <v>14</v>
      </c>
      <c r="E2163" s="12" t="s">
        <v>7284</v>
      </c>
      <c r="F2163" s="12" t="s">
        <v>2939</v>
      </c>
      <c r="G2163" s="12" t="b">
        <v>0</v>
      </c>
      <c r="H2163" s="12" t="b">
        <v>0</v>
      </c>
      <c r="I2163" s="12" t="b">
        <v>0</v>
      </c>
    </row>
    <row r="2164" spans="1:9" x14ac:dyDescent="0.25">
      <c r="A2164" s="12">
        <v>2163</v>
      </c>
      <c r="B2164" s="12" t="s">
        <v>7285</v>
      </c>
      <c r="C2164" s="12" t="s">
        <v>7286</v>
      </c>
      <c r="D2164" s="12" t="s">
        <v>45</v>
      </c>
      <c r="E2164" s="12" t="s">
        <v>7287</v>
      </c>
      <c r="F2164" s="12" t="s">
        <v>7288</v>
      </c>
      <c r="G2164" s="12" t="b">
        <v>0</v>
      </c>
      <c r="H2164" s="12" t="b">
        <v>0</v>
      </c>
      <c r="I2164" s="12" t="b">
        <v>0</v>
      </c>
    </row>
    <row r="2165" spans="1:9" x14ac:dyDescent="0.25">
      <c r="A2165" s="12">
        <v>2164</v>
      </c>
      <c r="B2165" s="12" t="s">
        <v>7289</v>
      </c>
      <c r="C2165" s="12" t="s">
        <v>7290</v>
      </c>
      <c r="D2165" s="12" t="s">
        <v>10</v>
      </c>
      <c r="E2165" s="12" t="s">
        <v>7291</v>
      </c>
      <c r="F2165" s="12" t="s">
        <v>495</v>
      </c>
      <c r="G2165" s="12" t="b">
        <v>0</v>
      </c>
      <c r="H2165" s="12" t="b">
        <v>0</v>
      </c>
      <c r="I2165" s="12" t="b">
        <v>0</v>
      </c>
    </row>
    <row r="2166" spans="1:9" x14ac:dyDescent="0.25">
      <c r="A2166" s="12">
        <v>2165</v>
      </c>
      <c r="B2166" s="12" t="s">
        <v>7292</v>
      </c>
      <c r="C2166" s="12" t="s">
        <v>7293</v>
      </c>
      <c r="D2166" s="12" t="s">
        <v>14</v>
      </c>
      <c r="E2166" s="12" t="s">
        <v>7294</v>
      </c>
      <c r="F2166" s="12" t="s">
        <v>7295</v>
      </c>
      <c r="G2166" s="12" t="b">
        <v>0</v>
      </c>
      <c r="H2166" s="12" t="b">
        <v>0</v>
      </c>
      <c r="I2166" s="12" t="b">
        <v>0</v>
      </c>
    </row>
    <row r="2167" spans="1:9" x14ac:dyDescent="0.25">
      <c r="A2167" s="12">
        <v>2166</v>
      </c>
      <c r="B2167" s="12" t="s">
        <v>7296</v>
      </c>
      <c r="C2167" s="12" t="s">
        <v>7297</v>
      </c>
      <c r="D2167" s="12" t="s">
        <v>14</v>
      </c>
      <c r="E2167" s="12" t="s">
        <v>7298</v>
      </c>
      <c r="F2167" s="12" t="s">
        <v>4666</v>
      </c>
      <c r="G2167" s="12" t="b">
        <v>0</v>
      </c>
      <c r="H2167" s="12" t="b">
        <v>0</v>
      </c>
      <c r="I2167" s="12" t="b">
        <v>0</v>
      </c>
    </row>
    <row r="2168" spans="1:9" x14ac:dyDescent="0.25">
      <c r="A2168" s="12">
        <v>2167</v>
      </c>
      <c r="B2168" s="12" t="s">
        <v>7299</v>
      </c>
      <c r="C2168" s="12" t="s">
        <v>7300</v>
      </c>
      <c r="D2168" s="12" t="s">
        <v>45</v>
      </c>
      <c r="E2168" s="12" t="s">
        <v>7301</v>
      </c>
      <c r="F2168" s="12" t="s">
        <v>340</v>
      </c>
      <c r="G2168" s="12" t="b">
        <v>0</v>
      </c>
      <c r="H2168" s="12" t="b">
        <v>0</v>
      </c>
      <c r="I2168" s="12" t="b">
        <v>0</v>
      </c>
    </row>
    <row r="2169" spans="1:9" x14ac:dyDescent="0.25">
      <c r="A2169" s="12">
        <v>2168</v>
      </c>
      <c r="B2169" s="12" t="s">
        <v>7302</v>
      </c>
      <c r="C2169" s="12" t="s">
        <v>7303</v>
      </c>
      <c r="D2169" s="12" t="s">
        <v>14</v>
      </c>
      <c r="E2169" s="12" t="s">
        <v>7304</v>
      </c>
      <c r="F2169" s="12" t="s">
        <v>7305</v>
      </c>
      <c r="G2169" s="12" t="b">
        <v>1</v>
      </c>
      <c r="H2169" s="12" t="b">
        <v>0</v>
      </c>
      <c r="I2169" s="12" t="b">
        <v>0</v>
      </c>
    </row>
    <row r="2170" spans="1:9" x14ac:dyDescent="0.25">
      <c r="A2170" s="12">
        <v>2169</v>
      </c>
      <c r="B2170" s="12" t="s">
        <v>7306</v>
      </c>
      <c r="C2170" s="12" t="s">
        <v>7307</v>
      </c>
      <c r="D2170" s="12" t="s">
        <v>10</v>
      </c>
      <c r="E2170" s="12" t="s">
        <v>7308</v>
      </c>
      <c r="F2170" s="12" t="s">
        <v>3837</v>
      </c>
      <c r="G2170" s="12" t="b">
        <v>0</v>
      </c>
      <c r="H2170" s="12" t="b">
        <v>0</v>
      </c>
      <c r="I2170" s="12" t="b">
        <v>0</v>
      </c>
    </row>
    <row r="2171" spans="1:9" x14ac:dyDescent="0.25">
      <c r="A2171" s="12">
        <v>2170</v>
      </c>
      <c r="B2171" s="12" t="s">
        <v>7309</v>
      </c>
      <c r="C2171" s="12" t="s">
        <v>7310</v>
      </c>
      <c r="D2171" s="12" t="s">
        <v>14</v>
      </c>
      <c r="E2171" s="12" t="s">
        <v>7311</v>
      </c>
      <c r="F2171" s="12" t="s">
        <v>6027</v>
      </c>
      <c r="G2171" s="12" t="b">
        <v>0</v>
      </c>
      <c r="H2171" s="12" t="b">
        <v>0</v>
      </c>
      <c r="I2171" s="12" t="b">
        <v>0</v>
      </c>
    </row>
    <row r="2172" spans="1:9" x14ac:dyDescent="0.25">
      <c r="A2172" s="12">
        <v>2171</v>
      </c>
      <c r="B2172" s="12" t="s">
        <v>7312</v>
      </c>
      <c r="C2172" s="12" t="s">
        <v>7313</v>
      </c>
      <c r="D2172" s="12" t="s">
        <v>14</v>
      </c>
      <c r="E2172" s="12" t="s">
        <v>7314</v>
      </c>
      <c r="F2172" s="12" t="s">
        <v>7315</v>
      </c>
      <c r="G2172" s="12" t="b">
        <v>0</v>
      </c>
      <c r="H2172" s="12" t="b">
        <v>0</v>
      </c>
      <c r="I2172" s="12" t="b">
        <v>0</v>
      </c>
    </row>
    <row r="2173" spans="1:9" x14ac:dyDescent="0.25">
      <c r="A2173" s="12">
        <v>2172</v>
      </c>
      <c r="B2173" s="12" t="s">
        <v>7316</v>
      </c>
      <c r="C2173" s="12" t="s">
        <v>7317</v>
      </c>
      <c r="D2173" s="12" t="s">
        <v>45</v>
      </c>
      <c r="E2173" s="12" t="s">
        <v>7318</v>
      </c>
      <c r="F2173" s="12" t="s">
        <v>3908</v>
      </c>
      <c r="G2173" s="12" t="b">
        <v>0</v>
      </c>
      <c r="H2173" s="12" t="b">
        <v>0</v>
      </c>
      <c r="I2173" s="12" t="b">
        <v>0</v>
      </c>
    </row>
    <row r="2174" spans="1:9" x14ac:dyDescent="0.25">
      <c r="A2174" s="12">
        <v>2173</v>
      </c>
      <c r="B2174" s="12" t="s">
        <v>7319</v>
      </c>
      <c r="C2174" s="12" t="s">
        <v>7320</v>
      </c>
      <c r="D2174" s="12" t="s">
        <v>45</v>
      </c>
      <c r="E2174" s="12" t="s">
        <v>7321</v>
      </c>
      <c r="F2174" s="12" t="s">
        <v>859</v>
      </c>
      <c r="G2174" s="12" t="b">
        <v>1</v>
      </c>
      <c r="H2174" s="12" t="b">
        <v>0</v>
      </c>
      <c r="I2174" s="12" t="b">
        <v>0</v>
      </c>
    </row>
    <row r="2175" spans="1:9" x14ac:dyDescent="0.25">
      <c r="A2175" s="12">
        <v>2174</v>
      </c>
      <c r="B2175" s="12" t="s">
        <v>7322</v>
      </c>
      <c r="C2175" s="12" t="s">
        <v>7323</v>
      </c>
      <c r="D2175" s="12" t="s">
        <v>14</v>
      </c>
      <c r="E2175" s="12" t="s">
        <v>7324</v>
      </c>
      <c r="F2175" s="12" t="s">
        <v>4428</v>
      </c>
      <c r="G2175" s="12" t="b">
        <v>1</v>
      </c>
      <c r="H2175" s="12" t="b">
        <v>0</v>
      </c>
      <c r="I2175" s="12" t="b">
        <v>0</v>
      </c>
    </row>
    <row r="2176" spans="1:9" x14ac:dyDescent="0.25">
      <c r="A2176" s="12">
        <v>2175</v>
      </c>
      <c r="B2176" s="12" t="s">
        <v>7325</v>
      </c>
      <c r="C2176" s="12" t="s">
        <v>7326</v>
      </c>
      <c r="D2176" s="12" t="s">
        <v>14</v>
      </c>
      <c r="E2176" s="12" t="s">
        <v>7327</v>
      </c>
      <c r="F2176" s="12" t="s">
        <v>859</v>
      </c>
      <c r="G2176" s="12" t="b">
        <v>1</v>
      </c>
      <c r="H2176" s="12" t="b">
        <v>0</v>
      </c>
      <c r="I2176" s="12" t="b">
        <v>0</v>
      </c>
    </row>
    <row r="2177" spans="1:9" x14ac:dyDescent="0.25">
      <c r="A2177" s="12">
        <v>2176</v>
      </c>
      <c r="B2177" s="12" t="s">
        <v>7328</v>
      </c>
      <c r="C2177" s="12" t="s">
        <v>7329</v>
      </c>
      <c r="D2177" s="12" t="s">
        <v>10</v>
      </c>
      <c r="E2177" s="12" t="s">
        <v>7330</v>
      </c>
      <c r="F2177" s="12" t="s">
        <v>317</v>
      </c>
      <c r="G2177" s="12" t="b">
        <v>0</v>
      </c>
      <c r="H2177" s="12" t="b">
        <v>0</v>
      </c>
      <c r="I2177" s="12" t="b">
        <v>0</v>
      </c>
    </row>
    <row r="2178" spans="1:9" x14ac:dyDescent="0.25">
      <c r="A2178" s="12">
        <v>2177</v>
      </c>
      <c r="B2178" s="12" t="s">
        <v>7331</v>
      </c>
      <c r="C2178" s="12" t="s">
        <v>7332</v>
      </c>
      <c r="D2178" s="12" t="s">
        <v>14</v>
      </c>
      <c r="E2178" s="12" t="s">
        <v>7333</v>
      </c>
      <c r="F2178" s="12" t="s">
        <v>3837</v>
      </c>
      <c r="G2178" s="12" t="b">
        <v>0</v>
      </c>
      <c r="H2178" s="12" t="b">
        <v>0</v>
      </c>
      <c r="I2178" s="12" t="b">
        <v>0</v>
      </c>
    </row>
    <row r="2179" spans="1:9" x14ac:dyDescent="0.25">
      <c r="A2179" s="12">
        <v>2178</v>
      </c>
      <c r="B2179" s="12" t="s">
        <v>7334</v>
      </c>
      <c r="C2179" s="12" t="s">
        <v>7335</v>
      </c>
      <c r="D2179" s="12" t="s">
        <v>14</v>
      </c>
      <c r="E2179" s="12" t="s">
        <v>7336</v>
      </c>
      <c r="F2179" s="12" t="s">
        <v>2284</v>
      </c>
      <c r="G2179" s="12" t="b">
        <v>0</v>
      </c>
      <c r="H2179" s="12" t="b">
        <v>0</v>
      </c>
      <c r="I2179" s="12" t="b">
        <v>0</v>
      </c>
    </row>
    <row r="2180" spans="1:9" x14ac:dyDescent="0.25">
      <c r="A2180" s="12">
        <v>2179</v>
      </c>
      <c r="B2180" s="12" t="s">
        <v>7337</v>
      </c>
      <c r="C2180" s="12" t="s">
        <v>7338</v>
      </c>
      <c r="D2180" s="12" t="s">
        <v>45</v>
      </c>
      <c r="E2180" s="12" t="s">
        <v>7339</v>
      </c>
      <c r="F2180" s="12" t="s">
        <v>1290</v>
      </c>
      <c r="G2180" s="12" t="b">
        <v>0</v>
      </c>
      <c r="H2180" s="12" t="b">
        <v>0</v>
      </c>
      <c r="I2180" s="12" t="b">
        <v>0</v>
      </c>
    </row>
    <row r="2181" spans="1:9" x14ac:dyDescent="0.25">
      <c r="A2181" s="12">
        <v>2180</v>
      </c>
      <c r="B2181" s="12" t="s">
        <v>7340</v>
      </c>
      <c r="C2181" s="12" t="s">
        <v>7341</v>
      </c>
      <c r="D2181" s="12" t="s">
        <v>10</v>
      </c>
      <c r="E2181" s="12" t="s">
        <v>7342</v>
      </c>
      <c r="F2181" s="12" t="s">
        <v>3837</v>
      </c>
      <c r="G2181" s="12" t="b">
        <v>0</v>
      </c>
      <c r="H2181" s="12" t="b">
        <v>0</v>
      </c>
      <c r="I2181" s="12" t="b">
        <v>0</v>
      </c>
    </row>
    <row r="2182" spans="1:9" x14ac:dyDescent="0.25">
      <c r="A2182" s="12">
        <v>2181</v>
      </c>
      <c r="B2182" s="12" t="s">
        <v>7343</v>
      </c>
      <c r="C2182" s="12" t="s">
        <v>7344</v>
      </c>
      <c r="D2182" s="12" t="s">
        <v>14</v>
      </c>
      <c r="E2182" s="12" t="s">
        <v>7345</v>
      </c>
      <c r="F2182" s="12" t="s">
        <v>7346</v>
      </c>
      <c r="G2182" s="12" t="b">
        <v>0</v>
      </c>
      <c r="H2182" s="12" t="b">
        <v>0</v>
      </c>
      <c r="I2182" s="12" t="b">
        <v>0</v>
      </c>
    </row>
    <row r="2183" spans="1:9" x14ac:dyDescent="0.25">
      <c r="A2183" s="12">
        <v>2182</v>
      </c>
      <c r="B2183" s="12" t="s">
        <v>7347</v>
      </c>
      <c r="C2183" s="12" t="s">
        <v>7348</v>
      </c>
      <c r="D2183" s="12" t="s">
        <v>14</v>
      </c>
      <c r="E2183" s="12" t="s">
        <v>7349</v>
      </c>
      <c r="F2183" s="12" t="s">
        <v>7350</v>
      </c>
      <c r="G2183" s="12" t="b">
        <v>0</v>
      </c>
      <c r="H2183" s="12" t="b">
        <v>0</v>
      </c>
      <c r="I2183" s="12" t="b">
        <v>0</v>
      </c>
    </row>
    <row r="2184" spans="1:9" x14ac:dyDescent="0.25">
      <c r="A2184" s="12">
        <v>2183</v>
      </c>
      <c r="B2184" s="12" t="s">
        <v>7351</v>
      </c>
      <c r="C2184" s="12" t="s">
        <v>7352</v>
      </c>
      <c r="D2184" s="12" t="s">
        <v>45</v>
      </c>
      <c r="E2184" s="12" t="s">
        <v>7353</v>
      </c>
      <c r="F2184" s="12" t="s">
        <v>4317</v>
      </c>
      <c r="G2184" s="12" t="b">
        <v>0</v>
      </c>
      <c r="H2184" s="12" t="b">
        <v>0</v>
      </c>
      <c r="I2184" s="12" t="b">
        <v>0</v>
      </c>
    </row>
    <row r="2185" spans="1:9" x14ac:dyDescent="0.25">
      <c r="A2185" s="12">
        <v>2184</v>
      </c>
      <c r="B2185" s="12" t="s">
        <v>7354</v>
      </c>
      <c r="C2185" s="12" t="s">
        <v>7355</v>
      </c>
      <c r="D2185" s="12" t="s">
        <v>14</v>
      </c>
      <c r="E2185" s="12" t="s">
        <v>7356</v>
      </c>
      <c r="F2185" s="12" t="s">
        <v>3908</v>
      </c>
      <c r="G2185" s="12" t="b">
        <v>1</v>
      </c>
      <c r="H2185" s="12" t="b">
        <v>0</v>
      </c>
      <c r="I2185" s="12" t="b">
        <v>0</v>
      </c>
    </row>
    <row r="2186" spans="1:9" x14ac:dyDescent="0.25">
      <c r="A2186" s="12">
        <v>2185</v>
      </c>
      <c r="B2186" s="12" t="s">
        <v>7357</v>
      </c>
      <c r="C2186" s="12" t="s">
        <v>7358</v>
      </c>
      <c r="D2186" s="12" t="s">
        <v>10</v>
      </c>
      <c r="E2186" s="12" t="s">
        <v>7359</v>
      </c>
      <c r="F2186" s="12" t="s">
        <v>1072</v>
      </c>
      <c r="G2186" s="12" t="b">
        <v>0</v>
      </c>
      <c r="H2186" s="12" t="b">
        <v>0</v>
      </c>
      <c r="I2186" s="12" t="b">
        <v>0</v>
      </c>
    </row>
    <row r="2187" spans="1:9" x14ac:dyDescent="0.25">
      <c r="A2187" s="12">
        <v>2186</v>
      </c>
      <c r="B2187" s="12" t="s">
        <v>7360</v>
      </c>
      <c r="C2187" s="12" t="s">
        <v>7361</v>
      </c>
      <c r="D2187" s="12" t="s">
        <v>14</v>
      </c>
      <c r="E2187" s="12" t="s">
        <v>7362</v>
      </c>
      <c r="F2187" s="12" t="s">
        <v>1240</v>
      </c>
      <c r="G2187" s="12" t="b">
        <v>0</v>
      </c>
      <c r="H2187" s="12" t="b">
        <v>0</v>
      </c>
      <c r="I2187" s="12" t="b">
        <v>0</v>
      </c>
    </row>
    <row r="2188" spans="1:9" x14ac:dyDescent="0.25">
      <c r="A2188" s="12">
        <v>2187</v>
      </c>
      <c r="B2188" s="12" t="s">
        <v>7363</v>
      </c>
      <c r="C2188" s="12" t="s">
        <v>7364</v>
      </c>
      <c r="D2188" s="12" t="s">
        <v>14</v>
      </c>
      <c r="E2188" s="12" t="s">
        <v>7365</v>
      </c>
      <c r="F2188" s="12" t="s">
        <v>426</v>
      </c>
      <c r="G2188" s="12" t="b">
        <v>0</v>
      </c>
      <c r="H2188" s="12" t="b">
        <v>0</v>
      </c>
      <c r="I2188" s="12" t="b">
        <v>0</v>
      </c>
    </row>
    <row r="2189" spans="1:9" x14ac:dyDescent="0.25">
      <c r="A2189" s="12">
        <v>2188</v>
      </c>
      <c r="B2189" s="12" t="s">
        <v>7366</v>
      </c>
      <c r="C2189" s="12" t="s">
        <v>7367</v>
      </c>
      <c r="D2189" s="12" t="s">
        <v>45</v>
      </c>
      <c r="E2189" s="12" t="s">
        <v>7368</v>
      </c>
      <c r="F2189" s="12" t="s">
        <v>681</v>
      </c>
      <c r="G2189" s="12" t="b">
        <v>0</v>
      </c>
      <c r="H2189" s="12" t="b">
        <v>0</v>
      </c>
      <c r="I2189" s="12" t="b">
        <v>0</v>
      </c>
    </row>
    <row r="2190" spans="1:9" x14ac:dyDescent="0.25">
      <c r="A2190" s="12">
        <v>2189</v>
      </c>
      <c r="B2190" s="12" t="s">
        <v>7369</v>
      </c>
      <c r="C2190" s="12" t="s">
        <v>7370</v>
      </c>
      <c r="D2190" s="12" t="s">
        <v>14</v>
      </c>
      <c r="E2190" s="12" t="s">
        <v>7371</v>
      </c>
      <c r="F2190" s="12" t="s">
        <v>1379</v>
      </c>
      <c r="G2190" s="12" t="b">
        <v>1</v>
      </c>
      <c r="H2190" s="12" t="b">
        <v>0</v>
      </c>
      <c r="I2190" s="12" t="b">
        <v>0</v>
      </c>
    </row>
    <row r="2191" spans="1:9" x14ac:dyDescent="0.25">
      <c r="A2191" s="12">
        <v>2190</v>
      </c>
      <c r="B2191" s="12" t="s">
        <v>7372</v>
      </c>
      <c r="C2191" s="12" t="s">
        <v>7373</v>
      </c>
      <c r="D2191" s="12" t="s">
        <v>10</v>
      </c>
      <c r="E2191" s="12" t="s">
        <v>7374</v>
      </c>
      <c r="F2191" s="12" t="s">
        <v>3539</v>
      </c>
      <c r="G2191" s="12" t="b">
        <v>0</v>
      </c>
      <c r="H2191" s="12" t="b">
        <v>0</v>
      </c>
      <c r="I2191" s="12" t="b">
        <v>0</v>
      </c>
    </row>
    <row r="2192" spans="1:9" x14ac:dyDescent="0.25">
      <c r="A2192" s="12">
        <v>2191</v>
      </c>
      <c r="B2192" s="12" t="s">
        <v>7375</v>
      </c>
      <c r="C2192" s="12" t="s">
        <v>7376</v>
      </c>
      <c r="D2192" s="12" t="s">
        <v>14</v>
      </c>
      <c r="E2192" s="12" t="s">
        <v>7377</v>
      </c>
      <c r="F2192" s="12" t="s">
        <v>495</v>
      </c>
      <c r="G2192" s="12" t="b">
        <v>0</v>
      </c>
      <c r="H2192" s="12" t="b">
        <v>0</v>
      </c>
      <c r="I2192" s="12" t="b">
        <v>0</v>
      </c>
    </row>
    <row r="2193" spans="1:9" x14ac:dyDescent="0.25">
      <c r="A2193" s="12">
        <v>2192</v>
      </c>
      <c r="B2193" s="12" t="s">
        <v>7378</v>
      </c>
      <c r="C2193" s="12" t="s">
        <v>7379</v>
      </c>
      <c r="D2193" s="12" t="s">
        <v>14</v>
      </c>
      <c r="E2193" s="12" t="s">
        <v>7380</v>
      </c>
      <c r="F2193" s="12" t="s">
        <v>957</v>
      </c>
      <c r="G2193" s="12" t="b">
        <v>0</v>
      </c>
      <c r="H2193" s="12" t="b">
        <v>0</v>
      </c>
      <c r="I2193" s="12" t="b">
        <v>0</v>
      </c>
    </row>
    <row r="2194" spans="1:9" x14ac:dyDescent="0.25">
      <c r="A2194" s="12">
        <v>2193</v>
      </c>
      <c r="B2194" s="12" t="s">
        <v>7381</v>
      </c>
      <c r="C2194" s="12" t="s">
        <v>7382</v>
      </c>
      <c r="D2194" s="12" t="s">
        <v>45</v>
      </c>
      <c r="E2194" s="12" t="s">
        <v>7383</v>
      </c>
      <c r="F2194" s="12" t="s">
        <v>7384</v>
      </c>
      <c r="G2194" s="12" t="b">
        <v>0</v>
      </c>
      <c r="H2194" s="12" t="b">
        <v>0</v>
      </c>
      <c r="I2194" s="12" t="b">
        <v>0</v>
      </c>
    </row>
    <row r="2195" spans="1:9" x14ac:dyDescent="0.25">
      <c r="A2195" s="12">
        <v>2194</v>
      </c>
      <c r="B2195" s="12" t="s">
        <v>7385</v>
      </c>
      <c r="C2195" s="12" t="s">
        <v>7386</v>
      </c>
      <c r="D2195" s="12" t="s">
        <v>10</v>
      </c>
      <c r="E2195" s="12" t="s">
        <v>7387</v>
      </c>
      <c r="F2195" s="12" t="s">
        <v>316</v>
      </c>
      <c r="G2195" s="12" t="b">
        <v>0</v>
      </c>
      <c r="H2195" s="12" t="b">
        <v>0</v>
      </c>
      <c r="I2195" s="12" t="b">
        <v>0</v>
      </c>
    </row>
    <row r="2196" spans="1:9" x14ac:dyDescent="0.25">
      <c r="A2196" s="12">
        <v>2195</v>
      </c>
      <c r="B2196" s="12" t="s">
        <v>7388</v>
      </c>
      <c r="C2196" s="12" t="s">
        <v>7389</v>
      </c>
      <c r="D2196" s="12" t="s">
        <v>14</v>
      </c>
      <c r="E2196" s="12" t="s">
        <v>7390</v>
      </c>
      <c r="F2196" s="12" t="s">
        <v>3210</v>
      </c>
      <c r="G2196" s="12" t="b">
        <v>0</v>
      </c>
      <c r="H2196" s="12" t="b">
        <v>0</v>
      </c>
      <c r="I2196" s="12" t="b">
        <v>0</v>
      </c>
    </row>
    <row r="2197" spans="1:9" x14ac:dyDescent="0.25">
      <c r="A2197" s="12">
        <v>2196</v>
      </c>
      <c r="B2197" s="12" t="s">
        <v>7391</v>
      </c>
      <c r="C2197" s="12" t="s">
        <v>7392</v>
      </c>
      <c r="D2197" s="12" t="s">
        <v>14</v>
      </c>
      <c r="E2197" s="12" t="s">
        <v>7393</v>
      </c>
      <c r="F2197" s="12" t="s">
        <v>7394</v>
      </c>
      <c r="G2197" s="12" t="b">
        <v>0</v>
      </c>
      <c r="H2197" s="12" t="b">
        <v>0</v>
      </c>
      <c r="I2197" s="12" t="b">
        <v>0</v>
      </c>
    </row>
    <row r="2198" spans="1:9" x14ac:dyDescent="0.25">
      <c r="A2198" s="12">
        <v>2197</v>
      </c>
      <c r="B2198" s="12" t="s">
        <v>7395</v>
      </c>
      <c r="C2198" s="12" t="s">
        <v>7396</v>
      </c>
      <c r="D2198" s="12" t="s">
        <v>45</v>
      </c>
      <c r="E2198" s="12" t="s">
        <v>7397</v>
      </c>
      <c r="F2198" s="12" t="s">
        <v>7398</v>
      </c>
      <c r="G2198" s="12" t="b">
        <v>0</v>
      </c>
      <c r="H2198" s="12" t="b">
        <v>0</v>
      </c>
      <c r="I2198" s="12" t="b">
        <v>0</v>
      </c>
    </row>
    <row r="2199" spans="1:9" x14ac:dyDescent="0.25">
      <c r="A2199" s="12">
        <v>2198</v>
      </c>
      <c r="B2199" s="12" t="s">
        <v>7399</v>
      </c>
      <c r="C2199" s="12" t="s">
        <v>7400</v>
      </c>
      <c r="D2199" s="12" t="s">
        <v>14</v>
      </c>
      <c r="E2199" s="12" t="s">
        <v>7401</v>
      </c>
      <c r="F2199" s="12" t="s">
        <v>315</v>
      </c>
      <c r="G2199" s="12" t="b">
        <v>1</v>
      </c>
      <c r="H2199" s="12" t="b">
        <v>0</v>
      </c>
      <c r="I2199" s="12" t="b">
        <v>0</v>
      </c>
    </row>
    <row r="2200" spans="1:9" x14ac:dyDescent="0.25">
      <c r="A2200" s="12">
        <v>2199</v>
      </c>
      <c r="B2200" s="12" t="s">
        <v>7402</v>
      </c>
      <c r="C2200" s="12" t="s">
        <v>7403</v>
      </c>
      <c r="D2200" s="12" t="s">
        <v>45</v>
      </c>
      <c r="E2200" s="12" t="s">
        <v>7404</v>
      </c>
      <c r="F2200" s="12" t="s">
        <v>859</v>
      </c>
      <c r="G2200" s="12" t="b">
        <v>1</v>
      </c>
      <c r="H2200" s="12" t="b">
        <v>0</v>
      </c>
      <c r="I2200" s="12" t="b">
        <v>0</v>
      </c>
    </row>
    <row r="2201" spans="1:9" x14ac:dyDescent="0.25">
      <c r="A2201" s="12">
        <v>2200</v>
      </c>
      <c r="B2201" s="12" t="s">
        <v>7405</v>
      </c>
      <c r="C2201" s="12" t="s">
        <v>7406</v>
      </c>
      <c r="D2201" s="12" t="s">
        <v>10</v>
      </c>
      <c r="E2201" s="12" t="s">
        <v>7407</v>
      </c>
      <c r="F2201" s="12" t="s">
        <v>317</v>
      </c>
      <c r="G2201" s="12" t="b">
        <v>0</v>
      </c>
      <c r="H2201" s="12" t="b">
        <v>0</v>
      </c>
      <c r="I2201" s="12" t="b">
        <v>0</v>
      </c>
    </row>
    <row r="2202" spans="1:9" x14ac:dyDescent="0.25">
      <c r="A2202" s="12">
        <v>2201</v>
      </c>
      <c r="B2202" s="12" t="s">
        <v>7408</v>
      </c>
      <c r="C2202" s="12" t="s">
        <v>7409</v>
      </c>
      <c r="D2202" s="12" t="s">
        <v>14</v>
      </c>
      <c r="E2202" s="12" t="s">
        <v>7410</v>
      </c>
      <c r="F2202" s="12" t="s">
        <v>7411</v>
      </c>
      <c r="G2202" s="12" t="b">
        <v>0</v>
      </c>
      <c r="H2202" s="12" t="b">
        <v>0</v>
      </c>
      <c r="I2202" s="12" t="b">
        <v>0</v>
      </c>
    </row>
    <row r="2203" spans="1:9" x14ac:dyDescent="0.25">
      <c r="A2203" s="12">
        <v>2202</v>
      </c>
      <c r="B2203" s="12" t="s">
        <v>7412</v>
      </c>
      <c r="C2203" s="12" t="s">
        <v>7413</v>
      </c>
      <c r="D2203" s="12" t="s">
        <v>14</v>
      </c>
      <c r="E2203" s="12" t="s">
        <v>7414</v>
      </c>
      <c r="F2203" s="12" t="s">
        <v>732</v>
      </c>
      <c r="G2203" s="12" t="b">
        <v>0</v>
      </c>
      <c r="H2203" s="12" t="b">
        <v>0</v>
      </c>
      <c r="I2203" s="12" t="b">
        <v>0</v>
      </c>
    </row>
    <row r="2204" spans="1:9" x14ac:dyDescent="0.25">
      <c r="A2204" s="12">
        <v>2203</v>
      </c>
      <c r="B2204" s="12" t="s">
        <v>7415</v>
      </c>
      <c r="C2204" s="12" t="s">
        <v>7416</v>
      </c>
      <c r="D2204" s="12" t="s">
        <v>45</v>
      </c>
      <c r="E2204" s="12" t="s">
        <v>7417</v>
      </c>
      <c r="F2204" s="12" t="s">
        <v>7062</v>
      </c>
      <c r="G2204" s="12" t="b">
        <v>0</v>
      </c>
      <c r="H2204" s="12" t="b">
        <v>0</v>
      </c>
      <c r="I2204" s="12" t="b">
        <v>0</v>
      </c>
    </row>
    <row r="2205" spans="1:9" x14ac:dyDescent="0.25">
      <c r="A2205" s="12">
        <v>2204</v>
      </c>
      <c r="B2205" s="12" t="s">
        <v>7418</v>
      </c>
      <c r="C2205" s="12" t="s">
        <v>7419</v>
      </c>
      <c r="D2205" s="12" t="s">
        <v>45</v>
      </c>
      <c r="E2205" s="12" t="s">
        <v>7420</v>
      </c>
      <c r="F2205" s="12" t="s">
        <v>1122</v>
      </c>
      <c r="G2205" s="12" t="b">
        <v>1</v>
      </c>
      <c r="H2205" s="12" t="b">
        <v>0</v>
      </c>
      <c r="I2205" s="12" t="b">
        <v>0</v>
      </c>
    </row>
    <row r="2206" spans="1:9" x14ac:dyDescent="0.25">
      <c r="A2206" s="12">
        <v>2205</v>
      </c>
      <c r="B2206" s="12" t="s">
        <v>7421</v>
      </c>
      <c r="C2206" s="12" t="s">
        <v>7422</v>
      </c>
      <c r="D2206" s="12" t="s">
        <v>10</v>
      </c>
      <c r="E2206" s="12" t="s">
        <v>7423</v>
      </c>
      <c r="F2206" s="12" t="s">
        <v>859</v>
      </c>
      <c r="G2206" s="12" t="b">
        <v>1</v>
      </c>
      <c r="H2206" s="12" t="b">
        <v>0</v>
      </c>
      <c r="I2206" s="12" t="b">
        <v>0</v>
      </c>
    </row>
    <row r="2207" spans="1:9" x14ac:dyDescent="0.25">
      <c r="A2207" s="12">
        <v>2206</v>
      </c>
      <c r="B2207" s="12" t="s">
        <v>7424</v>
      </c>
      <c r="C2207" s="12" t="s">
        <v>7425</v>
      </c>
      <c r="D2207" s="12" t="s">
        <v>10</v>
      </c>
      <c r="E2207" s="12" t="s">
        <v>7426</v>
      </c>
      <c r="F2207" s="12" t="s">
        <v>7427</v>
      </c>
      <c r="G2207" s="12" t="b">
        <v>0</v>
      </c>
      <c r="H2207" s="12" t="b">
        <v>0</v>
      </c>
      <c r="I2207" s="12" t="b">
        <v>0</v>
      </c>
    </row>
    <row r="2208" spans="1:9" x14ac:dyDescent="0.25">
      <c r="A2208" s="12">
        <v>2207</v>
      </c>
      <c r="B2208" s="12" t="s">
        <v>7428</v>
      </c>
      <c r="C2208" s="12" t="s">
        <v>7429</v>
      </c>
      <c r="D2208" s="12" t="s">
        <v>14</v>
      </c>
      <c r="E2208" s="12" t="s">
        <v>7430</v>
      </c>
      <c r="F2208" s="12" t="s">
        <v>7431</v>
      </c>
      <c r="G2208" s="12" t="b">
        <v>0</v>
      </c>
      <c r="H2208" s="12" t="b">
        <v>0</v>
      </c>
      <c r="I2208" s="12" t="b">
        <v>0</v>
      </c>
    </row>
    <row r="2209" spans="1:9" x14ac:dyDescent="0.25">
      <c r="A2209" s="12">
        <v>2208</v>
      </c>
      <c r="B2209" s="12" t="s">
        <v>7432</v>
      </c>
      <c r="C2209" s="12" t="s">
        <v>7433</v>
      </c>
      <c r="D2209" s="12" t="s">
        <v>14</v>
      </c>
      <c r="E2209" s="12" t="s">
        <v>7434</v>
      </c>
      <c r="F2209" s="12" t="s">
        <v>2299</v>
      </c>
      <c r="G2209" s="12" t="b">
        <v>0</v>
      </c>
      <c r="H2209" s="12" t="b">
        <v>0</v>
      </c>
      <c r="I2209" s="12" t="b">
        <v>0</v>
      </c>
    </row>
    <row r="2210" spans="1:9" x14ac:dyDescent="0.25">
      <c r="A2210" s="12">
        <v>2209</v>
      </c>
      <c r="B2210" s="12" t="s">
        <v>7435</v>
      </c>
      <c r="C2210" s="12" t="s">
        <v>7436</v>
      </c>
      <c r="D2210" s="12" t="s">
        <v>45</v>
      </c>
      <c r="E2210" s="12" t="s">
        <v>7437</v>
      </c>
      <c r="F2210" s="12" t="s">
        <v>7438</v>
      </c>
      <c r="G2210" s="12" t="b">
        <v>0</v>
      </c>
      <c r="H2210" s="12" t="b">
        <v>0</v>
      </c>
      <c r="I2210" s="12" t="b">
        <v>0</v>
      </c>
    </row>
    <row r="2211" spans="1:9" x14ac:dyDescent="0.25">
      <c r="A2211" s="12">
        <v>2210</v>
      </c>
      <c r="B2211" s="12" t="s">
        <v>7439</v>
      </c>
      <c r="C2211" s="12" t="s">
        <v>7440</v>
      </c>
      <c r="D2211" s="12" t="s">
        <v>10</v>
      </c>
      <c r="E2211" s="12" t="s">
        <v>7441</v>
      </c>
      <c r="F2211" s="12" t="s">
        <v>317</v>
      </c>
      <c r="G2211" s="12" t="b">
        <v>0</v>
      </c>
      <c r="H2211" s="12" t="b">
        <v>0</v>
      </c>
      <c r="I2211" s="12" t="b">
        <v>0</v>
      </c>
    </row>
    <row r="2212" spans="1:9" x14ac:dyDescent="0.25">
      <c r="A2212" s="12">
        <v>2211</v>
      </c>
      <c r="B2212" s="12" t="s">
        <v>7442</v>
      </c>
      <c r="C2212" s="12" t="s">
        <v>7443</v>
      </c>
      <c r="D2212" s="12" t="s">
        <v>14</v>
      </c>
      <c r="E2212" s="12" t="s">
        <v>7444</v>
      </c>
      <c r="F2212" s="12" t="s">
        <v>387</v>
      </c>
      <c r="G2212" s="12" t="b">
        <v>0</v>
      </c>
      <c r="H2212" s="12" t="b">
        <v>0</v>
      </c>
      <c r="I2212" s="12" t="b">
        <v>0</v>
      </c>
    </row>
    <row r="2213" spans="1:9" x14ac:dyDescent="0.25">
      <c r="A2213" s="12">
        <v>2212</v>
      </c>
      <c r="B2213" s="12" t="s">
        <v>7445</v>
      </c>
      <c r="C2213" s="12" t="s">
        <v>7446</v>
      </c>
      <c r="D2213" s="12" t="s">
        <v>14</v>
      </c>
      <c r="E2213" s="12" t="s">
        <v>1488</v>
      </c>
      <c r="F2213" s="12" t="s">
        <v>7447</v>
      </c>
      <c r="G2213" s="12" t="b">
        <v>0</v>
      </c>
      <c r="H2213" s="12" t="b">
        <v>0</v>
      </c>
      <c r="I2213" s="12" t="b">
        <v>0</v>
      </c>
    </row>
    <row r="2214" spans="1:9" x14ac:dyDescent="0.25">
      <c r="A2214" s="12">
        <v>2213</v>
      </c>
      <c r="B2214" s="12" t="s">
        <v>7448</v>
      </c>
      <c r="C2214" s="12" t="s">
        <v>7449</v>
      </c>
      <c r="D2214" s="12" t="s">
        <v>45</v>
      </c>
      <c r="E2214" s="12" t="s">
        <v>7450</v>
      </c>
      <c r="F2214" s="12" t="s">
        <v>7451</v>
      </c>
      <c r="G2214" s="12" t="b">
        <v>0</v>
      </c>
      <c r="H2214" s="12" t="b">
        <v>0</v>
      </c>
      <c r="I2214" s="12" t="b">
        <v>0</v>
      </c>
    </row>
    <row r="2215" spans="1:9" x14ac:dyDescent="0.25">
      <c r="A2215" s="12">
        <v>2214</v>
      </c>
      <c r="B2215" s="12" t="s">
        <v>7452</v>
      </c>
      <c r="C2215" s="12" t="s">
        <v>7453</v>
      </c>
      <c r="D2215" s="12" t="s">
        <v>14</v>
      </c>
      <c r="E2215" s="12" t="s">
        <v>7454</v>
      </c>
      <c r="F2215" s="12" t="s">
        <v>6071</v>
      </c>
      <c r="G2215" s="12" t="b">
        <v>1</v>
      </c>
      <c r="H2215" s="12" t="b">
        <v>0</v>
      </c>
      <c r="I2215" s="12" t="b">
        <v>0</v>
      </c>
    </row>
    <row r="2216" spans="1:9" x14ac:dyDescent="0.25">
      <c r="A2216" s="12">
        <v>2215</v>
      </c>
      <c r="B2216" s="12" t="s">
        <v>7455</v>
      </c>
      <c r="C2216" s="12" t="s">
        <v>7456</v>
      </c>
      <c r="D2216" s="12" t="s">
        <v>10</v>
      </c>
      <c r="E2216" s="12" t="s">
        <v>7457</v>
      </c>
      <c r="F2216" s="12" t="s">
        <v>328</v>
      </c>
      <c r="G2216" s="12" t="b">
        <v>0</v>
      </c>
      <c r="H2216" s="12" t="b">
        <v>0</v>
      </c>
      <c r="I2216" s="12" t="b">
        <v>0</v>
      </c>
    </row>
    <row r="2217" spans="1:9" x14ac:dyDescent="0.25">
      <c r="A2217" s="12">
        <v>2216</v>
      </c>
      <c r="B2217" s="12" t="s">
        <v>7458</v>
      </c>
      <c r="C2217" s="12" t="s">
        <v>7459</v>
      </c>
      <c r="D2217" s="12" t="s">
        <v>14</v>
      </c>
      <c r="E2217" s="12" t="s">
        <v>7460</v>
      </c>
      <c r="F2217" s="12" t="s">
        <v>1840</v>
      </c>
      <c r="G2217" s="12" t="b">
        <v>0</v>
      </c>
      <c r="H2217" s="12" t="b">
        <v>0</v>
      </c>
      <c r="I2217" s="12" t="b">
        <v>0</v>
      </c>
    </row>
    <row r="2218" spans="1:9" x14ac:dyDescent="0.25">
      <c r="A2218" s="12">
        <v>2217</v>
      </c>
      <c r="B2218" s="12" t="s">
        <v>7461</v>
      </c>
      <c r="C2218" s="12" t="s">
        <v>7462</v>
      </c>
      <c r="D2218" s="12" t="s">
        <v>14</v>
      </c>
      <c r="E2218" s="12" t="s">
        <v>4503</v>
      </c>
      <c r="F2218" s="12" t="s">
        <v>525</v>
      </c>
      <c r="G2218" s="12" t="b">
        <v>0</v>
      </c>
      <c r="H2218" s="12" t="b">
        <v>0</v>
      </c>
      <c r="I2218" s="12" t="b">
        <v>0</v>
      </c>
    </row>
    <row r="2219" spans="1:9" x14ac:dyDescent="0.25">
      <c r="A2219" s="12">
        <v>2218</v>
      </c>
      <c r="B2219" s="12" t="s">
        <v>7463</v>
      </c>
      <c r="C2219" s="12" t="s">
        <v>7464</v>
      </c>
      <c r="D2219" s="12" t="s">
        <v>45</v>
      </c>
      <c r="E2219" s="12" t="s">
        <v>7465</v>
      </c>
      <c r="F2219" s="12" t="s">
        <v>7085</v>
      </c>
      <c r="G2219" s="12" t="b">
        <v>0</v>
      </c>
      <c r="H2219" s="12" t="b">
        <v>0</v>
      </c>
      <c r="I2219" s="12" t="b">
        <v>0</v>
      </c>
    </row>
    <row r="2220" spans="1:9" x14ac:dyDescent="0.25">
      <c r="A2220" s="12">
        <v>2219</v>
      </c>
      <c r="B2220" s="12" t="s">
        <v>7466</v>
      </c>
      <c r="C2220" s="12" t="s">
        <v>7467</v>
      </c>
      <c r="D2220" s="12" t="s">
        <v>14</v>
      </c>
      <c r="E2220" s="12" t="s">
        <v>7468</v>
      </c>
      <c r="F2220" s="12" t="s">
        <v>1055</v>
      </c>
      <c r="G2220" s="12" t="b">
        <v>1</v>
      </c>
      <c r="H2220" s="12" t="b">
        <v>0</v>
      </c>
      <c r="I2220" s="12" t="b">
        <v>0</v>
      </c>
    </row>
    <row r="2221" spans="1:9" x14ac:dyDescent="0.25">
      <c r="A2221" s="12">
        <v>2220</v>
      </c>
      <c r="B2221" s="12" t="s">
        <v>7469</v>
      </c>
      <c r="C2221" s="12" t="s">
        <v>7470</v>
      </c>
      <c r="D2221" s="12" t="s">
        <v>10</v>
      </c>
      <c r="E2221" s="12" t="s">
        <v>7471</v>
      </c>
      <c r="F2221" s="12" t="s">
        <v>61</v>
      </c>
      <c r="G2221" s="12" t="b">
        <v>0</v>
      </c>
      <c r="H2221" s="12" t="b">
        <v>0</v>
      </c>
      <c r="I2221" s="12" t="b">
        <v>0</v>
      </c>
    </row>
    <row r="2222" spans="1:9" x14ac:dyDescent="0.25">
      <c r="A2222" s="12">
        <v>2221</v>
      </c>
      <c r="B2222" s="12" t="s">
        <v>7472</v>
      </c>
      <c r="C2222" s="12" t="s">
        <v>7473</v>
      </c>
      <c r="D2222" s="12" t="s">
        <v>14</v>
      </c>
      <c r="E2222" s="12" t="s">
        <v>7474</v>
      </c>
      <c r="F2222" s="12" t="s">
        <v>7475</v>
      </c>
      <c r="G2222" s="12" t="b">
        <v>0</v>
      </c>
      <c r="H2222" s="12" t="b">
        <v>0</v>
      </c>
      <c r="I2222" s="12" t="b">
        <v>0</v>
      </c>
    </row>
    <row r="2223" spans="1:9" x14ac:dyDescent="0.25">
      <c r="A2223" s="12">
        <v>2222</v>
      </c>
      <c r="B2223" s="12" t="s">
        <v>7476</v>
      </c>
      <c r="C2223" s="12" t="s">
        <v>7477</v>
      </c>
      <c r="D2223" s="12" t="s">
        <v>14</v>
      </c>
      <c r="E2223" s="12" t="s">
        <v>7478</v>
      </c>
      <c r="F2223" s="12" t="s">
        <v>7438</v>
      </c>
      <c r="G2223" s="12" t="b">
        <v>0</v>
      </c>
      <c r="H2223" s="12" t="b">
        <v>0</v>
      </c>
      <c r="I2223" s="12" t="b">
        <v>0</v>
      </c>
    </row>
    <row r="2224" spans="1:9" x14ac:dyDescent="0.25">
      <c r="A2224" s="12">
        <v>2223</v>
      </c>
      <c r="B2224" s="12" t="s">
        <v>7479</v>
      </c>
      <c r="C2224" s="12" t="s">
        <v>7480</v>
      </c>
      <c r="D2224" s="12" t="s">
        <v>45</v>
      </c>
      <c r="E2224" s="12" t="s">
        <v>7481</v>
      </c>
      <c r="F2224" s="12" t="s">
        <v>7482</v>
      </c>
      <c r="G2224" s="12" t="b">
        <v>0</v>
      </c>
      <c r="H2224" s="12" t="b">
        <v>0</v>
      </c>
      <c r="I2224" s="12" t="b">
        <v>0</v>
      </c>
    </row>
    <row r="2225" spans="1:9" x14ac:dyDescent="0.25">
      <c r="A2225" s="12">
        <v>2224</v>
      </c>
      <c r="B2225" s="12" t="s">
        <v>7483</v>
      </c>
      <c r="C2225" s="12" t="s">
        <v>7484</v>
      </c>
      <c r="D2225" s="12" t="s">
        <v>10</v>
      </c>
      <c r="E2225" s="12" t="s">
        <v>7485</v>
      </c>
      <c r="F2225" s="12" t="s">
        <v>3455</v>
      </c>
      <c r="G2225" s="12" t="b">
        <v>0</v>
      </c>
      <c r="H2225" s="12" t="b">
        <v>0</v>
      </c>
      <c r="I2225" s="12" t="b">
        <v>0</v>
      </c>
    </row>
    <row r="2226" spans="1:9" x14ac:dyDescent="0.25">
      <c r="A2226" s="12">
        <v>2225</v>
      </c>
      <c r="B2226" s="12" t="s">
        <v>7486</v>
      </c>
      <c r="C2226" s="12" t="s">
        <v>7487</v>
      </c>
      <c r="D2226" s="12" t="s">
        <v>14</v>
      </c>
      <c r="E2226" s="12" t="s">
        <v>7488</v>
      </c>
      <c r="F2226" s="12" t="s">
        <v>1030</v>
      </c>
      <c r="G2226" s="12" t="b">
        <v>0</v>
      </c>
      <c r="H2226" s="12" t="b">
        <v>0</v>
      </c>
      <c r="I2226" s="12" t="b">
        <v>0</v>
      </c>
    </row>
    <row r="2227" spans="1:9" x14ac:dyDescent="0.25">
      <c r="A2227" s="12">
        <v>2226</v>
      </c>
      <c r="B2227" s="12" t="s">
        <v>7489</v>
      </c>
      <c r="C2227" s="12" t="s">
        <v>7490</v>
      </c>
      <c r="D2227" s="12" t="s">
        <v>14</v>
      </c>
      <c r="E2227" s="12" t="s">
        <v>7491</v>
      </c>
      <c r="F2227" s="12" t="s">
        <v>426</v>
      </c>
      <c r="G2227" s="12" t="b">
        <v>0</v>
      </c>
      <c r="H2227" s="12" t="b">
        <v>0</v>
      </c>
      <c r="I2227" s="12" t="b">
        <v>0</v>
      </c>
    </row>
    <row r="2228" spans="1:9" x14ac:dyDescent="0.25">
      <c r="A2228" s="12">
        <v>2227</v>
      </c>
      <c r="B2228" s="12" t="s">
        <v>7492</v>
      </c>
      <c r="C2228" s="12" t="s">
        <v>7493</v>
      </c>
      <c r="D2228" s="12" t="s">
        <v>45</v>
      </c>
      <c r="E2228" s="12" t="s">
        <v>7494</v>
      </c>
      <c r="F2228" s="12" t="s">
        <v>7495</v>
      </c>
      <c r="G2228" s="12" t="b">
        <v>0</v>
      </c>
      <c r="H2228" s="12" t="b">
        <v>0</v>
      </c>
      <c r="I2228" s="12" t="b">
        <v>0</v>
      </c>
    </row>
    <row r="2229" spans="1:9" x14ac:dyDescent="0.25">
      <c r="A2229" s="12">
        <v>2228</v>
      </c>
      <c r="B2229" s="12" t="s">
        <v>7496</v>
      </c>
      <c r="C2229" s="12" t="s">
        <v>7497</v>
      </c>
      <c r="D2229" s="12" t="s">
        <v>14</v>
      </c>
      <c r="E2229" s="12" t="s">
        <v>7498</v>
      </c>
      <c r="F2229" s="12" t="s">
        <v>859</v>
      </c>
      <c r="G2229" s="12" t="b">
        <v>1</v>
      </c>
      <c r="H2229" s="12" t="b">
        <v>0</v>
      </c>
      <c r="I2229" s="12" t="b">
        <v>0</v>
      </c>
    </row>
    <row r="2230" spans="1:9" x14ac:dyDescent="0.25">
      <c r="A2230" s="12">
        <v>2229</v>
      </c>
      <c r="B2230" s="12" t="s">
        <v>7499</v>
      </c>
      <c r="C2230" s="12" t="s">
        <v>7500</v>
      </c>
      <c r="D2230" s="12" t="s">
        <v>10</v>
      </c>
      <c r="E2230" s="12" t="s">
        <v>7501</v>
      </c>
      <c r="F2230" s="12" t="s">
        <v>317</v>
      </c>
      <c r="G2230" s="12" t="b">
        <v>1</v>
      </c>
      <c r="H2230" s="12" t="b">
        <v>0</v>
      </c>
      <c r="I2230" s="12" t="b">
        <v>0</v>
      </c>
    </row>
    <row r="2231" spans="1:9" x14ac:dyDescent="0.25">
      <c r="A2231" s="12">
        <v>2230</v>
      </c>
      <c r="B2231" s="12" t="s">
        <v>7502</v>
      </c>
      <c r="C2231" s="12" t="s">
        <v>7503</v>
      </c>
      <c r="D2231" s="12" t="s">
        <v>10</v>
      </c>
      <c r="E2231" s="12" t="s">
        <v>7504</v>
      </c>
      <c r="F2231" s="12" t="s">
        <v>859</v>
      </c>
      <c r="G2231" s="12" t="b">
        <v>1</v>
      </c>
      <c r="H2231" s="12" t="b">
        <v>0</v>
      </c>
      <c r="I2231" s="12" t="b">
        <v>0</v>
      </c>
    </row>
    <row r="2232" spans="1:9" x14ac:dyDescent="0.25">
      <c r="A2232" s="12">
        <v>2231</v>
      </c>
      <c r="B2232" s="12" t="s">
        <v>7505</v>
      </c>
      <c r="C2232" s="12" t="s">
        <v>7506</v>
      </c>
      <c r="D2232" s="12" t="s">
        <v>10</v>
      </c>
      <c r="E2232" s="12" t="s">
        <v>7507</v>
      </c>
      <c r="F2232" s="12" t="s">
        <v>7508</v>
      </c>
      <c r="G2232" s="12" t="b">
        <v>0</v>
      </c>
      <c r="H2232" s="12" t="b">
        <v>0</v>
      </c>
      <c r="I2232" s="12" t="b">
        <v>0</v>
      </c>
    </row>
    <row r="2233" spans="1:9" x14ac:dyDescent="0.25">
      <c r="A2233" s="12">
        <v>2232</v>
      </c>
      <c r="B2233" s="12" t="s">
        <v>7509</v>
      </c>
      <c r="C2233" s="12" t="s">
        <v>7510</v>
      </c>
      <c r="D2233" s="12" t="s">
        <v>14</v>
      </c>
      <c r="E2233" s="12" t="s">
        <v>7511</v>
      </c>
      <c r="F2233" s="12" t="s">
        <v>2458</v>
      </c>
      <c r="G2233" s="12" t="b">
        <v>0</v>
      </c>
      <c r="H2233" s="12" t="b">
        <v>0</v>
      </c>
      <c r="I2233" s="12" t="b">
        <v>0</v>
      </c>
    </row>
    <row r="2234" spans="1:9" x14ac:dyDescent="0.25">
      <c r="A2234" s="12">
        <v>2233</v>
      </c>
      <c r="B2234" s="12" t="s">
        <v>7512</v>
      </c>
      <c r="C2234" s="12" t="s">
        <v>7513</v>
      </c>
      <c r="D2234" s="12" t="s">
        <v>14</v>
      </c>
      <c r="E2234" s="12" t="s">
        <v>7514</v>
      </c>
      <c r="F2234" s="12" t="s">
        <v>2299</v>
      </c>
      <c r="G2234" s="12" t="b">
        <v>0</v>
      </c>
      <c r="H2234" s="12" t="b">
        <v>0</v>
      </c>
      <c r="I2234" s="12" t="b">
        <v>0</v>
      </c>
    </row>
    <row r="2235" spans="1:9" x14ac:dyDescent="0.25">
      <c r="A2235" s="12">
        <v>2234</v>
      </c>
      <c r="B2235" s="12" t="s">
        <v>7515</v>
      </c>
      <c r="C2235" s="12" t="s">
        <v>7516</v>
      </c>
      <c r="D2235" s="12" t="s">
        <v>45</v>
      </c>
      <c r="E2235" s="12" t="s">
        <v>7517</v>
      </c>
      <c r="F2235" s="12" t="s">
        <v>2242</v>
      </c>
      <c r="G2235" s="12" t="b">
        <v>0</v>
      </c>
      <c r="H2235" s="12" t="b">
        <v>0</v>
      </c>
      <c r="I2235" s="12" t="b">
        <v>0</v>
      </c>
    </row>
    <row r="2236" spans="1:9" x14ac:dyDescent="0.25">
      <c r="A2236" s="12">
        <v>2235</v>
      </c>
      <c r="B2236" s="12" t="s">
        <v>7518</v>
      </c>
      <c r="C2236" s="12" t="s">
        <v>7519</v>
      </c>
      <c r="D2236" s="12" t="s">
        <v>10</v>
      </c>
      <c r="E2236" s="12" t="s">
        <v>7520</v>
      </c>
      <c r="F2236" s="12" t="s">
        <v>315</v>
      </c>
      <c r="G2236" s="12" t="b">
        <v>0</v>
      </c>
      <c r="H2236" s="12" t="b">
        <v>0</v>
      </c>
      <c r="I2236" s="12" t="b">
        <v>0</v>
      </c>
    </row>
    <row r="2237" spans="1:9" x14ac:dyDescent="0.25">
      <c r="A2237" s="12">
        <v>2236</v>
      </c>
      <c r="B2237" s="12" t="s">
        <v>7521</v>
      </c>
      <c r="C2237" s="12" t="s">
        <v>7522</v>
      </c>
      <c r="D2237" s="12" t="s">
        <v>10</v>
      </c>
      <c r="E2237" s="12" t="s">
        <v>7523</v>
      </c>
      <c r="F2237" s="12" t="s">
        <v>3501</v>
      </c>
      <c r="G2237" s="12" t="b">
        <v>0</v>
      </c>
      <c r="H2237" s="12" t="b">
        <v>0</v>
      </c>
      <c r="I2237" s="12" t="b">
        <v>0</v>
      </c>
    </row>
    <row r="2238" spans="1:9" x14ac:dyDescent="0.25">
      <c r="A2238" s="12">
        <v>2237</v>
      </c>
      <c r="B2238" s="12" t="s">
        <v>7524</v>
      </c>
      <c r="C2238" s="12" t="s">
        <v>7525</v>
      </c>
      <c r="D2238" s="12" t="s">
        <v>14</v>
      </c>
      <c r="E2238" s="12" t="s">
        <v>7526</v>
      </c>
      <c r="F2238" s="12" t="s">
        <v>1055</v>
      </c>
      <c r="G2238" s="12" t="b">
        <v>1</v>
      </c>
      <c r="H2238" s="12" t="b">
        <v>0</v>
      </c>
      <c r="I2238" s="12" t="b">
        <v>0</v>
      </c>
    </row>
    <row r="2239" spans="1:9" x14ac:dyDescent="0.25">
      <c r="A2239" s="12">
        <v>2238</v>
      </c>
      <c r="B2239" s="12" t="s">
        <v>7527</v>
      </c>
      <c r="C2239" s="12" t="s">
        <v>7528</v>
      </c>
      <c r="D2239" s="12" t="s">
        <v>14</v>
      </c>
      <c r="E2239" s="12" t="s">
        <v>7529</v>
      </c>
      <c r="F2239" s="12" t="s">
        <v>859</v>
      </c>
      <c r="G2239" s="12" t="b">
        <v>1</v>
      </c>
      <c r="H2239" s="12" t="b">
        <v>0</v>
      </c>
      <c r="I2239" s="12" t="b">
        <v>0</v>
      </c>
    </row>
    <row r="2240" spans="1:9" x14ac:dyDescent="0.25">
      <c r="A2240" s="12">
        <v>2239</v>
      </c>
      <c r="B2240" s="12" t="s">
        <v>7530</v>
      </c>
      <c r="C2240" s="12" t="s">
        <v>7531</v>
      </c>
      <c r="D2240" s="12" t="s">
        <v>10</v>
      </c>
      <c r="E2240" s="12" t="s">
        <v>7532</v>
      </c>
      <c r="F2240" s="12" t="s">
        <v>317</v>
      </c>
      <c r="G2240" s="12" t="b">
        <v>0</v>
      </c>
      <c r="H2240" s="12" t="b">
        <v>0</v>
      </c>
      <c r="I2240" s="12" t="b">
        <v>0</v>
      </c>
    </row>
    <row r="2241" spans="1:9" x14ac:dyDescent="0.25">
      <c r="A2241" s="12">
        <v>2240</v>
      </c>
      <c r="B2241" s="12" t="s">
        <v>7533</v>
      </c>
      <c r="C2241" s="12" t="s">
        <v>7534</v>
      </c>
      <c r="D2241" s="12" t="s">
        <v>14</v>
      </c>
      <c r="E2241" s="12" t="s">
        <v>7535</v>
      </c>
      <c r="F2241" s="12" t="s">
        <v>2939</v>
      </c>
      <c r="G2241" s="12" t="b">
        <v>0</v>
      </c>
      <c r="H2241" s="12" t="b">
        <v>0</v>
      </c>
      <c r="I2241" s="12" t="b">
        <v>0</v>
      </c>
    </row>
    <row r="2242" spans="1:9" x14ac:dyDescent="0.25">
      <c r="A2242" s="12">
        <v>2241</v>
      </c>
      <c r="B2242" s="12" t="s">
        <v>7536</v>
      </c>
      <c r="C2242" s="12" t="s">
        <v>7537</v>
      </c>
      <c r="D2242" s="12" t="s">
        <v>14</v>
      </c>
      <c r="E2242" s="12" t="s">
        <v>7538</v>
      </c>
      <c r="F2242" s="12" t="s">
        <v>7539</v>
      </c>
      <c r="G2242" s="12" t="b">
        <v>0</v>
      </c>
      <c r="H2242" s="12" t="b">
        <v>0</v>
      </c>
      <c r="I2242" s="12" t="b">
        <v>0</v>
      </c>
    </row>
    <row r="2243" spans="1:9" x14ac:dyDescent="0.25">
      <c r="A2243" s="12">
        <v>2242</v>
      </c>
      <c r="B2243" s="12" t="s">
        <v>7540</v>
      </c>
      <c r="C2243" s="12" t="s">
        <v>7541</v>
      </c>
      <c r="D2243" s="12" t="s">
        <v>45</v>
      </c>
      <c r="E2243" s="12" t="s">
        <v>7542</v>
      </c>
      <c r="F2243" s="12" t="s">
        <v>7543</v>
      </c>
      <c r="G2243" s="12" t="b">
        <v>0</v>
      </c>
      <c r="H2243" s="12" t="b">
        <v>0</v>
      </c>
      <c r="I2243" s="12" t="b">
        <v>0</v>
      </c>
    </row>
    <row r="2244" spans="1:9" x14ac:dyDescent="0.25">
      <c r="A2244" s="12">
        <v>2243</v>
      </c>
      <c r="B2244" s="12" t="s">
        <v>7544</v>
      </c>
      <c r="C2244" s="12" t="s">
        <v>7545</v>
      </c>
      <c r="D2244" s="12" t="s">
        <v>10</v>
      </c>
      <c r="E2244" s="12" t="s">
        <v>7546</v>
      </c>
      <c r="F2244" s="12" t="s">
        <v>2382</v>
      </c>
      <c r="G2244" s="12" t="b">
        <v>0</v>
      </c>
      <c r="H2244" s="12" t="b">
        <v>0</v>
      </c>
      <c r="I2244" s="12" t="b">
        <v>0</v>
      </c>
    </row>
    <row r="2245" spans="1:9" x14ac:dyDescent="0.25">
      <c r="A2245" s="12">
        <v>2244</v>
      </c>
      <c r="B2245" s="12" t="s">
        <v>7547</v>
      </c>
      <c r="C2245" s="12" t="s">
        <v>7548</v>
      </c>
      <c r="D2245" s="12" t="s">
        <v>14</v>
      </c>
      <c r="E2245" s="12" t="s">
        <v>7549</v>
      </c>
      <c r="F2245" s="12" t="s">
        <v>6027</v>
      </c>
      <c r="G2245" s="12" t="b">
        <v>0</v>
      </c>
      <c r="H2245" s="12" t="b">
        <v>0</v>
      </c>
      <c r="I2245" s="12" t="b">
        <v>0</v>
      </c>
    </row>
    <row r="2246" spans="1:9" x14ac:dyDescent="0.25">
      <c r="A2246" s="12">
        <v>2245</v>
      </c>
      <c r="B2246" s="12" t="s">
        <v>7550</v>
      </c>
      <c r="C2246" s="12" t="s">
        <v>7551</v>
      </c>
      <c r="D2246" s="12" t="s">
        <v>14</v>
      </c>
      <c r="E2246" s="12" t="s">
        <v>7552</v>
      </c>
      <c r="F2246" s="12" t="s">
        <v>4528</v>
      </c>
      <c r="G2246" s="12" t="b">
        <v>0</v>
      </c>
      <c r="H2246" s="12" t="b">
        <v>0</v>
      </c>
      <c r="I2246" s="12" t="b">
        <v>0</v>
      </c>
    </row>
    <row r="2247" spans="1:9" x14ac:dyDescent="0.25">
      <c r="A2247" s="12">
        <v>2246</v>
      </c>
      <c r="B2247" s="12" t="s">
        <v>7553</v>
      </c>
      <c r="C2247" s="12" t="s">
        <v>7554</v>
      </c>
      <c r="D2247" s="12" t="s">
        <v>45</v>
      </c>
      <c r="E2247" s="12" t="s">
        <v>7555</v>
      </c>
      <c r="F2247" s="12" t="s">
        <v>7556</v>
      </c>
      <c r="G2247" s="12" t="b">
        <v>0</v>
      </c>
      <c r="H2247" s="12" t="b">
        <v>0</v>
      </c>
      <c r="I2247" s="12" t="b">
        <v>0</v>
      </c>
    </row>
    <row r="2248" spans="1:9" x14ac:dyDescent="0.25">
      <c r="A2248" s="12">
        <v>2247</v>
      </c>
      <c r="B2248" s="12" t="s">
        <v>7557</v>
      </c>
      <c r="C2248" s="12" t="s">
        <v>7558</v>
      </c>
      <c r="D2248" s="12" t="s">
        <v>45</v>
      </c>
      <c r="E2248" s="12" t="s">
        <v>4291</v>
      </c>
      <c r="F2248" s="12" t="s">
        <v>5110</v>
      </c>
      <c r="G2248" s="12" t="b">
        <v>1</v>
      </c>
      <c r="H2248" s="12" t="b">
        <v>0</v>
      </c>
      <c r="I2248" s="12" t="b">
        <v>0</v>
      </c>
    </row>
    <row r="2249" spans="1:9" x14ac:dyDescent="0.25">
      <c r="A2249" s="12">
        <v>2248</v>
      </c>
      <c r="B2249" s="12" t="s">
        <v>7559</v>
      </c>
      <c r="C2249" s="12" t="s">
        <v>7560</v>
      </c>
      <c r="D2249" s="12" t="s">
        <v>10</v>
      </c>
      <c r="E2249" s="12" t="s">
        <v>7561</v>
      </c>
      <c r="F2249" s="12" t="s">
        <v>3539</v>
      </c>
      <c r="G2249" s="12" t="b">
        <v>0</v>
      </c>
      <c r="H2249" s="12" t="b">
        <v>0</v>
      </c>
      <c r="I2249" s="12" t="b">
        <v>0</v>
      </c>
    </row>
    <row r="2250" spans="1:9" x14ac:dyDescent="0.25">
      <c r="A2250" s="12">
        <v>2249</v>
      </c>
      <c r="B2250" s="12" t="s">
        <v>7562</v>
      </c>
      <c r="C2250" s="12" t="s">
        <v>7563</v>
      </c>
      <c r="D2250" s="12" t="s">
        <v>14</v>
      </c>
      <c r="E2250" s="12" t="s">
        <v>7564</v>
      </c>
      <c r="F2250" s="12" t="s">
        <v>7565</v>
      </c>
      <c r="G2250" s="12" t="b">
        <v>0</v>
      </c>
      <c r="H2250" s="12" t="b">
        <v>0</v>
      </c>
      <c r="I2250" s="12" t="b">
        <v>0</v>
      </c>
    </row>
    <row r="2251" spans="1:9" x14ac:dyDescent="0.25">
      <c r="A2251" s="12">
        <v>2250</v>
      </c>
      <c r="B2251" s="12" t="s">
        <v>7566</v>
      </c>
      <c r="C2251" s="12" t="s">
        <v>7567</v>
      </c>
      <c r="D2251" s="12" t="s">
        <v>14</v>
      </c>
      <c r="E2251" s="12" t="s">
        <v>7568</v>
      </c>
      <c r="F2251" s="12" t="s">
        <v>7569</v>
      </c>
      <c r="G2251" s="12" t="b">
        <v>0</v>
      </c>
      <c r="H2251" s="12" t="b">
        <v>0</v>
      </c>
      <c r="I2251" s="12" t="b">
        <v>0</v>
      </c>
    </row>
    <row r="2252" spans="1:9" x14ac:dyDescent="0.25">
      <c r="A2252" s="12">
        <v>2251</v>
      </c>
      <c r="B2252" s="12" t="s">
        <v>7570</v>
      </c>
      <c r="C2252" s="12" t="s">
        <v>7571</v>
      </c>
      <c r="D2252" s="12" t="s">
        <v>45</v>
      </c>
      <c r="E2252" s="12" t="s">
        <v>7572</v>
      </c>
      <c r="F2252" s="12" t="s">
        <v>7573</v>
      </c>
      <c r="G2252" s="12" t="b">
        <v>0</v>
      </c>
      <c r="H2252" s="12" t="b">
        <v>0</v>
      </c>
      <c r="I2252" s="12" t="b">
        <v>0</v>
      </c>
    </row>
    <row r="2253" spans="1:9" x14ac:dyDescent="0.25">
      <c r="A2253" s="12">
        <v>2252</v>
      </c>
      <c r="B2253" s="12" t="s">
        <v>7574</v>
      </c>
      <c r="C2253" s="12" t="s">
        <v>7575</v>
      </c>
      <c r="D2253" s="12" t="s">
        <v>45</v>
      </c>
      <c r="E2253" s="12" t="s">
        <v>1049</v>
      </c>
      <c r="F2253" s="12" t="s">
        <v>859</v>
      </c>
      <c r="G2253" s="12" t="b">
        <v>1</v>
      </c>
      <c r="H2253" s="12" t="b">
        <v>0</v>
      </c>
      <c r="I2253" s="12" t="b">
        <v>0</v>
      </c>
    </row>
    <row r="2254" spans="1:9" x14ac:dyDescent="0.25">
      <c r="A2254" s="12">
        <v>2253</v>
      </c>
      <c r="B2254" s="12" t="s">
        <v>7576</v>
      </c>
      <c r="C2254" s="12" t="s">
        <v>7577</v>
      </c>
      <c r="D2254" s="12" t="s">
        <v>45</v>
      </c>
      <c r="E2254" s="12" t="s">
        <v>7578</v>
      </c>
      <c r="F2254" s="12" t="s">
        <v>859</v>
      </c>
      <c r="G2254" s="12" t="b">
        <v>1</v>
      </c>
      <c r="H2254" s="12" t="b">
        <v>0</v>
      </c>
      <c r="I2254" s="12" t="b">
        <v>0</v>
      </c>
    </row>
    <row r="2255" spans="1:9" x14ac:dyDescent="0.25">
      <c r="A2255" s="12">
        <v>2254</v>
      </c>
      <c r="B2255" s="12" t="s">
        <v>7579</v>
      </c>
      <c r="C2255" s="12" t="s">
        <v>7580</v>
      </c>
      <c r="D2255" s="12" t="s">
        <v>45</v>
      </c>
      <c r="E2255" s="12" t="s">
        <v>7581</v>
      </c>
      <c r="F2255" s="12" t="s">
        <v>3158</v>
      </c>
      <c r="G2255" s="12" t="b">
        <v>1</v>
      </c>
      <c r="H2255" s="12" t="b">
        <v>0</v>
      </c>
      <c r="I2255" s="12" t="b">
        <v>0</v>
      </c>
    </row>
    <row r="2256" spans="1:9" x14ac:dyDescent="0.25">
      <c r="A2256" s="12">
        <v>2255</v>
      </c>
      <c r="B2256" s="12" t="s">
        <v>7582</v>
      </c>
      <c r="C2256" s="12" t="s">
        <v>7583</v>
      </c>
      <c r="D2256" s="12" t="s">
        <v>10</v>
      </c>
      <c r="E2256" s="12" t="s">
        <v>7584</v>
      </c>
      <c r="F2256" s="12" t="s">
        <v>1072</v>
      </c>
      <c r="G2256" s="12" t="b">
        <v>0</v>
      </c>
      <c r="H2256" s="12" t="b">
        <v>0</v>
      </c>
      <c r="I2256" s="12" t="b">
        <v>0</v>
      </c>
    </row>
    <row r="2257" spans="1:9" x14ac:dyDescent="0.25">
      <c r="A2257" s="12">
        <v>2256</v>
      </c>
      <c r="B2257" s="12" t="s">
        <v>7585</v>
      </c>
      <c r="C2257" s="12" t="s">
        <v>7586</v>
      </c>
      <c r="D2257" s="12" t="s">
        <v>14</v>
      </c>
      <c r="E2257" s="12" t="s">
        <v>7587</v>
      </c>
      <c r="F2257" s="12" t="s">
        <v>1055</v>
      </c>
      <c r="G2257" s="12" t="b">
        <v>0</v>
      </c>
      <c r="H2257" s="12" t="b">
        <v>0</v>
      </c>
      <c r="I2257" s="12" t="b">
        <v>0</v>
      </c>
    </row>
    <row r="2258" spans="1:9" x14ac:dyDescent="0.25">
      <c r="A2258" s="12">
        <v>2257</v>
      </c>
      <c r="B2258" s="12" t="s">
        <v>7588</v>
      </c>
      <c r="C2258" s="12" t="s">
        <v>7589</v>
      </c>
      <c r="D2258" s="12" t="s">
        <v>14</v>
      </c>
      <c r="E2258" s="12" t="s">
        <v>7590</v>
      </c>
      <c r="F2258" s="12" t="s">
        <v>490</v>
      </c>
      <c r="G2258" s="12" t="b">
        <v>0</v>
      </c>
      <c r="H2258" s="12" t="b">
        <v>0</v>
      </c>
      <c r="I2258" s="12" t="b">
        <v>0</v>
      </c>
    </row>
    <row r="2259" spans="1:9" x14ac:dyDescent="0.25">
      <c r="A2259" s="12">
        <v>2258</v>
      </c>
      <c r="B2259" s="12" t="s">
        <v>7591</v>
      </c>
      <c r="C2259" s="12" t="s">
        <v>7592</v>
      </c>
      <c r="D2259" s="12" t="s">
        <v>45</v>
      </c>
      <c r="E2259" s="12" t="s">
        <v>7593</v>
      </c>
      <c r="F2259" s="12" t="s">
        <v>7594</v>
      </c>
      <c r="G2259" s="12" t="b">
        <v>0</v>
      </c>
      <c r="H2259" s="12" t="b">
        <v>0</v>
      </c>
      <c r="I2259" s="12" t="b">
        <v>0</v>
      </c>
    </row>
    <row r="2260" spans="1:9" x14ac:dyDescent="0.25">
      <c r="A2260" s="12">
        <v>2259</v>
      </c>
      <c r="B2260" s="12" t="s">
        <v>7595</v>
      </c>
      <c r="C2260" s="12" t="s">
        <v>7596</v>
      </c>
      <c r="D2260" s="12" t="s">
        <v>10</v>
      </c>
      <c r="E2260" s="12" t="s">
        <v>7597</v>
      </c>
      <c r="F2260" s="12" t="s">
        <v>7598</v>
      </c>
      <c r="G2260" s="12" t="b">
        <v>0</v>
      </c>
      <c r="H2260" s="12" t="b">
        <v>0</v>
      </c>
      <c r="I2260" s="12" t="b">
        <v>0</v>
      </c>
    </row>
    <row r="2261" spans="1:9" x14ac:dyDescent="0.25">
      <c r="A2261" s="12">
        <v>2260</v>
      </c>
      <c r="B2261" s="12" t="s">
        <v>7599</v>
      </c>
      <c r="C2261" s="12" t="s">
        <v>7600</v>
      </c>
      <c r="D2261" s="12" t="s">
        <v>14</v>
      </c>
      <c r="E2261" s="12" t="s">
        <v>7601</v>
      </c>
      <c r="F2261" s="12" t="s">
        <v>994</v>
      </c>
      <c r="G2261" s="12" t="b">
        <v>0</v>
      </c>
      <c r="H2261" s="12" t="b">
        <v>0</v>
      </c>
      <c r="I2261" s="12" t="b">
        <v>0</v>
      </c>
    </row>
    <row r="2262" spans="1:9" x14ac:dyDescent="0.25">
      <c r="A2262" s="12">
        <v>2261</v>
      </c>
      <c r="B2262" s="12" t="s">
        <v>7602</v>
      </c>
      <c r="C2262" s="12" t="s">
        <v>7603</v>
      </c>
      <c r="D2262" s="12" t="s">
        <v>14</v>
      </c>
      <c r="E2262" s="12" t="s">
        <v>7604</v>
      </c>
      <c r="F2262" s="12" t="s">
        <v>7605</v>
      </c>
      <c r="G2262" s="12" t="b">
        <v>0</v>
      </c>
      <c r="H2262" s="12" t="b">
        <v>0</v>
      </c>
      <c r="I2262" s="12" t="b">
        <v>0</v>
      </c>
    </row>
    <row r="2263" spans="1:9" x14ac:dyDescent="0.25">
      <c r="A2263" s="12">
        <v>2262</v>
      </c>
      <c r="B2263" s="12" t="s">
        <v>7606</v>
      </c>
      <c r="C2263" s="12" t="s">
        <v>7607</v>
      </c>
      <c r="D2263" s="12" t="s">
        <v>45</v>
      </c>
      <c r="E2263" s="12" t="s">
        <v>7608</v>
      </c>
      <c r="F2263" s="12" t="s">
        <v>2935</v>
      </c>
      <c r="G2263" s="12" t="b">
        <v>0</v>
      </c>
      <c r="H2263" s="12" t="b">
        <v>0</v>
      </c>
      <c r="I2263" s="12" t="b">
        <v>0</v>
      </c>
    </row>
    <row r="2264" spans="1:9" x14ac:dyDescent="0.25">
      <c r="A2264" s="12">
        <v>2263</v>
      </c>
      <c r="B2264" s="12" t="s">
        <v>7609</v>
      </c>
      <c r="C2264" s="12" t="s">
        <v>7610</v>
      </c>
      <c r="D2264" s="12" t="s">
        <v>45</v>
      </c>
      <c r="E2264" s="12" t="s">
        <v>7611</v>
      </c>
      <c r="F2264" s="12" t="s">
        <v>7612</v>
      </c>
      <c r="G2264" s="12" t="b">
        <v>1</v>
      </c>
      <c r="H2264" s="12" t="b">
        <v>0</v>
      </c>
      <c r="I2264" s="12" t="b">
        <v>0</v>
      </c>
    </row>
    <row r="2265" spans="1:9" x14ac:dyDescent="0.25">
      <c r="A2265" s="12">
        <v>2264</v>
      </c>
      <c r="B2265" s="12" t="s">
        <v>7613</v>
      </c>
      <c r="C2265" s="12" t="s">
        <v>7614</v>
      </c>
      <c r="D2265" s="12" t="s">
        <v>10</v>
      </c>
      <c r="E2265" s="12" t="s">
        <v>7615</v>
      </c>
      <c r="F2265" s="12" t="s">
        <v>316</v>
      </c>
      <c r="G2265" s="12" t="b">
        <v>0</v>
      </c>
      <c r="H2265" s="12" t="b">
        <v>0</v>
      </c>
      <c r="I2265" s="12" t="b">
        <v>0</v>
      </c>
    </row>
    <row r="2266" spans="1:9" x14ac:dyDescent="0.25">
      <c r="A2266" s="12">
        <v>2265</v>
      </c>
      <c r="B2266" s="12" t="s">
        <v>7616</v>
      </c>
      <c r="C2266" s="12" t="s">
        <v>7617</v>
      </c>
      <c r="D2266" s="12" t="s">
        <v>14</v>
      </c>
      <c r="E2266" s="12" t="s">
        <v>7618</v>
      </c>
      <c r="F2266" s="12" t="s">
        <v>658</v>
      </c>
      <c r="G2266" s="12" t="b">
        <v>0</v>
      </c>
      <c r="H2266" s="12" t="b">
        <v>0</v>
      </c>
      <c r="I2266" s="12" t="b">
        <v>0</v>
      </c>
    </row>
    <row r="2267" spans="1:9" x14ac:dyDescent="0.25">
      <c r="A2267" s="12">
        <v>2266</v>
      </c>
      <c r="B2267" s="12" t="s">
        <v>7619</v>
      </c>
      <c r="C2267" s="12" t="s">
        <v>7620</v>
      </c>
      <c r="D2267" s="12" t="s">
        <v>14</v>
      </c>
      <c r="E2267" s="12" t="s">
        <v>7621</v>
      </c>
      <c r="F2267" s="12" t="s">
        <v>7622</v>
      </c>
      <c r="G2267" s="12" t="b">
        <v>0</v>
      </c>
      <c r="H2267" s="12" t="b">
        <v>0</v>
      </c>
      <c r="I2267" s="12" t="b">
        <v>0</v>
      </c>
    </row>
    <row r="2268" spans="1:9" x14ac:dyDescent="0.25">
      <c r="A2268" s="12">
        <v>2267</v>
      </c>
      <c r="B2268" s="12" t="s">
        <v>7623</v>
      </c>
      <c r="C2268" s="12" t="s">
        <v>7624</v>
      </c>
      <c r="D2268" s="12" t="s">
        <v>45</v>
      </c>
      <c r="E2268" s="12" t="s">
        <v>7625</v>
      </c>
      <c r="F2268" s="12" t="s">
        <v>515</v>
      </c>
      <c r="G2268" s="12" t="b">
        <v>0</v>
      </c>
      <c r="H2268" s="12" t="b">
        <v>0</v>
      </c>
      <c r="I2268" s="12" t="b">
        <v>0</v>
      </c>
    </row>
    <row r="2269" spans="1:9" x14ac:dyDescent="0.25">
      <c r="A2269" s="12">
        <v>2268</v>
      </c>
      <c r="B2269" s="12" t="s">
        <v>7626</v>
      </c>
      <c r="C2269" s="12" t="s">
        <v>7627</v>
      </c>
      <c r="D2269" s="12" t="s">
        <v>14</v>
      </c>
      <c r="E2269" s="12" t="s">
        <v>7628</v>
      </c>
      <c r="F2269" s="12" t="s">
        <v>7629</v>
      </c>
      <c r="G2269" s="12" t="b">
        <v>1</v>
      </c>
      <c r="H2269" s="12" t="b">
        <v>0</v>
      </c>
      <c r="I2269" s="12" t="b">
        <v>0</v>
      </c>
    </row>
    <row r="2270" spans="1:9" x14ac:dyDescent="0.25">
      <c r="A2270" s="12">
        <v>2269</v>
      </c>
      <c r="B2270" s="12" t="s">
        <v>7630</v>
      </c>
      <c r="C2270" s="12" t="s">
        <v>7631</v>
      </c>
      <c r="D2270" s="12" t="s">
        <v>10</v>
      </c>
      <c r="E2270" s="12" t="s">
        <v>7632</v>
      </c>
      <c r="F2270" s="12" t="s">
        <v>7633</v>
      </c>
      <c r="G2270" s="12" t="b">
        <v>0</v>
      </c>
      <c r="H2270" s="12" t="b">
        <v>0</v>
      </c>
      <c r="I2270" s="12" t="b">
        <v>0</v>
      </c>
    </row>
    <row r="2271" spans="1:9" x14ac:dyDescent="0.25">
      <c r="A2271" s="12">
        <v>2270</v>
      </c>
      <c r="B2271" s="12" t="s">
        <v>7634</v>
      </c>
      <c r="C2271" s="12" t="s">
        <v>7635</v>
      </c>
      <c r="D2271" s="12" t="s">
        <v>14</v>
      </c>
      <c r="E2271" s="12" t="s">
        <v>7636</v>
      </c>
      <c r="F2271" s="12" t="s">
        <v>1055</v>
      </c>
      <c r="G2271" s="12" t="b">
        <v>0</v>
      </c>
      <c r="H2271" s="12" t="b">
        <v>0</v>
      </c>
      <c r="I2271" s="12" t="b">
        <v>0</v>
      </c>
    </row>
    <row r="2272" spans="1:9" x14ac:dyDescent="0.25">
      <c r="A2272" s="12">
        <v>2271</v>
      </c>
      <c r="B2272" s="12" t="s">
        <v>7637</v>
      </c>
      <c r="C2272" s="12" t="s">
        <v>7638</v>
      </c>
      <c r="D2272" s="12" t="s">
        <v>14</v>
      </c>
      <c r="E2272" s="12" t="s">
        <v>7639</v>
      </c>
      <c r="F2272" s="12" t="s">
        <v>7640</v>
      </c>
      <c r="G2272" s="12" t="b">
        <v>0</v>
      </c>
      <c r="H2272" s="12" t="b">
        <v>0</v>
      </c>
      <c r="I2272" s="12" t="b">
        <v>0</v>
      </c>
    </row>
    <row r="2273" spans="1:9" x14ac:dyDescent="0.25">
      <c r="A2273" s="12">
        <v>2272</v>
      </c>
      <c r="B2273" s="12" t="s">
        <v>7641</v>
      </c>
      <c r="C2273" s="12" t="s">
        <v>7642</v>
      </c>
      <c r="D2273" s="12" t="s">
        <v>45</v>
      </c>
      <c r="E2273" s="12" t="s">
        <v>7643</v>
      </c>
      <c r="F2273" s="12" t="s">
        <v>681</v>
      </c>
      <c r="G2273" s="12" t="b">
        <v>0</v>
      </c>
      <c r="H2273" s="12" t="b">
        <v>0</v>
      </c>
      <c r="I2273" s="12" t="b">
        <v>0</v>
      </c>
    </row>
    <row r="2274" spans="1:9" x14ac:dyDescent="0.25">
      <c r="A2274" s="12">
        <v>2273</v>
      </c>
      <c r="B2274" s="12" t="s">
        <v>7644</v>
      </c>
      <c r="C2274" s="12" t="s">
        <v>7645</v>
      </c>
      <c r="D2274" s="12" t="s">
        <v>10</v>
      </c>
      <c r="E2274" s="12" t="s">
        <v>7646</v>
      </c>
      <c r="F2274" s="12" t="s">
        <v>475</v>
      </c>
      <c r="G2274" s="12" t="b">
        <v>0</v>
      </c>
      <c r="H2274" s="12" t="b">
        <v>0</v>
      </c>
      <c r="I2274" s="12" t="b">
        <v>0</v>
      </c>
    </row>
    <row r="2275" spans="1:9" x14ac:dyDescent="0.25">
      <c r="A2275" s="12">
        <v>2274</v>
      </c>
      <c r="B2275" s="12" t="s">
        <v>7647</v>
      </c>
      <c r="C2275" s="12" t="s">
        <v>7648</v>
      </c>
      <c r="D2275" s="12" t="s">
        <v>14</v>
      </c>
      <c r="E2275" s="12" t="s">
        <v>7649</v>
      </c>
      <c r="F2275" s="12" t="s">
        <v>495</v>
      </c>
      <c r="G2275" s="12" t="b">
        <v>0</v>
      </c>
      <c r="H2275" s="12" t="b">
        <v>0</v>
      </c>
      <c r="I2275" s="12" t="b">
        <v>0</v>
      </c>
    </row>
    <row r="2276" spans="1:9" x14ac:dyDescent="0.25">
      <c r="A2276" s="12">
        <v>2275</v>
      </c>
      <c r="B2276" s="12" t="s">
        <v>7650</v>
      </c>
      <c r="C2276" s="12" t="s">
        <v>7651</v>
      </c>
      <c r="D2276" s="12" t="s">
        <v>14</v>
      </c>
      <c r="E2276" s="12" t="s">
        <v>7652</v>
      </c>
      <c r="F2276" s="12" t="s">
        <v>7427</v>
      </c>
      <c r="G2276" s="12" t="b">
        <v>0</v>
      </c>
      <c r="H2276" s="12" t="b">
        <v>0</v>
      </c>
      <c r="I2276" s="12" t="b">
        <v>0</v>
      </c>
    </row>
    <row r="2277" spans="1:9" x14ac:dyDescent="0.25">
      <c r="A2277" s="12">
        <v>2276</v>
      </c>
      <c r="B2277" s="12" t="s">
        <v>7653</v>
      </c>
      <c r="C2277" s="12" t="s">
        <v>7654</v>
      </c>
      <c r="D2277" s="12" t="s">
        <v>45</v>
      </c>
      <c r="E2277" s="12" t="s">
        <v>7655</v>
      </c>
      <c r="F2277" s="12" t="s">
        <v>2567</v>
      </c>
      <c r="G2277" s="12" t="b">
        <v>0</v>
      </c>
      <c r="H2277" s="12" t="b">
        <v>0</v>
      </c>
      <c r="I2277" s="12" t="b">
        <v>0</v>
      </c>
    </row>
    <row r="2278" spans="1:9" x14ac:dyDescent="0.25">
      <c r="A2278" s="12">
        <v>2277</v>
      </c>
      <c r="B2278" s="12" t="s">
        <v>7656</v>
      </c>
      <c r="C2278" s="12" t="s">
        <v>7657</v>
      </c>
      <c r="D2278" s="12" t="s">
        <v>45</v>
      </c>
      <c r="E2278" s="12" t="s">
        <v>7658</v>
      </c>
      <c r="F2278" s="12" t="s">
        <v>7659</v>
      </c>
      <c r="G2278" s="12" t="b">
        <v>1</v>
      </c>
      <c r="H2278" s="12" t="b">
        <v>0</v>
      </c>
      <c r="I2278" s="12" t="b">
        <v>0</v>
      </c>
    </row>
    <row r="2279" spans="1:9" x14ac:dyDescent="0.25">
      <c r="A2279" s="12">
        <v>2278</v>
      </c>
      <c r="B2279" s="12" t="s">
        <v>7660</v>
      </c>
      <c r="C2279" s="12" t="s">
        <v>7661</v>
      </c>
      <c r="D2279" s="12" t="s">
        <v>10</v>
      </c>
      <c r="E2279" s="12" t="s">
        <v>7662</v>
      </c>
      <c r="F2279" s="12" t="s">
        <v>316</v>
      </c>
      <c r="G2279" s="12" t="b">
        <v>0</v>
      </c>
      <c r="H2279" s="12" t="b">
        <v>0</v>
      </c>
      <c r="I2279" s="12" t="b">
        <v>0</v>
      </c>
    </row>
    <row r="2280" spans="1:9" x14ac:dyDescent="0.25">
      <c r="A2280" s="12">
        <v>2279</v>
      </c>
      <c r="B2280" s="12" t="s">
        <v>7663</v>
      </c>
      <c r="C2280" s="12" t="s">
        <v>7664</v>
      </c>
      <c r="D2280" s="12" t="s">
        <v>14</v>
      </c>
      <c r="E2280" s="12" t="s">
        <v>7665</v>
      </c>
      <c r="F2280" s="12" t="s">
        <v>1181</v>
      </c>
      <c r="G2280" s="12" t="b">
        <v>0</v>
      </c>
      <c r="H2280" s="12" t="b">
        <v>0</v>
      </c>
      <c r="I2280" s="12" t="b">
        <v>0</v>
      </c>
    </row>
    <row r="2281" spans="1:9" x14ac:dyDescent="0.25">
      <c r="A2281" s="12">
        <v>2280</v>
      </c>
      <c r="B2281" s="12" t="s">
        <v>7666</v>
      </c>
      <c r="C2281" s="12" t="s">
        <v>7667</v>
      </c>
      <c r="D2281" s="12" t="s">
        <v>14</v>
      </c>
      <c r="E2281" s="12" t="s">
        <v>7668</v>
      </c>
      <c r="F2281" s="12" t="s">
        <v>7669</v>
      </c>
      <c r="G2281" s="12" t="b">
        <v>0</v>
      </c>
      <c r="H2281" s="12" t="b">
        <v>0</v>
      </c>
      <c r="I2281" s="12" t="b">
        <v>0</v>
      </c>
    </row>
    <row r="2282" spans="1:9" x14ac:dyDescent="0.25">
      <c r="A2282" s="12">
        <v>2281</v>
      </c>
      <c r="B2282" s="12" t="s">
        <v>7670</v>
      </c>
      <c r="C2282" s="12" t="s">
        <v>7671</v>
      </c>
      <c r="D2282" s="12" t="s">
        <v>45</v>
      </c>
      <c r="E2282" s="12" t="s">
        <v>7672</v>
      </c>
      <c r="F2282" s="12" t="s">
        <v>6290</v>
      </c>
      <c r="G2282" s="12" t="b">
        <v>0</v>
      </c>
      <c r="H2282" s="12" t="b">
        <v>0</v>
      </c>
      <c r="I2282" s="12" t="b">
        <v>0</v>
      </c>
    </row>
    <row r="2283" spans="1:9" x14ac:dyDescent="0.25">
      <c r="A2283" s="12">
        <v>2282</v>
      </c>
      <c r="B2283" s="12" t="s">
        <v>7673</v>
      </c>
      <c r="C2283" s="12" t="s">
        <v>7674</v>
      </c>
      <c r="D2283" s="12" t="s">
        <v>14</v>
      </c>
      <c r="E2283" s="12" t="s">
        <v>7675</v>
      </c>
      <c r="F2283" s="12" t="s">
        <v>7676</v>
      </c>
      <c r="G2283" s="12" t="b">
        <v>1</v>
      </c>
      <c r="H2283" s="12" t="b">
        <v>0</v>
      </c>
      <c r="I2283" s="12" t="b">
        <v>0</v>
      </c>
    </row>
    <row r="2284" spans="1:9" x14ac:dyDescent="0.25">
      <c r="A2284" s="12">
        <v>2283</v>
      </c>
      <c r="B2284" s="12" t="s">
        <v>7677</v>
      </c>
      <c r="C2284" s="12" t="s">
        <v>7678</v>
      </c>
      <c r="D2284" s="12" t="s">
        <v>10</v>
      </c>
      <c r="E2284" s="12" t="s">
        <v>7679</v>
      </c>
      <c r="F2284" s="12" t="s">
        <v>1240</v>
      </c>
      <c r="G2284" s="12" t="b">
        <v>0</v>
      </c>
      <c r="H2284" s="12" t="b">
        <v>0</v>
      </c>
      <c r="I2284" s="12" t="b">
        <v>0</v>
      </c>
    </row>
    <row r="2285" spans="1:9" x14ac:dyDescent="0.25">
      <c r="A2285" s="12">
        <v>2284</v>
      </c>
      <c r="B2285" s="12" t="s">
        <v>7680</v>
      </c>
      <c r="C2285" s="12" t="s">
        <v>7681</v>
      </c>
      <c r="D2285" s="12" t="s">
        <v>14</v>
      </c>
      <c r="E2285" s="12" t="s">
        <v>7682</v>
      </c>
      <c r="F2285" s="12" t="s">
        <v>2883</v>
      </c>
      <c r="G2285" s="12" t="b">
        <v>0</v>
      </c>
      <c r="H2285" s="12" t="b">
        <v>0</v>
      </c>
      <c r="I2285" s="12" t="b">
        <v>0</v>
      </c>
    </row>
    <row r="2286" spans="1:9" x14ac:dyDescent="0.25">
      <c r="A2286" s="12">
        <v>2285</v>
      </c>
      <c r="B2286" s="12" t="s">
        <v>7683</v>
      </c>
      <c r="C2286" s="12" t="s">
        <v>7684</v>
      </c>
      <c r="D2286" s="12" t="s">
        <v>14</v>
      </c>
      <c r="E2286" s="12" t="s">
        <v>7685</v>
      </c>
      <c r="F2286" s="12" t="s">
        <v>7686</v>
      </c>
      <c r="G2286" s="12" t="b">
        <v>0</v>
      </c>
      <c r="H2286" s="12" t="b">
        <v>0</v>
      </c>
      <c r="I2286" s="12" t="b">
        <v>0</v>
      </c>
    </row>
    <row r="2287" spans="1:9" x14ac:dyDescent="0.25">
      <c r="A2287" s="12">
        <v>2286</v>
      </c>
      <c r="B2287" s="12" t="s">
        <v>7687</v>
      </c>
      <c r="C2287" s="12" t="s">
        <v>7688</v>
      </c>
      <c r="D2287" s="12" t="s">
        <v>45</v>
      </c>
      <c r="E2287" s="12" t="s">
        <v>7689</v>
      </c>
      <c r="F2287" s="12" t="s">
        <v>7690</v>
      </c>
      <c r="G2287" s="12" t="b">
        <v>0</v>
      </c>
      <c r="H2287" s="12" t="b">
        <v>0</v>
      </c>
      <c r="I2287" s="12" t="b">
        <v>0</v>
      </c>
    </row>
    <row r="2288" spans="1:9" x14ac:dyDescent="0.25">
      <c r="A2288" s="12">
        <v>2287</v>
      </c>
      <c r="B2288" s="12" t="s">
        <v>7691</v>
      </c>
      <c r="C2288" s="12" t="s">
        <v>7692</v>
      </c>
      <c r="D2288" s="12" t="s">
        <v>10</v>
      </c>
      <c r="E2288" s="12" t="s">
        <v>7693</v>
      </c>
      <c r="F2288" s="12" t="s">
        <v>1240</v>
      </c>
      <c r="G2288" s="12" t="b">
        <v>0</v>
      </c>
      <c r="H2288" s="12" t="b">
        <v>0</v>
      </c>
      <c r="I2288" s="12" t="b">
        <v>0</v>
      </c>
    </row>
    <row r="2289" spans="1:9" x14ac:dyDescent="0.25">
      <c r="A2289" s="12">
        <v>2288</v>
      </c>
      <c r="B2289" s="12" t="s">
        <v>7694</v>
      </c>
      <c r="C2289" s="12" t="s">
        <v>7695</v>
      </c>
      <c r="D2289" s="12" t="s">
        <v>14</v>
      </c>
      <c r="E2289" s="12" t="s">
        <v>7696</v>
      </c>
      <c r="F2289" s="12" t="s">
        <v>316</v>
      </c>
      <c r="G2289" s="12" t="b">
        <v>0</v>
      </c>
      <c r="H2289" s="12" t="b">
        <v>0</v>
      </c>
      <c r="I2289" s="12" t="b">
        <v>0</v>
      </c>
    </row>
    <row r="2290" spans="1:9" x14ac:dyDescent="0.25">
      <c r="A2290" s="12">
        <v>2289</v>
      </c>
      <c r="B2290" s="12" t="s">
        <v>7697</v>
      </c>
      <c r="C2290" s="12" t="s">
        <v>7698</v>
      </c>
      <c r="D2290" s="12" t="s">
        <v>14</v>
      </c>
      <c r="E2290" s="12" t="s">
        <v>7699</v>
      </c>
      <c r="F2290" s="12" t="s">
        <v>3567</v>
      </c>
      <c r="G2290" s="12" t="b">
        <v>0</v>
      </c>
      <c r="H2290" s="12" t="b">
        <v>0</v>
      </c>
      <c r="I2290" s="12" t="b">
        <v>0</v>
      </c>
    </row>
    <row r="2291" spans="1:9" x14ac:dyDescent="0.25">
      <c r="A2291" s="12">
        <v>2290</v>
      </c>
      <c r="B2291" s="12" t="s">
        <v>7700</v>
      </c>
      <c r="C2291" s="12" t="s">
        <v>7701</v>
      </c>
      <c r="D2291" s="12" t="s">
        <v>45</v>
      </c>
      <c r="E2291" s="12" t="s">
        <v>2171</v>
      </c>
      <c r="F2291" s="12" t="s">
        <v>4701</v>
      </c>
      <c r="G2291" s="12" t="b">
        <v>0</v>
      </c>
      <c r="H2291" s="12" t="b">
        <v>0</v>
      </c>
      <c r="I2291" s="12" t="b">
        <v>0</v>
      </c>
    </row>
    <row r="2292" spans="1:9" x14ac:dyDescent="0.25">
      <c r="A2292" s="12">
        <v>2291</v>
      </c>
      <c r="B2292" s="12" t="s">
        <v>7702</v>
      </c>
      <c r="C2292" s="12" t="s">
        <v>7703</v>
      </c>
      <c r="D2292" s="12" t="s">
        <v>14</v>
      </c>
      <c r="E2292" s="12" t="s">
        <v>7704</v>
      </c>
      <c r="F2292" s="12" t="s">
        <v>681</v>
      </c>
      <c r="G2292" s="12" t="b">
        <v>1</v>
      </c>
      <c r="H2292" s="12" t="b">
        <v>0</v>
      </c>
      <c r="I2292" s="12" t="b">
        <v>0</v>
      </c>
    </row>
    <row r="2293" spans="1:9" x14ac:dyDescent="0.25">
      <c r="A2293" s="12">
        <v>2292</v>
      </c>
      <c r="B2293" s="12" t="s">
        <v>7705</v>
      </c>
      <c r="C2293" s="12" t="s">
        <v>7706</v>
      </c>
      <c r="D2293" s="12" t="s">
        <v>14</v>
      </c>
      <c r="E2293" s="12" t="s">
        <v>7707</v>
      </c>
      <c r="F2293" s="12" t="s">
        <v>859</v>
      </c>
      <c r="G2293" s="12" t="b">
        <v>1</v>
      </c>
      <c r="H2293" s="12" t="b">
        <v>0</v>
      </c>
      <c r="I2293" s="12" t="b">
        <v>0</v>
      </c>
    </row>
    <row r="2294" spans="1:9" x14ac:dyDescent="0.25">
      <c r="A2294" s="12">
        <v>2293</v>
      </c>
      <c r="B2294" s="12" t="s">
        <v>7708</v>
      </c>
      <c r="C2294" s="12" t="s">
        <v>7709</v>
      </c>
      <c r="D2294" s="12" t="s">
        <v>10</v>
      </c>
      <c r="E2294" s="12" t="s">
        <v>7710</v>
      </c>
      <c r="F2294" s="12" t="s">
        <v>1877</v>
      </c>
      <c r="G2294" s="12" t="b">
        <v>0</v>
      </c>
      <c r="H2294" s="12" t="b">
        <v>0</v>
      </c>
      <c r="I2294" s="12" t="b">
        <v>0</v>
      </c>
    </row>
    <row r="2295" spans="1:9" x14ac:dyDescent="0.25">
      <c r="A2295" s="12">
        <v>2294</v>
      </c>
      <c r="B2295" s="12" t="s">
        <v>7711</v>
      </c>
      <c r="C2295" s="12" t="s">
        <v>7712</v>
      </c>
      <c r="D2295" s="12" t="s">
        <v>14</v>
      </c>
      <c r="E2295" s="12" t="s">
        <v>7713</v>
      </c>
      <c r="F2295" s="12" t="s">
        <v>1181</v>
      </c>
      <c r="G2295" s="12" t="b">
        <v>0</v>
      </c>
      <c r="H2295" s="12" t="b">
        <v>0</v>
      </c>
      <c r="I2295" s="12" t="b">
        <v>0</v>
      </c>
    </row>
    <row r="2296" spans="1:9" x14ac:dyDescent="0.25">
      <c r="A2296" s="12">
        <v>2295</v>
      </c>
      <c r="B2296" s="12" t="s">
        <v>7714</v>
      </c>
      <c r="C2296" s="12" t="s">
        <v>7715</v>
      </c>
      <c r="D2296" s="12" t="s">
        <v>14</v>
      </c>
      <c r="E2296" s="12" t="s">
        <v>7716</v>
      </c>
      <c r="F2296" s="12" t="s">
        <v>7411</v>
      </c>
      <c r="G2296" s="12" t="b">
        <v>0</v>
      </c>
      <c r="H2296" s="12" t="b">
        <v>0</v>
      </c>
      <c r="I2296" s="12" t="b">
        <v>0</v>
      </c>
    </row>
    <row r="2297" spans="1:9" x14ac:dyDescent="0.25">
      <c r="A2297" s="12">
        <v>2296</v>
      </c>
      <c r="B2297" s="12" t="s">
        <v>7717</v>
      </c>
      <c r="C2297" s="12" t="s">
        <v>7718</v>
      </c>
      <c r="D2297" s="12" t="s">
        <v>45</v>
      </c>
      <c r="E2297" s="12" t="s">
        <v>7719</v>
      </c>
      <c r="F2297" s="12" t="s">
        <v>7720</v>
      </c>
      <c r="G2297" s="12" t="b">
        <v>0</v>
      </c>
      <c r="H2297" s="12" t="b">
        <v>0</v>
      </c>
      <c r="I2297" s="12" t="b">
        <v>0</v>
      </c>
    </row>
    <row r="2298" spans="1:9" x14ac:dyDescent="0.25">
      <c r="A2298" s="12">
        <v>2297</v>
      </c>
      <c r="B2298" s="12" t="s">
        <v>7721</v>
      </c>
      <c r="C2298" s="12" t="s">
        <v>7722</v>
      </c>
      <c r="D2298" s="12" t="s">
        <v>14</v>
      </c>
      <c r="E2298" s="12" t="s">
        <v>7723</v>
      </c>
      <c r="F2298" s="12" t="s">
        <v>7724</v>
      </c>
      <c r="G2298" s="12" t="b">
        <v>1</v>
      </c>
      <c r="H2298" s="12" t="b">
        <v>0</v>
      </c>
      <c r="I2298" s="12" t="b">
        <v>0</v>
      </c>
    </row>
    <row r="2299" spans="1:9" x14ac:dyDescent="0.25">
      <c r="A2299" s="12">
        <v>2298</v>
      </c>
      <c r="B2299" s="12" t="s">
        <v>7725</v>
      </c>
      <c r="C2299" s="12" t="s">
        <v>7726</v>
      </c>
      <c r="D2299" s="12" t="s">
        <v>14</v>
      </c>
      <c r="E2299" s="12" t="s">
        <v>7727</v>
      </c>
      <c r="F2299" s="12" t="s">
        <v>859</v>
      </c>
      <c r="G2299" s="12" t="b">
        <v>1</v>
      </c>
      <c r="H2299" s="12" t="b">
        <v>0</v>
      </c>
      <c r="I2299" s="12" t="b">
        <v>0</v>
      </c>
    </row>
    <row r="2300" spans="1:9" x14ac:dyDescent="0.25">
      <c r="A2300" s="12">
        <v>2299</v>
      </c>
      <c r="B2300" s="12" t="s">
        <v>7728</v>
      </c>
      <c r="C2300" s="12" t="s">
        <v>7729</v>
      </c>
      <c r="D2300" s="12" t="s">
        <v>10</v>
      </c>
      <c r="E2300" s="12" t="s">
        <v>7730</v>
      </c>
      <c r="F2300" s="12" t="s">
        <v>316</v>
      </c>
      <c r="G2300" s="12" t="b">
        <v>0</v>
      </c>
      <c r="H2300" s="12" t="b">
        <v>0</v>
      </c>
      <c r="I2300" s="12" t="b">
        <v>0</v>
      </c>
    </row>
    <row r="2301" spans="1:9" x14ac:dyDescent="0.25">
      <c r="A2301" s="12">
        <v>2300</v>
      </c>
      <c r="B2301" s="12" t="s">
        <v>7731</v>
      </c>
      <c r="C2301" s="12" t="s">
        <v>7732</v>
      </c>
      <c r="D2301" s="12" t="s">
        <v>14</v>
      </c>
      <c r="E2301" s="12" t="s">
        <v>7733</v>
      </c>
      <c r="F2301" s="12" t="s">
        <v>1116</v>
      </c>
      <c r="G2301" s="12" t="b">
        <v>0</v>
      </c>
      <c r="H2301" s="12" t="b">
        <v>0</v>
      </c>
      <c r="I2301" s="12" t="b">
        <v>0</v>
      </c>
    </row>
    <row r="2302" spans="1:9" x14ac:dyDescent="0.25">
      <c r="A2302" s="12">
        <v>2301</v>
      </c>
      <c r="B2302" s="12" t="s">
        <v>7734</v>
      </c>
      <c r="C2302" s="12" t="s">
        <v>7735</v>
      </c>
      <c r="D2302" s="12" t="s">
        <v>45</v>
      </c>
      <c r="E2302" s="12" t="s">
        <v>7736</v>
      </c>
      <c r="F2302" s="12" t="s">
        <v>7737</v>
      </c>
      <c r="G2302" s="12" t="b">
        <v>0</v>
      </c>
      <c r="H2302" s="12" t="b">
        <v>0</v>
      </c>
      <c r="I2302" s="12" t="b">
        <v>0</v>
      </c>
    </row>
    <row r="2303" spans="1:9" x14ac:dyDescent="0.25">
      <c r="A2303" s="12">
        <v>2302</v>
      </c>
      <c r="B2303" s="12" t="s">
        <v>7738</v>
      </c>
      <c r="C2303" s="12" t="s">
        <v>7739</v>
      </c>
      <c r="D2303" s="12" t="s">
        <v>45</v>
      </c>
      <c r="E2303" s="12" t="s">
        <v>7740</v>
      </c>
      <c r="F2303" s="12" t="s">
        <v>963</v>
      </c>
      <c r="G2303" s="12" t="b">
        <v>0</v>
      </c>
      <c r="H2303" s="12" t="b">
        <v>0</v>
      </c>
      <c r="I2303" s="12" t="b">
        <v>0</v>
      </c>
    </row>
    <row r="2304" spans="1:9" x14ac:dyDescent="0.25">
      <c r="A2304" s="12">
        <v>2303</v>
      </c>
      <c r="B2304" s="12" t="s">
        <v>7741</v>
      </c>
      <c r="C2304" s="12" t="s">
        <v>7742</v>
      </c>
      <c r="D2304" s="12" t="s">
        <v>10</v>
      </c>
      <c r="E2304" s="12" t="s">
        <v>7743</v>
      </c>
      <c r="F2304" s="12" t="s">
        <v>1877</v>
      </c>
      <c r="G2304" s="12" t="b">
        <v>0</v>
      </c>
      <c r="H2304" s="12" t="b">
        <v>0</v>
      </c>
      <c r="I2304" s="12" t="b">
        <v>0</v>
      </c>
    </row>
    <row r="2305" spans="1:9" x14ac:dyDescent="0.25">
      <c r="A2305" s="12">
        <v>2304</v>
      </c>
      <c r="B2305" s="12" t="s">
        <v>7744</v>
      </c>
      <c r="C2305" s="12" t="s">
        <v>7745</v>
      </c>
      <c r="D2305" s="12" t="s">
        <v>14</v>
      </c>
      <c r="E2305" s="12" t="s">
        <v>7746</v>
      </c>
      <c r="F2305" s="12" t="s">
        <v>515</v>
      </c>
      <c r="G2305" s="12" t="b">
        <v>0</v>
      </c>
      <c r="H2305" s="12" t="b">
        <v>0</v>
      </c>
      <c r="I2305" s="12" t="b">
        <v>0</v>
      </c>
    </row>
    <row r="2306" spans="1:9" x14ac:dyDescent="0.25">
      <c r="A2306" s="12">
        <v>2305</v>
      </c>
      <c r="B2306" s="12" t="s">
        <v>7747</v>
      </c>
      <c r="C2306" s="12" t="s">
        <v>7748</v>
      </c>
      <c r="D2306" s="12" t="s">
        <v>14</v>
      </c>
      <c r="E2306" s="12" t="s">
        <v>7749</v>
      </c>
      <c r="F2306" s="12" t="s">
        <v>1780</v>
      </c>
      <c r="G2306" s="12" t="b">
        <v>0</v>
      </c>
      <c r="H2306" s="12" t="b">
        <v>0</v>
      </c>
      <c r="I2306" s="12" t="b">
        <v>0</v>
      </c>
    </row>
    <row r="2307" spans="1:9" x14ac:dyDescent="0.25">
      <c r="A2307" s="12">
        <v>2306</v>
      </c>
      <c r="B2307" s="12" t="s">
        <v>7750</v>
      </c>
      <c r="C2307" s="12" t="s">
        <v>7751</v>
      </c>
      <c r="D2307" s="12" t="s">
        <v>45</v>
      </c>
      <c r="E2307" s="12" t="s">
        <v>7752</v>
      </c>
      <c r="F2307" s="12" t="s">
        <v>7753</v>
      </c>
      <c r="G2307" s="12" t="b">
        <v>0</v>
      </c>
      <c r="H2307" s="12" t="b">
        <v>0</v>
      </c>
      <c r="I2307" s="12" t="b">
        <v>0</v>
      </c>
    </row>
    <row r="2308" spans="1:9" x14ac:dyDescent="0.25">
      <c r="A2308" s="12">
        <v>2307</v>
      </c>
      <c r="B2308" s="12" t="s">
        <v>7754</v>
      </c>
      <c r="C2308" s="12" t="s">
        <v>7755</v>
      </c>
      <c r="D2308" s="12" t="s">
        <v>45</v>
      </c>
      <c r="E2308" s="12" t="s">
        <v>7756</v>
      </c>
      <c r="F2308" s="12" t="s">
        <v>7757</v>
      </c>
      <c r="G2308" s="12" t="b">
        <v>1</v>
      </c>
      <c r="H2308" s="12" t="b">
        <v>0</v>
      </c>
      <c r="I2308" s="12" t="b">
        <v>0</v>
      </c>
    </row>
    <row r="2309" spans="1:9" x14ac:dyDescent="0.25">
      <c r="A2309" s="12">
        <v>2308</v>
      </c>
      <c r="B2309" s="12" t="s">
        <v>7758</v>
      </c>
      <c r="C2309" s="12" t="s">
        <v>7759</v>
      </c>
      <c r="D2309" s="12" t="s">
        <v>14</v>
      </c>
      <c r="E2309" s="12" t="s">
        <v>7760</v>
      </c>
      <c r="F2309" s="12" t="s">
        <v>859</v>
      </c>
      <c r="G2309" s="12" t="b">
        <v>1</v>
      </c>
      <c r="H2309" s="12" t="b">
        <v>0</v>
      </c>
      <c r="I2309" s="12" t="b">
        <v>0</v>
      </c>
    </row>
    <row r="2310" spans="1:9" x14ac:dyDescent="0.25">
      <c r="A2310" s="12">
        <v>2309</v>
      </c>
      <c r="B2310" s="12" t="s">
        <v>7761</v>
      </c>
      <c r="C2310" s="12" t="s">
        <v>7762</v>
      </c>
      <c r="D2310" s="12" t="s">
        <v>10</v>
      </c>
      <c r="E2310" s="12" t="s">
        <v>7763</v>
      </c>
      <c r="F2310" s="12" t="s">
        <v>7764</v>
      </c>
      <c r="G2310" s="12" t="b">
        <v>0</v>
      </c>
      <c r="H2310" s="12" t="b">
        <v>0</v>
      </c>
      <c r="I2310" s="12" t="b">
        <v>0</v>
      </c>
    </row>
    <row r="2311" spans="1:9" x14ac:dyDescent="0.25">
      <c r="A2311" s="12">
        <v>2310</v>
      </c>
      <c r="B2311" s="12" t="s">
        <v>7765</v>
      </c>
      <c r="C2311" s="12" t="s">
        <v>7766</v>
      </c>
      <c r="D2311" s="12" t="s">
        <v>14</v>
      </c>
      <c r="E2311" s="12" t="s">
        <v>7767</v>
      </c>
      <c r="F2311" s="12" t="s">
        <v>7768</v>
      </c>
      <c r="G2311" s="12" t="b">
        <v>0</v>
      </c>
      <c r="H2311" s="12" t="b">
        <v>0</v>
      </c>
      <c r="I2311" s="12" t="b">
        <v>0</v>
      </c>
    </row>
    <row r="2312" spans="1:9" x14ac:dyDescent="0.25">
      <c r="A2312" s="12">
        <v>2311</v>
      </c>
      <c r="B2312" s="12" t="s">
        <v>7769</v>
      </c>
      <c r="C2312" s="12" t="s">
        <v>7770</v>
      </c>
      <c r="D2312" s="12" t="s">
        <v>14</v>
      </c>
      <c r="E2312" s="12" t="s">
        <v>7771</v>
      </c>
      <c r="F2312" s="12" t="s">
        <v>7772</v>
      </c>
      <c r="G2312" s="12" t="b">
        <v>0</v>
      </c>
      <c r="H2312" s="12" t="b">
        <v>0</v>
      </c>
      <c r="I2312" s="12" t="b">
        <v>0</v>
      </c>
    </row>
    <row r="2313" spans="1:9" x14ac:dyDescent="0.25">
      <c r="A2313" s="12">
        <v>2312</v>
      </c>
      <c r="B2313" s="12" t="s">
        <v>7773</v>
      </c>
      <c r="C2313" s="12" t="s">
        <v>7774</v>
      </c>
      <c r="D2313" s="12" t="s">
        <v>45</v>
      </c>
      <c r="E2313" s="12" t="s">
        <v>7775</v>
      </c>
      <c r="F2313" s="12" t="s">
        <v>2043</v>
      </c>
      <c r="G2313" s="12" t="b">
        <v>0</v>
      </c>
      <c r="H2313" s="12" t="b">
        <v>0</v>
      </c>
      <c r="I2313" s="12" t="b">
        <v>0</v>
      </c>
    </row>
    <row r="2314" spans="1:9" x14ac:dyDescent="0.25">
      <c r="A2314" s="12">
        <v>2313</v>
      </c>
      <c r="B2314" s="12" t="s">
        <v>7776</v>
      </c>
      <c r="C2314" s="12" t="s">
        <v>7777</v>
      </c>
      <c r="D2314" s="12" t="s">
        <v>45</v>
      </c>
      <c r="E2314" s="12" t="s">
        <v>7778</v>
      </c>
      <c r="F2314" s="12" t="s">
        <v>698</v>
      </c>
      <c r="G2314" s="12" t="b">
        <v>1</v>
      </c>
      <c r="H2314" s="12" t="b">
        <v>0</v>
      </c>
      <c r="I2314" s="12" t="b">
        <v>0</v>
      </c>
    </row>
    <row r="2315" spans="1:9" x14ac:dyDescent="0.25">
      <c r="A2315" s="12">
        <v>2314</v>
      </c>
      <c r="B2315" s="12" t="s">
        <v>7779</v>
      </c>
      <c r="C2315" s="12" t="s">
        <v>7780</v>
      </c>
      <c r="D2315" s="12" t="s">
        <v>14</v>
      </c>
      <c r="E2315" s="12" t="s">
        <v>7781</v>
      </c>
      <c r="F2315" s="12" t="s">
        <v>859</v>
      </c>
      <c r="G2315" s="12" t="b">
        <v>1</v>
      </c>
      <c r="H2315" s="12" t="b">
        <v>0</v>
      </c>
      <c r="I2315" s="12" t="b">
        <v>0</v>
      </c>
    </row>
    <row r="2316" spans="1:9" x14ac:dyDescent="0.25">
      <c r="A2316" s="12">
        <v>2315</v>
      </c>
      <c r="B2316" s="12" t="s">
        <v>7782</v>
      </c>
      <c r="C2316" s="12" t="s">
        <v>7783</v>
      </c>
      <c r="D2316" s="12" t="s">
        <v>10</v>
      </c>
      <c r="E2316" s="12" t="s">
        <v>7784</v>
      </c>
      <c r="F2316" s="12" t="s">
        <v>316</v>
      </c>
      <c r="G2316" s="12" t="b">
        <v>0</v>
      </c>
      <c r="H2316" s="12" t="b">
        <v>0</v>
      </c>
      <c r="I2316" s="12" t="b">
        <v>0</v>
      </c>
    </row>
    <row r="2317" spans="1:9" x14ac:dyDescent="0.25">
      <c r="A2317" s="12">
        <v>2316</v>
      </c>
      <c r="B2317" s="12" t="s">
        <v>7785</v>
      </c>
      <c r="C2317" s="12" t="s">
        <v>7786</v>
      </c>
      <c r="D2317" s="12" t="s">
        <v>14</v>
      </c>
      <c r="E2317" s="12" t="s">
        <v>7787</v>
      </c>
      <c r="F2317" s="12" t="s">
        <v>1122</v>
      </c>
      <c r="G2317" s="12" t="b">
        <v>0</v>
      </c>
      <c r="H2317" s="12" t="b">
        <v>0</v>
      </c>
      <c r="I2317" s="12" t="b">
        <v>0</v>
      </c>
    </row>
    <row r="2318" spans="1:9" x14ac:dyDescent="0.25">
      <c r="A2318" s="12">
        <v>2317</v>
      </c>
      <c r="B2318" s="12" t="s">
        <v>7788</v>
      </c>
      <c r="C2318" s="12" t="s">
        <v>7789</v>
      </c>
      <c r="D2318" s="12" t="s">
        <v>14</v>
      </c>
      <c r="E2318" s="12" t="s">
        <v>7790</v>
      </c>
      <c r="F2318" s="12" t="s">
        <v>1818</v>
      </c>
      <c r="G2318" s="12" t="b">
        <v>0</v>
      </c>
      <c r="H2318" s="12" t="b">
        <v>0</v>
      </c>
      <c r="I2318" s="12" t="b">
        <v>0</v>
      </c>
    </row>
    <row r="2319" spans="1:9" x14ac:dyDescent="0.25">
      <c r="A2319" s="12">
        <v>2318</v>
      </c>
      <c r="B2319" s="12" t="s">
        <v>7791</v>
      </c>
      <c r="C2319" s="12" t="s">
        <v>7792</v>
      </c>
      <c r="D2319" s="12" t="s">
        <v>45</v>
      </c>
      <c r="E2319" s="12" t="s">
        <v>7793</v>
      </c>
      <c r="F2319" s="12" t="s">
        <v>5305</v>
      </c>
      <c r="G2319" s="12" t="b">
        <v>0</v>
      </c>
      <c r="H2319" s="12" t="b">
        <v>0</v>
      </c>
      <c r="I2319" s="12" t="b">
        <v>0</v>
      </c>
    </row>
    <row r="2320" spans="1:9" x14ac:dyDescent="0.25">
      <c r="A2320" s="12">
        <v>2319</v>
      </c>
      <c r="B2320" s="12" t="s">
        <v>7794</v>
      </c>
      <c r="C2320" s="12" t="s">
        <v>7795</v>
      </c>
      <c r="D2320" s="12" t="s">
        <v>10</v>
      </c>
      <c r="E2320" s="12" t="s">
        <v>7796</v>
      </c>
      <c r="F2320" s="12" t="s">
        <v>1646</v>
      </c>
      <c r="G2320" s="12" t="b">
        <v>0</v>
      </c>
      <c r="H2320" s="12" t="b">
        <v>0</v>
      </c>
      <c r="I2320" s="12" t="b">
        <v>0</v>
      </c>
    </row>
    <row r="2321" spans="1:9" x14ac:dyDescent="0.25">
      <c r="A2321" s="12">
        <v>2320</v>
      </c>
      <c r="B2321" s="12" t="s">
        <v>7797</v>
      </c>
      <c r="C2321" s="12" t="s">
        <v>7798</v>
      </c>
      <c r="D2321" s="12" t="s">
        <v>14</v>
      </c>
      <c r="E2321" s="12" t="s">
        <v>7799</v>
      </c>
      <c r="F2321" s="12" t="s">
        <v>292</v>
      </c>
      <c r="G2321" s="12" t="b">
        <v>0</v>
      </c>
      <c r="H2321" s="12" t="b">
        <v>0</v>
      </c>
      <c r="I2321" s="12" t="b">
        <v>0</v>
      </c>
    </row>
    <row r="2322" spans="1:9" x14ac:dyDescent="0.25">
      <c r="A2322" s="12">
        <v>2321</v>
      </c>
      <c r="B2322" s="12" t="s">
        <v>7800</v>
      </c>
      <c r="C2322" s="12" t="s">
        <v>7801</v>
      </c>
      <c r="D2322" s="12" t="s">
        <v>45</v>
      </c>
      <c r="E2322" s="12" t="s">
        <v>7802</v>
      </c>
      <c r="F2322" s="12" t="s">
        <v>681</v>
      </c>
      <c r="G2322" s="12" t="b">
        <v>0</v>
      </c>
      <c r="H2322" s="12" t="b">
        <v>0</v>
      </c>
      <c r="I2322" s="12" t="b">
        <v>0</v>
      </c>
    </row>
    <row r="2323" spans="1:9" x14ac:dyDescent="0.25">
      <c r="A2323" s="12">
        <v>2322</v>
      </c>
      <c r="B2323" s="12" t="s">
        <v>7803</v>
      </c>
      <c r="C2323" s="12" t="s">
        <v>7804</v>
      </c>
      <c r="D2323" s="12" t="s">
        <v>45</v>
      </c>
      <c r="E2323" s="12" t="s">
        <v>7805</v>
      </c>
      <c r="F2323" s="12" t="s">
        <v>7806</v>
      </c>
      <c r="G2323" s="12" t="b">
        <v>0</v>
      </c>
      <c r="H2323" s="12" t="b">
        <v>0</v>
      </c>
      <c r="I2323" s="12" t="b">
        <v>0</v>
      </c>
    </row>
    <row r="2324" spans="1:9" x14ac:dyDescent="0.25">
      <c r="A2324" s="12">
        <v>2323</v>
      </c>
      <c r="B2324" s="12" t="s">
        <v>7807</v>
      </c>
      <c r="C2324" s="12" t="s">
        <v>7808</v>
      </c>
      <c r="D2324" s="12" t="s">
        <v>14</v>
      </c>
      <c r="E2324" s="12" t="s">
        <v>7809</v>
      </c>
      <c r="F2324" s="12" t="s">
        <v>290</v>
      </c>
      <c r="G2324" s="12" t="b">
        <v>1</v>
      </c>
      <c r="H2324" s="12" t="b">
        <v>0</v>
      </c>
      <c r="I2324" s="12" t="b">
        <v>0</v>
      </c>
    </row>
    <row r="2325" spans="1:9" x14ac:dyDescent="0.25">
      <c r="A2325" s="12">
        <v>2324</v>
      </c>
      <c r="B2325" s="12" t="s">
        <v>7810</v>
      </c>
      <c r="C2325" s="12" t="s">
        <v>7811</v>
      </c>
      <c r="D2325" s="12" t="s">
        <v>14</v>
      </c>
      <c r="E2325" s="12" t="s">
        <v>7812</v>
      </c>
      <c r="F2325" s="12" t="s">
        <v>290</v>
      </c>
      <c r="G2325" s="12" t="b">
        <v>1</v>
      </c>
      <c r="H2325" s="12" t="b">
        <v>0</v>
      </c>
      <c r="I2325" s="12" t="b">
        <v>0</v>
      </c>
    </row>
    <row r="2326" spans="1:9" x14ac:dyDescent="0.25">
      <c r="A2326" s="12">
        <v>2325</v>
      </c>
      <c r="B2326" s="12" t="s">
        <v>7813</v>
      </c>
      <c r="C2326" s="12" t="s">
        <v>7814</v>
      </c>
      <c r="D2326" s="12" t="s">
        <v>10</v>
      </c>
      <c r="E2326" s="12" t="s">
        <v>7815</v>
      </c>
      <c r="F2326" s="12" t="s">
        <v>290</v>
      </c>
      <c r="G2326" s="12" t="b">
        <v>0</v>
      </c>
      <c r="H2326" s="12" t="b">
        <v>0</v>
      </c>
      <c r="I2326" s="12" t="b">
        <v>0</v>
      </c>
    </row>
    <row r="2327" spans="1:9" x14ac:dyDescent="0.25">
      <c r="A2327" s="12">
        <v>2326</v>
      </c>
      <c r="B2327" s="12" t="s">
        <v>7816</v>
      </c>
      <c r="C2327" s="12" t="s">
        <v>7817</v>
      </c>
      <c r="D2327" s="12" t="s">
        <v>14</v>
      </c>
      <c r="E2327" s="12" t="s">
        <v>7818</v>
      </c>
      <c r="F2327" s="12" t="s">
        <v>290</v>
      </c>
      <c r="G2327" s="12" t="b">
        <v>0</v>
      </c>
      <c r="H2327" s="12" t="b">
        <v>0</v>
      </c>
      <c r="I2327" s="12" t="b">
        <v>0</v>
      </c>
    </row>
    <row r="2328" spans="1:9" x14ac:dyDescent="0.25">
      <c r="A2328" s="12">
        <v>2327</v>
      </c>
      <c r="B2328" s="12" t="s">
        <v>7819</v>
      </c>
      <c r="C2328" s="12" t="s">
        <v>7820</v>
      </c>
      <c r="D2328" s="12" t="s">
        <v>14</v>
      </c>
      <c r="E2328" s="12" t="s">
        <v>7821</v>
      </c>
      <c r="F2328" s="12" t="s">
        <v>290</v>
      </c>
      <c r="G2328" s="12" t="b">
        <v>0</v>
      </c>
      <c r="H2328" s="12" t="b">
        <v>0</v>
      </c>
      <c r="I2328" s="12" t="b">
        <v>0</v>
      </c>
    </row>
    <row r="2329" spans="1:9" x14ac:dyDescent="0.25">
      <c r="A2329" s="12">
        <v>2328</v>
      </c>
      <c r="B2329" s="12" t="s">
        <v>7822</v>
      </c>
      <c r="C2329" s="12" t="s">
        <v>7823</v>
      </c>
      <c r="D2329" s="12" t="s">
        <v>45</v>
      </c>
      <c r="E2329" s="12" t="s">
        <v>7824</v>
      </c>
      <c r="F2329" s="12" t="s">
        <v>290</v>
      </c>
      <c r="G2329" s="12" t="b">
        <v>0</v>
      </c>
      <c r="H2329" s="12" t="b">
        <v>0</v>
      </c>
      <c r="I2329" s="12" t="b">
        <v>0</v>
      </c>
    </row>
    <row r="2330" spans="1:9" x14ac:dyDescent="0.25">
      <c r="A2330" s="12">
        <v>2329</v>
      </c>
      <c r="B2330" s="12" t="s">
        <v>7825</v>
      </c>
      <c r="C2330" s="12" t="s">
        <v>7826</v>
      </c>
      <c r="D2330" s="12" t="s">
        <v>14</v>
      </c>
      <c r="E2330" s="12" t="s">
        <v>7827</v>
      </c>
      <c r="F2330" s="12" t="s">
        <v>290</v>
      </c>
      <c r="G2330" s="12" t="b">
        <v>1</v>
      </c>
      <c r="H2330" s="12" t="b">
        <v>0</v>
      </c>
      <c r="I2330" s="12" t="b">
        <v>0</v>
      </c>
    </row>
    <row r="2331" spans="1:9" x14ac:dyDescent="0.25">
      <c r="B233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D2B94-3D2B-4F34-B48C-012B9C786CC8}">
  <sheetPr codeName="Sheet8"/>
  <dimension ref="A1:E170"/>
  <sheetViews>
    <sheetView workbookViewId="0">
      <selection activeCell="B1" sqref="B1"/>
    </sheetView>
  </sheetViews>
  <sheetFormatPr defaultColWidth="8.85546875" defaultRowHeight="15" x14ac:dyDescent="0.25"/>
  <cols>
    <col min="1" max="1" width="55" bestFit="1" customWidth="1"/>
    <col min="3" max="3" width="54.42578125" bestFit="1" customWidth="1"/>
    <col min="5" max="5" width="54.42578125" bestFit="1" customWidth="1"/>
  </cols>
  <sheetData>
    <row r="1" spans="1:5" s="4" customFormat="1" x14ac:dyDescent="0.25">
      <c r="A1" s="4" t="s">
        <v>7839</v>
      </c>
      <c r="C1" s="4" t="s">
        <v>7840</v>
      </c>
      <c r="E1" s="4" t="s">
        <v>7841</v>
      </c>
    </row>
    <row r="2" spans="1:5" x14ac:dyDescent="0.25">
      <c r="A2" t="s">
        <v>180</v>
      </c>
      <c r="C2" t="s">
        <v>180</v>
      </c>
      <c r="E2" t="s">
        <v>180</v>
      </c>
    </row>
    <row r="3" spans="1:5" x14ac:dyDescent="0.25">
      <c r="A3" t="s">
        <v>117</v>
      </c>
      <c r="C3" t="s">
        <v>117</v>
      </c>
      <c r="E3" t="s">
        <v>161</v>
      </c>
    </row>
    <row r="4" spans="1:5" x14ac:dyDescent="0.25">
      <c r="A4" t="s">
        <v>161</v>
      </c>
      <c r="C4" t="s">
        <v>161</v>
      </c>
      <c r="E4" t="s">
        <v>97</v>
      </c>
    </row>
    <row r="5" spans="1:5" x14ac:dyDescent="0.25">
      <c r="A5" t="s">
        <v>60</v>
      </c>
      <c r="C5" t="s">
        <v>60</v>
      </c>
      <c r="E5" t="s">
        <v>187</v>
      </c>
    </row>
    <row r="6" spans="1:5" x14ac:dyDescent="0.25">
      <c r="A6" t="s">
        <v>97</v>
      </c>
      <c r="C6" t="s">
        <v>97</v>
      </c>
      <c r="E6" t="s">
        <v>305</v>
      </c>
    </row>
    <row r="7" spans="1:5" x14ac:dyDescent="0.25">
      <c r="A7" t="s">
        <v>344</v>
      </c>
      <c r="C7" t="s">
        <v>344</v>
      </c>
      <c r="E7" t="s">
        <v>303</v>
      </c>
    </row>
    <row r="8" spans="1:5" x14ac:dyDescent="0.25">
      <c r="A8" t="s">
        <v>353</v>
      </c>
      <c r="C8" t="s">
        <v>347</v>
      </c>
      <c r="E8" t="s">
        <v>384</v>
      </c>
    </row>
    <row r="9" spans="1:5" x14ac:dyDescent="0.25">
      <c r="A9" t="s">
        <v>187</v>
      </c>
      <c r="C9" t="s">
        <v>350</v>
      </c>
      <c r="E9" t="s">
        <v>179</v>
      </c>
    </row>
    <row r="10" spans="1:5" x14ac:dyDescent="0.25">
      <c r="A10" t="s">
        <v>305</v>
      </c>
      <c r="C10" t="s">
        <v>187</v>
      </c>
      <c r="E10" t="s">
        <v>139</v>
      </c>
    </row>
    <row r="11" spans="1:5" x14ac:dyDescent="0.25">
      <c r="A11" t="s">
        <v>302</v>
      </c>
      <c r="C11" t="s">
        <v>364</v>
      </c>
      <c r="E11" t="s">
        <v>54</v>
      </c>
    </row>
    <row r="12" spans="1:5" x14ac:dyDescent="0.25">
      <c r="A12" t="s">
        <v>303</v>
      </c>
      <c r="C12" t="s">
        <v>367</v>
      </c>
      <c r="E12" t="s">
        <v>37</v>
      </c>
    </row>
    <row r="13" spans="1:5" x14ac:dyDescent="0.25">
      <c r="A13" t="s">
        <v>384</v>
      </c>
      <c r="C13" t="s">
        <v>305</v>
      </c>
      <c r="E13" t="s">
        <v>195</v>
      </c>
    </row>
    <row r="14" spans="1:5" x14ac:dyDescent="0.25">
      <c r="A14" t="s">
        <v>179</v>
      </c>
      <c r="C14" t="s">
        <v>306</v>
      </c>
      <c r="E14" t="s">
        <v>472</v>
      </c>
    </row>
    <row r="15" spans="1:5" x14ac:dyDescent="0.25">
      <c r="A15" t="s">
        <v>40</v>
      </c>
      <c r="C15" t="s">
        <v>302</v>
      </c>
      <c r="E15" t="s">
        <v>90</v>
      </c>
    </row>
    <row r="16" spans="1:5" x14ac:dyDescent="0.25">
      <c r="A16" t="s">
        <v>139</v>
      </c>
      <c r="C16" t="s">
        <v>303</v>
      </c>
      <c r="E16" t="s">
        <v>194</v>
      </c>
    </row>
    <row r="17" spans="1:5" x14ac:dyDescent="0.25">
      <c r="A17" t="s">
        <v>149</v>
      </c>
      <c r="C17" t="s">
        <v>384</v>
      </c>
      <c r="E17" t="s">
        <v>102</v>
      </c>
    </row>
    <row r="18" spans="1:5" x14ac:dyDescent="0.25">
      <c r="A18" t="s">
        <v>54</v>
      </c>
      <c r="C18" t="s">
        <v>179</v>
      </c>
      <c r="E18" t="s">
        <v>152</v>
      </c>
    </row>
    <row r="19" spans="1:5" x14ac:dyDescent="0.25">
      <c r="A19" t="s">
        <v>433</v>
      </c>
      <c r="C19" t="s">
        <v>40</v>
      </c>
      <c r="E19" t="s">
        <v>155</v>
      </c>
    </row>
    <row r="20" spans="1:5" x14ac:dyDescent="0.25">
      <c r="A20" t="s">
        <v>37</v>
      </c>
      <c r="C20" t="s">
        <v>139</v>
      </c>
      <c r="E20" t="s">
        <v>101</v>
      </c>
    </row>
    <row r="21" spans="1:5" x14ac:dyDescent="0.25">
      <c r="A21" t="s">
        <v>38</v>
      </c>
      <c r="C21" t="s">
        <v>147</v>
      </c>
      <c r="E21" t="s">
        <v>88</v>
      </c>
    </row>
    <row r="22" spans="1:5" x14ac:dyDescent="0.25">
      <c r="A22" t="s">
        <v>188</v>
      </c>
      <c r="C22" t="s">
        <v>149</v>
      </c>
      <c r="E22" t="s">
        <v>193</v>
      </c>
    </row>
    <row r="23" spans="1:5" x14ac:dyDescent="0.25">
      <c r="A23" t="s">
        <v>453</v>
      </c>
      <c r="C23" t="s">
        <v>417</v>
      </c>
      <c r="E23" t="s">
        <v>165</v>
      </c>
    </row>
    <row r="24" spans="1:5" x14ac:dyDescent="0.25">
      <c r="A24" t="s">
        <v>461</v>
      </c>
      <c r="C24" t="s">
        <v>420</v>
      </c>
      <c r="E24" t="s">
        <v>31</v>
      </c>
    </row>
    <row r="25" spans="1:5" x14ac:dyDescent="0.25">
      <c r="A25" t="s">
        <v>35</v>
      </c>
      <c r="C25" t="s">
        <v>54</v>
      </c>
      <c r="E25" t="s">
        <v>100</v>
      </c>
    </row>
    <row r="26" spans="1:5" x14ac:dyDescent="0.25">
      <c r="A26" t="s">
        <v>195</v>
      </c>
      <c r="C26" t="s">
        <v>433</v>
      </c>
      <c r="E26" t="s">
        <v>81</v>
      </c>
    </row>
    <row r="27" spans="1:5" x14ac:dyDescent="0.25">
      <c r="A27" t="s">
        <v>472</v>
      </c>
      <c r="C27" t="s">
        <v>313</v>
      </c>
      <c r="E27" t="s">
        <v>67</v>
      </c>
    </row>
    <row r="28" spans="1:5" x14ac:dyDescent="0.25">
      <c r="A28" t="s">
        <v>476</v>
      </c>
      <c r="C28" t="s">
        <v>37</v>
      </c>
      <c r="E28" t="s">
        <v>23</v>
      </c>
    </row>
    <row r="29" spans="1:5" x14ac:dyDescent="0.25">
      <c r="A29" t="s">
        <v>46</v>
      </c>
      <c r="C29" t="s">
        <v>196</v>
      </c>
      <c r="E29" t="s">
        <v>69</v>
      </c>
    </row>
    <row r="30" spans="1:5" x14ac:dyDescent="0.25">
      <c r="A30" t="s">
        <v>90</v>
      </c>
      <c r="C30" t="s">
        <v>188</v>
      </c>
      <c r="E30" t="s">
        <v>80</v>
      </c>
    </row>
    <row r="31" spans="1:5" x14ac:dyDescent="0.25">
      <c r="A31" t="s">
        <v>194</v>
      </c>
      <c r="C31" t="s">
        <v>35</v>
      </c>
      <c r="E31" t="s">
        <v>89</v>
      </c>
    </row>
    <row r="32" spans="1:5" x14ac:dyDescent="0.25">
      <c r="A32" t="s">
        <v>102</v>
      </c>
      <c r="C32" t="s">
        <v>195</v>
      </c>
      <c r="E32" t="s">
        <v>82</v>
      </c>
    </row>
    <row r="33" spans="1:5" x14ac:dyDescent="0.25">
      <c r="A33" t="s">
        <v>152</v>
      </c>
      <c r="C33" t="s">
        <v>472</v>
      </c>
      <c r="E33" t="s">
        <v>699</v>
      </c>
    </row>
    <row r="34" spans="1:5" x14ac:dyDescent="0.25">
      <c r="A34" t="s">
        <v>155</v>
      </c>
      <c r="C34" t="s">
        <v>476</v>
      </c>
      <c r="E34" t="s">
        <v>197</v>
      </c>
    </row>
    <row r="35" spans="1:5" x14ac:dyDescent="0.25">
      <c r="A35" t="s">
        <v>101</v>
      </c>
      <c r="C35" t="s">
        <v>46</v>
      </c>
      <c r="E35" t="s">
        <v>13</v>
      </c>
    </row>
    <row r="36" spans="1:5" x14ac:dyDescent="0.25">
      <c r="A36" t="s">
        <v>522</v>
      </c>
      <c r="C36" t="s">
        <v>90</v>
      </c>
      <c r="E36" t="s">
        <v>98</v>
      </c>
    </row>
    <row r="37" spans="1:5" x14ac:dyDescent="0.25">
      <c r="A37" t="s">
        <v>88</v>
      </c>
      <c r="C37" t="s">
        <v>194</v>
      </c>
      <c r="E37" t="s">
        <v>111</v>
      </c>
    </row>
    <row r="38" spans="1:5" x14ac:dyDescent="0.25">
      <c r="A38" t="s">
        <v>544</v>
      </c>
      <c r="C38" t="s">
        <v>102</v>
      </c>
      <c r="E38" t="s">
        <v>120</v>
      </c>
    </row>
    <row r="39" spans="1:5" x14ac:dyDescent="0.25">
      <c r="A39" t="s">
        <v>193</v>
      </c>
      <c r="C39" t="s">
        <v>152</v>
      </c>
      <c r="E39" t="s">
        <v>95</v>
      </c>
    </row>
    <row r="40" spans="1:5" x14ac:dyDescent="0.25">
      <c r="A40" t="s">
        <v>56</v>
      </c>
      <c r="C40" t="s">
        <v>155</v>
      </c>
      <c r="E40" t="s">
        <v>52</v>
      </c>
    </row>
    <row r="41" spans="1:5" x14ac:dyDescent="0.25">
      <c r="A41" t="s">
        <v>165</v>
      </c>
      <c r="C41" t="s">
        <v>146</v>
      </c>
      <c r="E41" t="s">
        <v>904</v>
      </c>
    </row>
    <row r="42" spans="1:5" x14ac:dyDescent="0.25">
      <c r="A42" t="s">
        <v>33</v>
      </c>
      <c r="C42" t="s">
        <v>101</v>
      </c>
      <c r="E42" t="s">
        <v>908</v>
      </c>
    </row>
    <row r="43" spans="1:5" x14ac:dyDescent="0.25">
      <c r="A43" t="s">
        <v>31</v>
      </c>
      <c r="C43" t="s">
        <v>526</v>
      </c>
      <c r="E43" t="s">
        <v>92</v>
      </c>
    </row>
    <row r="44" spans="1:5" x14ac:dyDescent="0.25">
      <c r="A44" t="s">
        <v>574</v>
      </c>
      <c r="C44" t="s">
        <v>88</v>
      </c>
      <c r="E44" t="s">
        <v>17</v>
      </c>
    </row>
    <row r="45" spans="1:5" x14ac:dyDescent="0.25">
      <c r="A45" t="s">
        <v>34</v>
      </c>
      <c r="C45" t="s">
        <v>193</v>
      </c>
      <c r="E45" t="s">
        <v>144</v>
      </c>
    </row>
    <row r="46" spans="1:5" x14ac:dyDescent="0.25">
      <c r="A46" t="s">
        <v>100</v>
      </c>
      <c r="C46" t="s">
        <v>56</v>
      </c>
      <c r="E46" t="s">
        <v>20</v>
      </c>
    </row>
    <row r="47" spans="1:5" x14ac:dyDescent="0.25">
      <c r="A47" t="s">
        <v>617</v>
      </c>
      <c r="C47" t="s">
        <v>308</v>
      </c>
      <c r="E47" t="s">
        <v>86</v>
      </c>
    </row>
    <row r="48" spans="1:5" x14ac:dyDescent="0.25">
      <c r="A48" t="s">
        <v>81</v>
      </c>
      <c r="C48" t="s">
        <v>165</v>
      </c>
      <c r="E48" t="s">
        <v>966</v>
      </c>
    </row>
    <row r="49" spans="1:5" x14ac:dyDescent="0.25">
      <c r="A49" t="s">
        <v>67</v>
      </c>
      <c r="C49" t="s">
        <v>33</v>
      </c>
      <c r="E49" t="s">
        <v>83</v>
      </c>
    </row>
    <row r="50" spans="1:5" x14ac:dyDescent="0.25">
      <c r="A50" t="s">
        <v>23</v>
      </c>
      <c r="C50" t="s">
        <v>31</v>
      </c>
      <c r="E50" t="s">
        <v>93</v>
      </c>
    </row>
    <row r="51" spans="1:5" x14ac:dyDescent="0.25">
      <c r="A51" t="s">
        <v>69</v>
      </c>
      <c r="C51" t="s">
        <v>574</v>
      </c>
      <c r="E51" t="s">
        <v>190</v>
      </c>
    </row>
    <row r="52" spans="1:5" x14ac:dyDescent="0.25">
      <c r="A52" t="s">
        <v>80</v>
      </c>
      <c r="C52" t="s">
        <v>100</v>
      </c>
      <c r="E52" t="s">
        <v>72</v>
      </c>
    </row>
    <row r="53" spans="1:5" x14ac:dyDescent="0.25">
      <c r="A53" t="s">
        <v>655</v>
      </c>
      <c r="C53" t="s">
        <v>81</v>
      </c>
      <c r="E53" t="s">
        <v>74</v>
      </c>
    </row>
    <row r="54" spans="1:5" x14ac:dyDescent="0.25">
      <c r="A54" t="s">
        <v>670</v>
      </c>
      <c r="C54" t="s">
        <v>67</v>
      </c>
      <c r="E54" t="s">
        <v>70</v>
      </c>
    </row>
    <row r="55" spans="1:5" x14ac:dyDescent="0.25">
      <c r="A55" t="s">
        <v>89</v>
      </c>
      <c r="C55" t="s">
        <v>629</v>
      </c>
      <c r="E55" t="s">
        <v>16</v>
      </c>
    </row>
    <row r="56" spans="1:5" x14ac:dyDescent="0.25">
      <c r="A56" t="s">
        <v>82</v>
      </c>
      <c r="C56" t="s">
        <v>23</v>
      </c>
      <c r="E56" t="s">
        <v>1066</v>
      </c>
    </row>
    <row r="57" spans="1:5" x14ac:dyDescent="0.25">
      <c r="A57" t="s">
        <v>699</v>
      </c>
      <c r="C57" t="s">
        <v>24</v>
      </c>
      <c r="E57" t="s">
        <v>151</v>
      </c>
    </row>
    <row r="58" spans="1:5" x14ac:dyDescent="0.25">
      <c r="A58" t="s">
        <v>707</v>
      </c>
      <c r="C58" t="s">
        <v>69</v>
      </c>
      <c r="E58" t="s">
        <v>134</v>
      </c>
    </row>
    <row r="59" spans="1:5" x14ac:dyDescent="0.25">
      <c r="A59" t="s">
        <v>197</v>
      </c>
      <c r="C59" t="s">
        <v>80</v>
      </c>
      <c r="E59" t="s">
        <v>18</v>
      </c>
    </row>
    <row r="60" spans="1:5" x14ac:dyDescent="0.25">
      <c r="A60" t="s">
        <v>717</v>
      </c>
      <c r="C60" t="s">
        <v>647</v>
      </c>
      <c r="E60" t="s">
        <v>62</v>
      </c>
    </row>
    <row r="61" spans="1:5" x14ac:dyDescent="0.25">
      <c r="A61" t="s">
        <v>41</v>
      </c>
      <c r="C61" t="s">
        <v>655</v>
      </c>
      <c r="E61" t="s">
        <v>124</v>
      </c>
    </row>
    <row r="62" spans="1:5" x14ac:dyDescent="0.25">
      <c r="A62" t="s">
        <v>13</v>
      </c>
      <c r="C62" t="s">
        <v>75</v>
      </c>
      <c r="E62" t="s">
        <v>220</v>
      </c>
    </row>
    <row r="63" spans="1:5" x14ac:dyDescent="0.25">
      <c r="A63" t="s">
        <v>729</v>
      </c>
      <c r="C63" t="s">
        <v>89</v>
      </c>
      <c r="E63" t="s">
        <v>141</v>
      </c>
    </row>
    <row r="64" spans="1:5" x14ac:dyDescent="0.25">
      <c r="A64" t="s">
        <v>63</v>
      </c>
      <c r="C64" t="s">
        <v>82</v>
      </c>
      <c r="E64" t="s">
        <v>87</v>
      </c>
    </row>
    <row r="65" spans="1:5" x14ac:dyDescent="0.25">
      <c r="A65" t="s">
        <v>742</v>
      </c>
      <c r="C65" t="s">
        <v>699</v>
      </c>
      <c r="E65" t="s">
        <v>96</v>
      </c>
    </row>
    <row r="66" spans="1:5" x14ac:dyDescent="0.25">
      <c r="A66" t="s">
        <v>98</v>
      </c>
      <c r="C66" t="s">
        <v>707</v>
      </c>
      <c r="E66" t="s">
        <v>94</v>
      </c>
    </row>
    <row r="67" spans="1:5" x14ac:dyDescent="0.25">
      <c r="A67" t="s">
        <v>111</v>
      </c>
      <c r="C67" t="s">
        <v>197</v>
      </c>
      <c r="E67" t="s">
        <v>19</v>
      </c>
    </row>
    <row r="68" spans="1:5" x14ac:dyDescent="0.25">
      <c r="A68" t="s">
        <v>120</v>
      </c>
      <c r="C68" t="s">
        <v>13</v>
      </c>
      <c r="E68" t="s">
        <v>108</v>
      </c>
    </row>
    <row r="69" spans="1:5" x14ac:dyDescent="0.25">
      <c r="A69" t="s">
        <v>767</v>
      </c>
      <c r="C69" t="s">
        <v>729</v>
      </c>
      <c r="E69" t="s">
        <v>136</v>
      </c>
    </row>
    <row r="70" spans="1:5" x14ac:dyDescent="0.25">
      <c r="A70" t="s">
        <v>782</v>
      </c>
      <c r="C70" t="s">
        <v>63</v>
      </c>
      <c r="E70" t="s">
        <v>1469</v>
      </c>
    </row>
    <row r="71" spans="1:5" x14ac:dyDescent="0.25">
      <c r="A71" t="s">
        <v>95</v>
      </c>
      <c r="C71" t="s">
        <v>98</v>
      </c>
      <c r="E71" t="s">
        <v>15</v>
      </c>
    </row>
    <row r="72" spans="1:5" x14ac:dyDescent="0.25">
      <c r="A72" t="s">
        <v>52</v>
      </c>
      <c r="C72" t="s">
        <v>111</v>
      </c>
      <c r="E72" t="s">
        <v>160</v>
      </c>
    </row>
    <row r="73" spans="1:5" x14ac:dyDescent="0.25">
      <c r="A73" t="s">
        <v>796</v>
      </c>
      <c r="C73" t="s">
        <v>120</v>
      </c>
      <c r="E73" t="s">
        <v>154</v>
      </c>
    </row>
    <row r="74" spans="1:5" x14ac:dyDescent="0.25">
      <c r="A74" t="s">
        <v>829</v>
      </c>
      <c r="C74" t="s">
        <v>767</v>
      </c>
      <c r="E74" t="s">
        <v>71</v>
      </c>
    </row>
    <row r="75" spans="1:5" x14ac:dyDescent="0.25">
      <c r="A75" t="s">
        <v>904</v>
      </c>
      <c r="C75" t="s">
        <v>119</v>
      </c>
      <c r="E75" t="s">
        <v>103</v>
      </c>
    </row>
    <row r="76" spans="1:5" x14ac:dyDescent="0.25">
      <c r="A76" t="s">
        <v>908</v>
      </c>
      <c r="C76" t="s">
        <v>782</v>
      </c>
      <c r="E76" t="s">
        <v>3964</v>
      </c>
    </row>
    <row r="77" spans="1:5" x14ac:dyDescent="0.25">
      <c r="A77" t="s">
        <v>92</v>
      </c>
      <c r="C77" t="s">
        <v>95</v>
      </c>
    </row>
    <row r="78" spans="1:5" x14ac:dyDescent="0.25">
      <c r="A78" t="s">
        <v>27</v>
      </c>
      <c r="C78" t="s">
        <v>52</v>
      </c>
    </row>
    <row r="79" spans="1:5" x14ac:dyDescent="0.25">
      <c r="A79" t="s">
        <v>17</v>
      </c>
      <c r="C79" t="s">
        <v>796</v>
      </c>
    </row>
    <row r="80" spans="1:5" x14ac:dyDescent="0.25">
      <c r="A80" t="s">
        <v>939</v>
      </c>
      <c r="C80" t="s">
        <v>168</v>
      </c>
    </row>
    <row r="81" spans="1:3" x14ac:dyDescent="0.25">
      <c r="A81" t="s">
        <v>144</v>
      </c>
      <c r="C81" t="s">
        <v>869</v>
      </c>
    </row>
    <row r="82" spans="1:3" x14ac:dyDescent="0.25">
      <c r="A82" t="s">
        <v>20</v>
      </c>
      <c r="C82" t="s">
        <v>900</v>
      </c>
    </row>
    <row r="83" spans="1:3" x14ac:dyDescent="0.25">
      <c r="A83" t="s">
        <v>86</v>
      </c>
      <c r="C83" t="s">
        <v>904</v>
      </c>
    </row>
    <row r="84" spans="1:3" x14ac:dyDescent="0.25">
      <c r="A84" t="s">
        <v>122</v>
      </c>
      <c r="C84" t="s">
        <v>908</v>
      </c>
    </row>
    <row r="85" spans="1:3" x14ac:dyDescent="0.25">
      <c r="A85" t="s">
        <v>966</v>
      </c>
      <c r="C85" t="s">
        <v>92</v>
      </c>
    </row>
    <row r="86" spans="1:3" x14ac:dyDescent="0.25">
      <c r="A86" t="s">
        <v>83</v>
      </c>
      <c r="C86" t="s">
        <v>27</v>
      </c>
    </row>
    <row r="87" spans="1:3" x14ac:dyDescent="0.25">
      <c r="A87" t="s">
        <v>93</v>
      </c>
      <c r="C87" t="s">
        <v>17</v>
      </c>
    </row>
    <row r="88" spans="1:3" x14ac:dyDescent="0.25">
      <c r="A88" t="s">
        <v>138</v>
      </c>
      <c r="C88" t="s">
        <v>144</v>
      </c>
    </row>
    <row r="89" spans="1:3" x14ac:dyDescent="0.25">
      <c r="A89" t="s">
        <v>190</v>
      </c>
      <c r="C89" t="s">
        <v>20</v>
      </c>
    </row>
    <row r="90" spans="1:3" x14ac:dyDescent="0.25">
      <c r="A90" t="s">
        <v>72</v>
      </c>
      <c r="C90" t="s">
        <v>86</v>
      </c>
    </row>
    <row r="91" spans="1:3" x14ac:dyDescent="0.25">
      <c r="A91" t="s">
        <v>74</v>
      </c>
      <c r="C91" t="s">
        <v>122</v>
      </c>
    </row>
    <row r="92" spans="1:3" x14ac:dyDescent="0.25">
      <c r="A92" t="s">
        <v>70</v>
      </c>
      <c r="C92" t="s">
        <v>966</v>
      </c>
    </row>
    <row r="93" spans="1:3" x14ac:dyDescent="0.25">
      <c r="A93" t="s">
        <v>16</v>
      </c>
      <c r="C93" t="s">
        <v>83</v>
      </c>
    </row>
    <row r="94" spans="1:3" x14ac:dyDescent="0.25">
      <c r="A94" t="s">
        <v>162</v>
      </c>
      <c r="C94" t="s">
        <v>138</v>
      </c>
    </row>
    <row r="95" spans="1:3" x14ac:dyDescent="0.25">
      <c r="A95" t="s">
        <v>1066</v>
      </c>
      <c r="C95" t="s">
        <v>190</v>
      </c>
    </row>
    <row r="96" spans="1:3" x14ac:dyDescent="0.25">
      <c r="A96" t="s">
        <v>151</v>
      </c>
      <c r="C96" t="s">
        <v>999</v>
      </c>
    </row>
    <row r="97" spans="1:3" x14ac:dyDescent="0.25">
      <c r="A97" t="s">
        <v>134</v>
      </c>
      <c r="C97" t="s">
        <v>1010</v>
      </c>
    </row>
    <row r="98" spans="1:3" x14ac:dyDescent="0.25">
      <c r="A98" t="s">
        <v>18</v>
      </c>
      <c r="C98" t="s">
        <v>72</v>
      </c>
    </row>
    <row r="99" spans="1:3" x14ac:dyDescent="0.25">
      <c r="A99" t="s">
        <v>62</v>
      </c>
      <c r="C99" t="s">
        <v>1020</v>
      </c>
    </row>
    <row r="100" spans="1:3" x14ac:dyDescent="0.25">
      <c r="A100" t="s">
        <v>124</v>
      </c>
      <c r="C100" t="s">
        <v>74</v>
      </c>
    </row>
    <row r="101" spans="1:3" x14ac:dyDescent="0.25">
      <c r="A101" t="s">
        <v>220</v>
      </c>
      <c r="C101" t="s">
        <v>1037</v>
      </c>
    </row>
    <row r="102" spans="1:3" x14ac:dyDescent="0.25">
      <c r="A102" t="s">
        <v>227</v>
      </c>
      <c r="C102" t="s">
        <v>113</v>
      </c>
    </row>
    <row r="103" spans="1:3" x14ac:dyDescent="0.25">
      <c r="A103" t="s">
        <v>50</v>
      </c>
      <c r="C103" t="s">
        <v>70</v>
      </c>
    </row>
    <row r="104" spans="1:3" x14ac:dyDescent="0.25">
      <c r="A104" t="s">
        <v>141</v>
      </c>
      <c r="C104" t="s">
        <v>77</v>
      </c>
    </row>
    <row r="105" spans="1:3" x14ac:dyDescent="0.25">
      <c r="A105" t="s">
        <v>87</v>
      </c>
      <c r="C105" t="s">
        <v>16</v>
      </c>
    </row>
    <row r="106" spans="1:3" x14ac:dyDescent="0.25">
      <c r="A106" t="s">
        <v>96</v>
      </c>
      <c r="C106" t="s">
        <v>162</v>
      </c>
    </row>
    <row r="107" spans="1:3" x14ac:dyDescent="0.25">
      <c r="A107" t="s">
        <v>107</v>
      </c>
      <c r="C107" t="s">
        <v>1066</v>
      </c>
    </row>
    <row r="108" spans="1:3" x14ac:dyDescent="0.25">
      <c r="A108" t="s">
        <v>1277</v>
      </c>
      <c r="C108" t="s">
        <v>151</v>
      </c>
    </row>
    <row r="109" spans="1:3" x14ac:dyDescent="0.25">
      <c r="A109" t="s">
        <v>94</v>
      </c>
      <c r="C109" t="s">
        <v>134</v>
      </c>
    </row>
    <row r="110" spans="1:3" x14ac:dyDescent="0.25">
      <c r="A110" t="s">
        <v>19</v>
      </c>
      <c r="C110" t="s">
        <v>18</v>
      </c>
    </row>
    <row r="111" spans="1:3" x14ac:dyDescent="0.25">
      <c r="A111" t="s">
        <v>1330</v>
      </c>
      <c r="C111" t="s">
        <v>62</v>
      </c>
    </row>
    <row r="112" spans="1:3" x14ac:dyDescent="0.25">
      <c r="A112" t="s">
        <v>1341</v>
      </c>
      <c r="C112" t="s">
        <v>124</v>
      </c>
    </row>
    <row r="113" spans="1:3" x14ac:dyDescent="0.25">
      <c r="A113" t="s">
        <v>108</v>
      </c>
      <c r="C113" t="s">
        <v>220</v>
      </c>
    </row>
    <row r="114" spans="1:3" x14ac:dyDescent="0.25">
      <c r="A114" t="s">
        <v>136</v>
      </c>
      <c r="C114" t="s">
        <v>1171</v>
      </c>
    </row>
    <row r="115" spans="1:3" x14ac:dyDescent="0.25">
      <c r="A115" t="s">
        <v>1418</v>
      </c>
      <c r="C115" t="s">
        <v>297</v>
      </c>
    </row>
    <row r="116" spans="1:3" x14ac:dyDescent="0.25">
      <c r="A116" t="s">
        <v>1469</v>
      </c>
      <c r="C116" t="s">
        <v>226</v>
      </c>
    </row>
    <row r="117" spans="1:3" x14ac:dyDescent="0.25">
      <c r="A117" t="s">
        <v>105</v>
      </c>
      <c r="C117" t="s">
        <v>50</v>
      </c>
    </row>
    <row r="118" spans="1:3" x14ac:dyDescent="0.25">
      <c r="A118" t="s">
        <v>15</v>
      </c>
      <c r="C118" t="s">
        <v>141</v>
      </c>
    </row>
    <row r="119" spans="1:3" x14ac:dyDescent="0.25">
      <c r="A119" t="s">
        <v>160</v>
      </c>
      <c r="C119" t="s">
        <v>87</v>
      </c>
    </row>
    <row r="120" spans="1:3" x14ac:dyDescent="0.25">
      <c r="A120" t="s">
        <v>154</v>
      </c>
      <c r="C120" t="s">
        <v>96</v>
      </c>
    </row>
    <row r="121" spans="1:3" x14ac:dyDescent="0.25">
      <c r="A121" t="s">
        <v>73</v>
      </c>
      <c r="C121" t="s">
        <v>21</v>
      </c>
    </row>
    <row r="122" spans="1:3" x14ac:dyDescent="0.25">
      <c r="A122" t="s">
        <v>1949</v>
      </c>
      <c r="C122" t="s">
        <v>94</v>
      </c>
    </row>
    <row r="123" spans="1:3" x14ac:dyDescent="0.25">
      <c r="A123" t="s">
        <v>68</v>
      </c>
      <c r="C123" t="s">
        <v>19</v>
      </c>
    </row>
    <row r="124" spans="1:3" x14ac:dyDescent="0.25">
      <c r="A124" t="s">
        <v>159</v>
      </c>
      <c r="C124" t="s">
        <v>148</v>
      </c>
    </row>
    <row r="125" spans="1:3" x14ac:dyDescent="0.25">
      <c r="A125" t="s">
        <v>71</v>
      </c>
      <c r="C125" t="s">
        <v>1330</v>
      </c>
    </row>
    <row r="126" spans="1:3" x14ac:dyDescent="0.25">
      <c r="A126" t="s">
        <v>126</v>
      </c>
      <c r="C126" t="s">
        <v>175</v>
      </c>
    </row>
    <row r="127" spans="1:3" x14ac:dyDescent="0.25">
      <c r="A127" t="s">
        <v>103</v>
      </c>
      <c r="C127" t="s">
        <v>108</v>
      </c>
    </row>
    <row r="128" spans="1:3" x14ac:dyDescent="0.25">
      <c r="A128" t="s">
        <v>2443</v>
      </c>
      <c r="C128" t="s">
        <v>247</v>
      </c>
    </row>
    <row r="129" spans="1:3" x14ac:dyDescent="0.25">
      <c r="A129" t="s">
        <v>2467</v>
      </c>
      <c r="C129" t="s">
        <v>99</v>
      </c>
    </row>
    <row r="130" spans="1:3" x14ac:dyDescent="0.25">
      <c r="A130" t="s">
        <v>2503</v>
      </c>
      <c r="C130" t="s">
        <v>1498</v>
      </c>
    </row>
    <row r="131" spans="1:3" x14ac:dyDescent="0.25">
      <c r="A131" t="s">
        <v>2643</v>
      </c>
      <c r="C131" t="s">
        <v>1509</v>
      </c>
    </row>
    <row r="132" spans="1:3" x14ac:dyDescent="0.25">
      <c r="A132" t="s">
        <v>2656</v>
      </c>
      <c r="C132" t="s">
        <v>1548</v>
      </c>
    </row>
    <row r="133" spans="1:3" x14ac:dyDescent="0.25">
      <c r="A133" t="s">
        <v>2664</v>
      </c>
      <c r="C133" t="s">
        <v>1601</v>
      </c>
    </row>
    <row r="134" spans="1:3" x14ac:dyDescent="0.25">
      <c r="A134" t="s">
        <v>2720</v>
      </c>
      <c r="C134" t="s">
        <v>105</v>
      </c>
    </row>
    <row r="135" spans="1:3" x14ac:dyDescent="0.25">
      <c r="A135" t="s">
        <v>2527</v>
      </c>
      <c r="C135" t="s">
        <v>15</v>
      </c>
    </row>
    <row r="136" spans="1:3" x14ac:dyDescent="0.25">
      <c r="A136" t="s">
        <v>47</v>
      </c>
      <c r="C136" t="s">
        <v>160</v>
      </c>
    </row>
    <row r="137" spans="1:3" x14ac:dyDescent="0.25">
      <c r="A137" t="s">
        <v>2768</v>
      </c>
      <c r="C137" t="s">
        <v>154</v>
      </c>
    </row>
    <row r="138" spans="1:3" x14ac:dyDescent="0.25">
      <c r="A138" t="s">
        <v>2798</v>
      </c>
      <c r="C138" t="s">
        <v>76</v>
      </c>
    </row>
    <row r="139" spans="1:3" x14ac:dyDescent="0.25">
      <c r="A139" t="s">
        <v>2993</v>
      </c>
      <c r="C139" t="s">
        <v>1693</v>
      </c>
    </row>
    <row r="140" spans="1:3" x14ac:dyDescent="0.25">
      <c r="A140" t="s">
        <v>3017</v>
      </c>
      <c r="C140" t="s">
        <v>1973</v>
      </c>
    </row>
    <row r="141" spans="1:3" x14ac:dyDescent="0.25">
      <c r="A141" t="s">
        <v>3090</v>
      </c>
      <c r="C141" t="s">
        <v>2028</v>
      </c>
    </row>
    <row r="142" spans="1:3" x14ac:dyDescent="0.25">
      <c r="A142" t="s">
        <v>135</v>
      </c>
      <c r="C142" t="s">
        <v>68</v>
      </c>
    </row>
    <row r="143" spans="1:3" x14ac:dyDescent="0.25">
      <c r="A143" t="s">
        <v>3441</v>
      </c>
      <c r="C143" t="s">
        <v>5882</v>
      </c>
    </row>
    <row r="144" spans="1:3" x14ac:dyDescent="0.25">
      <c r="A144" t="s">
        <v>3484</v>
      </c>
      <c r="C144" t="s">
        <v>2086</v>
      </c>
    </row>
    <row r="145" spans="1:3" x14ac:dyDescent="0.25">
      <c r="A145" t="s">
        <v>3652</v>
      </c>
      <c r="C145" t="s">
        <v>71</v>
      </c>
    </row>
    <row r="146" spans="1:3" x14ac:dyDescent="0.25">
      <c r="A146" t="s">
        <v>3964</v>
      </c>
      <c r="C146" t="s">
        <v>274</v>
      </c>
    </row>
    <row r="147" spans="1:3" x14ac:dyDescent="0.25">
      <c r="A147" t="s">
        <v>4961</v>
      </c>
      <c r="C147" t="s">
        <v>126</v>
      </c>
    </row>
    <row r="148" spans="1:3" x14ac:dyDescent="0.25">
      <c r="A148" t="s">
        <v>5406</v>
      </c>
      <c r="C148" t="s">
        <v>140</v>
      </c>
    </row>
    <row r="149" spans="1:3" x14ac:dyDescent="0.25">
      <c r="A149" t="s">
        <v>6269</v>
      </c>
      <c r="C149" t="s">
        <v>58</v>
      </c>
    </row>
    <row r="150" spans="1:3" x14ac:dyDescent="0.25">
      <c r="A150" t="s">
        <v>6428</v>
      </c>
      <c r="C150" t="s">
        <v>304</v>
      </c>
    </row>
    <row r="151" spans="1:3" x14ac:dyDescent="0.25">
      <c r="A151" t="s">
        <v>6797</v>
      </c>
      <c r="C151" t="s">
        <v>2493</v>
      </c>
    </row>
    <row r="152" spans="1:3" x14ac:dyDescent="0.25">
      <c r="C152" t="s">
        <v>2584</v>
      </c>
    </row>
    <row r="153" spans="1:3" x14ac:dyDescent="0.25">
      <c r="C153" t="s">
        <v>2623</v>
      </c>
    </row>
    <row r="154" spans="1:3" x14ac:dyDescent="0.25">
      <c r="C154" t="s">
        <v>2629</v>
      </c>
    </row>
    <row r="155" spans="1:3" x14ac:dyDescent="0.25">
      <c r="C155" t="s">
        <v>2643</v>
      </c>
    </row>
    <row r="156" spans="1:3" x14ac:dyDescent="0.25">
      <c r="C156" t="s">
        <v>129</v>
      </c>
    </row>
    <row r="157" spans="1:3" x14ac:dyDescent="0.25">
      <c r="C157" t="s">
        <v>47</v>
      </c>
    </row>
    <row r="158" spans="1:3" x14ac:dyDescent="0.25">
      <c r="C158" t="s">
        <v>2798</v>
      </c>
    </row>
    <row r="159" spans="1:3" x14ac:dyDescent="0.25">
      <c r="C159" t="s">
        <v>2893</v>
      </c>
    </row>
    <row r="160" spans="1:3" x14ac:dyDescent="0.25">
      <c r="C160" t="s">
        <v>182</v>
      </c>
    </row>
    <row r="161" spans="3:3" x14ac:dyDescent="0.25">
      <c r="C161" t="s">
        <v>28</v>
      </c>
    </row>
    <row r="162" spans="3:3" x14ac:dyDescent="0.25">
      <c r="C162" t="s">
        <v>112</v>
      </c>
    </row>
    <row r="163" spans="3:3" x14ac:dyDescent="0.25">
      <c r="C163" t="s">
        <v>1983</v>
      </c>
    </row>
    <row r="164" spans="3:3" x14ac:dyDescent="0.25">
      <c r="C164" t="s">
        <v>65</v>
      </c>
    </row>
    <row r="165" spans="3:3" x14ac:dyDescent="0.25">
      <c r="C165" t="s">
        <v>135</v>
      </c>
    </row>
    <row r="166" spans="3:3" x14ac:dyDescent="0.25">
      <c r="C166" t="s">
        <v>181</v>
      </c>
    </row>
    <row r="167" spans="3:3" x14ac:dyDescent="0.25">
      <c r="C167" t="s">
        <v>3441</v>
      </c>
    </row>
    <row r="168" spans="3:3" x14ac:dyDescent="0.25">
      <c r="C168" t="s">
        <v>3484</v>
      </c>
    </row>
    <row r="169" spans="3:3" x14ac:dyDescent="0.25">
      <c r="C169" t="s">
        <v>4136</v>
      </c>
    </row>
    <row r="170" spans="3:3" x14ac:dyDescent="0.25">
      <c r="C170" t="s">
        <v>4261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42FE5-8E89-4880-BADA-EB24CD158982}">
  <sheetPr codeName="Sheet9"/>
  <dimension ref="A1:C434"/>
  <sheetViews>
    <sheetView topLeftCell="A393" workbookViewId="0">
      <selection activeCell="A2" sqref="A2:A434"/>
    </sheetView>
  </sheetViews>
  <sheetFormatPr defaultColWidth="8.85546875" defaultRowHeight="15" x14ac:dyDescent="0.25"/>
  <cols>
    <col min="1" max="1" width="20.42578125" bestFit="1" customWidth="1"/>
    <col min="2" max="2" width="5" bestFit="1" customWidth="1"/>
    <col min="3" max="3" width="68.28515625" bestFit="1" customWidth="1"/>
  </cols>
  <sheetData>
    <row r="1" spans="1:3" x14ac:dyDescent="0.25">
      <c r="A1" s="4" t="s">
        <v>7850</v>
      </c>
      <c r="B1" s="4" t="s">
        <v>7851</v>
      </c>
      <c r="C1" s="4" t="s">
        <v>7852</v>
      </c>
    </row>
    <row r="2" spans="1:3" x14ac:dyDescent="0.25">
      <c r="A2" t="s">
        <v>7828</v>
      </c>
      <c r="B2">
        <v>217</v>
      </c>
      <c r="C2" t="s">
        <v>190</v>
      </c>
    </row>
    <row r="3" spans="1:3" x14ac:dyDescent="0.25">
      <c r="A3" t="s">
        <v>7828</v>
      </c>
      <c r="B3">
        <v>242</v>
      </c>
      <c r="C3" t="s">
        <v>1066</v>
      </c>
    </row>
    <row r="4" spans="1:3" x14ac:dyDescent="0.25">
      <c r="A4" t="s">
        <v>7828</v>
      </c>
      <c r="B4">
        <v>1929</v>
      </c>
      <c r="C4" t="s">
        <v>6524</v>
      </c>
    </row>
    <row r="5" spans="1:3" x14ac:dyDescent="0.25">
      <c r="A5" t="s">
        <v>7828</v>
      </c>
      <c r="B5">
        <v>1299</v>
      </c>
      <c r="C5" t="s">
        <v>7853</v>
      </c>
    </row>
    <row r="6" spans="1:3" x14ac:dyDescent="0.25">
      <c r="A6" t="s">
        <v>7828</v>
      </c>
      <c r="B6">
        <v>392</v>
      </c>
      <c r="C6" t="s">
        <v>298</v>
      </c>
    </row>
    <row r="7" spans="1:3" x14ac:dyDescent="0.25">
      <c r="A7" t="s">
        <v>7828</v>
      </c>
      <c r="B7">
        <v>58</v>
      </c>
      <c r="C7" t="s">
        <v>498</v>
      </c>
    </row>
    <row r="8" spans="1:3" x14ac:dyDescent="0.25">
      <c r="A8" t="s">
        <v>7828</v>
      </c>
      <c r="B8">
        <v>1</v>
      </c>
      <c r="C8" t="s">
        <v>180</v>
      </c>
    </row>
    <row r="9" spans="1:3" x14ac:dyDescent="0.25">
      <c r="A9" t="s">
        <v>7828</v>
      </c>
      <c r="B9">
        <v>14</v>
      </c>
      <c r="C9" t="s">
        <v>367</v>
      </c>
    </row>
    <row r="10" spans="1:3" x14ac:dyDescent="0.25">
      <c r="A10" t="s">
        <v>7828</v>
      </c>
      <c r="B10">
        <v>49</v>
      </c>
      <c r="C10" t="s">
        <v>472</v>
      </c>
    </row>
    <row r="11" spans="1:3" x14ac:dyDescent="0.25">
      <c r="A11" t="s">
        <v>7828</v>
      </c>
      <c r="B11">
        <v>118</v>
      </c>
      <c r="C11" t="s">
        <v>7854</v>
      </c>
    </row>
    <row r="12" spans="1:3" x14ac:dyDescent="0.25">
      <c r="A12" t="s">
        <v>7828</v>
      </c>
      <c r="B12">
        <v>27</v>
      </c>
      <c r="C12" t="s">
        <v>405</v>
      </c>
    </row>
    <row r="13" spans="1:3" x14ac:dyDescent="0.25">
      <c r="A13" t="s">
        <v>7828</v>
      </c>
      <c r="B13">
        <v>929</v>
      </c>
      <c r="C13" t="s">
        <v>3272</v>
      </c>
    </row>
    <row r="14" spans="1:3" x14ac:dyDescent="0.25">
      <c r="A14" t="s">
        <v>7828</v>
      </c>
      <c r="B14">
        <v>205</v>
      </c>
      <c r="C14" t="s">
        <v>949</v>
      </c>
    </row>
    <row r="15" spans="1:3" x14ac:dyDescent="0.25">
      <c r="A15" t="s">
        <v>7828</v>
      </c>
      <c r="B15">
        <v>605</v>
      </c>
      <c r="C15" t="s">
        <v>2221</v>
      </c>
    </row>
    <row r="16" spans="1:3" x14ac:dyDescent="0.25">
      <c r="A16" t="s">
        <v>7828</v>
      </c>
      <c r="B16">
        <v>169</v>
      </c>
      <c r="C16" t="s">
        <v>168</v>
      </c>
    </row>
    <row r="17" spans="1:3" x14ac:dyDescent="0.25">
      <c r="A17" t="s">
        <v>7828</v>
      </c>
      <c r="B17">
        <v>496</v>
      </c>
      <c r="C17" t="s">
        <v>1878</v>
      </c>
    </row>
    <row r="18" spans="1:3" x14ac:dyDescent="0.25">
      <c r="A18" t="s">
        <v>7828</v>
      </c>
      <c r="B18">
        <v>724</v>
      </c>
      <c r="C18" t="s">
        <v>2594</v>
      </c>
    </row>
    <row r="19" spans="1:3" x14ac:dyDescent="0.25">
      <c r="A19" t="s">
        <v>7828</v>
      </c>
      <c r="B19">
        <v>303</v>
      </c>
      <c r="C19" t="s">
        <v>91</v>
      </c>
    </row>
    <row r="20" spans="1:3" x14ac:dyDescent="0.25">
      <c r="A20" t="s">
        <v>7828</v>
      </c>
      <c r="B20">
        <v>448</v>
      </c>
      <c r="C20" t="s">
        <v>7855</v>
      </c>
    </row>
    <row r="21" spans="1:3" x14ac:dyDescent="0.25">
      <c r="A21" t="s">
        <v>7828</v>
      </c>
      <c r="B21">
        <v>1189</v>
      </c>
      <c r="C21" t="s">
        <v>4111</v>
      </c>
    </row>
    <row r="22" spans="1:3" x14ac:dyDescent="0.25">
      <c r="A22" t="s">
        <v>7828</v>
      </c>
      <c r="B22">
        <v>290</v>
      </c>
      <c r="C22" t="s">
        <v>1210</v>
      </c>
    </row>
    <row r="23" spans="1:3" x14ac:dyDescent="0.25">
      <c r="A23" t="s">
        <v>7828</v>
      </c>
      <c r="B23">
        <v>705</v>
      </c>
      <c r="C23" t="s">
        <v>2533</v>
      </c>
    </row>
    <row r="24" spans="1:3" x14ac:dyDescent="0.25">
      <c r="A24" t="s">
        <v>7828</v>
      </c>
      <c r="B24">
        <v>706</v>
      </c>
      <c r="C24" t="s">
        <v>2537</v>
      </c>
    </row>
    <row r="25" spans="1:3" x14ac:dyDescent="0.25">
      <c r="A25" t="s">
        <v>7828</v>
      </c>
      <c r="B25">
        <v>912</v>
      </c>
      <c r="C25" t="s">
        <v>3215</v>
      </c>
    </row>
    <row r="26" spans="1:3" x14ac:dyDescent="0.25">
      <c r="A26" t="s">
        <v>7828</v>
      </c>
      <c r="B26">
        <v>347</v>
      </c>
      <c r="C26" t="s">
        <v>136</v>
      </c>
    </row>
    <row r="27" spans="1:3" x14ac:dyDescent="0.25">
      <c r="A27" t="s">
        <v>7828</v>
      </c>
      <c r="B27">
        <v>238</v>
      </c>
      <c r="C27" t="s">
        <v>16</v>
      </c>
    </row>
    <row r="28" spans="1:3" x14ac:dyDescent="0.25">
      <c r="A28" t="s">
        <v>7828</v>
      </c>
      <c r="B28">
        <v>36</v>
      </c>
      <c r="C28" t="s">
        <v>433</v>
      </c>
    </row>
    <row r="29" spans="1:3" x14ac:dyDescent="0.25">
      <c r="A29" t="s">
        <v>7828</v>
      </c>
      <c r="B29">
        <v>271</v>
      </c>
      <c r="C29" t="s">
        <v>220</v>
      </c>
    </row>
    <row r="30" spans="1:3" x14ac:dyDescent="0.25">
      <c r="A30" t="s">
        <v>7828</v>
      </c>
      <c r="B30">
        <v>128</v>
      </c>
      <c r="C30" t="s">
        <v>197</v>
      </c>
    </row>
    <row r="31" spans="1:3" x14ac:dyDescent="0.25">
      <c r="A31" t="s">
        <v>7828</v>
      </c>
      <c r="B31">
        <v>75</v>
      </c>
      <c r="C31" t="s">
        <v>308</v>
      </c>
    </row>
    <row r="32" spans="1:3" x14ac:dyDescent="0.25">
      <c r="A32" t="s">
        <v>7828</v>
      </c>
      <c r="B32">
        <v>535</v>
      </c>
      <c r="C32" t="s">
        <v>2005</v>
      </c>
    </row>
    <row r="33" spans="1:3" x14ac:dyDescent="0.25">
      <c r="A33" t="s">
        <v>7828</v>
      </c>
      <c r="B33">
        <v>554</v>
      </c>
      <c r="C33" t="s">
        <v>2064</v>
      </c>
    </row>
    <row r="34" spans="1:3" x14ac:dyDescent="0.25">
      <c r="A34" t="s">
        <v>7828</v>
      </c>
      <c r="B34">
        <v>122</v>
      </c>
      <c r="C34" t="s">
        <v>7856</v>
      </c>
    </row>
    <row r="35" spans="1:3" x14ac:dyDescent="0.25">
      <c r="A35" t="s">
        <v>7828</v>
      </c>
      <c r="B35">
        <v>560</v>
      </c>
      <c r="C35" t="s">
        <v>2086</v>
      </c>
    </row>
    <row r="36" spans="1:3" x14ac:dyDescent="0.25">
      <c r="A36" t="s">
        <v>7828</v>
      </c>
      <c r="B36">
        <v>1930</v>
      </c>
      <c r="C36" t="s">
        <v>7857</v>
      </c>
    </row>
    <row r="37" spans="1:3" x14ac:dyDescent="0.25">
      <c r="A37" t="s">
        <v>7828</v>
      </c>
      <c r="B37">
        <v>1963</v>
      </c>
      <c r="C37" t="s">
        <v>7858</v>
      </c>
    </row>
    <row r="38" spans="1:3" x14ac:dyDescent="0.25">
      <c r="A38" t="s">
        <v>7828</v>
      </c>
      <c r="B38">
        <v>2001</v>
      </c>
      <c r="C38" t="s">
        <v>6758</v>
      </c>
    </row>
    <row r="39" spans="1:3" x14ac:dyDescent="0.25">
      <c r="A39" t="s">
        <v>7828</v>
      </c>
      <c r="B39">
        <v>2002</v>
      </c>
      <c r="C39" t="s">
        <v>7859</v>
      </c>
    </row>
    <row r="40" spans="1:3" x14ac:dyDescent="0.25">
      <c r="A40" t="s">
        <v>7828</v>
      </c>
      <c r="B40">
        <v>2017</v>
      </c>
      <c r="C40" t="s">
        <v>6811</v>
      </c>
    </row>
    <row r="41" spans="1:3" x14ac:dyDescent="0.25">
      <c r="A41" t="s">
        <v>7828</v>
      </c>
      <c r="B41">
        <v>438</v>
      </c>
      <c r="C41" t="s">
        <v>1693</v>
      </c>
    </row>
    <row r="42" spans="1:3" x14ac:dyDescent="0.25">
      <c r="A42" t="s">
        <v>7828</v>
      </c>
      <c r="B42">
        <v>28</v>
      </c>
      <c r="C42" t="s">
        <v>7860</v>
      </c>
    </row>
    <row r="43" spans="1:3" x14ac:dyDescent="0.25">
      <c r="A43" t="s">
        <v>7828</v>
      </c>
      <c r="B43">
        <v>280</v>
      </c>
      <c r="C43" t="s">
        <v>224</v>
      </c>
    </row>
    <row r="44" spans="1:3" x14ac:dyDescent="0.25">
      <c r="A44" t="s">
        <v>7828</v>
      </c>
      <c r="B44">
        <v>179</v>
      </c>
      <c r="C44" t="s">
        <v>869</v>
      </c>
    </row>
    <row r="45" spans="1:3" x14ac:dyDescent="0.25">
      <c r="A45" t="s">
        <v>7828</v>
      </c>
      <c r="B45">
        <v>523</v>
      </c>
      <c r="C45" t="s">
        <v>1965</v>
      </c>
    </row>
    <row r="46" spans="1:3" x14ac:dyDescent="0.25">
      <c r="A46" t="s">
        <v>7828</v>
      </c>
      <c r="B46">
        <v>838</v>
      </c>
      <c r="C46" t="s">
        <v>2967</v>
      </c>
    </row>
    <row r="47" spans="1:3" x14ac:dyDescent="0.25">
      <c r="A47" t="s">
        <v>7828</v>
      </c>
      <c r="B47">
        <v>187</v>
      </c>
      <c r="C47" t="s">
        <v>893</v>
      </c>
    </row>
    <row r="48" spans="1:3" x14ac:dyDescent="0.25">
      <c r="A48" t="s">
        <v>7828</v>
      </c>
      <c r="B48">
        <v>380</v>
      </c>
      <c r="C48" t="s">
        <v>7861</v>
      </c>
    </row>
    <row r="49" spans="1:3" x14ac:dyDescent="0.25">
      <c r="A49" t="s">
        <v>7828</v>
      </c>
      <c r="B49">
        <v>1461</v>
      </c>
      <c r="C49" t="s">
        <v>7862</v>
      </c>
    </row>
    <row r="50" spans="1:3" x14ac:dyDescent="0.25">
      <c r="A50" t="s">
        <v>7828</v>
      </c>
      <c r="B50">
        <v>304</v>
      </c>
      <c r="C50" t="s">
        <v>7863</v>
      </c>
    </row>
    <row r="51" spans="1:3" x14ac:dyDescent="0.25">
      <c r="A51" t="s">
        <v>7828</v>
      </c>
      <c r="B51">
        <v>665</v>
      </c>
      <c r="C51" t="s">
        <v>7864</v>
      </c>
    </row>
    <row r="52" spans="1:3" x14ac:dyDescent="0.25">
      <c r="A52" t="s">
        <v>7828</v>
      </c>
      <c r="B52">
        <v>41</v>
      </c>
      <c r="C52" t="s">
        <v>196</v>
      </c>
    </row>
    <row r="53" spans="1:3" x14ac:dyDescent="0.25">
      <c r="A53" t="s">
        <v>7828</v>
      </c>
      <c r="B53">
        <v>1822</v>
      </c>
      <c r="C53" t="s">
        <v>7865</v>
      </c>
    </row>
    <row r="54" spans="1:3" x14ac:dyDescent="0.25">
      <c r="A54" t="s">
        <v>7828</v>
      </c>
      <c r="B54">
        <v>2215</v>
      </c>
      <c r="C54" t="s">
        <v>7455</v>
      </c>
    </row>
    <row r="55" spans="1:3" x14ac:dyDescent="0.25">
      <c r="A55" t="s">
        <v>7828</v>
      </c>
      <c r="B55">
        <v>1603</v>
      </c>
      <c r="C55" t="s">
        <v>5469</v>
      </c>
    </row>
    <row r="56" spans="1:3" x14ac:dyDescent="0.25">
      <c r="A56" t="s">
        <v>7828</v>
      </c>
      <c r="B56">
        <v>2348</v>
      </c>
      <c r="C56" t="s">
        <v>7866</v>
      </c>
    </row>
    <row r="57" spans="1:3" x14ac:dyDescent="0.25">
      <c r="A57" t="s">
        <v>7828</v>
      </c>
      <c r="B57">
        <v>2405</v>
      </c>
      <c r="C57" t="s">
        <v>7867</v>
      </c>
    </row>
    <row r="58" spans="1:3" x14ac:dyDescent="0.25">
      <c r="A58" t="s">
        <v>7828</v>
      </c>
      <c r="B58">
        <v>1396</v>
      </c>
      <c r="C58" t="s">
        <v>4789</v>
      </c>
    </row>
    <row r="59" spans="1:3" x14ac:dyDescent="0.25">
      <c r="A59" t="s">
        <v>7828</v>
      </c>
      <c r="B59">
        <v>125</v>
      </c>
      <c r="C59" t="s">
        <v>699</v>
      </c>
    </row>
    <row r="60" spans="1:3" x14ac:dyDescent="0.25">
      <c r="A60" t="s">
        <v>7828</v>
      </c>
      <c r="B60">
        <v>680</v>
      </c>
      <c r="C60" t="s">
        <v>2451</v>
      </c>
    </row>
    <row r="61" spans="1:3" x14ac:dyDescent="0.25">
      <c r="A61" t="s">
        <v>7828</v>
      </c>
      <c r="B61">
        <v>1984</v>
      </c>
      <c r="C61" t="s">
        <v>7868</v>
      </c>
    </row>
    <row r="62" spans="1:3" x14ac:dyDescent="0.25">
      <c r="A62" t="s">
        <v>293</v>
      </c>
      <c r="B62">
        <v>1768</v>
      </c>
      <c r="C62" t="s">
        <v>6003</v>
      </c>
    </row>
    <row r="63" spans="1:3" x14ac:dyDescent="0.25">
      <c r="A63" t="s">
        <v>293</v>
      </c>
      <c r="B63">
        <v>344</v>
      </c>
      <c r="C63" t="s">
        <v>1380</v>
      </c>
    </row>
    <row r="64" spans="1:3" x14ac:dyDescent="0.25">
      <c r="A64" t="s">
        <v>293</v>
      </c>
      <c r="B64">
        <v>88</v>
      </c>
      <c r="C64" t="s">
        <v>588</v>
      </c>
    </row>
    <row r="65" spans="1:3" x14ac:dyDescent="0.25">
      <c r="A65" t="s">
        <v>293</v>
      </c>
      <c r="B65">
        <v>283</v>
      </c>
      <c r="C65" t="s">
        <v>297</v>
      </c>
    </row>
    <row r="66" spans="1:3" x14ac:dyDescent="0.25">
      <c r="A66" t="s">
        <v>293</v>
      </c>
      <c r="B66">
        <v>26</v>
      </c>
      <c r="C66" t="s">
        <v>7869</v>
      </c>
    </row>
    <row r="67" spans="1:3" x14ac:dyDescent="0.25">
      <c r="A67" t="s">
        <v>293</v>
      </c>
      <c r="B67">
        <v>80</v>
      </c>
      <c r="C67" t="s">
        <v>7870</v>
      </c>
    </row>
    <row r="68" spans="1:3" x14ac:dyDescent="0.25">
      <c r="A68" t="s">
        <v>293</v>
      </c>
      <c r="B68">
        <v>167</v>
      </c>
      <c r="C68" t="s">
        <v>7837</v>
      </c>
    </row>
    <row r="69" spans="1:3" x14ac:dyDescent="0.25">
      <c r="A69" t="s">
        <v>293</v>
      </c>
      <c r="B69">
        <v>15</v>
      </c>
      <c r="C69" t="s">
        <v>305</v>
      </c>
    </row>
    <row r="70" spans="1:3" x14ac:dyDescent="0.25">
      <c r="A70" t="s">
        <v>293</v>
      </c>
      <c r="B70">
        <v>18</v>
      </c>
      <c r="C70" t="s">
        <v>378</v>
      </c>
    </row>
    <row r="71" spans="1:3" x14ac:dyDescent="0.25">
      <c r="A71" t="s">
        <v>293</v>
      </c>
      <c r="B71">
        <v>11</v>
      </c>
      <c r="C71" t="s">
        <v>187</v>
      </c>
    </row>
    <row r="72" spans="1:3" x14ac:dyDescent="0.25">
      <c r="A72" t="s">
        <v>293</v>
      </c>
      <c r="B72">
        <v>1498</v>
      </c>
      <c r="C72" t="s">
        <v>7871</v>
      </c>
    </row>
    <row r="73" spans="1:3" x14ac:dyDescent="0.25">
      <c r="A73" t="s">
        <v>293</v>
      </c>
      <c r="B73">
        <v>189</v>
      </c>
      <c r="C73" t="s">
        <v>900</v>
      </c>
    </row>
    <row r="74" spans="1:3" x14ac:dyDescent="0.25">
      <c r="A74" t="s">
        <v>293</v>
      </c>
      <c r="B74">
        <v>1968</v>
      </c>
      <c r="C74" t="s">
        <v>6649</v>
      </c>
    </row>
    <row r="75" spans="1:3" x14ac:dyDescent="0.25">
      <c r="A75" t="s">
        <v>293</v>
      </c>
      <c r="B75">
        <v>881</v>
      </c>
      <c r="C75" t="s">
        <v>3108</v>
      </c>
    </row>
    <row r="76" spans="1:3" x14ac:dyDescent="0.25">
      <c r="A76" t="s">
        <v>293</v>
      </c>
      <c r="B76">
        <v>42</v>
      </c>
      <c r="C76" t="s">
        <v>188</v>
      </c>
    </row>
    <row r="77" spans="1:3" x14ac:dyDescent="0.25">
      <c r="A77" t="s">
        <v>293</v>
      </c>
      <c r="B77">
        <v>121</v>
      </c>
      <c r="C77" t="s">
        <v>7872</v>
      </c>
    </row>
    <row r="78" spans="1:3" x14ac:dyDescent="0.25">
      <c r="A78" t="s">
        <v>293</v>
      </c>
      <c r="B78">
        <v>219</v>
      </c>
      <c r="C78" t="s">
        <v>991</v>
      </c>
    </row>
    <row r="79" spans="1:3" x14ac:dyDescent="0.25">
      <c r="A79" t="s">
        <v>293</v>
      </c>
      <c r="B79">
        <v>1343</v>
      </c>
      <c r="C79" t="s">
        <v>7873</v>
      </c>
    </row>
    <row r="80" spans="1:3" x14ac:dyDescent="0.25">
      <c r="A80" t="s">
        <v>156</v>
      </c>
      <c r="B80">
        <v>3</v>
      </c>
      <c r="C80" t="s">
        <v>161</v>
      </c>
    </row>
    <row r="81" spans="1:3" x14ac:dyDescent="0.25">
      <c r="A81" t="s">
        <v>156</v>
      </c>
      <c r="B81">
        <v>424</v>
      </c>
      <c r="C81" t="s">
        <v>160</v>
      </c>
    </row>
    <row r="82" spans="1:3" x14ac:dyDescent="0.25">
      <c r="A82" t="s">
        <v>156</v>
      </c>
      <c r="B82">
        <v>567</v>
      </c>
      <c r="C82" t="s">
        <v>7874</v>
      </c>
    </row>
    <row r="83" spans="1:3" x14ac:dyDescent="0.25">
      <c r="A83" t="s">
        <v>156</v>
      </c>
      <c r="B83">
        <v>1838</v>
      </c>
      <c r="C83" t="s">
        <v>7875</v>
      </c>
    </row>
    <row r="84" spans="1:3" x14ac:dyDescent="0.25">
      <c r="A84" t="s">
        <v>156</v>
      </c>
      <c r="B84">
        <v>904</v>
      </c>
      <c r="C84" t="s">
        <v>7876</v>
      </c>
    </row>
    <row r="85" spans="1:3" x14ac:dyDescent="0.25">
      <c r="A85" t="s">
        <v>156</v>
      </c>
      <c r="B85">
        <v>1456</v>
      </c>
      <c r="C85" t="s">
        <v>310</v>
      </c>
    </row>
    <row r="86" spans="1:3" x14ac:dyDescent="0.25">
      <c r="A86" t="s">
        <v>156</v>
      </c>
      <c r="B86">
        <v>1888</v>
      </c>
      <c r="C86" t="s">
        <v>7877</v>
      </c>
    </row>
    <row r="87" spans="1:3" x14ac:dyDescent="0.25">
      <c r="A87" t="s">
        <v>156</v>
      </c>
      <c r="B87">
        <v>209</v>
      </c>
      <c r="C87" t="s">
        <v>157</v>
      </c>
    </row>
    <row r="88" spans="1:3" x14ac:dyDescent="0.25">
      <c r="A88" t="s">
        <v>156</v>
      </c>
      <c r="B88">
        <v>658</v>
      </c>
      <c r="C88" t="s">
        <v>58</v>
      </c>
    </row>
    <row r="89" spans="1:3" x14ac:dyDescent="0.25">
      <c r="A89" t="s">
        <v>156</v>
      </c>
      <c r="B89">
        <v>76</v>
      </c>
      <c r="C89" t="s">
        <v>165</v>
      </c>
    </row>
    <row r="90" spans="1:3" x14ac:dyDescent="0.25">
      <c r="A90" t="s">
        <v>156</v>
      </c>
      <c r="B90">
        <v>239</v>
      </c>
      <c r="C90" t="s">
        <v>162</v>
      </c>
    </row>
    <row r="91" spans="1:3" x14ac:dyDescent="0.25">
      <c r="A91" t="s">
        <v>156</v>
      </c>
      <c r="B91">
        <v>20</v>
      </c>
      <c r="C91" t="s">
        <v>384</v>
      </c>
    </row>
    <row r="92" spans="1:3" x14ac:dyDescent="0.25">
      <c r="A92" t="s">
        <v>156</v>
      </c>
      <c r="B92">
        <v>682</v>
      </c>
      <c r="C92" t="s">
        <v>2459</v>
      </c>
    </row>
    <row r="93" spans="1:3" x14ac:dyDescent="0.25">
      <c r="A93" t="s">
        <v>156</v>
      </c>
      <c r="B93">
        <v>225</v>
      </c>
      <c r="C93" t="s">
        <v>7878</v>
      </c>
    </row>
    <row r="94" spans="1:3" x14ac:dyDescent="0.25">
      <c r="A94" t="s">
        <v>7829</v>
      </c>
      <c r="B94">
        <v>155</v>
      </c>
      <c r="C94" t="s">
        <v>796</v>
      </c>
    </row>
    <row r="95" spans="1:3" x14ac:dyDescent="0.25">
      <c r="A95" t="s">
        <v>7829</v>
      </c>
      <c r="B95">
        <v>150</v>
      </c>
      <c r="C95" t="s">
        <v>782</v>
      </c>
    </row>
    <row r="96" spans="1:3" x14ac:dyDescent="0.25">
      <c r="A96" t="s">
        <v>7829</v>
      </c>
      <c r="B96">
        <v>2390</v>
      </c>
      <c r="C96" t="s">
        <v>7879</v>
      </c>
    </row>
    <row r="97" spans="1:3" x14ac:dyDescent="0.25">
      <c r="A97" t="s">
        <v>7829</v>
      </c>
      <c r="B97">
        <v>946</v>
      </c>
      <c r="C97" t="s">
        <v>3330</v>
      </c>
    </row>
    <row r="98" spans="1:3" x14ac:dyDescent="0.25">
      <c r="A98" t="s">
        <v>7829</v>
      </c>
      <c r="B98">
        <v>22</v>
      </c>
      <c r="C98" t="s">
        <v>40</v>
      </c>
    </row>
    <row r="99" spans="1:3" x14ac:dyDescent="0.25">
      <c r="A99" t="s">
        <v>7829</v>
      </c>
      <c r="B99">
        <v>735</v>
      </c>
      <c r="C99" t="s">
        <v>2629</v>
      </c>
    </row>
    <row r="100" spans="1:3" x14ac:dyDescent="0.25">
      <c r="A100" t="s">
        <v>7829</v>
      </c>
      <c r="B100">
        <v>739</v>
      </c>
      <c r="C100" t="s">
        <v>2643</v>
      </c>
    </row>
    <row r="101" spans="1:3" x14ac:dyDescent="0.25">
      <c r="A101" t="s">
        <v>7829</v>
      </c>
      <c r="B101">
        <v>901</v>
      </c>
      <c r="C101" t="s">
        <v>3178</v>
      </c>
    </row>
    <row r="102" spans="1:3" x14ac:dyDescent="0.25">
      <c r="A102" t="s">
        <v>7829</v>
      </c>
      <c r="B102">
        <v>853</v>
      </c>
      <c r="C102" t="s">
        <v>3017</v>
      </c>
    </row>
    <row r="103" spans="1:3" x14ac:dyDescent="0.25">
      <c r="A103" t="s">
        <v>7829</v>
      </c>
      <c r="B103">
        <v>71</v>
      </c>
      <c r="C103" t="s">
        <v>541</v>
      </c>
    </row>
    <row r="104" spans="1:3" x14ac:dyDescent="0.25">
      <c r="A104" t="s">
        <v>7829</v>
      </c>
      <c r="B104">
        <v>394</v>
      </c>
      <c r="C104" t="s">
        <v>1548</v>
      </c>
    </row>
    <row r="105" spans="1:3" x14ac:dyDescent="0.25">
      <c r="A105" t="s">
        <v>7829</v>
      </c>
      <c r="B105">
        <v>402</v>
      </c>
      <c r="C105" t="s">
        <v>1578</v>
      </c>
    </row>
    <row r="106" spans="1:3" x14ac:dyDescent="0.25">
      <c r="A106" t="s">
        <v>7829</v>
      </c>
      <c r="B106">
        <v>1209</v>
      </c>
      <c r="C106" t="s">
        <v>7880</v>
      </c>
    </row>
    <row r="107" spans="1:3" x14ac:dyDescent="0.25">
      <c r="A107" t="s">
        <v>7829</v>
      </c>
      <c r="B107">
        <v>132</v>
      </c>
      <c r="C107" t="s">
        <v>1746</v>
      </c>
    </row>
    <row r="108" spans="1:3" x14ac:dyDescent="0.25">
      <c r="A108" t="s">
        <v>7829</v>
      </c>
      <c r="B108">
        <v>895</v>
      </c>
      <c r="C108" t="s">
        <v>65</v>
      </c>
    </row>
    <row r="109" spans="1:3" x14ac:dyDescent="0.25">
      <c r="A109" t="s">
        <v>7829</v>
      </c>
      <c r="B109">
        <v>84</v>
      </c>
      <c r="C109" t="s">
        <v>7881</v>
      </c>
    </row>
    <row r="110" spans="1:3" x14ac:dyDescent="0.25">
      <c r="A110" t="s">
        <v>7829</v>
      </c>
      <c r="B110">
        <v>704</v>
      </c>
      <c r="C110" t="s">
        <v>47</v>
      </c>
    </row>
    <row r="111" spans="1:3" x14ac:dyDescent="0.25">
      <c r="A111" t="s">
        <v>7829</v>
      </c>
      <c r="B111">
        <v>35</v>
      </c>
      <c r="C111" t="s">
        <v>430</v>
      </c>
    </row>
    <row r="112" spans="1:3" x14ac:dyDescent="0.25">
      <c r="A112" t="s">
        <v>7829</v>
      </c>
      <c r="B112">
        <v>374</v>
      </c>
      <c r="C112" t="s">
        <v>7882</v>
      </c>
    </row>
    <row r="113" spans="1:3" x14ac:dyDescent="0.25">
      <c r="A113" t="s">
        <v>47</v>
      </c>
      <c r="B113">
        <v>441</v>
      </c>
      <c r="C113" t="s">
        <v>1701</v>
      </c>
    </row>
    <row r="114" spans="1:3" x14ac:dyDescent="0.25">
      <c r="A114" t="s">
        <v>47</v>
      </c>
      <c r="B114">
        <v>977</v>
      </c>
      <c r="C114" t="s">
        <v>181</v>
      </c>
    </row>
    <row r="115" spans="1:3" x14ac:dyDescent="0.25">
      <c r="A115" t="s">
        <v>47</v>
      </c>
      <c r="B115">
        <v>367</v>
      </c>
      <c r="C115" t="s">
        <v>1457</v>
      </c>
    </row>
    <row r="116" spans="1:3" x14ac:dyDescent="0.25">
      <c r="A116" t="s">
        <v>47</v>
      </c>
      <c r="B116">
        <v>69</v>
      </c>
      <c r="C116" t="s">
        <v>534</v>
      </c>
    </row>
    <row r="117" spans="1:3" x14ac:dyDescent="0.25">
      <c r="A117" t="s">
        <v>47</v>
      </c>
      <c r="B117">
        <v>540</v>
      </c>
      <c r="C117" t="s">
        <v>2022</v>
      </c>
    </row>
    <row r="118" spans="1:3" x14ac:dyDescent="0.25">
      <c r="A118" t="s">
        <v>47</v>
      </c>
      <c r="B118">
        <v>1011</v>
      </c>
      <c r="C118" t="s">
        <v>7883</v>
      </c>
    </row>
    <row r="119" spans="1:3" x14ac:dyDescent="0.25">
      <c r="A119" t="s">
        <v>47</v>
      </c>
      <c r="B119">
        <v>162</v>
      </c>
      <c r="C119" t="s">
        <v>53</v>
      </c>
    </row>
    <row r="120" spans="1:3" x14ac:dyDescent="0.25">
      <c r="A120" t="s">
        <v>47</v>
      </c>
      <c r="B120">
        <v>2300</v>
      </c>
      <c r="C120" t="s">
        <v>7731</v>
      </c>
    </row>
    <row r="121" spans="1:3" x14ac:dyDescent="0.25">
      <c r="A121" t="s">
        <v>47</v>
      </c>
      <c r="B121">
        <v>74</v>
      </c>
      <c r="C121" t="s">
        <v>56</v>
      </c>
    </row>
    <row r="122" spans="1:3" x14ac:dyDescent="0.25">
      <c r="A122" t="s">
        <v>47</v>
      </c>
      <c r="B122">
        <v>875</v>
      </c>
      <c r="C122" t="s">
        <v>3090</v>
      </c>
    </row>
    <row r="123" spans="1:3" x14ac:dyDescent="0.25">
      <c r="A123" t="s">
        <v>47</v>
      </c>
      <c r="B123">
        <v>153</v>
      </c>
      <c r="C123" t="s">
        <v>7884</v>
      </c>
    </row>
    <row r="124" spans="1:3" x14ac:dyDescent="0.25">
      <c r="A124" t="s">
        <v>47</v>
      </c>
      <c r="B124">
        <v>33</v>
      </c>
      <c r="C124" t="s">
        <v>7885</v>
      </c>
    </row>
    <row r="125" spans="1:3" x14ac:dyDescent="0.25">
      <c r="A125" t="s">
        <v>47</v>
      </c>
      <c r="B125">
        <v>981</v>
      </c>
      <c r="C125" t="s">
        <v>7886</v>
      </c>
    </row>
    <row r="126" spans="1:3" x14ac:dyDescent="0.25">
      <c r="A126" t="s">
        <v>47</v>
      </c>
      <c r="B126">
        <v>34</v>
      </c>
      <c r="C126" t="s">
        <v>7887</v>
      </c>
    </row>
    <row r="127" spans="1:3" x14ac:dyDescent="0.25">
      <c r="A127" t="s">
        <v>47</v>
      </c>
      <c r="B127">
        <v>1898</v>
      </c>
      <c r="C127" t="s">
        <v>6424</v>
      </c>
    </row>
    <row r="128" spans="1:3" x14ac:dyDescent="0.25">
      <c r="A128" t="s">
        <v>47</v>
      </c>
      <c r="B128">
        <v>116</v>
      </c>
      <c r="C128" t="s">
        <v>7888</v>
      </c>
    </row>
    <row r="129" spans="1:3" x14ac:dyDescent="0.25">
      <c r="A129" t="s">
        <v>47</v>
      </c>
      <c r="B129">
        <v>1268</v>
      </c>
      <c r="C129" t="s">
        <v>4375</v>
      </c>
    </row>
    <row r="130" spans="1:3" x14ac:dyDescent="0.25">
      <c r="A130" t="s">
        <v>47</v>
      </c>
      <c r="B130">
        <v>410</v>
      </c>
      <c r="C130" t="s">
        <v>1605</v>
      </c>
    </row>
    <row r="131" spans="1:3" x14ac:dyDescent="0.25">
      <c r="A131" t="s">
        <v>47</v>
      </c>
      <c r="B131">
        <v>4</v>
      </c>
      <c r="C131" t="s">
        <v>60</v>
      </c>
    </row>
    <row r="132" spans="1:3" x14ac:dyDescent="0.25">
      <c r="A132" t="s">
        <v>47</v>
      </c>
      <c r="B132">
        <v>206</v>
      </c>
      <c r="C132" t="s">
        <v>144</v>
      </c>
    </row>
    <row r="133" spans="1:3" x14ac:dyDescent="0.25">
      <c r="A133" t="s">
        <v>47</v>
      </c>
      <c r="B133">
        <v>21</v>
      </c>
      <c r="C133" t="s">
        <v>179</v>
      </c>
    </row>
    <row r="134" spans="1:3" x14ac:dyDescent="0.25">
      <c r="A134" t="s">
        <v>47</v>
      </c>
      <c r="B134">
        <v>234</v>
      </c>
      <c r="C134" t="s">
        <v>113</v>
      </c>
    </row>
    <row r="135" spans="1:3" x14ac:dyDescent="0.25">
      <c r="A135" t="s">
        <v>573</v>
      </c>
      <c r="B135">
        <v>203</v>
      </c>
      <c r="C135" t="s">
        <v>114</v>
      </c>
    </row>
    <row r="136" spans="1:3" x14ac:dyDescent="0.25">
      <c r="A136" t="s">
        <v>573</v>
      </c>
      <c r="B136">
        <v>83</v>
      </c>
      <c r="C136" t="s">
        <v>7889</v>
      </c>
    </row>
    <row r="137" spans="1:3" x14ac:dyDescent="0.25">
      <c r="A137" t="s">
        <v>573</v>
      </c>
      <c r="B137">
        <v>876</v>
      </c>
      <c r="C137" t="s">
        <v>112</v>
      </c>
    </row>
    <row r="138" spans="1:3" x14ac:dyDescent="0.25">
      <c r="A138" t="s">
        <v>573</v>
      </c>
      <c r="B138">
        <v>160</v>
      </c>
      <c r="C138" t="s">
        <v>810</v>
      </c>
    </row>
    <row r="139" spans="1:3" x14ac:dyDescent="0.25">
      <c r="A139" t="s">
        <v>573</v>
      </c>
      <c r="B139">
        <v>143</v>
      </c>
      <c r="C139" t="s">
        <v>120</v>
      </c>
    </row>
    <row r="140" spans="1:3" x14ac:dyDescent="0.25">
      <c r="A140" t="s">
        <v>573</v>
      </c>
      <c r="B140">
        <v>2130</v>
      </c>
      <c r="C140" t="s">
        <v>7890</v>
      </c>
    </row>
    <row r="141" spans="1:3" x14ac:dyDescent="0.25">
      <c r="A141" t="s">
        <v>573</v>
      </c>
      <c r="B141">
        <v>19</v>
      </c>
      <c r="C141" t="s">
        <v>303</v>
      </c>
    </row>
    <row r="142" spans="1:3" x14ac:dyDescent="0.25">
      <c r="A142" t="s">
        <v>573</v>
      </c>
      <c r="B142">
        <v>1721</v>
      </c>
      <c r="C142" t="s">
        <v>5852</v>
      </c>
    </row>
    <row r="143" spans="1:3" x14ac:dyDescent="0.25">
      <c r="A143" t="s">
        <v>573</v>
      </c>
      <c r="B143">
        <v>460</v>
      </c>
      <c r="C143" t="s">
        <v>1761</v>
      </c>
    </row>
    <row r="144" spans="1:3" x14ac:dyDescent="0.25">
      <c r="A144" t="s">
        <v>573</v>
      </c>
      <c r="B144">
        <v>138</v>
      </c>
      <c r="C144" t="s">
        <v>7891</v>
      </c>
    </row>
    <row r="145" spans="1:3" x14ac:dyDescent="0.25">
      <c r="A145" t="s">
        <v>573</v>
      </c>
      <c r="B145">
        <v>707</v>
      </c>
      <c r="C145" t="s">
        <v>2540</v>
      </c>
    </row>
    <row r="146" spans="1:3" x14ac:dyDescent="0.25">
      <c r="A146" t="s">
        <v>573</v>
      </c>
      <c r="B146">
        <v>1472</v>
      </c>
      <c r="C146" t="s">
        <v>5035</v>
      </c>
    </row>
    <row r="147" spans="1:3" x14ac:dyDescent="0.25">
      <c r="A147" t="s">
        <v>573</v>
      </c>
      <c r="B147">
        <v>2</v>
      </c>
      <c r="C147" t="s">
        <v>117</v>
      </c>
    </row>
    <row r="148" spans="1:3" x14ac:dyDescent="0.25">
      <c r="A148" t="s">
        <v>573</v>
      </c>
      <c r="B148">
        <v>141</v>
      </c>
      <c r="C148" t="s">
        <v>111</v>
      </c>
    </row>
    <row r="149" spans="1:3" x14ac:dyDescent="0.25">
      <c r="A149" t="s">
        <v>573</v>
      </c>
      <c r="B149">
        <v>287</v>
      </c>
      <c r="C149" t="s">
        <v>7892</v>
      </c>
    </row>
    <row r="150" spans="1:3" x14ac:dyDescent="0.25">
      <c r="A150" t="s">
        <v>573</v>
      </c>
      <c r="B150">
        <v>24</v>
      </c>
      <c r="C150" t="s">
        <v>7893</v>
      </c>
    </row>
    <row r="151" spans="1:3" x14ac:dyDescent="0.25">
      <c r="A151" t="s">
        <v>573</v>
      </c>
      <c r="B151">
        <v>148</v>
      </c>
      <c r="C151" t="s">
        <v>119</v>
      </c>
    </row>
    <row r="152" spans="1:3" x14ac:dyDescent="0.25">
      <c r="A152" t="s">
        <v>573</v>
      </c>
      <c r="B152">
        <v>86</v>
      </c>
      <c r="C152" t="s">
        <v>582</v>
      </c>
    </row>
    <row r="153" spans="1:3" x14ac:dyDescent="0.25">
      <c r="A153" t="s">
        <v>573</v>
      </c>
      <c r="B153">
        <v>61</v>
      </c>
      <c r="C153" t="s">
        <v>146</v>
      </c>
    </row>
    <row r="154" spans="1:3" x14ac:dyDescent="0.25">
      <c r="A154" t="s">
        <v>573</v>
      </c>
      <c r="B154">
        <v>92</v>
      </c>
      <c r="C154" t="s">
        <v>145</v>
      </c>
    </row>
    <row r="155" spans="1:3" x14ac:dyDescent="0.25">
      <c r="A155" t="s">
        <v>573</v>
      </c>
      <c r="B155">
        <v>622</v>
      </c>
      <c r="C155" t="s">
        <v>2272</v>
      </c>
    </row>
    <row r="156" spans="1:3" x14ac:dyDescent="0.25">
      <c r="A156" t="s">
        <v>573</v>
      </c>
      <c r="B156">
        <v>147</v>
      </c>
      <c r="C156" t="s">
        <v>771</v>
      </c>
    </row>
    <row r="157" spans="1:3" x14ac:dyDescent="0.25">
      <c r="A157" t="s">
        <v>573</v>
      </c>
      <c r="B157">
        <v>146</v>
      </c>
      <c r="C157" t="s">
        <v>767</v>
      </c>
    </row>
    <row r="158" spans="1:3" x14ac:dyDescent="0.25">
      <c r="A158" t="s">
        <v>573</v>
      </c>
      <c r="B158">
        <v>23</v>
      </c>
      <c r="C158" t="s">
        <v>7894</v>
      </c>
    </row>
    <row r="159" spans="1:3" x14ac:dyDescent="0.25">
      <c r="A159" t="s">
        <v>573</v>
      </c>
      <c r="B159">
        <v>25</v>
      </c>
      <c r="C159" t="s">
        <v>7895</v>
      </c>
    </row>
    <row r="160" spans="1:3" x14ac:dyDescent="0.25">
      <c r="A160" t="s">
        <v>573</v>
      </c>
      <c r="B160">
        <v>94</v>
      </c>
      <c r="C160" t="s">
        <v>605</v>
      </c>
    </row>
    <row r="161" spans="1:3" x14ac:dyDescent="0.25">
      <c r="A161" t="s">
        <v>573</v>
      </c>
      <c r="B161">
        <v>144</v>
      </c>
      <c r="C161" t="s">
        <v>761</v>
      </c>
    </row>
    <row r="162" spans="1:3" x14ac:dyDescent="0.25">
      <c r="A162" t="s">
        <v>573</v>
      </c>
      <c r="B162">
        <v>145</v>
      </c>
      <c r="C162" t="s">
        <v>764</v>
      </c>
    </row>
    <row r="163" spans="1:3" x14ac:dyDescent="0.25">
      <c r="A163" t="s">
        <v>7830</v>
      </c>
      <c r="B163">
        <v>226</v>
      </c>
      <c r="C163" t="s">
        <v>72</v>
      </c>
    </row>
    <row r="164" spans="1:3" x14ac:dyDescent="0.25">
      <c r="A164" t="s">
        <v>7830</v>
      </c>
      <c r="B164">
        <v>104</v>
      </c>
      <c r="C164" t="s">
        <v>69</v>
      </c>
    </row>
    <row r="165" spans="1:3" x14ac:dyDescent="0.25">
      <c r="A165" t="s">
        <v>7830</v>
      </c>
      <c r="B165">
        <v>543</v>
      </c>
      <c r="C165" t="s">
        <v>68</v>
      </c>
    </row>
    <row r="166" spans="1:3" x14ac:dyDescent="0.25">
      <c r="A166" t="s">
        <v>7830</v>
      </c>
      <c r="B166">
        <v>110</v>
      </c>
      <c r="C166" t="s">
        <v>655</v>
      </c>
    </row>
    <row r="167" spans="1:3" x14ac:dyDescent="0.25">
      <c r="A167" t="s">
        <v>7830</v>
      </c>
      <c r="B167">
        <v>100</v>
      </c>
      <c r="C167" t="s">
        <v>67</v>
      </c>
    </row>
    <row r="168" spans="1:3" x14ac:dyDescent="0.25">
      <c r="A168" t="s">
        <v>7830</v>
      </c>
      <c r="B168">
        <v>572</v>
      </c>
      <c r="C168" t="s">
        <v>71</v>
      </c>
    </row>
    <row r="169" spans="1:3" x14ac:dyDescent="0.25">
      <c r="A169" t="s">
        <v>7830</v>
      </c>
      <c r="B169">
        <v>108</v>
      </c>
      <c r="C169" t="s">
        <v>647</v>
      </c>
    </row>
    <row r="170" spans="1:3" x14ac:dyDescent="0.25">
      <c r="A170" t="s">
        <v>7830</v>
      </c>
      <c r="B170">
        <v>617</v>
      </c>
      <c r="C170" t="s">
        <v>295</v>
      </c>
    </row>
    <row r="171" spans="1:3" x14ac:dyDescent="0.25">
      <c r="A171" t="s">
        <v>7830</v>
      </c>
      <c r="B171">
        <v>112</v>
      </c>
      <c r="C171" t="s">
        <v>294</v>
      </c>
    </row>
    <row r="172" spans="1:3" x14ac:dyDescent="0.25">
      <c r="A172" t="s">
        <v>7830</v>
      </c>
      <c r="B172">
        <v>606</v>
      </c>
      <c r="C172" t="s">
        <v>7896</v>
      </c>
    </row>
    <row r="173" spans="1:3" x14ac:dyDescent="0.25">
      <c r="A173" t="s">
        <v>7830</v>
      </c>
      <c r="B173">
        <v>235</v>
      </c>
      <c r="C173" t="s">
        <v>70</v>
      </c>
    </row>
    <row r="174" spans="1:3" x14ac:dyDescent="0.25">
      <c r="A174" t="s">
        <v>7830</v>
      </c>
      <c r="B174">
        <v>701</v>
      </c>
      <c r="C174" t="s">
        <v>2521</v>
      </c>
    </row>
    <row r="175" spans="1:3" x14ac:dyDescent="0.25">
      <c r="A175" t="s">
        <v>7830</v>
      </c>
      <c r="B175">
        <v>450</v>
      </c>
      <c r="C175" t="s">
        <v>1728</v>
      </c>
    </row>
    <row r="176" spans="1:3" x14ac:dyDescent="0.25">
      <c r="A176" t="s">
        <v>7830</v>
      </c>
      <c r="B176">
        <v>102</v>
      </c>
      <c r="C176" t="s">
        <v>23</v>
      </c>
    </row>
    <row r="177" spans="1:3" x14ac:dyDescent="0.25">
      <c r="A177" t="s">
        <v>7830</v>
      </c>
      <c r="B177">
        <v>199</v>
      </c>
      <c r="C177" t="s">
        <v>27</v>
      </c>
    </row>
    <row r="178" spans="1:3" x14ac:dyDescent="0.25">
      <c r="A178" t="s">
        <v>7830</v>
      </c>
      <c r="B178">
        <v>783</v>
      </c>
      <c r="C178" t="s">
        <v>7897</v>
      </c>
    </row>
    <row r="179" spans="1:3" x14ac:dyDescent="0.25">
      <c r="A179" t="s">
        <v>7830</v>
      </c>
      <c r="B179">
        <v>101</v>
      </c>
      <c r="C179" t="s">
        <v>629</v>
      </c>
    </row>
    <row r="180" spans="1:3" x14ac:dyDescent="0.25">
      <c r="A180" t="s">
        <v>7830</v>
      </c>
      <c r="B180">
        <v>1443</v>
      </c>
      <c r="C180" t="s">
        <v>4943</v>
      </c>
    </row>
    <row r="181" spans="1:3" x14ac:dyDescent="0.25">
      <c r="A181" t="s">
        <v>7830</v>
      </c>
      <c r="B181">
        <v>103</v>
      </c>
      <c r="C181" t="s">
        <v>24</v>
      </c>
    </row>
    <row r="182" spans="1:3" x14ac:dyDescent="0.25">
      <c r="A182" t="s">
        <v>7830</v>
      </c>
      <c r="B182">
        <v>427</v>
      </c>
      <c r="C182" t="s">
        <v>1658</v>
      </c>
    </row>
    <row r="183" spans="1:3" x14ac:dyDescent="0.25">
      <c r="A183" t="s">
        <v>7830</v>
      </c>
      <c r="B183">
        <v>652</v>
      </c>
      <c r="C183" t="s">
        <v>2364</v>
      </c>
    </row>
    <row r="184" spans="1:3" x14ac:dyDescent="0.25">
      <c r="A184" t="s">
        <v>7830</v>
      </c>
      <c r="B184">
        <v>958</v>
      </c>
      <c r="C184" t="s">
        <v>3369</v>
      </c>
    </row>
    <row r="185" spans="1:3" x14ac:dyDescent="0.25">
      <c r="A185" t="s">
        <v>7830</v>
      </c>
      <c r="B185">
        <v>106</v>
      </c>
      <c r="C185" t="s">
        <v>642</v>
      </c>
    </row>
    <row r="186" spans="1:3" x14ac:dyDescent="0.25">
      <c r="A186" t="s">
        <v>7830</v>
      </c>
      <c r="B186">
        <v>662</v>
      </c>
      <c r="C186" t="s">
        <v>304</v>
      </c>
    </row>
    <row r="187" spans="1:3" x14ac:dyDescent="0.25">
      <c r="A187" t="s">
        <v>7830</v>
      </c>
      <c r="B187">
        <v>1376</v>
      </c>
      <c r="C187" t="s">
        <v>4723</v>
      </c>
    </row>
    <row r="188" spans="1:3" x14ac:dyDescent="0.25">
      <c r="A188" t="s">
        <v>7830</v>
      </c>
      <c r="B188">
        <v>1448</v>
      </c>
      <c r="C188" t="s">
        <v>7898</v>
      </c>
    </row>
    <row r="189" spans="1:3" x14ac:dyDescent="0.25">
      <c r="A189" t="s">
        <v>7830</v>
      </c>
      <c r="B189">
        <v>98</v>
      </c>
      <c r="C189" t="s">
        <v>81</v>
      </c>
    </row>
    <row r="190" spans="1:3" x14ac:dyDescent="0.25">
      <c r="A190" t="s">
        <v>7830</v>
      </c>
      <c r="B190">
        <v>230</v>
      </c>
      <c r="C190" t="s">
        <v>7899</v>
      </c>
    </row>
    <row r="191" spans="1:3" x14ac:dyDescent="0.25">
      <c r="A191" t="s">
        <v>7830</v>
      </c>
      <c r="B191">
        <v>105</v>
      </c>
      <c r="C191" t="s">
        <v>7900</v>
      </c>
    </row>
    <row r="192" spans="1:3" x14ac:dyDescent="0.25">
      <c r="A192" t="s">
        <v>7830</v>
      </c>
      <c r="B192">
        <v>96</v>
      </c>
      <c r="C192" t="s">
        <v>613</v>
      </c>
    </row>
    <row r="193" spans="1:3" x14ac:dyDescent="0.25">
      <c r="A193" t="s">
        <v>7830</v>
      </c>
      <c r="B193">
        <v>129</v>
      </c>
      <c r="C193" t="s">
        <v>714</v>
      </c>
    </row>
    <row r="194" spans="1:3" x14ac:dyDescent="0.25">
      <c r="A194" t="s">
        <v>7830</v>
      </c>
      <c r="B194">
        <v>337</v>
      </c>
      <c r="C194" t="s">
        <v>1358</v>
      </c>
    </row>
    <row r="195" spans="1:3" x14ac:dyDescent="0.25">
      <c r="A195" t="s">
        <v>7830</v>
      </c>
      <c r="B195">
        <v>951</v>
      </c>
      <c r="C195" t="s">
        <v>3347</v>
      </c>
    </row>
    <row r="196" spans="1:3" x14ac:dyDescent="0.25">
      <c r="A196" t="s">
        <v>7830</v>
      </c>
      <c r="B196">
        <v>1993</v>
      </c>
      <c r="C196" t="s">
        <v>7901</v>
      </c>
    </row>
    <row r="197" spans="1:3" x14ac:dyDescent="0.25">
      <c r="A197" t="s">
        <v>7830</v>
      </c>
      <c r="B197">
        <v>894</v>
      </c>
      <c r="C197" t="s">
        <v>3152</v>
      </c>
    </row>
    <row r="198" spans="1:3" x14ac:dyDescent="0.25">
      <c r="A198" t="s">
        <v>7830</v>
      </c>
      <c r="B198">
        <v>513</v>
      </c>
      <c r="C198" t="s">
        <v>1933</v>
      </c>
    </row>
    <row r="199" spans="1:3" x14ac:dyDescent="0.25">
      <c r="A199" t="s">
        <v>7830</v>
      </c>
      <c r="B199">
        <v>669</v>
      </c>
      <c r="C199" t="s">
        <v>2417</v>
      </c>
    </row>
    <row r="200" spans="1:3" x14ac:dyDescent="0.25">
      <c r="A200" t="s">
        <v>7830</v>
      </c>
      <c r="B200">
        <v>173</v>
      </c>
      <c r="C200" t="s">
        <v>849</v>
      </c>
    </row>
    <row r="201" spans="1:3" x14ac:dyDescent="0.25">
      <c r="A201" t="s">
        <v>7830</v>
      </c>
      <c r="B201">
        <v>538</v>
      </c>
      <c r="C201" t="s">
        <v>7902</v>
      </c>
    </row>
    <row r="202" spans="1:3" x14ac:dyDescent="0.25">
      <c r="A202" t="s">
        <v>7830</v>
      </c>
      <c r="B202">
        <v>124</v>
      </c>
      <c r="C202" t="s">
        <v>82</v>
      </c>
    </row>
    <row r="203" spans="1:3" x14ac:dyDescent="0.25">
      <c r="A203" t="s">
        <v>7830</v>
      </c>
      <c r="B203">
        <v>297</v>
      </c>
      <c r="C203" t="s">
        <v>7903</v>
      </c>
    </row>
    <row r="204" spans="1:3" x14ac:dyDescent="0.25">
      <c r="A204" t="s">
        <v>7830</v>
      </c>
      <c r="B204">
        <v>208</v>
      </c>
      <c r="C204" t="s">
        <v>7904</v>
      </c>
    </row>
    <row r="205" spans="1:3" x14ac:dyDescent="0.25">
      <c r="A205" t="s">
        <v>7830</v>
      </c>
      <c r="B205">
        <v>211</v>
      </c>
      <c r="C205" t="s">
        <v>7905</v>
      </c>
    </row>
    <row r="206" spans="1:3" x14ac:dyDescent="0.25">
      <c r="A206" t="s">
        <v>7830</v>
      </c>
      <c r="B206">
        <v>212</v>
      </c>
      <c r="C206" t="s">
        <v>83</v>
      </c>
    </row>
    <row r="207" spans="1:3" x14ac:dyDescent="0.25">
      <c r="A207" t="s">
        <v>7831</v>
      </c>
      <c r="B207">
        <v>703</v>
      </c>
      <c r="C207" t="s">
        <v>7906</v>
      </c>
    </row>
    <row r="208" spans="1:3" x14ac:dyDescent="0.25">
      <c r="A208" t="s">
        <v>7831</v>
      </c>
      <c r="B208">
        <v>1046</v>
      </c>
      <c r="C208" t="s">
        <v>3652</v>
      </c>
    </row>
    <row r="209" spans="1:3" x14ac:dyDescent="0.25">
      <c r="A209" t="s">
        <v>7831</v>
      </c>
      <c r="B209">
        <v>973</v>
      </c>
      <c r="C209" t="s">
        <v>135</v>
      </c>
    </row>
    <row r="210" spans="1:3" x14ac:dyDescent="0.25">
      <c r="A210" t="s">
        <v>7832</v>
      </c>
      <c r="B210">
        <v>215</v>
      </c>
      <c r="C210" t="s">
        <v>7907</v>
      </c>
    </row>
    <row r="211" spans="1:3" x14ac:dyDescent="0.25">
      <c r="A211" t="s">
        <v>7832</v>
      </c>
      <c r="B211">
        <v>621</v>
      </c>
      <c r="C211" t="s">
        <v>126</v>
      </c>
    </row>
    <row r="212" spans="1:3" x14ac:dyDescent="0.25">
      <c r="A212" t="s">
        <v>7832</v>
      </c>
      <c r="B212">
        <v>355</v>
      </c>
      <c r="C212" t="s">
        <v>1418</v>
      </c>
    </row>
    <row r="213" spans="1:3" x14ac:dyDescent="0.25">
      <c r="A213" t="s">
        <v>7832</v>
      </c>
      <c r="B213">
        <v>1675</v>
      </c>
      <c r="C213" t="s">
        <v>5704</v>
      </c>
    </row>
    <row r="214" spans="1:3" x14ac:dyDescent="0.25">
      <c r="A214" t="s">
        <v>7832</v>
      </c>
      <c r="B214">
        <v>2542</v>
      </c>
      <c r="C214" t="s">
        <v>7908</v>
      </c>
    </row>
    <row r="215" spans="1:3" x14ac:dyDescent="0.25">
      <c r="A215" t="s">
        <v>7832</v>
      </c>
      <c r="B215">
        <v>1834</v>
      </c>
      <c r="C215" t="s">
        <v>7909</v>
      </c>
    </row>
    <row r="216" spans="1:3" x14ac:dyDescent="0.25">
      <c r="A216" t="s">
        <v>7832</v>
      </c>
      <c r="B216">
        <v>1845</v>
      </c>
      <c r="C216" t="s">
        <v>6250</v>
      </c>
    </row>
    <row r="217" spans="1:3" x14ac:dyDescent="0.25">
      <c r="A217" t="s">
        <v>7832</v>
      </c>
      <c r="B217">
        <v>1882</v>
      </c>
      <c r="C217" t="s">
        <v>6373</v>
      </c>
    </row>
    <row r="218" spans="1:3" x14ac:dyDescent="0.25">
      <c r="A218" t="s">
        <v>7832</v>
      </c>
      <c r="B218">
        <v>1985</v>
      </c>
      <c r="C218" t="s">
        <v>7910</v>
      </c>
    </row>
    <row r="219" spans="1:3" x14ac:dyDescent="0.25">
      <c r="A219" t="s">
        <v>7832</v>
      </c>
      <c r="B219">
        <v>767</v>
      </c>
      <c r="C219" t="s">
        <v>128</v>
      </c>
    </row>
    <row r="220" spans="1:3" x14ac:dyDescent="0.25">
      <c r="A220" t="s">
        <v>7832</v>
      </c>
      <c r="B220">
        <v>1405</v>
      </c>
      <c r="C220" t="s">
        <v>4818</v>
      </c>
    </row>
    <row r="221" spans="1:3" x14ac:dyDescent="0.25">
      <c r="A221" t="s">
        <v>7832</v>
      </c>
      <c r="B221">
        <v>1094</v>
      </c>
      <c r="C221" t="s">
        <v>3805</v>
      </c>
    </row>
    <row r="222" spans="1:3" x14ac:dyDescent="0.25">
      <c r="A222" t="s">
        <v>7832</v>
      </c>
      <c r="B222">
        <v>295</v>
      </c>
      <c r="C222" t="s">
        <v>7911</v>
      </c>
    </row>
    <row r="223" spans="1:3" x14ac:dyDescent="0.25">
      <c r="A223" t="s">
        <v>7832</v>
      </c>
      <c r="B223">
        <v>1383</v>
      </c>
      <c r="C223" t="s">
        <v>4747</v>
      </c>
    </row>
    <row r="224" spans="1:3" x14ac:dyDescent="0.25">
      <c r="A224" t="s">
        <v>7832</v>
      </c>
      <c r="B224">
        <v>502</v>
      </c>
      <c r="C224" t="s">
        <v>1898</v>
      </c>
    </row>
    <row r="225" spans="1:3" x14ac:dyDescent="0.25">
      <c r="A225" t="s">
        <v>7832</v>
      </c>
      <c r="B225">
        <v>78</v>
      </c>
      <c r="C225" t="s">
        <v>33</v>
      </c>
    </row>
    <row r="226" spans="1:3" x14ac:dyDescent="0.25">
      <c r="A226" t="s">
        <v>7832</v>
      </c>
      <c r="B226">
        <v>39</v>
      </c>
      <c r="C226" t="s">
        <v>37</v>
      </c>
    </row>
    <row r="227" spans="1:3" x14ac:dyDescent="0.25">
      <c r="A227" t="s">
        <v>7832</v>
      </c>
      <c r="B227">
        <v>77</v>
      </c>
      <c r="C227" t="s">
        <v>36</v>
      </c>
    </row>
    <row r="228" spans="1:3" x14ac:dyDescent="0.25">
      <c r="A228" t="s">
        <v>30</v>
      </c>
      <c r="B228">
        <v>46</v>
      </c>
      <c r="C228" t="s">
        <v>35</v>
      </c>
    </row>
    <row r="229" spans="1:3" x14ac:dyDescent="0.25">
      <c r="A229" t="s">
        <v>30</v>
      </c>
      <c r="B229">
        <v>90</v>
      </c>
      <c r="C229" t="s">
        <v>34</v>
      </c>
    </row>
    <row r="230" spans="1:3" x14ac:dyDescent="0.25">
      <c r="A230" t="s">
        <v>30</v>
      </c>
      <c r="B230">
        <v>40</v>
      </c>
      <c r="C230" t="s">
        <v>38</v>
      </c>
    </row>
    <row r="231" spans="1:3" x14ac:dyDescent="0.25">
      <c r="A231" t="s">
        <v>30</v>
      </c>
      <c r="B231">
        <v>47</v>
      </c>
      <c r="C231" t="s">
        <v>301</v>
      </c>
    </row>
    <row r="232" spans="1:3" x14ac:dyDescent="0.25">
      <c r="A232" t="s">
        <v>30</v>
      </c>
      <c r="B232">
        <v>79</v>
      </c>
      <c r="C232" t="s">
        <v>31</v>
      </c>
    </row>
    <row r="233" spans="1:3" x14ac:dyDescent="0.25">
      <c r="A233" t="s">
        <v>30</v>
      </c>
      <c r="B233">
        <v>131</v>
      </c>
      <c r="C233" t="s">
        <v>41</v>
      </c>
    </row>
    <row r="234" spans="1:3" x14ac:dyDescent="0.25">
      <c r="A234" t="s">
        <v>30</v>
      </c>
      <c r="B234">
        <v>93</v>
      </c>
      <c r="C234" t="s">
        <v>601</v>
      </c>
    </row>
    <row r="235" spans="1:3" x14ac:dyDescent="0.25">
      <c r="A235" t="s">
        <v>30</v>
      </c>
      <c r="B235">
        <v>17</v>
      </c>
      <c r="C235" t="s">
        <v>302</v>
      </c>
    </row>
    <row r="236" spans="1:3" x14ac:dyDescent="0.25">
      <c r="A236" t="s">
        <v>30</v>
      </c>
      <c r="B236">
        <v>473</v>
      </c>
      <c r="C236" t="s">
        <v>1802</v>
      </c>
    </row>
    <row r="237" spans="1:3" x14ac:dyDescent="0.25">
      <c r="A237" t="s">
        <v>30</v>
      </c>
      <c r="B237">
        <v>1849</v>
      </c>
      <c r="C237" t="s">
        <v>6263</v>
      </c>
    </row>
    <row r="238" spans="1:3" x14ac:dyDescent="0.25">
      <c r="A238" t="s">
        <v>30</v>
      </c>
      <c r="B238">
        <v>1980</v>
      </c>
      <c r="C238" t="s">
        <v>6689</v>
      </c>
    </row>
    <row r="239" spans="1:3" x14ac:dyDescent="0.25">
      <c r="A239" t="s">
        <v>30</v>
      </c>
      <c r="B239">
        <v>1239</v>
      </c>
      <c r="C239" t="s">
        <v>7912</v>
      </c>
    </row>
    <row r="240" spans="1:3" x14ac:dyDescent="0.25">
      <c r="A240" t="s">
        <v>30</v>
      </c>
      <c r="B240">
        <v>698</v>
      </c>
      <c r="C240" t="s">
        <v>106</v>
      </c>
    </row>
    <row r="241" spans="1:3" x14ac:dyDescent="0.25">
      <c r="A241" t="s">
        <v>30</v>
      </c>
      <c r="B241">
        <v>51</v>
      </c>
      <c r="C241" t="s">
        <v>7913</v>
      </c>
    </row>
    <row r="242" spans="1:3" x14ac:dyDescent="0.25">
      <c r="A242" t="s">
        <v>30</v>
      </c>
      <c r="B242">
        <v>52</v>
      </c>
      <c r="C242" t="s">
        <v>7914</v>
      </c>
    </row>
    <row r="243" spans="1:3" x14ac:dyDescent="0.25">
      <c r="A243" t="s">
        <v>30</v>
      </c>
      <c r="B243">
        <v>463</v>
      </c>
      <c r="C243" t="s">
        <v>1771</v>
      </c>
    </row>
    <row r="244" spans="1:3" x14ac:dyDescent="0.25">
      <c r="A244" t="s">
        <v>30</v>
      </c>
      <c r="B244">
        <v>953</v>
      </c>
      <c r="C244" t="s">
        <v>7915</v>
      </c>
    </row>
    <row r="245" spans="1:3" x14ac:dyDescent="0.25">
      <c r="A245" t="s">
        <v>30</v>
      </c>
      <c r="B245">
        <v>200</v>
      </c>
      <c r="C245" t="s">
        <v>17</v>
      </c>
    </row>
    <row r="246" spans="1:3" x14ac:dyDescent="0.25">
      <c r="A246" t="s">
        <v>7833</v>
      </c>
      <c r="B246">
        <v>133</v>
      </c>
      <c r="C246" t="s">
        <v>13</v>
      </c>
    </row>
    <row r="247" spans="1:3" x14ac:dyDescent="0.25">
      <c r="A247" t="s">
        <v>7833</v>
      </c>
      <c r="B247">
        <v>695</v>
      </c>
      <c r="C247" t="s">
        <v>2503</v>
      </c>
    </row>
    <row r="248" spans="1:3" x14ac:dyDescent="0.25">
      <c r="A248" t="s">
        <v>7833</v>
      </c>
      <c r="B248">
        <v>1905</v>
      </c>
      <c r="C248" t="s">
        <v>6447</v>
      </c>
    </row>
    <row r="249" spans="1:3" x14ac:dyDescent="0.25">
      <c r="A249" t="s">
        <v>7833</v>
      </c>
      <c r="B249">
        <v>417</v>
      </c>
      <c r="C249" t="s">
        <v>15</v>
      </c>
    </row>
    <row r="250" spans="1:3" x14ac:dyDescent="0.25">
      <c r="A250" t="s">
        <v>7833</v>
      </c>
      <c r="B250">
        <v>130</v>
      </c>
      <c r="C250" t="s">
        <v>717</v>
      </c>
    </row>
    <row r="251" spans="1:3" x14ac:dyDescent="0.25">
      <c r="A251" t="s">
        <v>7833</v>
      </c>
      <c r="B251">
        <v>1466</v>
      </c>
      <c r="C251" t="s">
        <v>7916</v>
      </c>
    </row>
    <row r="252" spans="1:3" x14ac:dyDescent="0.25">
      <c r="A252" t="s">
        <v>7833</v>
      </c>
      <c r="B252">
        <v>994</v>
      </c>
      <c r="C252" t="s">
        <v>3484</v>
      </c>
    </row>
    <row r="253" spans="1:3" x14ac:dyDescent="0.25">
      <c r="A253" t="s">
        <v>7833</v>
      </c>
      <c r="B253">
        <v>286</v>
      </c>
      <c r="C253" t="s">
        <v>7917</v>
      </c>
    </row>
    <row r="254" spans="1:3" x14ac:dyDescent="0.25">
      <c r="A254" t="s">
        <v>7833</v>
      </c>
      <c r="B254">
        <v>909</v>
      </c>
      <c r="C254" t="s">
        <v>7918</v>
      </c>
    </row>
    <row r="255" spans="1:3" x14ac:dyDescent="0.25">
      <c r="A255" t="s">
        <v>7833</v>
      </c>
      <c r="B255">
        <v>752</v>
      </c>
      <c r="C255" t="s">
        <v>7919</v>
      </c>
    </row>
    <row r="256" spans="1:3" x14ac:dyDescent="0.25">
      <c r="A256" t="s">
        <v>7833</v>
      </c>
      <c r="B256">
        <v>802</v>
      </c>
      <c r="C256" t="s">
        <v>2847</v>
      </c>
    </row>
    <row r="257" spans="1:3" x14ac:dyDescent="0.25">
      <c r="A257" t="s">
        <v>7833</v>
      </c>
      <c r="B257">
        <v>207</v>
      </c>
      <c r="C257" t="s">
        <v>20</v>
      </c>
    </row>
    <row r="258" spans="1:3" x14ac:dyDescent="0.25">
      <c r="A258" t="s">
        <v>7833</v>
      </c>
      <c r="B258">
        <v>210</v>
      </c>
      <c r="C258" t="s">
        <v>122</v>
      </c>
    </row>
    <row r="259" spans="1:3" x14ac:dyDescent="0.25">
      <c r="A259" t="s">
        <v>7833</v>
      </c>
      <c r="B259">
        <v>1462</v>
      </c>
      <c r="C259" t="s">
        <v>5004</v>
      </c>
    </row>
    <row r="260" spans="1:3" x14ac:dyDescent="0.25">
      <c r="A260" t="s">
        <v>7833</v>
      </c>
      <c r="B260">
        <v>1958</v>
      </c>
      <c r="C260" t="s">
        <v>7920</v>
      </c>
    </row>
    <row r="261" spans="1:3" x14ac:dyDescent="0.25">
      <c r="A261" t="s">
        <v>7833</v>
      </c>
      <c r="B261">
        <v>934</v>
      </c>
      <c r="C261" t="s">
        <v>3290</v>
      </c>
    </row>
    <row r="262" spans="1:3" x14ac:dyDescent="0.25">
      <c r="A262" t="s">
        <v>7833</v>
      </c>
      <c r="B262">
        <v>1091</v>
      </c>
      <c r="C262" t="s">
        <v>3795</v>
      </c>
    </row>
    <row r="263" spans="1:3" x14ac:dyDescent="0.25">
      <c r="A263" t="s">
        <v>7833</v>
      </c>
      <c r="B263">
        <v>684</v>
      </c>
      <c r="C263" t="s">
        <v>2467</v>
      </c>
    </row>
    <row r="264" spans="1:3" x14ac:dyDescent="0.25">
      <c r="A264" t="s">
        <v>7833</v>
      </c>
      <c r="B264">
        <v>323</v>
      </c>
      <c r="C264" t="s">
        <v>7921</v>
      </c>
    </row>
    <row r="265" spans="1:3" x14ac:dyDescent="0.25">
      <c r="A265" t="s">
        <v>7833</v>
      </c>
      <c r="B265">
        <v>261</v>
      </c>
      <c r="C265" t="s">
        <v>18</v>
      </c>
    </row>
    <row r="266" spans="1:3" x14ac:dyDescent="0.25">
      <c r="A266" t="s">
        <v>7833</v>
      </c>
      <c r="B266">
        <v>721</v>
      </c>
      <c r="C266" t="s">
        <v>2584</v>
      </c>
    </row>
    <row r="267" spans="1:3" x14ac:dyDescent="0.25">
      <c r="A267" t="s">
        <v>7833</v>
      </c>
      <c r="B267">
        <v>2359</v>
      </c>
      <c r="C267" t="s">
        <v>7922</v>
      </c>
    </row>
    <row r="268" spans="1:3" x14ac:dyDescent="0.25">
      <c r="A268" t="s">
        <v>7833</v>
      </c>
      <c r="B268">
        <v>1091</v>
      </c>
      <c r="C268" t="s">
        <v>7923</v>
      </c>
    </row>
    <row r="269" spans="1:3" x14ac:dyDescent="0.25">
      <c r="A269" t="s">
        <v>7833</v>
      </c>
      <c r="B269">
        <v>1162</v>
      </c>
      <c r="C269" t="s">
        <v>4024</v>
      </c>
    </row>
    <row r="270" spans="1:3" x14ac:dyDescent="0.25">
      <c r="A270" t="s">
        <v>7833</v>
      </c>
      <c r="B270">
        <v>1129</v>
      </c>
      <c r="C270" t="s">
        <v>3918</v>
      </c>
    </row>
    <row r="271" spans="1:3" x14ac:dyDescent="0.25">
      <c r="A271" t="s">
        <v>7833</v>
      </c>
      <c r="B271">
        <v>2477</v>
      </c>
      <c r="C271" t="s">
        <v>7924</v>
      </c>
    </row>
    <row r="272" spans="1:3" x14ac:dyDescent="0.25">
      <c r="A272" t="s">
        <v>7833</v>
      </c>
      <c r="B272">
        <v>2492</v>
      </c>
      <c r="C272" t="s">
        <v>7925</v>
      </c>
    </row>
    <row r="273" spans="1:3" x14ac:dyDescent="0.25">
      <c r="A273" t="s">
        <v>7833</v>
      </c>
      <c r="B273">
        <v>1254</v>
      </c>
      <c r="C273" t="s">
        <v>4328</v>
      </c>
    </row>
    <row r="274" spans="1:3" x14ac:dyDescent="0.25">
      <c r="A274" t="s">
        <v>7833</v>
      </c>
      <c r="B274">
        <v>1020</v>
      </c>
      <c r="C274" t="s">
        <v>3568</v>
      </c>
    </row>
    <row r="275" spans="1:3" x14ac:dyDescent="0.25">
      <c r="A275" t="s">
        <v>7833</v>
      </c>
      <c r="B275">
        <v>1557</v>
      </c>
      <c r="C275" t="s">
        <v>7926</v>
      </c>
    </row>
    <row r="276" spans="1:3" x14ac:dyDescent="0.25">
      <c r="A276" t="s">
        <v>7833</v>
      </c>
      <c r="B276">
        <v>785</v>
      </c>
      <c r="C276" t="s">
        <v>2791</v>
      </c>
    </row>
    <row r="277" spans="1:3" x14ac:dyDescent="0.25">
      <c r="A277" t="s">
        <v>7833</v>
      </c>
      <c r="B277">
        <v>399</v>
      </c>
      <c r="C277" t="s">
        <v>1567</v>
      </c>
    </row>
    <row r="278" spans="1:3" x14ac:dyDescent="0.25">
      <c r="A278" t="s">
        <v>7833</v>
      </c>
      <c r="B278">
        <v>2101</v>
      </c>
      <c r="C278" t="s">
        <v>7086</v>
      </c>
    </row>
    <row r="279" spans="1:3" x14ac:dyDescent="0.25">
      <c r="A279" t="s">
        <v>7833</v>
      </c>
      <c r="B279">
        <v>1857</v>
      </c>
      <c r="C279" t="s">
        <v>6291</v>
      </c>
    </row>
    <row r="280" spans="1:3" x14ac:dyDescent="0.25">
      <c r="A280" t="s">
        <v>7833</v>
      </c>
      <c r="B280">
        <v>1553</v>
      </c>
      <c r="C280" t="s">
        <v>5302</v>
      </c>
    </row>
    <row r="281" spans="1:3" x14ac:dyDescent="0.25">
      <c r="A281" t="s">
        <v>7833</v>
      </c>
      <c r="B281">
        <v>127</v>
      </c>
      <c r="C281" t="s">
        <v>707</v>
      </c>
    </row>
    <row r="282" spans="1:3" x14ac:dyDescent="0.25">
      <c r="A282" t="s">
        <v>7833</v>
      </c>
      <c r="B282">
        <v>332</v>
      </c>
      <c r="C282" t="s">
        <v>1341</v>
      </c>
    </row>
    <row r="283" spans="1:3" x14ac:dyDescent="0.25">
      <c r="A283" t="s">
        <v>7833</v>
      </c>
      <c r="B283">
        <v>1584</v>
      </c>
      <c r="C283" t="s">
        <v>5406</v>
      </c>
    </row>
    <row r="284" spans="1:3" x14ac:dyDescent="0.25">
      <c r="A284" t="s">
        <v>7833</v>
      </c>
      <c r="B284">
        <v>743</v>
      </c>
      <c r="C284" t="s">
        <v>2656</v>
      </c>
    </row>
    <row r="285" spans="1:3" x14ac:dyDescent="0.25">
      <c r="A285" t="s">
        <v>7834</v>
      </c>
      <c r="B285">
        <v>1514</v>
      </c>
      <c r="C285" t="s">
        <v>5173</v>
      </c>
    </row>
    <row r="286" spans="1:3" x14ac:dyDescent="0.25">
      <c r="A286" t="s">
        <v>7834</v>
      </c>
      <c r="B286">
        <v>778</v>
      </c>
      <c r="C286" t="s">
        <v>7927</v>
      </c>
    </row>
    <row r="287" spans="1:3" x14ac:dyDescent="0.25">
      <c r="A287" t="s">
        <v>7834</v>
      </c>
      <c r="B287">
        <v>269</v>
      </c>
      <c r="C287" t="s">
        <v>124</v>
      </c>
    </row>
    <row r="288" spans="1:3" x14ac:dyDescent="0.25">
      <c r="A288" t="s">
        <v>7834</v>
      </c>
      <c r="B288">
        <v>787</v>
      </c>
      <c r="C288" t="s">
        <v>2798</v>
      </c>
    </row>
    <row r="289" spans="1:3" x14ac:dyDescent="0.25">
      <c r="A289" t="s">
        <v>7834</v>
      </c>
      <c r="B289">
        <v>2421</v>
      </c>
      <c r="C289" t="s">
        <v>7928</v>
      </c>
    </row>
    <row r="290" spans="1:3" x14ac:dyDescent="0.25">
      <c r="A290" t="s">
        <v>7834</v>
      </c>
      <c r="B290">
        <v>1579</v>
      </c>
      <c r="C290" t="s">
        <v>5390</v>
      </c>
    </row>
    <row r="291" spans="1:3" x14ac:dyDescent="0.25">
      <c r="A291" t="s">
        <v>7834</v>
      </c>
      <c r="B291">
        <v>70</v>
      </c>
      <c r="C291" t="s">
        <v>88</v>
      </c>
    </row>
    <row r="292" spans="1:3" x14ac:dyDescent="0.25">
      <c r="A292" t="s">
        <v>7834</v>
      </c>
      <c r="B292">
        <v>746</v>
      </c>
      <c r="C292" t="s">
        <v>2664</v>
      </c>
    </row>
    <row r="293" spans="1:3" x14ac:dyDescent="0.25">
      <c r="A293" t="s">
        <v>7834</v>
      </c>
      <c r="B293">
        <v>198</v>
      </c>
      <c r="C293" t="s">
        <v>92</v>
      </c>
    </row>
    <row r="294" spans="1:3" x14ac:dyDescent="0.25">
      <c r="A294" t="s">
        <v>7929</v>
      </c>
      <c r="B294">
        <v>213</v>
      </c>
      <c r="C294" t="s">
        <v>93</v>
      </c>
    </row>
    <row r="295" spans="1:3" x14ac:dyDescent="0.25">
      <c r="A295" t="s">
        <v>7929</v>
      </c>
      <c r="B295">
        <v>5</v>
      </c>
      <c r="C295" t="s">
        <v>97</v>
      </c>
    </row>
    <row r="296" spans="1:3" x14ac:dyDescent="0.25">
      <c r="A296" t="s">
        <v>7929</v>
      </c>
      <c r="B296">
        <v>647</v>
      </c>
      <c r="C296" t="s">
        <v>103</v>
      </c>
    </row>
    <row r="297" spans="1:3" x14ac:dyDescent="0.25">
      <c r="A297" t="s">
        <v>7929</v>
      </c>
      <c r="B297">
        <v>91</v>
      </c>
      <c r="C297" t="s">
        <v>100</v>
      </c>
    </row>
    <row r="298" spans="1:3" x14ac:dyDescent="0.25">
      <c r="A298" t="s">
        <v>7929</v>
      </c>
      <c r="B298">
        <v>322</v>
      </c>
      <c r="C298" t="s">
        <v>94</v>
      </c>
    </row>
    <row r="299" spans="1:3" x14ac:dyDescent="0.25">
      <c r="A299" t="s">
        <v>7929</v>
      </c>
      <c r="B299">
        <v>152</v>
      </c>
      <c r="C299" t="s">
        <v>95</v>
      </c>
    </row>
    <row r="300" spans="1:3" x14ac:dyDescent="0.25">
      <c r="A300" t="s">
        <v>7929</v>
      </c>
      <c r="B300">
        <v>139</v>
      </c>
      <c r="C300" t="s">
        <v>98</v>
      </c>
    </row>
    <row r="301" spans="1:3" x14ac:dyDescent="0.25">
      <c r="A301" t="s">
        <v>7929</v>
      </c>
      <c r="B301">
        <v>300</v>
      </c>
      <c r="C301" t="s">
        <v>96</v>
      </c>
    </row>
    <row r="302" spans="1:3" x14ac:dyDescent="0.25">
      <c r="A302" t="s">
        <v>7929</v>
      </c>
      <c r="B302">
        <v>416</v>
      </c>
      <c r="C302" t="s">
        <v>105</v>
      </c>
    </row>
    <row r="303" spans="1:3" x14ac:dyDescent="0.25">
      <c r="A303" t="s">
        <v>7929</v>
      </c>
      <c r="B303">
        <v>120</v>
      </c>
      <c r="C303" t="s">
        <v>685</v>
      </c>
    </row>
    <row r="304" spans="1:3" x14ac:dyDescent="0.25">
      <c r="A304" t="s">
        <v>7929</v>
      </c>
      <c r="B304">
        <v>740</v>
      </c>
      <c r="C304" t="s">
        <v>7930</v>
      </c>
    </row>
    <row r="305" spans="1:3" x14ac:dyDescent="0.25">
      <c r="A305" t="s">
        <v>7929</v>
      </c>
      <c r="B305">
        <v>256</v>
      </c>
      <c r="C305" t="s">
        <v>214</v>
      </c>
    </row>
    <row r="306" spans="1:3" x14ac:dyDescent="0.25">
      <c r="A306" t="s">
        <v>7929</v>
      </c>
      <c r="B306">
        <v>377</v>
      </c>
      <c r="C306" t="s">
        <v>99</v>
      </c>
    </row>
    <row r="307" spans="1:3" x14ac:dyDescent="0.25">
      <c r="A307" t="s">
        <v>7929</v>
      </c>
      <c r="B307">
        <v>279</v>
      </c>
      <c r="C307" t="s">
        <v>1175</v>
      </c>
    </row>
    <row r="308" spans="1:3" x14ac:dyDescent="0.25">
      <c r="A308" t="s">
        <v>7929</v>
      </c>
      <c r="B308">
        <v>1856</v>
      </c>
      <c r="C308" t="s">
        <v>7931</v>
      </c>
    </row>
    <row r="309" spans="1:3" x14ac:dyDescent="0.25">
      <c r="A309" t="s">
        <v>7929</v>
      </c>
      <c r="B309">
        <v>983</v>
      </c>
      <c r="C309" t="s">
        <v>3449</v>
      </c>
    </row>
    <row r="310" spans="1:3" x14ac:dyDescent="0.25">
      <c r="A310" t="s">
        <v>7929</v>
      </c>
      <c r="B310">
        <v>343</v>
      </c>
      <c r="C310" t="s">
        <v>1376</v>
      </c>
    </row>
    <row r="311" spans="1:3" x14ac:dyDescent="0.25">
      <c r="A311" t="s">
        <v>7929</v>
      </c>
      <c r="B311">
        <v>673</v>
      </c>
      <c r="C311" t="s">
        <v>104</v>
      </c>
    </row>
    <row r="312" spans="1:3" x14ac:dyDescent="0.25">
      <c r="A312" t="s">
        <v>7929</v>
      </c>
      <c r="B312">
        <v>691</v>
      </c>
      <c r="C312" t="s">
        <v>2489</v>
      </c>
    </row>
    <row r="313" spans="1:3" x14ac:dyDescent="0.25">
      <c r="A313" t="s">
        <v>7929</v>
      </c>
      <c r="B313">
        <v>1137</v>
      </c>
      <c r="C313" t="s">
        <v>3946</v>
      </c>
    </row>
    <row r="314" spans="1:3" x14ac:dyDescent="0.25">
      <c r="A314" t="s">
        <v>7929</v>
      </c>
      <c r="B314">
        <v>1035</v>
      </c>
      <c r="C314" t="s">
        <v>3617</v>
      </c>
    </row>
    <row r="315" spans="1:3" x14ac:dyDescent="0.25">
      <c r="A315" t="s">
        <v>7929</v>
      </c>
      <c r="B315">
        <v>2140</v>
      </c>
      <c r="C315" t="s">
        <v>7210</v>
      </c>
    </row>
    <row r="316" spans="1:3" x14ac:dyDescent="0.25">
      <c r="A316" t="s">
        <v>7929</v>
      </c>
      <c r="B316">
        <v>2466</v>
      </c>
      <c r="C316" t="s">
        <v>7932</v>
      </c>
    </row>
    <row r="317" spans="1:3" x14ac:dyDescent="0.25">
      <c r="A317" t="s">
        <v>7929</v>
      </c>
      <c r="B317">
        <v>837</v>
      </c>
      <c r="C317" t="s">
        <v>2963</v>
      </c>
    </row>
    <row r="318" spans="1:3" x14ac:dyDescent="0.25">
      <c r="A318" t="s">
        <v>7929</v>
      </c>
      <c r="B318">
        <v>1626</v>
      </c>
      <c r="C318" t="s">
        <v>7933</v>
      </c>
    </row>
    <row r="319" spans="1:3" x14ac:dyDescent="0.25">
      <c r="A319" t="s">
        <v>7929</v>
      </c>
      <c r="B319">
        <v>1406</v>
      </c>
      <c r="C319" t="s">
        <v>4821</v>
      </c>
    </row>
    <row r="320" spans="1:3" x14ac:dyDescent="0.25">
      <c r="A320" t="s">
        <v>7929</v>
      </c>
      <c r="B320">
        <v>472</v>
      </c>
      <c r="C320" t="s">
        <v>173</v>
      </c>
    </row>
    <row r="321" spans="1:3" x14ac:dyDescent="0.25">
      <c r="A321" t="s">
        <v>7929</v>
      </c>
      <c r="B321">
        <v>1799</v>
      </c>
      <c r="C321" t="s">
        <v>7934</v>
      </c>
    </row>
    <row r="322" spans="1:3" x14ac:dyDescent="0.25">
      <c r="A322" t="s">
        <v>7929</v>
      </c>
      <c r="B322">
        <v>1964</v>
      </c>
      <c r="C322" t="s">
        <v>6636</v>
      </c>
    </row>
    <row r="323" spans="1:3" x14ac:dyDescent="0.25">
      <c r="A323" t="s">
        <v>7929</v>
      </c>
      <c r="B323">
        <v>62</v>
      </c>
      <c r="C323" t="s">
        <v>101</v>
      </c>
    </row>
    <row r="324" spans="1:3" x14ac:dyDescent="0.25">
      <c r="A324" t="s">
        <v>7929</v>
      </c>
      <c r="B324">
        <v>63</v>
      </c>
      <c r="C324" t="s">
        <v>512</v>
      </c>
    </row>
    <row r="325" spans="1:3" x14ac:dyDescent="0.25">
      <c r="A325" t="s">
        <v>7929</v>
      </c>
      <c r="B325">
        <v>1143</v>
      </c>
      <c r="C325" t="s">
        <v>3964</v>
      </c>
    </row>
    <row r="326" spans="1:3" x14ac:dyDescent="0.25">
      <c r="A326" t="s">
        <v>7935</v>
      </c>
      <c r="B326">
        <v>516</v>
      </c>
      <c r="C326" t="s">
        <v>1943</v>
      </c>
    </row>
    <row r="327" spans="1:3" x14ac:dyDescent="0.25">
      <c r="A327" t="s">
        <v>7935</v>
      </c>
      <c r="B327">
        <v>1049</v>
      </c>
      <c r="C327" t="s">
        <v>3662</v>
      </c>
    </row>
    <row r="328" spans="1:3" x14ac:dyDescent="0.25">
      <c r="A328" t="s">
        <v>7935</v>
      </c>
      <c r="B328">
        <v>309</v>
      </c>
      <c r="C328" t="s">
        <v>7936</v>
      </c>
    </row>
    <row r="329" spans="1:3" x14ac:dyDescent="0.25">
      <c r="A329" t="s">
        <v>7935</v>
      </c>
      <c r="B329">
        <v>518</v>
      </c>
      <c r="C329" t="s">
        <v>7838</v>
      </c>
    </row>
    <row r="330" spans="1:3" x14ac:dyDescent="0.25">
      <c r="A330" t="s">
        <v>7935</v>
      </c>
      <c r="B330">
        <v>494</v>
      </c>
      <c r="C330" t="s">
        <v>73</v>
      </c>
    </row>
    <row r="331" spans="1:3" x14ac:dyDescent="0.25">
      <c r="A331" t="s">
        <v>7935</v>
      </c>
      <c r="B331">
        <v>97</v>
      </c>
      <c r="C331" t="s">
        <v>617</v>
      </c>
    </row>
    <row r="332" spans="1:3" x14ac:dyDescent="0.25">
      <c r="A332" t="s">
        <v>7935</v>
      </c>
      <c r="B332">
        <v>877</v>
      </c>
      <c r="C332" t="s">
        <v>3095</v>
      </c>
    </row>
    <row r="333" spans="1:3" x14ac:dyDescent="0.25">
      <c r="A333" t="s">
        <v>7935</v>
      </c>
      <c r="B333">
        <v>64</v>
      </c>
      <c r="C333" t="s">
        <v>516</v>
      </c>
    </row>
    <row r="334" spans="1:3" x14ac:dyDescent="0.25">
      <c r="A334" t="s">
        <v>7935</v>
      </c>
      <c r="B334">
        <v>329</v>
      </c>
      <c r="C334" t="s">
        <v>7937</v>
      </c>
    </row>
    <row r="335" spans="1:3" x14ac:dyDescent="0.25">
      <c r="A335" t="s">
        <v>7935</v>
      </c>
      <c r="B335">
        <v>221</v>
      </c>
      <c r="C335" t="s">
        <v>999</v>
      </c>
    </row>
    <row r="336" spans="1:3" x14ac:dyDescent="0.25">
      <c r="A336" t="s">
        <v>7935</v>
      </c>
      <c r="B336">
        <v>474</v>
      </c>
      <c r="C336" t="s">
        <v>1805</v>
      </c>
    </row>
    <row r="337" spans="1:3" x14ac:dyDescent="0.25">
      <c r="A337" t="s">
        <v>7935</v>
      </c>
      <c r="B337">
        <v>5782</v>
      </c>
      <c r="C337" t="s">
        <v>6465</v>
      </c>
    </row>
    <row r="338" spans="1:3" x14ac:dyDescent="0.25">
      <c r="A338" t="s">
        <v>7935</v>
      </c>
      <c r="B338">
        <v>115</v>
      </c>
      <c r="C338" t="s">
        <v>670</v>
      </c>
    </row>
    <row r="339" spans="1:3" x14ac:dyDescent="0.25">
      <c r="A339" t="s">
        <v>7935</v>
      </c>
      <c r="B339">
        <v>72</v>
      </c>
      <c r="C339" t="s">
        <v>544</v>
      </c>
    </row>
    <row r="340" spans="1:3" x14ac:dyDescent="0.25">
      <c r="A340" t="s">
        <v>7935</v>
      </c>
      <c r="B340">
        <v>1220</v>
      </c>
      <c r="C340" t="s">
        <v>4213</v>
      </c>
    </row>
    <row r="341" spans="1:3" x14ac:dyDescent="0.25">
      <c r="A341" t="s">
        <v>7935</v>
      </c>
      <c r="B341">
        <v>312</v>
      </c>
      <c r="C341" t="s">
        <v>1277</v>
      </c>
    </row>
    <row r="342" spans="1:3" x14ac:dyDescent="0.25">
      <c r="A342" t="s">
        <v>7935</v>
      </c>
      <c r="B342">
        <v>1866</v>
      </c>
      <c r="C342" t="s">
        <v>6322</v>
      </c>
    </row>
    <row r="343" spans="1:3" x14ac:dyDescent="0.25">
      <c r="A343" t="s">
        <v>7935</v>
      </c>
      <c r="B343">
        <v>10</v>
      </c>
      <c r="C343" t="s">
        <v>353</v>
      </c>
    </row>
    <row r="344" spans="1:3" x14ac:dyDescent="0.25">
      <c r="A344" t="s">
        <v>7935</v>
      </c>
      <c r="B344">
        <v>1140</v>
      </c>
      <c r="C344" t="s">
        <v>3955</v>
      </c>
    </row>
    <row r="345" spans="1:3" x14ac:dyDescent="0.25">
      <c r="A345" t="s">
        <v>7935</v>
      </c>
      <c r="B345">
        <v>926</v>
      </c>
      <c r="C345" t="s">
        <v>3263</v>
      </c>
    </row>
    <row r="346" spans="1:3" x14ac:dyDescent="0.25">
      <c r="A346" t="s">
        <v>7935</v>
      </c>
      <c r="B346">
        <v>2218</v>
      </c>
      <c r="C346" t="s">
        <v>7938</v>
      </c>
    </row>
    <row r="347" spans="1:3" x14ac:dyDescent="0.25">
      <c r="A347" t="s">
        <v>7935</v>
      </c>
      <c r="B347">
        <v>1639</v>
      </c>
      <c r="C347" t="s">
        <v>5587</v>
      </c>
    </row>
    <row r="348" spans="1:3" x14ac:dyDescent="0.25">
      <c r="A348" t="s">
        <v>7935</v>
      </c>
      <c r="B348">
        <v>879</v>
      </c>
      <c r="C348" t="s">
        <v>3102</v>
      </c>
    </row>
    <row r="349" spans="1:3" x14ac:dyDescent="0.25">
      <c r="A349" t="s">
        <v>7935</v>
      </c>
      <c r="B349">
        <v>1547</v>
      </c>
      <c r="C349" t="s">
        <v>5283</v>
      </c>
    </row>
    <row r="350" spans="1:3" x14ac:dyDescent="0.25">
      <c r="A350" t="s">
        <v>7935</v>
      </c>
      <c r="B350">
        <v>53</v>
      </c>
      <c r="C350" t="s">
        <v>90</v>
      </c>
    </row>
    <row r="351" spans="1:3" x14ac:dyDescent="0.25">
      <c r="A351" t="s">
        <v>7935</v>
      </c>
      <c r="B351">
        <v>918</v>
      </c>
      <c r="C351" t="s">
        <v>3236</v>
      </c>
    </row>
    <row r="352" spans="1:3" x14ac:dyDescent="0.25">
      <c r="A352" t="s">
        <v>7935</v>
      </c>
      <c r="B352">
        <v>978</v>
      </c>
      <c r="C352" t="s">
        <v>7939</v>
      </c>
    </row>
    <row r="353" spans="1:3" x14ac:dyDescent="0.25">
      <c r="A353" t="s">
        <v>125</v>
      </c>
      <c r="B353">
        <v>55</v>
      </c>
      <c r="C353" t="s">
        <v>102</v>
      </c>
    </row>
    <row r="354" spans="1:3" x14ac:dyDescent="0.25">
      <c r="A354" t="s">
        <v>125</v>
      </c>
      <c r="B354">
        <v>45</v>
      </c>
      <c r="C354" t="s">
        <v>461</v>
      </c>
    </row>
    <row r="355" spans="1:3" x14ac:dyDescent="0.25">
      <c r="A355" t="s">
        <v>125</v>
      </c>
      <c r="B355">
        <v>1871</v>
      </c>
      <c r="C355" t="s">
        <v>6337</v>
      </c>
    </row>
    <row r="356" spans="1:3" x14ac:dyDescent="0.25">
      <c r="A356" t="s">
        <v>125</v>
      </c>
      <c r="B356">
        <v>134</v>
      </c>
      <c r="C356" t="s">
        <v>729</v>
      </c>
    </row>
    <row r="357" spans="1:3" x14ac:dyDescent="0.25">
      <c r="A357" t="s">
        <v>125</v>
      </c>
      <c r="B357">
        <v>846</v>
      </c>
      <c r="C357" t="s">
        <v>2993</v>
      </c>
    </row>
    <row r="358" spans="1:3" x14ac:dyDescent="0.25">
      <c r="A358" t="s">
        <v>125</v>
      </c>
      <c r="B358">
        <v>2439</v>
      </c>
      <c r="C358" t="s">
        <v>7940</v>
      </c>
    </row>
    <row r="359" spans="1:3" x14ac:dyDescent="0.25">
      <c r="A359" t="s">
        <v>125</v>
      </c>
      <c r="B359">
        <v>649</v>
      </c>
      <c r="C359" t="s">
        <v>2355</v>
      </c>
    </row>
    <row r="360" spans="1:3" x14ac:dyDescent="0.25">
      <c r="A360" t="s">
        <v>125</v>
      </c>
      <c r="B360">
        <v>1423</v>
      </c>
      <c r="C360" t="s">
        <v>7941</v>
      </c>
    </row>
    <row r="361" spans="1:3" x14ac:dyDescent="0.25">
      <c r="A361" t="s">
        <v>125</v>
      </c>
      <c r="B361">
        <v>1899</v>
      </c>
      <c r="C361" t="s">
        <v>6428</v>
      </c>
    </row>
    <row r="362" spans="1:3" x14ac:dyDescent="0.25">
      <c r="A362" t="s">
        <v>125</v>
      </c>
      <c r="B362">
        <v>763</v>
      </c>
      <c r="C362" t="s">
        <v>2720</v>
      </c>
    </row>
    <row r="363" spans="1:3" x14ac:dyDescent="0.25">
      <c r="A363" t="s">
        <v>125</v>
      </c>
      <c r="B363">
        <v>678</v>
      </c>
      <c r="C363" t="s">
        <v>2443</v>
      </c>
    </row>
    <row r="364" spans="1:3" x14ac:dyDescent="0.25">
      <c r="A364" t="s">
        <v>125</v>
      </c>
      <c r="B364">
        <v>1921</v>
      </c>
      <c r="C364" t="s">
        <v>6498</v>
      </c>
    </row>
    <row r="365" spans="1:3" x14ac:dyDescent="0.25">
      <c r="A365" t="s">
        <v>125</v>
      </c>
      <c r="B365">
        <v>1029</v>
      </c>
      <c r="C365" t="s">
        <v>3597</v>
      </c>
    </row>
    <row r="366" spans="1:3" x14ac:dyDescent="0.25">
      <c r="A366" t="s">
        <v>125</v>
      </c>
      <c r="B366">
        <v>57</v>
      </c>
      <c r="C366" t="s">
        <v>155</v>
      </c>
    </row>
    <row r="367" spans="1:3" x14ac:dyDescent="0.25">
      <c r="A367" t="s">
        <v>125</v>
      </c>
      <c r="B367">
        <v>56</v>
      </c>
      <c r="C367" t="s">
        <v>152</v>
      </c>
    </row>
    <row r="368" spans="1:3" x14ac:dyDescent="0.25">
      <c r="A368" t="s">
        <v>125</v>
      </c>
      <c r="B368">
        <v>435</v>
      </c>
      <c r="C368" t="s">
        <v>7942</v>
      </c>
    </row>
    <row r="369" spans="1:3" x14ac:dyDescent="0.25">
      <c r="A369" t="s">
        <v>150</v>
      </c>
      <c r="B369">
        <v>252</v>
      </c>
      <c r="C369" t="s">
        <v>151</v>
      </c>
    </row>
    <row r="370" spans="1:3" x14ac:dyDescent="0.25">
      <c r="A370" t="s">
        <v>150</v>
      </c>
      <c r="B370">
        <v>253</v>
      </c>
      <c r="C370" t="s">
        <v>134</v>
      </c>
    </row>
    <row r="371" spans="1:3" x14ac:dyDescent="0.25">
      <c r="A371" t="s">
        <v>150</v>
      </c>
      <c r="B371">
        <v>1288</v>
      </c>
      <c r="C371" t="s">
        <v>4439</v>
      </c>
    </row>
    <row r="372" spans="1:3" x14ac:dyDescent="0.25">
      <c r="A372" t="s">
        <v>150</v>
      </c>
      <c r="B372">
        <v>1851</v>
      </c>
      <c r="C372" t="s">
        <v>6269</v>
      </c>
    </row>
    <row r="373" spans="1:3" x14ac:dyDescent="0.25">
      <c r="A373" t="s">
        <v>150</v>
      </c>
      <c r="B373">
        <v>352</v>
      </c>
      <c r="C373" t="s">
        <v>1407</v>
      </c>
    </row>
    <row r="374" spans="1:3" x14ac:dyDescent="0.25">
      <c r="A374" t="s">
        <v>150</v>
      </c>
      <c r="B374">
        <v>1071</v>
      </c>
      <c r="C374" t="s">
        <v>3733</v>
      </c>
    </row>
    <row r="375" spans="1:3" x14ac:dyDescent="0.25">
      <c r="A375" t="s">
        <v>150</v>
      </c>
      <c r="B375">
        <v>1523</v>
      </c>
      <c r="C375" t="s">
        <v>5204</v>
      </c>
    </row>
    <row r="376" spans="1:3" x14ac:dyDescent="0.25">
      <c r="A376" t="s">
        <v>150</v>
      </c>
      <c r="B376">
        <v>1572</v>
      </c>
      <c r="C376" t="s">
        <v>5366</v>
      </c>
    </row>
    <row r="377" spans="1:3" x14ac:dyDescent="0.25">
      <c r="A377" t="s">
        <v>7835</v>
      </c>
      <c r="B377">
        <v>149</v>
      </c>
      <c r="C377" t="s">
        <v>7943</v>
      </c>
    </row>
    <row r="378" spans="1:3" x14ac:dyDescent="0.25">
      <c r="A378" t="s">
        <v>7835</v>
      </c>
      <c r="B378">
        <v>48</v>
      </c>
      <c r="C378" t="s">
        <v>195</v>
      </c>
    </row>
    <row r="379" spans="1:3" x14ac:dyDescent="0.25">
      <c r="A379" t="s">
        <v>7835</v>
      </c>
      <c r="B379">
        <v>54</v>
      </c>
      <c r="C379" t="s">
        <v>194</v>
      </c>
    </row>
    <row r="380" spans="1:3" x14ac:dyDescent="0.25">
      <c r="A380" t="s">
        <v>7835</v>
      </c>
      <c r="B380">
        <v>59</v>
      </c>
      <c r="C380" t="s">
        <v>501</v>
      </c>
    </row>
    <row r="381" spans="1:3" x14ac:dyDescent="0.25">
      <c r="A381" t="s">
        <v>7835</v>
      </c>
      <c r="B381">
        <v>73</v>
      </c>
      <c r="C381" t="s">
        <v>193</v>
      </c>
    </row>
    <row r="382" spans="1:3" x14ac:dyDescent="0.25">
      <c r="A382" t="s">
        <v>7835</v>
      </c>
      <c r="B382">
        <v>202</v>
      </c>
      <c r="C382" t="s">
        <v>939</v>
      </c>
    </row>
    <row r="383" spans="1:3" x14ac:dyDescent="0.25">
      <c r="A383" t="s">
        <v>7835</v>
      </c>
      <c r="B383">
        <v>66</v>
      </c>
      <c r="C383" t="s">
        <v>522</v>
      </c>
    </row>
    <row r="384" spans="1:3" x14ac:dyDescent="0.25">
      <c r="A384" t="s">
        <v>7835</v>
      </c>
      <c r="B384">
        <v>9</v>
      </c>
      <c r="C384" t="s">
        <v>350</v>
      </c>
    </row>
    <row r="385" spans="1:3" x14ac:dyDescent="0.25">
      <c r="A385" t="s">
        <v>7835</v>
      </c>
      <c r="B385">
        <v>263</v>
      </c>
      <c r="C385" t="s">
        <v>1126</v>
      </c>
    </row>
    <row r="386" spans="1:3" x14ac:dyDescent="0.25">
      <c r="A386" t="s">
        <v>7835</v>
      </c>
      <c r="B386">
        <v>1260</v>
      </c>
      <c r="C386" t="s">
        <v>4349</v>
      </c>
    </row>
    <row r="387" spans="1:3" x14ac:dyDescent="0.25">
      <c r="A387" t="s">
        <v>7835</v>
      </c>
      <c r="B387">
        <v>13</v>
      </c>
      <c r="C387" t="s">
        <v>364</v>
      </c>
    </row>
    <row r="388" spans="1:3" x14ac:dyDescent="0.25">
      <c r="A388" t="s">
        <v>7835</v>
      </c>
      <c r="B388">
        <v>12</v>
      </c>
      <c r="C388" t="s">
        <v>360</v>
      </c>
    </row>
    <row r="389" spans="1:3" x14ac:dyDescent="0.25">
      <c r="A389" t="s">
        <v>7835</v>
      </c>
      <c r="B389">
        <v>50</v>
      </c>
      <c r="C389" t="s">
        <v>476</v>
      </c>
    </row>
    <row r="390" spans="1:3" x14ac:dyDescent="0.25">
      <c r="A390" t="s">
        <v>7835</v>
      </c>
      <c r="B390">
        <v>43</v>
      </c>
      <c r="C390" t="s">
        <v>453</v>
      </c>
    </row>
    <row r="391" spans="1:3" x14ac:dyDescent="0.25">
      <c r="A391" t="s">
        <v>7835</v>
      </c>
      <c r="B391">
        <v>2013</v>
      </c>
      <c r="C391" t="s">
        <v>6797</v>
      </c>
    </row>
    <row r="392" spans="1:3" x14ac:dyDescent="0.25">
      <c r="A392" t="s">
        <v>7835</v>
      </c>
      <c r="B392">
        <v>1041</v>
      </c>
      <c r="C392" t="s">
        <v>3636</v>
      </c>
    </row>
    <row r="393" spans="1:3" x14ac:dyDescent="0.25">
      <c r="A393" t="s">
        <v>7835</v>
      </c>
      <c r="B393">
        <v>6</v>
      </c>
      <c r="C393" t="s">
        <v>341</v>
      </c>
    </row>
    <row r="394" spans="1:3" x14ac:dyDescent="0.25">
      <c r="A394" t="s">
        <v>7835</v>
      </c>
      <c r="B394">
        <v>2028</v>
      </c>
      <c r="C394" t="s">
        <v>6845</v>
      </c>
    </row>
    <row r="395" spans="1:3" x14ac:dyDescent="0.25">
      <c r="A395" t="s">
        <v>7835</v>
      </c>
      <c r="B395">
        <v>136</v>
      </c>
      <c r="C395" t="s">
        <v>63</v>
      </c>
    </row>
    <row r="396" spans="1:3" x14ac:dyDescent="0.25">
      <c r="A396" t="s">
        <v>7835</v>
      </c>
      <c r="B396">
        <v>191</v>
      </c>
      <c r="C396" t="s">
        <v>908</v>
      </c>
    </row>
    <row r="397" spans="1:3" x14ac:dyDescent="0.25">
      <c r="A397" t="s">
        <v>7835</v>
      </c>
      <c r="B397">
        <v>338</v>
      </c>
      <c r="C397" t="s">
        <v>108</v>
      </c>
    </row>
    <row r="398" spans="1:3" x14ac:dyDescent="0.25">
      <c r="A398" t="s">
        <v>61</v>
      </c>
      <c r="B398">
        <v>190</v>
      </c>
      <c r="C398" t="s">
        <v>904</v>
      </c>
    </row>
    <row r="399" spans="1:3" x14ac:dyDescent="0.25">
      <c r="A399" t="s">
        <v>61</v>
      </c>
      <c r="B399">
        <v>268</v>
      </c>
      <c r="C399" t="s">
        <v>62</v>
      </c>
    </row>
    <row r="400" spans="1:3" x14ac:dyDescent="0.25">
      <c r="A400" t="s">
        <v>61</v>
      </c>
      <c r="B400">
        <v>1470</v>
      </c>
      <c r="C400" t="s">
        <v>5029</v>
      </c>
    </row>
    <row r="401" spans="1:3" x14ac:dyDescent="0.25">
      <c r="A401" t="s">
        <v>61</v>
      </c>
      <c r="B401">
        <v>989</v>
      </c>
      <c r="C401" t="s">
        <v>3467</v>
      </c>
    </row>
    <row r="402" spans="1:3" x14ac:dyDescent="0.25">
      <c r="A402" t="s">
        <v>61</v>
      </c>
      <c r="B402">
        <v>371</v>
      </c>
      <c r="C402" t="s">
        <v>1469</v>
      </c>
    </row>
    <row r="403" spans="1:3" x14ac:dyDescent="0.25">
      <c r="A403" t="s">
        <v>61</v>
      </c>
      <c r="B403">
        <v>7</v>
      </c>
      <c r="C403" t="s">
        <v>344</v>
      </c>
    </row>
    <row r="404" spans="1:3" x14ac:dyDescent="0.25">
      <c r="A404" t="s">
        <v>61</v>
      </c>
      <c r="B404">
        <v>67</v>
      </c>
      <c r="C404" t="s">
        <v>526</v>
      </c>
    </row>
    <row r="405" spans="1:3" x14ac:dyDescent="0.25">
      <c r="A405" t="s">
        <v>61</v>
      </c>
      <c r="B405">
        <v>2667</v>
      </c>
      <c r="C405" t="s">
        <v>7944</v>
      </c>
    </row>
    <row r="406" spans="1:3" x14ac:dyDescent="0.25">
      <c r="A406" t="s">
        <v>61</v>
      </c>
      <c r="B406">
        <v>2620</v>
      </c>
      <c r="C406" t="s">
        <v>7945</v>
      </c>
    </row>
    <row r="407" spans="1:3" x14ac:dyDescent="0.25">
      <c r="A407" t="s">
        <v>61</v>
      </c>
      <c r="B407">
        <v>2665</v>
      </c>
      <c r="C407" t="s">
        <v>7946</v>
      </c>
    </row>
    <row r="408" spans="1:3" x14ac:dyDescent="0.25">
      <c r="A408" t="s">
        <v>7836</v>
      </c>
      <c r="B408">
        <v>2635</v>
      </c>
      <c r="C408" t="s">
        <v>7947</v>
      </c>
    </row>
    <row r="409" spans="1:3" x14ac:dyDescent="0.25">
      <c r="A409" t="s">
        <v>7836</v>
      </c>
      <c r="B409">
        <v>2634</v>
      </c>
      <c r="C409" t="s">
        <v>7948</v>
      </c>
    </row>
    <row r="410" spans="1:3" x14ac:dyDescent="0.25">
      <c r="A410" t="s">
        <v>7836</v>
      </c>
      <c r="B410">
        <v>2626</v>
      </c>
      <c r="C410" t="s">
        <v>7949</v>
      </c>
    </row>
    <row r="411" spans="1:3" x14ac:dyDescent="0.25">
      <c r="A411" t="s">
        <v>7836</v>
      </c>
      <c r="B411">
        <v>2629</v>
      </c>
      <c r="C411" t="s">
        <v>7950</v>
      </c>
    </row>
    <row r="412" spans="1:3" x14ac:dyDescent="0.25">
      <c r="A412" t="s">
        <v>7836</v>
      </c>
      <c r="B412">
        <v>2666</v>
      </c>
      <c r="C412" t="s">
        <v>7951</v>
      </c>
    </row>
    <row r="413" spans="1:3" x14ac:dyDescent="0.25">
      <c r="A413" t="s">
        <v>7836</v>
      </c>
      <c r="B413">
        <v>2623</v>
      </c>
      <c r="C413" t="s">
        <v>7952</v>
      </c>
    </row>
    <row r="414" spans="1:3" x14ac:dyDescent="0.25">
      <c r="A414" t="s">
        <v>7836</v>
      </c>
      <c r="B414">
        <v>2632</v>
      </c>
      <c r="C414" t="s">
        <v>7953</v>
      </c>
    </row>
    <row r="415" spans="1:3" x14ac:dyDescent="0.25">
      <c r="A415" t="s">
        <v>7836</v>
      </c>
      <c r="B415">
        <v>2621</v>
      </c>
      <c r="C415" t="s">
        <v>7954</v>
      </c>
    </row>
    <row r="416" spans="1:3" x14ac:dyDescent="0.25">
      <c r="A416" t="s">
        <v>7836</v>
      </c>
      <c r="B416">
        <v>2637</v>
      </c>
      <c r="C416" t="s">
        <v>7955</v>
      </c>
    </row>
    <row r="417" spans="1:3" x14ac:dyDescent="0.25">
      <c r="A417" t="s">
        <v>7836</v>
      </c>
      <c r="B417">
        <v>2636</v>
      </c>
      <c r="C417" t="s">
        <v>7956</v>
      </c>
    </row>
    <row r="418" spans="1:3" x14ac:dyDescent="0.25">
      <c r="A418" t="s">
        <v>7836</v>
      </c>
      <c r="B418">
        <v>2622</v>
      </c>
      <c r="C418" t="s">
        <v>7957</v>
      </c>
    </row>
    <row r="419" spans="1:3" x14ac:dyDescent="0.25">
      <c r="A419" t="s">
        <v>7836</v>
      </c>
      <c r="B419">
        <v>2627</v>
      </c>
      <c r="C419" t="s">
        <v>7958</v>
      </c>
    </row>
    <row r="420" spans="1:3" x14ac:dyDescent="0.25">
      <c r="A420" t="s">
        <v>7836</v>
      </c>
      <c r="B420">
        <v>2676</v>
      </c>
      <c r="C420" t="s">
        <v>7959</v>
      </c>
    </row>
    <row r="421" spans="1:3" x14ac:dyDescent="0.25">
      <c r="A421" t="s">
        <v>7836</v>
      </c>
      <c r="B421">
        <v>2628</v>
      </c>
      <c r="C421" t="s">
        <v>7960</v>
      </c>
    </row>
    <row r="422" spans="1:3" x14ac:dyDescent="0.25">
      <c r="A422" t="s">
        <v>7836</v>
      </c>
      <c r="B422">
        <v>2633</v>
      </c>
      <c r="C422" t="s">
        <v>7961</v>
      </c>
    </row>
    <row r="423" spans="1:3" x14ac:dyDescent="0.25">
      <c r="A423" t="s">
        <v>7836</v>
      </c>
      <c r="B423">
        <v>2675</v>
      </c>
      <c r="C423" t="s">
        <v>7962</v>
      </c>
    </row>
    <row r="424" spans="1:3" x14ac:dyDescent="0.25">
      <c r="A424" t="s">
        <v>7836</v>
      </c>
      <c r="B424">
        <v>2700</v>
      </c>
      <c r="C424" t="s">
        <v>7963</v>
      </c>
    </row>
    <row r="425" spans="1:3" x14ac:dyDescent="0.25">
      <c r="A425" t="s">
        <v>7836</v>
      </c>
      <c r="B425">
        <v>2677</v>
      </c>
      <c r="C425" t="s">
        <v>7964</v>
      </c>
    </row>
    <row r="426" spans="1:3" x14ac:dyDescent="0.25">
      <c r="A426" t="s">
        <v>7836</v>
      </c>
      <c r="B426">
        <v>2625</v>
      </c>
      <c r="C426" t="s">
        <v>7965</v>
      </c>
    </row>
    <row r="427" spans="1:3" x14ac:dyDescent="0.25">
      <c r="A427" t="s">
        <v>7836</v>
      </c>
      <c r="B427">
        <v>2619</v>
      </c>
      <c r="C427" t="s">
        <v>7966</v>
      </c>
    </row>
    <row r="428" spans="1:3" x14ac:dyDescent="0.25">
      <c r="A428" t="s">
        <v>7836</v>
      </c>
      <c r="B428">
        <v>2631</v>
      </c>
      <c r="C428" t="s">
        <v>7967</v>
      </c>
    </row>
    <row r="429" spans="1:3" x14ac:dyDescent="0.25">
      <c r="A429" t="s">
        <v>7836</v>
      </c>
      <c r="B429">
        <v>2618</v>
      </c>
      <c r="C429" t="s">
        <v>7968</v>
      </c>
    </row>
    <row r="430" spans="1:3" x14ac:dyDescent="0.25">
      <c r="A430" t="s">
        <v>7836</v>
      </c>
      <c r="B430">
        <v>2693</v>
      </c>
      <c r="C430" t="s">
        <v>7969</v>
      </c>
    </row>
    <row r="431" spans="1:3" x14ac:dyDescent="0.25">
      <c r="A431" t="s">
        <v>7836</v>
      </c>
      <c r="B431">
        <v>2694</v>
      </c>
      <c r="C431" t="s">
        <v>7970</v>
      </c>
    </row>
    <row r="432" spans="1:3" x14ac:dyDescent="0.25">
      <c r="A432" t="s">
        <v>7836</v>
      </c>
      <c r="B432">
        <v>2695</v>
      </c>
      <c r="C432" t="s">
        <v>7971</v>
      </c>
    </row>
    <row r="433" spans="1:3" x14ac:dyDescent="0.25">
      <c r="A433" t="s">
        <v>7836</v>
      </c>
      <c r="B433">
        <v>2648</v>
      </c>
      <c r="C433" t="s">
        <v>7972</v>
      </c>
    </row>
    <row r="434" spans="1:3" x14ac:dyDescent="0.25">
      <c r="A434" t="s">
        <v>7836</v>
      </c>
      <c r="B434">
        <v>2649</v>
      </c>
      <c r="C434" t="s">
        <v>7973</v>
      </c>
    </row>
  </sheetData>
  <autoFilter ref="A1:C434" xr:uid="{24C42FE5-8E89-4880-BADA-EB24CD15898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D20DB-C9C7-4AED-8F0F-6225A9095BF2}">
  <sheetPr codeName="Sheet10"/>
  <dimension ref="A1:B148"/>
  <sheetViews>
    <sheetView workbookViewId="0">
      <selection sqref="A1:A1048576"/>
    </sheetView>
  </sheetViews>
  <sheetFormatPr defaultColWidth="8.85546875" defaultRowHeight="15" x14ac:dyDescent="0.25"/>
  <cols>
    <col min="1" max="1" width="9.140625" style="14"/>
    <col min="2" max="2" width="53.85546875" bestFit="1" customWidth="1"/>
  </cols>
  <sheetData>
    <row r="1" spans="1:2" x14ac:dyDescent="0.25">
      <c r="A1" s="14">
        <f>_xlfn.XLOOKUP(B1,'All Questions'!B:B,'All Questions'!A:A)</f>
        <v>1</v>
      </c>
      <c r="B1" t="s">
        <v>180</v>
      </c>
    </row>
    <row r="2" spans="1:2" x14ac:dyDescent="0.25">
      <c r="A2" s="14">
        <f>_xlfn.XLOOKUP(B2,'All Questions'!B:B,'All Questions'!A:A)</f>
        <v>10</v>
      </c>
      <c r="B2" t="s">
        <v>353</v>
      </c>
    </row>
    <row r="3" spans="1:2" x14ac:dyDescent="0.25">
      <c r="A3" s="14">
        <f>_xlfn.XLOOKUP(B3,'All Questions'!B:B,'All Questions'!A:A)</f>
        <v>101</v>
      </c>
      <c r="B3" t="s">
        <v>629</v>
      </c>
    </row>
    <row r="4" spans="1:2" x14ac:dyDescent="0.25">
      <c r="A4" s="14">
        <f>_xlfn.XLOOKUP(B4,'All Questions'!B:B,'All Questions'!A:A)</f>
        <v>102</v>
      </c>
      <c r="B4" t="s">
        <v>23</v>
      </c>
    </row>
    <row r="5" spans="1:2" x14ac:dyDescent="0.25">
      <c r="A5" s="14">
        <f>_xlfn.XLOOKUP(B5,'All Questions'!B:B,'All Questions'!A:A)</f>
        <v>103</v>
      </c>
      <c r="B5" t="s">
        <v>24</v>
      </c>
    </row>
    <row r="6" spans="1:2" x14ac:dyDescent="0.25">
      <c r="A6" s="14">
        <f>_xlfn.XLOOKUP(B6,'All Questions'!B:B,'All Questions'!A:A)</f>
        <v>104</v>
      </c>
      <c r="B6" t="s">
        <v>69</v>
      </c>
    </row>
    <row r="7" spans="1:2" x14ac:dyDescent="0.25">
      <c r="A7" s="14">
        <f>_xlfn.XLOOKUP(B7,'All Questions'!B:B,'All Questions'!A:A)</f>
        <v>105</v>
      </c>
      <c r="B7" t="s">
        <v>80</v>
      </c>
    </row>
    <row r="8" spans="1:2" x14ac:dyDescent="0.25">
      <c r="A8" s="14">
        <f>_xlfn.XLOOKUP(B8,'All Questions'!B:B,'All Questions'!A:A)</f>
        <v>108</v>
      </c>
      <c r="B8" t="s">
        <v>647</v>
      </c>
    </row>
    <row r="9" spans="1:2" x14ac:dyDescent="0.25">
      <c r="A9" s="14">
        <f>_xlfn.XLOOKUP(B9,'All Questions'!B:B,'All Questions'!A:A)</f>
        <v>11</v>
      </c>
      <c r="B9" t="s">
        <v>187</v>
      </c>
    </row>
    <row r="10" spans="1:2" x14ac:dyDescent="0.25">
      <c r="A10" s="14">
        <f>_xlfn.XLOOKUP(B10,'All Questions'!B:B,'All Questions'!A:A)</f>
        <v>116</v>
      </c>
      <c r="B10" t="s">
        <v>25</v>
      </c>
    </row>
    <row r="11" spans="1:2" x14ac:dyDescent="0.25">
      <c r="A11" s="14">
        <f>_xlfn.XLOOKUP(B11,'All Questions'!B:B,'All Questions'!A:A)</f>
        <v>118</v>
      </c>
      <c r="B11" t="s">
        <v>678</v>
      </c>
    </row>
    <row r="12" spans="1:2" x14ac:dyDescent="0.25">
      <c r="A12" s="14">
        <f>_xlfn.XLOOKUP(B12,'All Questions'!B:B,'All Questions'!A:A)</f>
        <v>121</v>
      </c>
      <c r="B12" t="s">
        <v>89</v>
      </c>
    </row>
    <row r="13" spans="1:2" x14ac:dyDescent="0.25">
      <c r="A13" s="14">
        <f>_xlfn.XLOOKUP(B13,'All Questions'!B:B,'All Questions'!A:A)</f>
        <v>122</v>
      </c>
      <c r="B13" t="s">
        <v>690</v>
      </c>
    </row>
    <row r="14" spans="1:2" x14ac:dyDescent="0.25">
      <c r="A14" s="14">
        <f>_xlfn.XLOOKUP(B14,'All Questions'!B:B,'All Questions'!A:A)</f>
        <v>124</v>
      </c>
      <c r="B14" t="s">
        <v>82</v>
      </c>
    </row>
    <row r="15" spans="1:2" x14ac:dyDescent="0.25">
      <c r="A15" s="14">
        <f>_xlfn.XLOOKUP(B15,'All Questions'!B:B,'All Questions'!A:A)</f>
        <v>125</v>
      </c>
      <c r="B15" t="s">
        <v>699</v>
      </c>
    </row>
    <row r="16" spans="1:2" x14ac:dyDescent="0.25">
      <c r="A16" s="14">
        <f>_xlfn.XLOOKUP(B16,'All Questions'!B:B,'All Questions'!A:A)</f>
        <v>127</v>
      </c>
      <c r="B16" t="s">
        <v>707</v>
      </c>
    </row>
    <row r="17" spans="1:2" x14ac:dyDescent="0.25">
      <c r="A17" s="14">
        <f>_xlfn.XLOOKUP(B17,'All Questions'!B:B,'All Questions'!A:A)</f>
        <v>128</v>
      </c>
      <c r="B17" t="s">
        <v>197</v>
      </c>
    </row>
    <row r="18" spans="1:2" x14ac:dyDescent="0.25">
      <c r="A18" s="14">
        <f>_xlfn.XLOOKUP(B18,'All Questions'!B:B,'All Questions'!A:A)</f>
        <v>13</v>
      </c>
      <c r="B18" t="s">
        <v>364</v>
      </c>
    </row>
    <row r="19" spans="1:2" x14ac:dyDescent="0.25">
      <c r="A19" s="14">
        <f>_xlfn.XLOOKUP(B19,'All Questions'!B:B,'All Questions'!A:A)</f>
        <v>130</v>
      </c>
      <c r="B19" t="s">
        <v>717</v>
      </c>
    </row>
    <row r="20" spans="1:2" x14ac:dyDescent="0.25">
      <c r="A20" s="14">
        <f>_xlfn.XLOOKUP(B20,'All Questions'!B:B,'All Questions'!A:A)</f>
        <v>131</v>
      </c>
      <c r="B20" t="s">
        <v>41</v>
      </c>
    </row>
    <row r="21" spans="1:2" x14ac:dyDescent="0.25">
      <c r="A21" s="14">
        <f>_xlfn.XLOOKUP(B21,'All Questions'!B:B,'All Questions'!A:A)</f>
        <v>134</v>
      </c>
      <c r="B21" t="s">
        <v>729</v>
      </c>
    </row>
    <row r="22" spans="1:2" x14ac:dyDescent="0.25">
      <c r="A22" s="14">
        <f>_xlfn.XLOOKUP(B22,'All Questions'!B:B,'All Questions'!A:A)</f>
        <v>136</v>
      </c>
      <c r="B22" t="s">
        <v>63</v>
      </c>
    </row>
    <row r="23" spans="1:2" x14ac:dyDescent="0.25">
      <c r="A23" s="14">
        <f>_xlfn.XLOOKUP(B23,'All Questions'!B:B,'All Questions'!A:A)</f>
        <v>138</v>
      </c>
      <c r="B23" t="s">
        <v>742</v>
      </c>
    </row>
    <row r="24" spans="1:2" x14ac:dyDescent="0.25">
      <c r="A24" s="14">
        <f>_xlfn.XLOOKUP(B24,'All Questions'!B:B,'All Questions'!A:A)</f>
        <v>139</v>
      </c>
      <c r="B24" t="s">
        <v>98</v>
      </c>
    </row>
    <row r="25" spans="1:2" x14ac:dyDescent="0.25">
      <c r="A25" s="14">
        <f>_xlfn.XLOOKUP(B25,'All Questions'!B:B,'All Questions'!A:A)</f>
        <v>14</v>
      </c>
      <c r="B25" t="s">
        <v>367</v>
      </c>
    </row>
    <row r="26" spans="1:2" x14ac:dyDescent="0.25">
      <c r="A26" s="14">
        <f>_xlfn.XLOOKUP(B26,'All Questions'!B:B,'All Questions'!A:A)</f>
        <v>140</v>
      </c>
      <c r="B26" t="s">
        <v>749</v>
      </c>
    </row>
    <row r="27" spans="1:2" x14ac:dyDescent="0.25">
      <c r="A27" s="14">
        <f>_xlfn.XLOOKUP(B27,'All Questions'!B:B,'All Questions'!A:A)</f>
        <v>141</v>
      </c>
      <c r="B27" t="s">
        <v>111</v>
      </c>
    </row>
    <row r="28" spans="1:2" x14ac:dyDescent="0.25">
      <c r="A28" s="14">
        <f>_xlfn.XLOOKUP(B28,'All Questions'!B:B,'All Questions'!A:A)</f>
        <v>146</v>
      </c>
      <c r="B28" t="s">
        <v>767</v>
      </c>
    </row>
    <row r="29" spans="1:2" x14ac:dyDescent="0.25">
      <c r="A29" s="14">
        <f>_xlfn.XLOOKUP(B29,'All Questions'!B:B,'All Questions'!A:A)</f>
        <v>148</v>
      </c>
      <c r="B29" t="s">
        <v>119</v>
      </c>
    </row>
    <row r="30" spans="1:2" x14ac:dyDescent="0.25">
      <c r="A30" s="14">
        <f>_xlfn.XLOOKUP(B30,'All Questions'!B:B,'All Questions'!A:A)</f>
        <v>149</v>
      </c>
      <c r="B30" t="s">
        <v>778</v>
      </c>
    </row>
    <row r="31" spans="1:2" x14ac:dyDescent="0.25">
      <c r="A31" s="14">
        <f>_xlfn.XLOOKUP(B31,'All Questions'!B:B,'All Questions'!A:A)</f>
        <v>15</v>
      </c>
      <c r="B31" t="s">
        <v>305</v>
      </c>
    </row>
    <row r="32" spans="1:2" x14ac:dyDescent="0.25">
      <c r="A32" s="14">
        <f>_xlfn.XLOOKUP(B32,'All Questions'!B:B,'All Questions'!A:A)</f>
        <v>150</v>
      </c>
      <c r="B32" t="s">
        <v>782</v>
      </c>
    </row>
    <row r="33" spans="1:2" x14ac:dyDescent="0.25">
      <c r="A33" s="14">
        <f>_xlfn.XLOOKUP(B33,'All Questions'!B:B,'All Questions'!A:A)</f>
        <v>152</v>
      </c>
      <c r="B33" t="s">
        <v>95</v>
      </c>
    </row>
    <row r="34" spans="1:2" x14ac:dyDescent="0.25">
      <c r="A34" s="14">
        <f>_xlfn.XLOOKUP(B34,'All Questions'!B:B,'All Questions'!A:A)</f>
        <v>155</v>
      </c>
      <c r="B34" t="s">
        <v>796</v>
      </c>
    </row>
    <row r="35" spans="1:2" x14ac:dyDescent="0.25">
      <c r="A35" s="14">
        <f>_xlfn.XLOOKUP(B35,'All Questions'!B:B,'All Questions'!A:A)</f>
        <v>160</v>
      </c>
      <c r="B35" t="s">
        <v>810</v>
      </c>
    </row>
    <row r="36" spans="1:2" x14ac:dyDescent="0.25">
      <c r="A36" s="14">
        <f>_xlfn.XLOOKUP(B36,'All Questions'!B:B,'All Questions'!A:A)</f>
        <v>162</v>
      </c>
      <c r="B36" t="s">
        <v>53</v>
      </c>
    </row>
    <row r="37" spans="1:2" x14ac:dyDescent="0.25">
      <c r="A37" s="14">
        <f>_xlfn.XLOOKUP(B37,'All Questions'!B:B,'All Questions'!A:A)</f>
        <v>163</v>
      </c>
      <c r="B37" t="s">
        <v>202</v>
      </c>
    </row>
    <row r="38" spans="1:2" x14ac:dyDescent="0.25">
      <c r="A38" s="14">
        <f>_xlfn.XLOOKUP(B38,'All Questions'!B:B,'All Questions'!A:A)</f>
        <v>166</v>
      </c>
      <c r="B38" t="s">
        <v>826</v>
      </c>
    </row>
    <row r="39" spans="1:2" x14ac:dyDescent="0.25">
      <c r="A39" s="14">
        <f>_xlfn.XLOOKUP(B39,'All Questions'!B:B,'All Questions'!A:A)</f>
        <v>169</v>
      </c>
      <c r="B39" t="s">
        <v>168</v>
      </c>
    </row>
    <row r="40" spans="1:2" x14ac:dyDescent="0.25">
      <c r="A40" s="14">
        <f>_xlfn.XLOOKUP(B40,'All Questions'!B:B,'All Questions'!A:A)</f>
        <v>17</v>
      </c>
      <c r="B40" t="s">
        <v>302</v>
      </c>
    </row>
    <row r="41" spans="1:2" x14ac:dyDescent="0.25">
      <c r="A41" s="14">
        <f>_xlfn.XLOOKUP(B41,'All Questions'!B:B,'All Questions'!A:A)</f>
        <v>171</v>
      </c>
      <c r="B41" t="s">
        <v>843</v>
      </c>
    </row>
    <row r="42" spans="1:2" x14ac:dyDescent="0.25">
      <c r="A42" s="14">
        <f>_xlfn.XLOOKUP(B42,'All Questions'!B:B,'All Questions'!A:A)</f>
        <v>172</v>
      </c>
      <c r="B42" t="s">
        <v>846</v>
      </c>
    </row>
    <row r="43" spans="1:2" x14ac:dyDescent="0.25">
      <c r="A43" s="14">
        <f>_xlfn.XLOOKUP(B43,'All Questions'!B:B,'All Questions'!A:A)</f>
        <v>179</v>
      </c>
      <c r="B43" t="s">
        <v>869</v>
      </c>
    </row>
    <row r="44" spans="1:2" x14ac:dyDescent="0.25">
      <c r="A44" s="14">
        <f>_xlfn.XLOOKUP(B44,'All Questions'!B:B,'All Questions'!A:A)</f>
        <v>189</v>
      </c>
      <c r="B44" t="s">
        <v>900</v>
      </c>
    </row>
    <row r="45" spans="1:2" x14ac:dyDescent="0.25">
      <c r="A45" s="14">
        <f>_xlfn.XLOOKUP(B45,'All Questions'!B:B,'All Questions'!A:A)</f>
        <v>19</v>
      </c>
      <c r="B45" t="s">
        <v>303</v>
      </c>
    </row>
    <row r="46" spans="1:2" x14ac:dyDescent="0.25">
      <c r="A46" s="14">
        <f>_xlfn.XLOOKUP(B46,'All Questions'!B:B,'All Questions'!A:A)</f>
        <v>190</v>
      </c>
      <c r="B46" t="s">
        <v>904</v>
      </c>
    </row>
    <row r="47" spans="1:2" x14ac:dyDescent="0.25">
      <c r="A47" s="14">
        <f>_xlfn.XLOOKUP(B47,'All Questions'!B:B,'All Questions'!A:A)</f>
        <v>191</v>
      </c>
      <c r="B47" t="s">
        <v>908</v>
      </c>
    </row>
    <row r="48" spans="1:2" x14ac:dyDescent="0.25">
      <c r="A48" s="14">
        <f>_xlfn.XLOOKUP(B48,'All Questions'!B:B,'All Questions'!A:A)</f>
        <v>198</v>
      </c>
      <c r="B48" t="s">
        <v>92</v>
      </c>
    </row>
    <row r="49" spans="1:2" x14ac:dyDescent="0.25">
      <c r="A49" s="14">
        <f>_xlfn.XLOOKUP(B49,'All Questions'!B:B,'All Questions'!A:A)</f>
        <v>2</v>
      </c>
      <c r="B49" t="s">
        <v>117</v>
      </c>
    </row>
    <row r="50" spans="1:2" x14ac:dyDescent="0.25">
      <c r="A50" s="14">
        <f>_xlfn.XLOOKUP(B50,'All Questions'!B:B,'All Questions'!A:A)</f>
        <v>20</v>
      </c>
      <c r="B50" t="s">
        <v>384</v>
      </c>
    </row>
    <row r="51" spans="1:2" x14ac:dyDescent="0.25">
      <c r="A51" s="14">
        <f>_xlfn.XLOOKUP(B51,'All Questions'!B:B,'All Questions'!A:A)</f>
        <v>200</v>
      </c>
      <c r="B51" t="s">
        <v>17</v>
      </c>
    </row>
    <row r="52" spans="1:2" x14ac:dyDescent="0.25">
      <c r="A52" s="14">
        <f>_xlfn.XLOOKUP(B52,'All Questions'!B:B,'All Questions'!A:A)</f>
        <v>202</v>
      </c>
      <c r="B52" t="s">
        <v>939</v>
      </c>
    </row>
    <row r="53" spans="1:2" x14ac:dyDescent="0.25">
      <c r="A53" s="14">
        <f>_xlfn.XLOOKUP(B53,'All Questions'!B:B,'All Questions'!A:A)</f>
        <v>204</v>
      </c>
      <c r="B53" t="s">
        <v>945</v>
      </c>
    </row>
    <row r="54" spans="1:2" x14ac:dyDescent="0.25">
      <c r="A54" s="14">
        <f>_xlfn.XLOOKUP(B54,'All Questions'!B:B,'All Questions'!A:A)</f>
        <v>206</v>
      </c>
      <c r="B54" t="s">
        <v>144</v>
      </c>
    </row>
    <row r="55" spans="1:2" x14ac:dyDescent="0.25">
      <c r="A55" s="14">
        <f>_xlfn.XLOOKUP(B55,'All Questions'!B:B,'All Questions'!A:A)</f>
        <v>207</v>
      </c>
      <c r="B55" t="s">
        <v>20</v>
      </c>
    </row>
    <row r="56" spans="1:2" x14ac:dyDescent="0.25">
      <c r="A56" s="14">
        <f>_xlfn.XLOOKUP(B56,'All Questions'!B:B,'All Questions'!A:A)</f>
        <v>208</v>
      </c>
      <c r="B56" t="s">
        <v>86</v>
      </c>
    </row>
    <row r="57" spans="1:2" x14ac:dyDescent="0.25">
      <c r="A57" s="14">
        <f>_xlfn.XLOOKUP(B57,'All Questions'!B:B,'All Questions'!A:A)</f>
        <v>21</v>
      </c>
      <c r="B57" t="s">
        <v>179</v>
      </c>
    </row>
    <row r="58" spans="1:2" x14ac:dyDescent="0.25">
      <c r="A58" s="14">
        <f>_xlfn.XLOOKUP(B58,'All Questions'!B:B,'All Questions'!A:A)</f>
        <v>210</v>
      </c>
      <c r="B58" t="s">
        <v>122</v>
      </c>
    </row>
    <row r="59" spans="1:2" x14ac:dyDescent="0.25">
      <c r="A59" s="14">
        <f>_xlfn.XLOOKUP(B59,'All Questions'!B:B,'All Questions'!A:A)</f>
        <v>212</v>
      </c>
      <c r="B59" t="s">
        <v>83</v>
      </c>
    </row>
    <row r="60" spans="1:2" x14ac:dyDescent="0.25">
      <c r="A60" s="14">
        <f>_xlfn.XLOOKUP(B60,'All Questions'!B:B,'All Questions'!A:A)</f>
        <v>215</v>
      </c>
      <c r="B60" t="s">
        <v>138</v>
      </c>
    </row>
    <row r="61" spans="1:2" x14ac:dyDescent="0.25">
      <c r="A61" s="14">
        <f>_xlfn.XLOOKUP(B61,'All Questions'!B:B,'All Questions'!A:A)</f>
        <v>217</v>
      </c>
      <c r="B61" t="s">
        <v>190</v>
      </c>
    </row>
    <row r="62" spans="1:2" x14ac:dyDescent="0.25">
      <c r="A62" s="14">
        <f>_xlfn.XLOOKUP(B62,'All Questions'!B:B,'All Questions'!A:A)</f>
        <v>218</v>
      </c>
      <c r="B62" t="s">
        <v>987</v>
      </c>
    </row>
    <row r="63" spans="1:2" x14ac:dyDescent="0.25">
      <c r="A63" s="14">
        <f>_xlfn.XLOOKUP(B63,'All Questions'!B:B,'All Questions'!A:A)</f>
        <v>22</v>
      </c>
      <c r="B63" t="s">
        <v>40</v>
      </c>
    </row>
    <row r="64" spans="1:2" x14ac:dyDescent="0.25">
      <c r="A64" s="14">
        <f>_xlfn.XLOOKUP(B64,'All Questions'!B:B,'All Questions'!A:A)</f>
        <v>227</v>
      </c>
      <c r="B64" t="s">
        <v>1020</v>
      </c>
    </row>
    <row r="65" spans="1:2" x14ac:dyDescent="0.25">
      <c r="A65" s="14">
        <f>_xlfn.XLOOKUP(B65,'All Questions'!B:B,'All Questions'!A:A)</f>
        <v>23</v>
      </c>
      <c r="B65" t="s">
        <v>139</v>
      </c>
    </row>
    <row r="66" spans="1:2" x14ac:dyDescent="0.25">
      <c r="A66" s="14">
        <f>_xlfn.XLOOKUP(B66,'All Questions'!B:B,'All Questions'!A:A)</f>
        <v>230</v>
      </c>
      <c r="B66" t="s">
        <v>74</v>
      </c>
    </row>
    <row r="67" spans="1:2" x14ac:dyDescent="0.25">
      <c r="A67" s="14">
        <f>_xlfn.XLOOKUP(B67,'All Questions'!B:B,'All Questions'!A:A)</f>
        <v>234</v>
      </c>
      <c r="B67" t="s">
        <v>113</v>
      </c>
    </row>
    <row r="68" spans="1:2" x14ac:dyDescent="0.25">
      <c r="A68" s="14">
        <f>_xlfn.XLOOKUP(B68,'All Questions'!B:B,'All Questions'!A:A)</f>
        <v>236</v>
      </c>
      <c r="B68" t="s">
        <v>77</v>
      </c>
    </row>
    <row r="69" spans="1:2" x14ac:dyDescent="0.25">
      <c r="A69" s="14">
        <f>_xlfn.XLOOKUP(B69,'All Questions'!B:B,'All Questions'!A:A)</f>
        <v>237</v>
      </c>
      <c r="B69" t="s">
        <v>1050</v>
      </c>
    </row>
    <row r="70" spans="1:2" x14ac:dyDescent="0.25">
      <c r="A70" s="14">
        <f>_xlfn.XLOOKUP(B70,'All Questions'!B:B,'All Questions'!A:A)</f>
        <v>238</v>
      </c>
      <c r="B70" t="s">
        <v>16</v>
      </c>
    </row>
    <row r="71" spans="1:2" x14ac:dyDescent="0.25">
      <c r="A71" s="14">
        <f>_xlfn.XLOOKUP(B71,'All Questions'!B:B,'All Questions'!A:A)</f>
        <v>239</v>
      </c>
      <c r="B71" t="s">
        <v>162</v>
      </c>
    </row>
    <row r="72" spans="1:2" x14ac:dyDescent="0.25">
      <c r="A72" s="14">
        <f>_xlfn.XLOOKUP(B72,'All Questions'!B:B,'All Questions'!A:A)</f>
        <v>240</v>
      </c>
      <c r="B72" t="s">
        <v>57</v>
      </c>
    </row>
    <row r="73" spans="1:2" x14ac:dyDescent="0.25">
      <c r="A73" s="14">
        <f>_xlfn.XLOOKUP(B73,'All Questions'!B:B,'All Questions'!A:A)</f>
        <v>242</v>
      </c>
      <c r="B73" t="s">
        <v>1066</v>
      </c>
    </row>
    <row r="74" spans="1:2" x14ac:dyDescent="0.25">
      <c r="A74" s="14">
        <f>_xlfn.XLOOKUP(B74,'All Questions'!B:B,'All Questions'!A:A)</f>
        <v>251</v>
      </c>
      <c r="B74" t="s">
        <v>211</v>
      </c>
    </row>
    <row r="75" spans="1:2" x14ac:dyDescent="0.25">
      <c r="A75" s="14">
        <f>_xlfn.XLOOKUP(B75,'All Questions'!B:B,'All Questions'!A:A)</f>
        <v>253</v>
      </c>
      <c r="B75" t="s">
        <v>134</v>
      </c>
    </row>
    <row r="76" spans="1:2" x14ac:dyDescent="0.25">
      <c r="A76" s="14">
        <f>_xlfn.XLOOKUP(B76,'All Questions'!B:B,'All Questions'!A:A)</f>
        <v>26</v>
      </c>
      <c r="B76" t="s">
        <v>401</v>
      </c>
    </row>
    <row r="77" spans="1:2" x14ac:dyDescent="0.25">
      <c r="A77" s="14">
        <f>_xlfn.XLOOKUP(B77,'All Questions'!B:B,'All Questions'!A:A)</f>
        <v>268</v>
      </c>
      <c r="B77" t="s">
        <v>62</v>
      </c>
    </row>
    <row r="78" spans="1:2" x14ac:dyDescent="0.25">
      <c r="A78" s="14">
        <f>_xlfn.XLOOKUP(B78,'All Questions'!B:B,'All Questions'!A:A)</f>
        <v>269</v>
      </c>
      <c r="B78" t="s">
        <v>124</v>
      </c>
    </row>
    <row r="79" spans="1:2" x14ac:dyDescent="0.25">
      <c r="A79" s="14">
        <f>_xlfn.XLOOKUP(B79,'All Questions'!B:B,'All Questions'!A:A)</f>
        <v>277</v>
      </c>
      <c r="B79" t="s">
        <v>223</v>
      </c>
    </row>
    <row r="80" spans="1:2" x14ac:dyDescent="0.25">
      <c r="A80" s="14">
        <f>_xlfn.XLOOKUP(B80,'All Questions'!B:B,'All Questions'!A:A)</f>
        <v>279</v>
      </c>
      <c r="B80" t="s">
        <v>1175</v>
      </c>
    </row>
    <row r="81" spans="1:2" x14ac:dyDescent="0.25">
      <c r="A81" s="14">
        <f>_xlfn.XLOOKUP(B81,'All Questions'!B:B,'All Questions'!A:A)</f>
        <v>28</v>
      </c>
      <c r="B81" t="s">
        <v>7842</v>
      </c>
    </row>
    <row r="82" spans="1:2" x14ac:dyDescent="0.25">
      <c r="A82" s="14">
        <f>_xlfn.XLOOKUP(B82,'All Questions'!B:B,'All Questions'!A:A)</f>
        <v>283</v>
      </c>
      <c r="B82" t="s">
        <v>297</v>
      </c>
    </row>
    <row r="83" spans="1:2" x14ac:dyDescent="0.25">
      <c r="A83" s="14">
        <f>_xlfn.XLOOKUP(B83,'All Questions'!B:B,'All Questions'!A:A)</f>
        <v>285</v>
      </c>
      <c r="B83" t="s">
        <v>226</v>
      </c>
    </row>
    <row r="84" spans="1:2" x14ac:dyDescent="0.25">
      <c r="A84" s="14">
        <f>_xlfn.XLOOKUP(B84,'All Questions'!B:B,'All Questions'!A:A)</f>
        <v>287</v>
      </c>
      <c r="B84" t="s">
        <v>50</v>
      </c>
    </row>
    <row r="85" spans="1:2" x14ac:dyDescent="0.25">
      <c r="A85" s="14">
        <f>_xlfn.XLOOKUP(B85,'All Questions'!B:B,'All Questions'!A:A)</f>
        <v>289</v>
      </c>
      <c r="B85" t="s">
        <v>1207</v>
      </c>
    </row>
    <row r="86" spans="1:2" x14ac:dyDescent="0.25">
      <c r="A86" s="14">
        <f>_xlfn.XLOOKUP(B86,'All Questions'!B:B,'All Questions'!A:A)</f>
        <v>29</v>
      </c>
      <c r="B86" t="s">
        <v>411</v>
      </c>
    </row>
    <row r="87" spans="1:2" x14ac:dyDescent="0.25">
      <c r="A87" s="14">
        <f>_xlfn.XLOOKUP(B87,'All Questions'!B:B,'All Questions'!A:A)</f>
        <v>295</v>
      </c>
      <c r="B87" t="s">
        <v>141</v>
      </c>
    </row>
    <row r="88" spans="1:2" x14ac:dyDescent="0.25">
      <c r="A88" s="14">
        <f>_xlfn.XLOOKUP(B88,'All Questions'!B:B,'All Questions'!A:A)</f>
        <v>297</v>
      </c>
      <c r="B88" t="s">
        <v>87</v>
      </c>
    </row>
    <row r="89" spans="1:2" x14ac:dyDescent="0.25">
      <c r="A89" s="14">
        <f>_xlfn.XLOOKUP(B89,'All Questions'!B:B,'All Questions'!A:A)</f>
        <v>3</v>
      </c>
      <c r="B89" t="s">
        <v>161</v>
      </c>
    </row>
    <row r="90" spans="1:2" x14ac:dyDescent="0.25">
      <c r="A90" s="14">
        <f>_xlfn.XLOOKUP(B90,'All Questions'!B:B,'All Questions'!A:A)</f>
        <v>300</v>
      </c>
      <c r="B90" t="s">
        <v>96</v>
      </c>
    </row>
    <row r="91" spans="1:2" x14ac:dyDescent="0.25">
      <c r="A91" s="14">
        <f>_xlfn.XLOOKUP(B91,'All Questions'!B:B,'All Questions'!A:A)</f>
        <v>308</v>
      </c>
      <c r="B91" t="s">
        <v>233</v>
      </c>
    </row>
    <row r="92" spans="1:2" x14ac:dyDescent="0.25">
      <c r="A92" s="14">
        <f>_xlfn.XLOOKUP(B92,'All Questions'!B:B,'All Questions'!A:A)</f>
        <v>315</v>
      </c>
      <c r="B92" t="s">
        <v>1287</v>
      </c>
    </row>
    <row r="93" spans="1:2" x14ac:dyDescent="0.25">
      <c r="A93" s="14">
        <f>_xlfn.XLOOKUP(B93,'All Questions'!B:B,'All Questions'!A:A)</f>
        <v>322</v>
      </c>
      <c r="B93" t="s">
        <v>94</v>
      </c>
    </row>
    <row r="94" spans="1:2" x14ac:dyDescent="0.25">
      <c r="A94" s="14">
        <f>_xlfn.XLOOKUP(B94,'All Questions'!B:B,'All Questions'!A:A)</f>
        <v>324</v>
      </c>
      <c r="B94" t="s">
        <v>1317</v>
      </c>
    </row>
    <row r="95" spans="1:2" x14ac:dyDescent="0.25">
      <c r="A95" s="14">
        <f>_xlfn.XLOOKUP(B95,'All Questions'!B:B,'All Questions'!A:A)</f>
        <v>326</v>
      </c>
      <c r="B95" t="s">
        <v>1323</v>
      </c>
    </row>
    <row r="96" spans="1:2" x14ac:dyDescent="0.25">
      <c r="A96" s="14">
        <f>_xlfn.XLOOKUP(B96,'All Questions'!B:B,'All Questions'!A:A)</f>
        <v>328</v>
      </c>
      <c r="B96" t="s">
        <v>148</v>
      </c>
    </row>
    <row r="97" spans="1:2" x14ac:dyDescent="0.25">
      <c r="A97" s="14">
        <f>_xlfn.XLOOKUP(B97,'All Questions'!B:B,'All Questions'!A:A)</f>
        <v>329</v>
      </c>
      <c r="B97" t="s">
        <v>1330</v>
      </c>
    </row>
    <row r="98" spans="1:2" x14ac:dyDescent="0.25">
      <c r="A98" s="14">
        <f>_xlfn.XLOOKUP(B98,'All Questions'!B:B,'All Questions'!A:A)</f>
        <v>33</v>
      </c>
      <c r="B98" t="s">
        <v>54</v>
      </c>
    </row>
    <row r="99" spans="1:2" x14ac:dyDescent="0.25">
      <c r="A99" s="14">
        <f>_xlfn.XLOOKUP(B99,'All Questions'!B:B,'All Questions'!A:A)</f>
        <v>334</v>
      </c>
      <c r="B99" t="s">
        <v>1348</v>
      </c>
    </row>
    <row r="100" spans="1:2" x14ac:dyDescent="0.25">
      <c r="A100" s="14">
        <f>_xlfn.XLOOKUP(B100,'All Questions'!B:B,'All Questions'!A:A)</f>
        <v>34</v>
      </c>
      <c r="B100" t="s">
        <v>427</v>
      </c>
    </row>
    <row r="101" spans="1:2" x14ac:dyDescent="0.25">
      <c r="A101" s="14">
        <f>_xlfn.XLOOKUP(B101,'All Questions'!B:B,'All Questions'!A:A)</f>
        <v>340</v>
      </c>
      <c r="B101" t="s">
        <v>240</v>
      </c>
    </row>
    <row r="102" spans="1:2" x14ac:dyDescent="0.25">
      <c r="A102" s="14">
        <f>_xlfn.XLOOKUP(B102,'All Questions'!B:B,'All Questions'!A:A)</f>
        <v>341</v>
      </c>
      <c r="B102" t="s">
        <v>1369</v>
      </c>
    </row>
    <row r="103" spans="1:2" x14ac:dyDescent="0.25">
      <c r="A103" s="14">
        <f>_xlfn.XLOOKUP(B103,'All Questions'!B:B,'All Questions'!A:A)</f>
        <v>344</v>
      </c>
      <c r="B103" t="s">
        <v>1380</v>
      </c>
    </row>
    <row r="104" spans="1:2" x14ac:dyDescent="0.25">
      <c r="A104" s="14">
        <f>_xlfn.XLOOKUP(B104,'All Questions'!B:B,'All Questions'!A:A)</f>
        <v>347</v>
      </c>
      <c r="B104" t="s">
        <v>136</v>
      </c>
    </row>
    <row r="105" spans="1:2" x14ac:dyDescent="0.25">
      <c r="A105" s="14">
        <f>_xlfn.XLOOKUP(B105,'All Questions'!B:B,'All Questions'!A:A)</f>
        <v>348</v>
      </c>
      <c r="B105" t="s">
        <v>242</v>
      </c>
    </row>
    <row r="106" spans="1:2" x14ac:dyDescent="0.25">
      <c r="A106" s="14">
        <f>_xlfn.XLOOKUP(B106,'All Questions'!B:B,'All Questions'!A:A)</f>
        <v>350</v>
      </c>
      <c r="B106" t="s">
        <v>1400</v>
      </c>
    </row>
    <row r="107" spans="1:2" x14ac:dyDescent="0.25">
      <c r="A107" s="14">
        <f>_xlfn.XLOOKUP(B107,'All Questions'!B:B,'All Questions'!A:A)</f>
        <v>36</v>
      </c>
      <c r="B107" t="s">
        <v>433</v>
      </c>
    </row>
    <row r="108" spans="1:2" x14ac:dyDescent="0.25">
      <c r="A108" s="14">
        <f>_xlfn.XLOOKUP(B108,'All Questions'!B:B,'All Questions'!A:A)</f>
        <v>371</v>
      </c>
      <c r="B108" t="s">
        <v>1469</v>
      </c>
    </row>
    <row r="109" spans="1:2" x14ac:dyDescent="0.25">
      <c r="A109" s="14">
        <f>_xlfn.XLOOKUP(B109,'All Questions'!B:B,'All Questions'!A:A)</f>
        <v>378</v>
      </c>
      <c r="B109" t="s">
        <v>51</v>
      </c>
    </row>
    <row r="110" spans="1:2" x14ac:dyDescent="0.25">
      <c r="A110" s="14">
        <f>_xlfn.XLOOKUP(B110,'All Questions'!B:B,'All Questions'!A:A)</f>
        <v>38</v>
      </c>
      <c r="B110" t="s">
        <v>440</v>
      </c>
    </row>
    <row r="111" spans="1:2" x14ac:dyDescent="0.25">
      <c r="A111" s="14">
        <f>_xlfn.XLOOKUP(B111,'All Questions'!B:B,'All Questions'!A:A)</f>
        <v>380</v>
      </c>
      <c r="B111" t="s">
        <v>1498</v>
      </c>
    </row>
    <row r="112" spans="1:2" x14ac:dyDescent="0.25">
      <c r="A112" s="14">
        <f>_xlfn.XLOOKUP(B112,'All Questions'!B:B,'All Questions'!A:A)</f>
        <v>384</v>
      </c>
      <c r="B112" t="s">
        <v>1512</v>
      </c>
    </row>
    <row r="113" spans="1:2" x14ac:dyDescent="0.25">
      <c r="A113" s="14">
        <f>_xlfn.XLOOKUP(B113,'All Questions'!B:B,'All Questions'!A:A)</f>
        <v>387</v>
      </c>
      <c r="B113" t="s">
        <v>1524</v>
      </c>
    </row>
    <row r="114" spans="1:2" x14ac:dyDescent="0.25">
      <c r="A114" s="14">
        <f>_xlfn.XLOOKUP(B114,'All Questions'!B:B,'All Questions'!A:A)</f>
        <v>395</v>
      </c>
      <c r="B114" t="s">
        <v>1552</v>
      </c>
    </row>
    <row r="115" spans="1:2" x14ac:dyDescent="0.25">
      <c r="A115" s="14">
        <f>_xlfn.XLOOKUP(B115,'All Questions'!B:B,'All Questions'!A:A)</f>
        <v>4</v>
      </c>
      <c r="B115" t="s">
        <v>60</v>
      </c>
    </row>
    <row r="116" spans="1:2" x14ac:dyDescent="0.25">
      <c r="A116" s="14">
        <f>_xlfn.XLOOKUP(B116,'All Questions'!B:B,'All Questions'!A:A)</f>
        <v>41</v>
      </c>
      <c r="B116" t="s">
        <v>196</v>
      </c>
    </row>
    <row r="117" spans="1:2" x14ac:dyDescent="0.25">
      <c r="A117" s="14">
        <f>_xlfn.XLOOKUP(B117,'All Questions'!B:B,'All Questions'!A:A)</f>
        <v>412</v>
      </c>
      <c r="B117" t="s">
        <v>1612</v>
      </c>
    </row>
    <row r="118" spans="1:2" x14ac:dyDescent="0.25">
      <c r="A118" s="14">
        <f>_xlfn.XLOOKUP(B118,'All Questions'!B:B,'All Questions'!A:A)</f>
        <v>42</v>
      </c>
      <c r="B118" t="s">
        <v>188</v>
      </c>
    </row>
    <row r="119" spans="1:2" x14ac:dyDescent="0.25">
      <c r="A119" s="14">
        <f>_xlfn.XLOOKUP(B119,'All Questions'!B:B,'All Questions'!A:A)</f>
        <v>44</v>
      </c>
      <c r="B119" t="s">
        <v>457</v>
      </c>
    </row>
    <row r="120" spans="1:2" x14ac:dyDescent="0.25">
      <c r="A120" s="14">
        <f>_xlfn.XLOOKUP(B120,'All Questions'!B:B,'All Questions'!A:A)</f>
        <v>454</v>
      </c>
      <c r="B120" t="s">
        <v>1740</v>
      </c>
    </row>
    <row r="121" spans="1:2" x14ac:dyDescent="0.25">
      <c r="A121" s="14">
        <f>_xlfn.XLOOKUP(B121,'All Questions'!B:B,'All Questions'!A:A)</f>
        <v>46</v>
      </c>
      <c r="B121" t="s">
        <v>35</v>
      </c>
    </row>
    <row r="122" spans="1:2" x14ac:dyDescent="0.25">
      <c r="A122" s="14">
        <f>_xlfn.XLOOKUP(B122,'All Questions'!B:B,'All Questions'!A:A)</f>
        <v>48</v>
      </c>
      <c r="B122" t="s">
        <v>195</v>
      </c>
    </row>
    <row r="123" spans="1:2" x14ac:dyDescent="0.25">
      <c r="A123" s="14">
        <f>_xlfn.XLOOKUP(B123,'All Questions'!B:B,'All Questions'!A:A)</f>
        <v>49</v>
      </c>
      <c r="B123" t="s">
        <v>472</v>
      </c>
    </row>
    <row r="124" spans="1:2" x14ac:dyDescent="0.25">
      <c r="A124" s="14">
        <f>_xlfn.XLOOKUP(B124,'All Questions'!B:B,'All Questions'!A:A)</f>
        <v>5</v>
      </c>
      <c r="B124" t="s">
        <v>97</v>
      </c>
    </row>
    <row r="125" spans="1:2" x14ac:dyDescent="0.25">
      <c r="A125" s="14">
        <f>_xlfn.XLOOKUP(B125,'All Questions'!B:B,'All Questions'!A:A)</f>
        <v>50</v>
      </c>
      <c r="B125" t="s">
        <v>476</v>
      </c>
    </row>
    <row r="126" spans="1:2" x14ac:dyDescent="0.25">
      <c r="A126" s="14">
        <f>_xlfn.XLOOKUP(B126,'All Questions'!B:B,'All Questions'!A:A)</f>
        <v>53</v>
      </c>
      <c r="B126" t="s">
        <v>90</v>
      </c>
    </row>
    <row r="127" spans="1:2" x14ac:dyDescent="0.25">
      <c r="A127" s="14">
        <f>_xlfn.XLOOKUP(B127,'All Questions'!B:B,'All Questions'!A:A)</f>
        <v>54</v>
      </c>
      <c r="B127" t="s">
        <v>194</v>
      </c>
    </row>
    <row r="128" spans="1:2" x14ac:dyDescent="0.25">
      <c r="A128" s="14">
        <f>_xlfn.XLOOKUP(B128,'All Questions'!B:B,'All Questions'!A:A)</f>
        <v>55</v>
      </c>
      <c r="B128" t="s">
        <v>102</v>
      </c>
    </row>
    <row r="129" spans="1:2" x14ac:dyDescent="0.25">
      <c r="A129" s="14">
        <f>_xlfn.XLOOKUP(B129,'All Questions'!B:B,'All Questions'!A:A)</f>
        <v>56</v>
      </c>
      <c r="B129" t="s">
        <v>152</v>
      </c>
    </row>
    <row r="130" spans="1:2" x14ac:dyDescent="0.25">
      <c r="A130" s="14">
        <f>_xlfn.XLOOKUP(B130,'All Questions'!B:B,'All Questions'!A:A)</f>
        <v>62</v>
      </c>
      <c r="B130" t="s">
        <v>101</v>
      </c>
    </row>
    <row r="131" spans="1:2" x14ac:dyDescent="0.25">
      <c r="A131" s="14">
        <f>_xlfn.XLOOKUP(B131,'All Questions'!B:B,'All Questions'!A:A)</f>
        <v>66</v>
      </c>
      <c r="B131" t="s">
        <v>522</v>
      </c>
    </row>
    <row r="132" spans="1:2" x14ac:dyDescent="0.25">
      <c r="A132" s="14">
        <f>_xlfn.XLOOKUP(B132,'All Questions'!B:B,'All Questions'!A:A)</f>
        <v>69</v>
      </c>
      <c r="B132" t="s">
        <v>534</v>
      </c>
    </row>
    <row r="133" spans="1:2" x14ac:dyDescent="0.25">
      <c r="A133" s="14">
        <f>_xlfn.XLOOKUP(B133,'All Questions'!B:B,'All Questions'!A:A)</f>
        <v>7</v>
      </c>
      <c r="B133" t="s">
        <v>344</v>
      </c>
    </row>
    <row r="134" spans="1:2" x14ac:dyDescent="0.25">
      <c r="A134" s="14">
        <f>_xlfn.XLOOKUP(B134,'All Questions'!B:B,'All Questions'!A:A)</f>
        <v>70</v>
      </c>
      <c r="B134" t="s">
        <v>88</v>
      </c>
    </row>
    <row r="135" spans="1:2" x14ac:dyDescent="0.25">
      <c r="A135" s="14">
        <f>_xlfn.XLOOKUP(B135,'All Questions'!B:B,'All Questions'!A:A)</f>
        <v>73</v>
      </c>
      <c r="B135" t="s">
        <v>193</v>
      </c>
    </row>
    <row r="136" spans="1:2" x14ac:dyDescent="0.25">
      <c r="A136" s="14">
        <f>_xlfn.XLOOKUP(B136,'All Questions'!B:B,'All Questions'!A:A)</f>
        <v>75</v>
      </c>
      <c r="B136" t="s">
        <v>308</v>
      </c>
    </row>
    <row r="137" spans="1:2" x14ac:dyDescent="0.25">
      <c r="A137" s="14">
        <f>_xlfn.XLOOKUP(B137,'All Questions'!B:B,'All Questions'!A:A)</f>
        <v>76</v>
      </c>
      <c r="B137" t="s">
        <v>165</v>
      </c>
    </row>
    <row r="138" spans="1:2" x14ac:dyDescent="0.25">
      <c r="A138" s="14">
        <f>_xlfn.XLOOKUP(B138,'All Questions'!B:B,'All Questions'!A:A)</f>
        <v>78</v>
      </c>
      <c r="B138" t="s">
        <v>33</v>
      </c>
    </row>
    <row r="139" spans="1:2" x14ac:dyDescent="0.25">
      <c r="A139" s="14">
        <f>_xlfn.XLOOKUP(B139,'All Questions'!B:B,'All Questions'!A:A)</f>
        <v>79</v>
      </c>
      <c r="B139" t="s">
        <v>31</v>
      </c>
    </row>
    <row r="140" spans="1:2" x14ac:dyDescent="0.25">
      <c r="A140" s="14">
        <f>_xlfn.XLOOKUP(B140,'All Questions'!B:B,'All Questions'!A:A)</f>
        <v>8</v>
      </c>
      <c r="B140" t="s">
        <v>347</v>
      </c>
    </row>
    <row r="141" spans="1:2" x14ac:dyDescent="0.25">
      <c r="A141" s="14">
        <f>_xlfn.XLOOKUP(B141,'All Questions'!B:B,'All Questions'!A:A)</f>
        <v>84</v>
      </c>
      <c r="B141" t="s">
        <v>574</v>
      </c>
    </row>
    <row r="142" spans="1:2" x14ac:dyDescent="0.25">
      <c r="A142" s="14">
        <f>_xlfn.XLOOKUP(B142,'All Questions'!B:B,'All Questions'!A:A)</f>
        <v>844</v>
      </c>
      <c r="B142" t="s">
        <v>182</v>
      </c>
    </row>
    <row r="143" spans="1:2" x14ac:dyDescent="0.25">
      <c r="A143" s="14">
        <f>_xlfn.XLOOKUP(B143,'All Questions'!B:B,'All Questions'!A:A)</f>
        <v>88</v>
      </c>
      <c r="B143" t="s">
        <v>588</v>
      </c>
    </row>
    <row r="144" spans="1:2" x14ac:dyDescent="0.25">
      <c r="A144" s="14">
        <f>_xlfn.XLOOKUP(B144,'All Questions'!B:B,'All Questions'!A:A)</f>
        <v>91</v>
      </c>
      <c r="B144" t="s">
        <v>100</v>
      </c>
    </row>
    <row r="145" spans="1:2" x14ac:dyDescent="0.25">
      <c r="A145" s="14">
        <f>_xlfn.XLOOKUP(B145,'All Questions'!B:B,'All Questions'!A:A)</f>
        <v>94</v>
      </c>
      <c r="B145" t="s">
        <v>605</v>
      </c>
    </row>
    <row r="146" spans="1:2" x14ac:dyDescent="0.25">
      <c r="A146" s="14">
        <f>_xlfn.XLOOKUP(B146,'All Questions'!B:B,'All Questions'!A:A)</f>
        <v>98</v>
      </c>
      <c r="B146" t="s">
        <v>81</v>
      </c>
    </row>
    <row r="147" spans="1:2" x14ac:dyDescent="0.25">
      <c r="A147" s="13"/>
    </row>
    <row r="148" spans="1:2" x14ac:dyDescent="0.25">
      <c r="A148" s="1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430F-E698-4C6D-8327-6BCA37C24E61}">
  <sheetPr codeName="Sheet11"/>
  <dimension ref="A1:B101"/>
  <sheetViews>
    <sheetView workbookViewId="0">
      <selection sqref="A1:XFD1"/>
    </sheetView>
  </sheetViews>
  <sheetFormatPr defaultColWidth="8.85546875" defaultRowHeight="15" x14ac:dyDescent="0.25"/>
  <cols>
    <col min="1" max="1" width="53.85546875" bestFit="1" customWidth="1"/>
  </cols>
  <sheetData>
    <row r="1" spans="1:2" x14ac:dyDescent="0.25">
      <c r="A1" t="s">
        <v>666</v>
      </c>
      <c r="B1" t="e">
        <v>#N/A</v>
      </c>
    </row>
    <row r="2" spans="1:2" x14ac:dyDescent="0.25">
      <c r="A2" t="s">
        <v>116</v>
      </c>
      <c r="B2" t="e">
        <v>#N/A</v>
      </c>
    </row>
    <row r="3" spans="1:2" x14ac:dyDescent="0.25">
      <c r="A3" t="s">
        <v>430</v>
      </c>
      <c r="B3" t="e">
        <v>#N/A</v>
      </c>
    </row>
    <row r="4" spans="1:2" x14ac:dyDescent="0.25">
      <c r="A4" t="s">
        <v>516</v>
      </c>
      <c r="B4" t="e">
        <v>#N/A</v>
      </c>
    </row>
    <row r="5" spans="1:2" x14ac:dyDescent="0.25">
      <c r="A5" t="s">
        <v>605</v>
      </c>
      <c r="B5">
        <v>258</v>
      </c>
    </row>
    <row r="6" spans="1:2" x14ac:dyDescent="0.25">
      <c r="A6" t="s">
        <v>427</v>
      </c>
      <c r="B6">
        <v>242</v>
      </c>
    </row>
    <row r="7" spans="1:2" x14ac:dyDescent="0.25">
      <c r="A7" t="s">
        <v>57</v>
      </c>
      <c r="B7">
        <v>229</v>
      </c>
    </row>
    <row r="8" spans="1:2" x14ac:dyDescent="0.25">
      <c r="A8" t="s">
        <v>810</v>
      </c>
      <c r="B8">
        <v>220</v>
      </c>
    </row>
    <row r="9" spans="1:2" x14ac:dyDescent="0.25">
      <c r="A9" t="s">
        <v>678</v>
      </c>
      <c r="B9">
        <v>216</v>
      </c>
    </row>
    <row r="10" spans="1:2" x14ac:dyDescent="0.25">
      <c r="A10" t="s">
        <v>182</v>
      </c>
      <c r="B10">
        <v>207</v>
      </c>
    </row>
    <row r="11" spans="1:2" x14ac:dyDescent="0.25">
      <c r="A11" t="s">
        <v>2086</v>
      </c>
      <c r="B11">
        <v>196</v>
      </c>
    </row>
    <row r="12" spans="1:2" x14ac:dyDescent="0.25">
      <c r="A12" t="s">
        <v>1693</v>
      </c>
      <c r="B12">
        <v>192</v>
      </c>
    </row>
    <row r="13" spans="1:2" x14ac:dyDescent="0.25">
      <c r="A13" t="s">
        <v>1548</v>
      </c>
      <c r="B13">
        <v>189</v>
      </c>
    </row>
    <row r="14" spans="1:2" x14ac:dyDescent="0.25">
      <c r="A14" t="s">
        <v>297</v>
      </c>
      <c r="B14">
        <v>180</v>
      </c>
    </row>
    <row r="15" spans="1:2" x14ac:dyDescent="0.25">
      <c r="A15" t="s">
        <v>77</v>
      </c>
      <c r="B15">
        <v>178</v>
      </c>
    </row>
    <row r="16" spans="1:2" x14ac:dyDescent="0.25">
      <c r="A16" t="s">
        <v>113</v>
      </c>
      <c r="B16">
        <v>177</v>
      </c>
    </row>
    <row r="17" spans="1:2" x14ac:dyDescent="0.25">
      <c r="A17" t="s">
        <v>900</v>
      </c>
      <c r="B17">
        <v>172</v>
      </c>
    </row>
    <row r="18" spans="1:2" x14ac:dyDescent="0.25">
      <c r="A18" t="s">
        <v>168</v>
      </c>
      <c r="B18">
        <v>170</v>
      </c>
    </row>
    <row r="19" spans="1:2" x14ac:dyDescent="0.25">
      <c r="A19" t="s">
        <v>119</v>
      </c>
      <c r="B19">
        <v>169</v>
      </c>
    </row>
    <row r="20" spans="1:2" x14ac:dyDescent="0.25">
      <c r="A20" t="s">
        <v>629</v>
      </c>
      <c r="B20">
        <v>165</v>
      </c>
    </row>
    <row r="21" spans="1:2" x14ac:dyDescent="0.25">
      <c r="A21" t="s">
        <v>308</v>
      </c>
      <c r="B21">
        <v>164</v>
      </c>
    </row>
    <row r="22" spans="1:2" x14ac:dyDescent="0.25">
      <c r="A22" t="s">
        <v>196</v>
      </c>
      <c r="B22">
        <v>161</v>
      </c>
    </row>
    <row r="23" spans="1:2" x14ac:dyDescent="0.25">
      <c r="A23" t="s">
        <v>420</v>
      </c>
      <c r="B23">
        <v>159</v>
      </c>
    </row>
    <row r="24" spans="1:2" x14ac:dyDescent="0.25">
      <c r="A24" t="s">
        <v>417</v>
      </c>
      <c r="B24">
        <v>158</v>
      </c>
    </row>
    <row r="25" spans="1:2" x14ac:dyDescent="0.25">
      <c r="A25" t="s">
        <v>147</v>
      </c>
      <c r="B25">
        <v>157</v>
      </c>
    </row>
    <row r="26" spans="1:2" x14ac:dyDescent="0.25">
      <c r="A26" t="s">
        <v>367</v>
      </c>
      <c r="B26">
        <v>155</v>
      </c>
    </row>
    <row r="27" spans="1:2" x14ac:dyDescent="0.25">
      <c r="A27" t="s">
        <v>364</v>
      </c>
      <c r="B27">
        <v>154</v>
      </c>
    </row>
    <row r="28" spans="1:2" x14ac:dyDescent="0.25">
      <c r="A28" t="s">
        <v>3964</v>
      </c>
      <c r="B28">
        <v>146</v>
      </c>
    </row>
    <row r="29" spans="1:2" x14ac:dyDescent="0.25">
      <c r="A29" t="s">
        <v>3484</v>
      </c>
      <c r="B29">
        <v>144</v>
      </c>
    </row>
    <row r="30" spans="1:2" x14ac:dyDescent="0.25">
      <c r="A30" t="s">
        <v>47</v>
      </c>
      <c r="B30">
        <v>136</v>
      </c>
    </row>
    <row r="31" spans="1:2" x14ac:dyDescent="0.25">
      <c r="A31" t="s">
        <v>2643</v>
      </c>
      <c r="B31">
        <v>131</v>
      </c>
    </row>
    <row r="32" spans="1:2" x14ac:dyDescent="0.25">
      <c r="A32" t="s">
        <v>159</v>
      </c>
      <c r="B32">
        <v>124</v>
      </c>
    </row>
    <row r="33" spans="1:2" x14ac:dyDescent="0.25">
      <c r="A33" t="s">
        <v>68</v>
      </c>
      <c r="B33">
        <v>123</v>
      </c>
    </row>
    <row r="34" spans="1:2" x14ac:dyDescent="0.25">
      <c r="A34" t="s">
        <v>105</v>
      </c>
      <c r="B34">
        <v>117</v>
      </c>
    </row>
    <row r="35" spans="1:2" x14ac:dyDescent="0.25">
      <c r="A35" t="s">
        <v>136</v>
      </c>
      <c r="B35">
        <v>114</v>
      </c>
    </row>
    <row r="36" spans="1:2" x14ac:dyDescent="0.25">
      <c r="A36" t="s">
        <v>94</v>
      </c>
      <c r="B36">
        <v>109</v>
      </c>
    </row>
    <row r="37" spans="1:2" x14ac:dyDescent="0.25">
      <c r="A37" t="s">
        <v>96</v>
      </c>
      <c r="B37">
        <v>106</v>
      </c>
    </row>
    <row r="38" spans="1:2" x14ac:dyDescent="0.25">
      <c r="A38" t="s">
        <v>141</v>
      </c>
      <c r="B38">
        <v>104</v>
      </c>
    </row>
    <row r="39" spans="1:2" x14ac:dyDescent="0.25">
      <c r="A39" t="s">
        <v>50</v>
      </c>
      <c r="B39">
        <v>103</v>
      </c>
    </row>
    <row r="40" spans="1:2" x14ac:dyDescent="0.25">
      <c r="A40" t="s">
        <v>162</v>
      </c>
      <c r="B40">
        <v>94</v>
      </c>
    </row>
    <row r="41" spans="1:2" x14ac:dyDescent="0.25">
      <c r="A41" t="s">
        <v>16</v>
      </c>
      <c r="B41">
        <v>93</v>
      </c>
    </row>
    <row r="42" spans="1:2" x14ac:dyDescent="0.25">
      <c r="A42" t="s">
        <v>74</v>
      </c>
      <c r="B42">
        <v>91</v>
      </c>
    </row>
    <row r="43" spans="1:2" x14ac:dyDescent="0.25">
      <c r="A43" t="s">
        <v>72</v>
      </c>
      <c r="B43">
        <v>90</v>
      </c>
    </row>
    <row r="44" spans="1:2" x14ac:dyDescent="0.25">
      <c r="A44" t="s">
        <v>138</v>
      </c>
      <c r="B44">
        <v>88</v>
      </c>
    </row>
    <row r="45" spans="1:2" x14ac:dyDescent="0.25">
      <c r="A45" t="s">
        <v>86</v>
      </c>
      <c r="B45">
        <v>83</v>
      </c>
    </row>
    <row r="46" spans="1:2" x14ac:dyDescent="0.25">
      <c r="A46" t="s">
        <v>20</v>
      </c>
      <c r="B46">
        <v>82</v>
      </c>
    </row>
    <row r="47" spans="1:2" x14ac:dyDescent="0.25">
      <c r="A47" t="s">
        <v>144</v>
      </c>
      <c r="B47">
        <v>81</v>
      </c>
    </row>
    <row r="48" spans="1:2" x14ac:dyDescent="0.25">
      <c r="A48" t="s">
        <v>17</v>
      </c>
      <c r="B48">
        <v>79</v>
      </c>
    </row>
    <row r="49" spans="1:2" x14ac:dyDescent="0.25">
      <c r="A49" t="s">
        <v>27</v>
      </c>
      <c r="B49">
        <v>78</v>
      </c>
    </row>
    <row r="50" spans="1:2" x14ac:dyDescent="0.25">
      <c r="A50" t="s">
        <v>92</v>
      </c>
      <c r="B50">
        <v>77</v>
      </c>
    </row>
    <row r="51" spans="1:2" x14ac:dyDescent="0.25">
      <c r="A51" t="s">
        <v>796</v>
      </c>
      <c r="B51">
        <v>73</v>
      </c>
    </row>
    <row r="52" spans="1:2" x14ac:dyDescent="0.25">
      <c r="A52" t="s">
        <v>52</v>
      </c>
      <c r="B52">
        <v>72</v>
      </c>
    </row>
    <row r="53" spans="1:2" x14ac:dyDescent="0.25">
      <c r="A53" t="s">
        <v>95</v>
      </c>
      <c r="B53">
        <v>71</v>
      </c>
    </row>
    <row r="54" spans="1:2" x14ac:dyDescent="0.25">
      <c r="A54" t="s">
        <v>767</v>
      </c>
      <c r="B54">
        <v>69</v>
      </c>
    </row>
    <row r="55" spans="1:2" x14ac:dyDescent="0.25">
      <c r="A55" t="s">
        <v>111</v>
      </c>
      <c r="B55">
        <v>67</v>
      </c>
    </row>
    <row r="56" spans="1:2" x14ac:dyDescent="0.25">
      <c r="A56" t="s">
        <v>98</v>
      </c>
      <c r="B56">
        <v>66</v>
      </c>
    </row>
    <row r="57" spans="1:2" x14ac:dyDescent="0.25">
      <c r="A57" t="s">
        <v>742</v>
      </c>
      <c r="B57">
        <v>65</v>
      </c>
    </row>
    <row r="58" spans="1:2" x14ac:dyDescent="0.25">
      <c r="A58" t="s">
        <v>63</v>
      </c>
      <c r="B58">
        <v>64</v>
      </c>
    </row>
    <row r="59" spans="1:2" x14ac:dyDescent="0.25">
      <c r="A59" t="s">
        <v>41</v>
      </c>
      <c r="B59">
        <v>61</v>
      </c>
    </row>
    <row r="60" spans="1:2" x14ac:dyDescent="0.25">
      <c r="A60" t="s">
        <v>197</v>
      </c>
      <c r="B60">
        <v>59</v>
      </c>
    </row>
    <row r="61" spans="1:2" x14ac:dyDescent="0.25">
      <c r="A61" t="s">
        <v>82</v>
      </c>
      <c r="B61">
        <v>56</v>
      </c>
    </row>
    <row r="62" spans="1:2" x14ac:dyDescent="0.25">
      <c r="A62" t="s">
        <v>89</v>
      </c>
      <c r="B62">
        <v>55</v>
      </c>
    </row>
    <row r="63" spans="1:2" x14ac:dyDescent="0.25">
      <c r="A63" t="s">
        <v>80</v>
      </c>
      <c r="B63">
        <v>52</v>
      </c>
    </row>
    <row r="64" spans="1:2" x14ac:dyDescent="0.25">
      <c r="A64" t="s">
        <v>69</v>
      </c>
      <c r="B64">
        <v>51</v>
      </c>
    </row>
    <row r="65" spans="1:2" x14ac:dyDescent="0.25">
      <c r="A65" t="s">
        <v>23</v>
      </c>
      <c r="B65">
        <v>50</v>
      </c>
    </row>
    <row r="66" spans="1:2" x14ac:dyDescent="0.25">
      <c r="A66" t="s">
        <v>81</v>
      </c>
      <c r="B66">
        <v>48</v>
      </c>
    </row>
    <row r="67" spans="1:2" x14ac:dyDescent="0.25">
      <c r="A67" t="s">
        <v>574</v>
      </c>
      <c r="B67">
        <v>44</v>
      </c>
    </row>
    <row r="68" spans="1:2" x14ac:dyDescent="0.25">
      <c r="A68" t="s">
        <v>31</v>
      </c>
      <c r="B68">
        <v>43</v>
      </c>
    </row>
    <row r="69" spans="1:2" x14ac:dyDescent="0.25">
      <c r="A69" t="s">
        <v>33</v>
      </c>
      <c r="B69">
        <v>42</v>
      </c>
    </row>
    <row r="70" spans="1:2" x14ac:dyDescent="0.25">
      <c r="A70" t="s">
        <v>165</v>
      </c>
      <c r="B70">
        <v>41</v>
      </c>
    </row>
    <row r="71" spans="1:2" x14ac:dyDescent="0.25">
      <c r="A71" t="s">
        <v>56</v>
      </c>
      <c r="B71">
        <v>40</v>
      </c>
    </row>
    <row r="72" spans="1:2" x14ac:dyDescent="0.25">
      <c r="A72" t="s">
        <v>193</v>
      </c>
      <c r="B72">
        <v>39</v>
      </c>
    </row>
    <row r="73" spans="1:2" x14ac:dyDescent="0.25">
      <c r="A73" t="s">
        <v>544</v>
      </c>
      <c r="B73">
        <v>38</v>
      </c>
    </row>
    <row r="74" spans="1:2" x14ac:dyDescent="0.25">
      <c r="A74" t="s">
        <v>88</v>
      </c>
      <c r="B74">
        <v>37</v>
      </c>
    </row>
    <row r="75" spans="1:2" x14ac:dyDescent="0.25">
      <c r="A75" t="s">
        <v>101</v>
      </c>
      <c r="B75">
        <v>35</v>
      </c>
    </row>
    <row r="76" spans="1:2" x14ac:dyDescent="0.25">
      <c r="A76" t="s">
        <v>152</v>
      </c>
      <c r="B76">
        <v>33</v>
      </c>
    </row>
    <row r="77" spans="1:2" x14ac:dyDescent="0.25">
      <c r="A77" t="s">
        <v>102</v>
      </c>
      <c r="B77">
        <v>32</v>
      </c>
    </row>
    <row r="78" spans="1:2" x14ac:dyDescent="0.25">
      <c r="A78" t="s">
        <v>194</v>
      </c>
      <c r="B78">
        <v>31</v>
      </c>
    </row>
    <row r="79" spans="1:2" x14ac:dyDescent="0.25">
      <c r="A79" t="s">
        <v>90</v>
      </c>
      <c r="B79">
        <v>30</v>
      </c>
    </row>
    <row r="80" spans="1:2" x14ac:dyDescent="0.25">
      <c r="A80" t="s">
        <v>46</v>
      </c>
      <c r="B80">
        <v>29</v>
      </c>
    </row>
    <row r="81" spans="1:2" x14ac:dyDescent="0.25">
      <c r="A81" t="s">
        <v>472</v>
      </c>
      <c r="B81">
        <v>27</v>
      </c>
    </row>
    <row r="82" spans="1:2" x14ac:dyDescent="0.25">
      <c r="A82" t="s">
        <v>195</v>
      </c>
      <c r="B82">
        <v>26</v>
      </c>
    </row>
    <row r="83" spans="1:2" x14ac:dyDescent="0.25">
      <c r="A83" t="s">
        <v>35</v>
      </c>
      <c r="B83">
        <v>25</v>
      </c>
    </row>
    <row r="84" spans="1:2" x14ac:dyDescent="0.25">
      <c r="A84" t="s">
        <v>461</v>
      </c>
      <c r="B84">
        <v>24</v>
      </c>
    </row>
    <row r="85" spans="1:2" x14ac:dyDescent="0.25">
      <c r="A85" t="s">
        <v>188</v>
      </c>
      <c r="B85">
        <v>22</v>
      </c>
    </row>
    <row r="86" spans="1:2" x14ac:dyDescent="0.25">
      <c r="A86" t="s">
        <v>37</v>
      </c>
      <c r="B86">
        <v>20</v>
      </c>
    </row>
    <row r="87" spans="1:2" x14ac:dyDescent="0.25">
      <c r="A87" t="s">
        <v>54</v>
      </c>
      <c r="B87">
        <v>18</v>
      </c>
    </row>
    <row r="88" spans="1:2" x14ac:dyDescent="0.25">
      <c r="A88" t="s">
        <v>149</v>
      </c>
      <c r="B88">
        <v>17</v>
      </c>
    </row>
    <row r="89" spans="1:2" x14ac:dyDescent="0.25">
      <c r="A89" t="s">
        <v>139</v>
      </c>
      <c r="B89">
        <v>16</v>
      </c>
    </row>
    <row r="90" spans="1:2" x14ac:dyDescent="0.25">
      <c r="A90" t="s">
        <v>40</v>
      </c>
      <c r="B90">
        <v>15</v>
      </c>
    </row>
    <row r="91" spans="1:2" x14ac:dyDescent="0.25">
      <c r="A91" t="s">
        <v>179</v>
      </c>
      <c r="B91">
        <v>14</v>
      </c>
    </row>
    <row r="92" spans="1:2" x14ac:dyDescent="0.25">
      <c r="A92" t="s">
        <v>384</v>
      </c>
      <c r="B92">
        <v>13</v>
      </c>
    </row>
    <row r="93" spans="1:2" x14ac:dyDescent="0.25">
      <c r="A93" t="s">
        <v>303</v>
      </c>
      <c r="B93">
        <v>12</v>
      </c>
    </row>
    <row r="94" spans="1:2" x14ac:dyDescent="0.25">
      <c r="A94" t="s">
        <v>302</v>
      </c>
      <c r="B94">
        <v>11</v>
      </c>
    </row>
    <row r="95" spans="1:2" x14ac:dyDescent="0.25">
      <c r="A95" t="s">
        <v>305</v>
      </c>
      <c r="B95">
        <v>10</v>
      </c>
    </row>
    <row r="96" spans="1:2" x14ac:dyDescent="0.25">
      <c r="A96" t="s">
        <v>187</v>
      </c>
      <c r="B96">
        <v>9</v>
      </c>
    </row>
    <row r="97" spans="1:2" x14ac:dyDescent="0.25">
      <c r="A97" t="s">
        <v>97</v>
      </c>
      <c r="B97">
        <v>6</v>
      </c>
    </row>
    <row r="98" spans="1:2" x14ac:dyDescent="0.25">
      <c r="A98" t="s">
        <v>60</v>
      </c>
      <c r="B98">
        <v>5</v>
      </c>
    </row>
    <row r="99" spans="1:2" x14ac:dyDescent="0.25">
      <c r="A99" t="s">
        <v>161</v>
      </c>
      <c r="B99">
        <v>4</v>
      </c>
    </row>
    <row r="100" spans="1:2" x14ac:dyDescent="0.25">
      <c r="A100" t="s">
        <v>117</v>
      </c>
      <c r="B100">
        <v>3</v>
      </c>
    </row>
    <row r="101" spans="1:2" x14ac:dyDescent="0.25">
      <c r="A101" t="s">
        <v>180</v>
      </c>
      <c r="B101">
        <v>2</v>
      </c>
    </row>
  </sheetData>
  <pageMargins left="0.7" right="0.7" top="0.75" bottom="0.75" header="0.3" footer="0.3"/>
</worksheet>
</file>

<file path=docMetadata/LabelInfo.xml><?xml version="1.0" encoding="utf-8"?>
<clbl:labelList xmlns:clbl="http://schemas.microsoft.com/office/2020/mipLabelMetadata">
  <clbl:label id="{4447dd6a-a4a1-440b-a6a3-9124ef1ee017}" enabled="1" method="Privileged" siteId="{7a18110d-ef9b-4274-acef-e62ab0fe28ed}"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PatternsOld</vt:lpstr>
      <vt:lpstr>Tracker</vt:lpstr>
      <vt:lpstr>Daily</vt:lpstr>
      <vt:lpstr>Weekly</vt:lpstr>
      <vt:lpstr>Stats</vt:lpstr>
      <vt:lpstr>RandomPicker</vt:lpstr>
      <vt:lpstr>Patterns</vt:lpstr>
      <vt:lpstr>Plan</vt:lpstr>
      <vt:lpstr>Intuition</vt:lpstr>
      <vt:lpstr>ThingsToKnow</vt:lpstr>
      <vt:lpstr>All Questions</vt:lpstr>
      <vt:lpstr>NeetcodeGrindBlind</vt:lpstr>
      <vt:lpstr>NeetcodeAll</vt:lpstr>
      <vt:lpstr>TopInterviewQ</vt:lpstr>
      <vt:lpstr>TopLikedQ</vt:lpstr>
    </vt:vector>
  </TitlesOfParts>
  <Company>United Technologies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Burak Ufuktepe</dc:creator>
  <cp:keywords>Select Classification Level, Non Technical</cp:keywords>
  <cp:lastModifiedBy>Ufuktepe, Burak S                            Collins</cp:lastModifiedBy>
  <dcterms:created xsi:type="dcterms:W3CDTF">2020-06-05T13:22:33Z</dcterms:created>
  <dcterms:modified xsi:type="dcterms:W3CDTF">2024-11-04T23:08:20Z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756a1eab-6e92-46ce-9cad-c7bdade546ff</vt:lpwstr>
  </property>
  <property fmtid="{D5CDD505-2E9C-101B-9397-08002B2CF9AE}" pid="3" name="UTCTechnicalData">
    <vt:lpwstr>N</vt:lpwstr>
  </property>
</Properties>
</file>